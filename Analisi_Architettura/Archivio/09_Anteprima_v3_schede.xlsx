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NFR-01" sheetId="2" state="visible" r:id="rId2"/>
    <sheet xmlns:r="http://schemas.openxmlformats.org/officeDocument/2006/relationships" name="NFR-07" sheetId="3" state="visible" r:id="rId3"/>
    <sheet xmlns:r="http://schemas.openxmlformats.org/officeDocument/2006/relationships" name="NFR-12" sheetId="4" state="visible" r:id="rId4"/>
    <sheet xmlns:r="http://schemas.openxmlformats.org/officeDocument/2006/relationships" name="NFR-02" sheetId="5" state="visible" r:id="rId5"/>
    <sheet xmlns:r="http://schemas.openxmlformats.org/officeDocument/2006/relationships" name="NFR-06" sheetId="6" state="visible" r:id="rId6"/>
    <sheet xmlns:r="http://schemas.openxmlformats.org/officeDocument/2006/relationships" name="NFR-10" sheetId="7" state="visible" r:id="rId7"/>
    <sheet xmlns:r="http://schemas.openxmlformats.org/officeDocument/2006/relationships" name="NFR-11" sheetId="8" state="visible" r:id="rId8"/>
    <sheet xmlns:r="http://schemas.openxmlformats.org/officeDocument/2006/relationships" name="NFR-05" sheetId="9" state="visible" r:id="rId9"/>
    <sheet xmlns:r="http://schemas.openxmlformats.org/officeDocument/2006/relationships" name="NFR-09" sheetId="10" state="visible" r:id="rId10"/>
    <sheet xmlns:r="http://schemas.openxmlformats.org/officeDocument/2006/relationships" name="NFR-03" sheetId="11" state="visible" r:id="rId11"/>
    <sheet xmlns:r="http://schemas.openxmlformats.org/officeDocument/2006/relationships" name="NFR-04" sheetId="12" state="visible" r:id="rId12"/>
    <sheet xmlns:r="http://schemas.openxmlformats.org/officeDocument/2006/relationships" name="NFR-08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color rgb="00262626"/>
      <sz val="9.5"/>
    </font>
    <font>
      <b val="1"/>
      <color rgb="00FFFFFF"/>
    </font>
    <font>
      <b val="1"/>
      <color rgb="001F3864"/>
    </font>
    <font>
      <b val="1"/>
      <color rgb="002E75B6"/>
      <u val="single"/>
    </font>
    <font>
      <b val="1"/>
    </font>
    <font>
      <b val="1"/>
      <color rgb="00FFFFFF"/>
      <sz val="9"/>
    </font>
    <font>
      <i val="1"/>
      <color rgb="00595959"/>
      <sz val="9"/>
    </font>
    <font>
      <b val="1"/>
      <color rgb="00262626"/>
      <sz val="9"/>
    </font>
    <font>
      <b val="1"/>
      <color rgb="00FFFFFF"/>
      <sz val="14"/>
    </font>
    <font>
      <b val="1"/>
      <color rgb="00FFFFFF"/>
      <sz val="12"/>
    </font>
    <font>
      <color rgb="00595959"/>
      <sz val="9"/>
    </font>
    <font>
      <b val="1"/>
      <color rgb="007F6000"/>
      <sz val="9"/>
    </font>
    <font>
      <b val="1"/>
      <color rgb="001F3864"/>
      <sz val="12"/>
    </font>
    <font>
      <sz val="10"/>
    </font>
    <font>
      <b val="1"/>
      <color rgb="00595959"/>
      <sz val="9"/>
    </font>
    <font>
      <b val="1"/>
      <color rgb="001F3864"/>
      <sz val="10"/>
    </font>
    <font>
      <b val="1"/>
      <color rgb="00262626"/>
      <sz val="14"/>
    </font>
    <font>
      <i val="1"/>
      <color rgb="00595959"/>
      <sz val="8"/>
    </font>
    <font>
      <b val="1"/>
      <color rgb="002E75B6"/>
      <sz val="10"/>
    </font>
    <font>
      <b val="1"/>
      <color rgb="00595959"/>
      <sz val="10"/>
    </font>
    <font>
      <b val="1"/>
      <sz val="10"/>
    </font>
    <font>
      <b val="1"/>
      <color rgb="00262626"/>
    </font>
    <font>
      <b val="1"/>
      <color rgb="00262626"/>
      <sz val="10"/>
    </font>
    <font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D9D9D9"/>
      </patternFill>
    </fill>
    <fill>
      <patternFill patternType="solid">
        <fgColor rgb="00DEEAF6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F8CBAD"/>
      </patternFill>
    </fill>
    <fill>
      <patternFill patternType="solid">
        <fgColor rgb="009DC3E6"/>
      </patternFill>
    </fill>
    <fill>
      <patternFill patternType="solid">
        <fgColor rgb="00FBE5E5"/>
      </patternFill>
    </fill>
    <fill>
      <patternFill patternType="solid">
        <fgColor rgb="0070AD47"/>
      </patternFill>
    </fill>
    <fill>
      <patternFill patternType="solid">
        <fgColor rgb="00BDD7EE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DEEBF7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1F3864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top" wrapText="1" inden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0" fillId="0" borderId="1" pivotButton="0" quotePrefix="0" xfId="0"/>
    <xf numFmtId="2" fontId="7" fillId="0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2" borderId="0" applyAlignment="1" pivotButton="0" quotePrefix="0" xfId="0">
      <alignment vertical="center" indent="1"/>
    </xf>
    <xf numFmtId="0" fontId="0" fillId="2" borderId="0" pivotButton="0" quotePrefix="0" xfId="0"/>
    <xf numFmtId="0" fontId="12" fillId="2" borderId="0" applyAlignment="1" pivotButton="0" quotePrefix="0" xfId="0">
      <alignment horizontal="right" vertical="center"/>
    </xf>
    <xf numFmtId="0" fontId="13" fillId="8" borderId="0" applyAlignment="1" pivotButton="0" quotePrefix="0" xfId="0">
      <alignment vertical="center" wrapText="1"/>
    </xf>
    <xf numFmtId="0" fontId="0" fillId="8" borderId="0" pivotButton="0" quotePrefix="0" xfId="0"/>
    <xf numFmtId="0" fontId="14" fillId="9" borderId="0" applyAlignment="1" pivotButton="0" quotePrefix="0" xfId="0">
      <alignment vertical="center" wrapText="1"/>
    </xf>
    <xf numFmtId="0" fontId="15" fillId="0" borderId="2" pivotButton="0" quotePrefix="0" xfId="0"/>
    <xf numFmtId="0" fontId="0" fillId="0" borderId="2" pivotButton="0" quotePrefix="0" xfId="0"/>
    <xf numFmtId="0" fontId="16" fillId="0" borderId="0" applyAlignment="1" pivotButton="0" quotePrefix="0" xfId="0">
      <alignment vertical="top" wrapText="1"/>
    </xf>
    <xf numFmtId="0" fontId="17" fillId="0" borderId="0" pivotButton="0" quotePrefix="0" xfId="0"/>
    <xf numFmtId="0" fontId="18" fillId="0" borderId="1" applyAlignment="1" pivotButton="0" quotePrefix="0" xfId="0">
      <alignment vertical="center"/>
    </xf>
    <xf numFmtId="0" fontId="19" fillId="1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 wrapText="1"/>
    </xf>
    <xf numFmtId="0" fontId="19" fillId="11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0" fillId="0" borderId="0" pivotButton="0" quotePrefix="0" xfId="0"/>
    <xf numFmtId="0" fontId="16" fillId="13" borderId="0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/>
    </xf>
    <xf numFmtId="0" fontId="21" fillId="0" borderId="1" applyAlignment="1" pivotButton="0" quotePrefix="0" xfId="0">
      <alignment vertical="top"/>
    </xf>
    <xf numFmtId="0" fontId="22" fillId="0" borderId="1" applyAlignment="1" pivotButton="0" quotePrefix="0" xfId="0">
      <alignment vertical="top"/>
    </xf>
    <xf numFmtId="0" fontId="16" fillId="0" borderId="0" applyAlignment="1" pivotButton="0" quotePrefix="0" xfId="0">
      <alignment wrapText="1"/>
    </xf>
    <xf numFmtId="0" fontId="2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24" fillId="6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5" fillId="11" borderId="0" applyAlignment="1" pivotButton="0" quotePrefix="0" xfId="0">
      <alignment horizontal="center"/>
    </xf>
    <xf numFmtId="0" fontId="25" fillId="1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2" fontId="23" fillId="0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20" fillId="0" borderId="0" applyAlignment="1" pivotButton="0" quotePrefix="0" xfId="0">
      <alignment vertical="top" wrapText="1"/>
    </xf>
    <xf numFmtId="0" fontId="11" fillId="16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center"/>
    </xf>
    <xf numFmtId="0" fontId="19" fillId="17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  <xf numFmtId="0" fontId="25" fillId="17" borderId="0" applyAlignment="1" pivotButton="0" quotePrefix="0" xfId="0">
      <alignment horizontal="center"/>
    </xf>
    <xf numFmtId="0" fontId="19" fillId="18" borderId="1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/>
    </xf>
    <xf numFmtId="0" fontId="2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'NFR-01'!H41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'NFR-01'!$A$42:$A$44</f>
            </numRef>
          </cat>
          <val>
            <numRef>
              <f>'NFR-01'!$H$42:$H$44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'NFR-07'!H39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'NFR-07'!$A$40:$A$42</f>
            </numRef>
          </cat>
          <val>
            <numRef>
              <f>'NFR-07'!$H$40:$H$42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'NFR-12'!H39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'NFR-12'!$A$40:$A$42</f>
            </numRef>
          </cat>
          <val>
            <numRef>
              <f>'NFR-12'!$H$40:$H$42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'NFR-02'!H40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'NFR-02'!$A$41:$A$43</f>
            </numRef>
          </cat>
          <val>
            <numRef>
              <f>'NFR-02'!$H$41:$H$43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'NFR-06'!H39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'NFR-06'!$A$40:$A$41</f>
            </numRef>
          </cat>
          <val>
            <numRef>
              <f>'NFR-06'!$H$40:$H$41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'NFR-10'!H39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'NFR-10'!$A$40:$A$41</f>
            </numRef>
          </cat>
          <val>
            <numRef>
              <f>'NFR-10'!$H$40:$H$41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'NFR-11'!H39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'NFR-11'!$A$40:$A$42</f>
            </numRef>
          </cat>
          <val>
            <numRef>
              <f>'NFR-11'!$H$40:$H$42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'NFR-05'!H40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'NFR-05'!$A$41:$A$43</f>
            </numRef>
          </cat>
          <val>
            <numRef>
              <f>'NFR-05'!$H$41:$H$43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'NFR-09'!H39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'NFR-09'!$A$40:$A$41</f>
            </numRef>
          </cat>
          <val>
            <numRef>
              <f>'NFR-09'!$H$40:$H$41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'NFR-03'!H39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'NFR-03'!$A$40:$A$42</f>
            </numRef>
          </cat>
          <val>
            <numRef>
              <f>'NFR-03'!$H$40:$H$42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'NFR-04'!H39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'NFR-04'!$A$40:$A$42</f>
            </numRef>
          </cat>
          <val>
            <numRef>
              <f>'NFR-04'!$H$40:$H$42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Score composito per trimestre (scala fissa 1-5)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'NFR-08'!H39</f>
            </strRef>
          </tx>
          <spPr>
            <a:ln xmlns:a="http://schemas.openxmlformats.org/drawingml/2006/main">
              <a:solidFill>
                <a:srgbClr val="1F3864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262626"/>
                    </a:solidFill>
                  </a:defRPr>
                </a:pPr>
                <a:r>
                  <a:t/>
                </a:r>
                <a:endParaRPr sz="900" b="1">
                  <a:solidFill>
                    <a:srgbClr val="262626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</dLbls>
          <cat>
            <numRef>
              <f>'NFR-08'!$A$40:$A$42</f>
            </numRef>
          </cat>
          <val>
            <numRef>
              <f>'NFR-08'!$H$40:$H$42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1"/>
        </scaling>
        <delete val="0"/>
        <axPos val="l"/>
        <majorGridlines>
          <spPr>
            <a:ln xmlns:a="http://schemas.openxmlformats.org/drawingml/2006/main">
              <a:solidFill>
                <a:srgbClr val="EDEDED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</a:defRPr>
            </a:pPr>
            <a:r>
              <a:t/>
            </a:r>
            <a:endParaRPr sz="900" b="0">
              <a:solidFill>
                <a:srgbClr val="595959"/>
              </a:solidFill>
            </a:endParaRPr>
          </a:p>
        </txPr>
        <crossAx val="10"/>
        <majorUnit val="1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45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44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43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44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43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43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43</row>
      <rowOff>0</rowOff>
    </from>
    <ext cx="396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FR-01'!A1" TargetMode="External" Id="rId1"/><Relationship Type="http://schemas.openxmlformats.org/officeDocument/2006/relationships/hyperlink" Target="#'NFR-07'!A1" TargetMode="External" Id="rId2"/><Relationship Type="http://schemas.openxmlformats.org/officeDocument/2006/relationships/hyperlink" Target="#'NFR-12'!A1" TargetMode="External" Id="rId3"/><Relationship Type="http://schemas.openxmlformats.org/officeDocument/2006/relationships/hyperlink" Target="#'NFR-02'!A1" TargetMode="External" Id="rId4"/><Relationship Type="http://schemas.openxmlformats.org/officeDocument/2006/relationships/hyperlink" Target="#'NFR-06'!A1" TargetMode="External" Id="rId5"/><Relationship Type="http://schemas.openxmlformats.org/officeDocument/2006/relationships/hyperlink" Target="#'NFR-10'!A1" TargetMode="External" Id="rId6"/><Relationship Type="http://schemas.openxmlformats.org/officeDocument/2006/relationships/hyperlink" Target="#'NFR-11'!A1" TargetMode="External" Id="rId7"/><Relationship Type="http://schemas.openxmlformats.org/officeDocument/2006/relationships/hyperlink" Target="#'NFR-05'!A1" TargetMode="External" Id="rId8"/><Relationship Type="http://schemas.openxmlformats.org/officeDocument/2006/relationships/hyperlink" Target="#'NFR-09'!A1" TargetMode="External" Id="rId9"/><Relationship Type="http://schemas.openxmlformats.org/officeDocument/2006/relationships/hyperlink" Target="#'NFR-03'!A1" TargetMode="External" Id="rId10"/><Relationship Type="http://schemas.openxmlformats.org/officeDocument/2006/relationships/hyperlink" Target="#'NFR-04'!A1" TargetMode="External" Id="rId11"/><Relationship Type="http://schemas.openxmlformats.org/officeDocument/2006/relationships/hyperlink" Target="#'NFR-08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9" customWidth="1" min="4" max="4"/>
    <col width="16" customWidth="1" min="5" max="5"/>
    <col width="22" customWidth="1" min="6" max="6"/>
    <col width="30" customWidth="1" min="7" max="7"/>
  </cols>
  <sheetData>
    <row r="1" ht="30" customHeight="1">
      <c r="A1" s="1" t="inlineStr">
        <is>
          <t>Horizon Scan NFR — Schede dei rischi del ciclo 2026Q2</t>
        </is>
      </c>
    </row>
    <row r="2" ht="18" customHeight="1">
      <c r="A2" s="2" t="inlineStr">
        <is>
          <t>Ciclo 2026Q2  ·  dati al 30/06/2026  ·  ciclo validato il 15/07/2026  ·  Uso interno</t>
        </is>
      </c>
    </row>
    <row r="4" ht="45" customHeight="1">
      <c r="A4" s="3" t="inlineStr">
        <is>
          <t>File a parte rispetto al registro: una scheda per rischio, nell'ordine della classifica. A tendere lo produce un agente dedicato partendo dal registro validato (descrizione estesa, razionale per dimensione, fonti e cosa sostengono); in questa anteprima i testi estesi ci sono per NFR-01, NFR-07, NFR-11 e NFR-12, gli altri usano i testi brevi del registro. Clic sull'ID per aprire la scheda.</t>
        </is>
      </c>
    </row>
    <row r="6">
      <c r="A6" s="4" t="inlineStr">
        <is>
          <t>#</t>
        </is>
      </c>
      <c r="B6" s="4" t="inlineStr">
        <is>
          <t>ID</t>
        </is>
      </c>
      <c r="C6" s="4" t="inlineStr">
        <is>
          <t>Rischio</t>
        </is>
      </c>
      <c r="D6" s="4" t="inlineStr">
        <is>
          <t>Score</t>
        </is>
      </c>
      <c r="E6" s="4" t="inlineStr">
        <is>
          <t>Urgenza</t>
        </is>
      </c>
      <c r="F6" s="4" t="inlineStr">
        <is>
          <t>Esito</t>
        </is>
      </c>
      <c r="G6" s="4" t="inlineStr">
        <is>
          <t>Testo</t>
        </is>
      </c>
    </row>
    <row r="7" ht="20" customHeight="1">
      <c r="A7" s="5" t="n">
        <v>1</v>
      </c>
      <c r="B7" s="6" t="inlineStr">
        <is>
          <t>NFR-01</t>
        </is>
      </c>
      <c r="C7" s="7" t="inlineStr">
        <is>
          <t>Frodi su pagamenti istantanei abilitate da AI generativa  ◆</t>
        </is>
      </c>
      <c r="D7" s="8" t="n">
        <v>3.8</v>
      </c>
      <c r="E7" s="9" t="inlineStr">
        <is>
          <t>AGIRE ORA</t>
        </is>
      </c>
      <c r="F7" s="7" t="inlineStr">
        <is>
          <t>Variato</t>
        </is>
      </c>
      <c r="G7" s="10" t="inlineStr">
        <is>
          <t>esteso (esempio dell'agente)</t>
        </is>
      </c>
    </row>
    <row r="8" ht="20" customHeight="1">
      <c r="A8" s="5" t="n">
        <v>2</v>
      </c>
      <c r="B8" s="6" t="inlineStr">
        <is>
          <t>NFR-07</t>
        </is>
      </c>
      <c r="C8" s="7" t="inlineStr">
        <is>
          <t>Ransomware presso un fornitore di servizi di pagamento  ◆</t>
        </is>
      </c>
      <c r="D8" s="8" t="n">
        <v>3.6</v>
      </c>
      <c r="E8" s="11" t="inlineStr">
        <is>
          <t>Entro l'anno</t>
        </is>
      </c>
      <c r="F8" s="7" t="inlineStr">
        <is>
          <t>Confermato</t>
        </is>
      </c>
      <c r="G8" s="10" t="inlineStr">
        <is>
          <t>esteso (esempio dell'agente)</t>
        </is>
      </c>
    </row>
    <row r="9" ht="20" customHeight="1">
      <c r="A9" s="5" t="n">
        <v>3</v>
      </c>
      <c r="B9" s="6" t="inlineStr">
        <is>
          <t>NFR-12</t>
        </is>
      </c>
      <c r="C9" s="7" t="inlineStr">
        <is>
          <t>Errori operativi nei pagamenti istantanei obbligatori</t>
        </is>
      </c>
      <c r="D9" s="8" t="n">
        <v>3.5</v>
      </c>
      <c r="E9" s="11" t="inlineStr">
        <is>
          <t>Entro l'anno</t>
        </is>
      </c>
      <c r="F9" s="7" t="inlineStr">
        <is>
          <t>Variato</t>
        </is>
      </c>
      <c r="G9" s="10" t="inlineStr">
        <is>
          <t>esteso (esempio dell'agente)</t>
        </is>
      </c>
    </row>
    <row r="10" ht="20" customHeight="1">
      <c r="A10" s="5" t="n">
        <v>4</v>
      </c>
      <c r="B10" s="6" t="inlineStr">
        <is>
          <t>NFR-02</t>
        </is>
      </c>
      <c r="C10" s="7" t="inlineStr">
        <is>
          <t>Concentrazione su un fornitore cloud critico  ◆</t>
        </is>
      </c>
      <c r="D10" s="8" t="n">
        <v>3.45</v>
      </c>
      <c r="E10" s="11" t="inlineStr">
        <is>
          <t>Entro l'anno</t>
        </is>
      </c>
      <c r="F10" s="7" t="inlineStr">
        <is>
          <t>Confermato</t>
        </is>
      </c>
      <c r="G10" s="10" t="inlineStr">
        <is>
          <t>breve (dal registro)</t>
        </is>
      </c>
    </row>
    <row r="11" ht="20" customHeight="1">
      <c r="A11" s="5" t="n">
        <v>5</v>
      </c>
      <c r="B11" s="6" t="inlineStr">
        <is>
          <t>NFR-06</t>
        </is>
      </c>
      <c r="C11" s="7" t="inlineStr">
        <is>
          <t>Esfiltrazione di dati tramite strumenti di AI non autorizzati</t>
        </is>
      </c>
      <c r="D11" s="8" t="n">
        <v>3.2</v>
      </c>
      <c r="E11" s="12" t="inlineStr">
        <is>
          <t>Margine 1 anno</t>
        </is>
      </c>
      <c r="F11" s="7" t="inlineStr">
        <is>
          <t>Confermato</t>
        </is>
      </c>
      <c r="G11" s="10" t="inlineStr">
        <is>
          <t>breve (dal registro)</t>
        </is>
      </c>
    </row>
    <row r="12" ht="20" customHeight="1">
      <c r="A12" s="5" t="n">
        <v>6</v>
      </c>
      <c r="B12" s="6" t="inlineStr">
        <is>
          <t>NFR-10</t>
        </is>
      </c>
      <c r="C12" s="7" t="inlineStr">
        <is>
          <t>Informazioni errate ai clienti da assistenti di AI generativa</t>
        </is>
      </c>
      <c r="D12" s="8" t="n">
        <v>3.2</v>
      </c>
      <c r="E12" s="12" t="inlineStr">
        <is>
          <t>Margine 1 anno</t>
        </is>
      </c>
      <c r="F12" s="7" t="inlineStr">
        <is>
          <t>Confermato</t>
        </is>
      </c>
      <c r="G12" s="10" t="inlineStr">
        <is>
          <t>breve (dal registro)</t>
        </is>
      </c>
    </row>
    <row r="13" ht="20" customHeight="1">
      <c r="A13" s="5" t="n">
        <v>7</v>
      </c>
      <c r="B13" s="6" t="inlineStr">
        <is>
          <t>NFR-11</t>
        </is>
      </c>
      <c r="C13" s="7" t="inlineStr">
        <is>
          <t>Fine del supporto dei sistemi di pagamento legacy</t>
        </is>
      </c>
      <c r="D13" s="8" t="n">
        <v>3.05</v>
      </c>
      <c r="E13" s="9" t="inlineStr">
        <is>
          <t>AGIRE ORA</t>
        </is>
      </c>
      <c r="F13" s="7" t="inlineStr">
        <is>
          <t>Confermato</t>
        </is>
      </c>
      <c r="G13" s="10" t="inlineStr">
        <is>
          <t>esteso (esempio dell'agente)</t>
        </is>
      </c>
    </row>
    <row r="14" ht="20" customHeight="1">
      <c r="A14" s="5" t="n">
        <v>8</v>
      </c>
      <c r="B14" s="6" t="inlineStr">
        <is>
          <t>NFR-05</t>
        </is>
      </c>
      <c r="C14" s="7" t="inlineStr">
        <is>
          <t>Errori di processo nella migrazione del core banking</t>
        </is>
      </c>
      <c r="D14" s="8" t="n">
        <v>3</v>
      </c>
      <c r="E14" s="11" t="inlineStr">
        <is>
          <t>Entro l'anno</t>
        </is>
      </c>
      <c r="F14" s="7" t="inlineStr">
        <is>
          <t>Variato</t>
        </is>
      </c>
      <c r="G14" s="10" t="inlineStr">
        <is>
          <t>breve (dal registro)</t>
        </is>
      </c>
    </row>
    <row r="15" ht="20" customHeight="1">
      <c r="A15" s="5" t="n">
        <v>9</v>
      </c>
      <c r="B15" s="6" t="inlineStr">
        <is>
          <t>NFR-09</t>
        </is>
      </c>
      <c r="C15" s="7" t="inlineStr">
        <is>
          <t>Violazione di sanzioni internazionali tramite triangolazioni  ◆</t>
        </is>
      </c>
      <c r="D15" s="8" t="n">
        <v>2.95</v>
      </c>
      <c r="E15" s="12" t="inlineStr">
        <is>
          <t>Margine 1,2 anni</t>
        </is>
      </c>
      <c r="F15" s="7" t="inlineStr">
        <is>
          <t>Confermato</t>
        </is>
      </c>
      <c r="G15" s="10" t="inlineStr">
        <is>
          <t>breve (dal registro)</t>
        </is>
      </c>
    </row>
    <row r="16" ht="20" customHeight="1">
      <c r="A16" s="5" t="n">
        <v>10</v>
      </c>
      <c r="B16" s="6" t="inlineStr">
        <is>
          <t>NFR-03</t>
        </is>
      </c>
      <c r="C16" s="7" t="inlineStr">
        <is>
          <t>Greenwashing nella commercializzazione di prodotti ESG</t>
        </is>
      </c>
      <c r="D16" s="8" t="n">
        <v>2.85</v>
      </c>
      <c r="E16" s="11" t="inlineStr">
        <is>
          <t>Entro l'anno</t>
        </is>
      </c>
      <c r="F16" s="7" t="inlineStr">
        <is>
          <t>Confermato</t>
        </is>
      </c>
      <c r="G16" s="10" t="inlineStr">
        <is>
          <t>breve (dal registro)</t>
        </is>
      </c>
    </row>
    <row r="17" ht="20" customHeight="1">
      <c r="A17" s="5" t="n">
        <v>11</v>
      </c>
      <c r="B17" s="6" t="inlineStr">
        <is>
          <t>NFR-04</t>
        </is>
      </c>
      <c r="C17" s="7" t="inlineStr">
        <is>
          <t>Eventi climatici estremi su sedi e data center</t>
        </is>
      </c>
      <c r="D17" s="8" t="n">
        <v>2.85</v>
      </c>
      <c r="E17" s="11" t="inlineStr">
        <is>
          <t>Entro l'anno</t>
        </is>
      </c>
      <c r="F17" s="7" t="inlineStr">
        <is>
          <t>Variato</t>
        </is>
      </c>
      <c r="G17" s="10" t="inlineStr">
        <is>
          <t>breve (dal registro)</t>
        </is>
      </c>
    </row>
    <row r="18" ht="20" customHeight="1">
      <c r="A18" s="5" t="n">
        <v>12</v>
      </c>
      <c r="B18" s="6" t="inlineStr">
        <is>
          <t>NFR-08</t>
        </is>
      </c>
      <c r="C18" s="7" t="inlineStr">
        <is>
          <t>Accessi impropri di dipendenti ai dati dei clienti</t>
        </is>
      </c>
      <c r="D18" s="8" t="n">
        <v>2.8</v>
      </c>
      <c r="E18" s="12" t="inlineStr">
        <is>
          <t>Margine 1 anno</t>
        </is>
      </c>
      <c r="F18" s="7" t="inlineStr">
        <is>
          <t>Confermato</t>
        </is>
      </c>
      <c r="G18" s="10" t="inlineStr">
        <is>
          <t>breve (dal registro)</t>
        </is>
      </c>
    </row>
  </sheetData>
  <mergeCells count="3">
    <mergeCell ref="A2:G2"/>
    <mergeCell ref="A1:G1"/>
    <mergeCell ref="A4:G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</hyperlinks>
  <pageMargins left="0.4" right="0.4" top="1" bottom="1" header="0.5" footer="0.5"/>
  <pageSetup orientation="landscape" paperSize="9" fitToHeight="1" fitToWidth="1"/>
  <headerFooter>
    <oddHeader/>
    <oddFooter>&amp;LAnteprima di stile — dati di esempio&amp;RPagina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1 · NFR-01 · Frodi su pagamenti istantanei abilitate da AI generativa</t>
        </is>
      </c>
      <c r="B2" s="14" t="n"/>
      <c r="C2" s="14" t="n"/>
      <c r="D2" s="14" t="n"/>
      <c r="E2" s="14" t="n"/>
      <c r="F2" s="14" t="n"/>
      <c r="G2" s="15" t="inlineStr">
        <is>
          <t>score 3,80   ▲ +0,30   ·   AGIRE ORA</t>
        </is>
      </c>
      <c r="H2" s="14" t="n"/>
    </row>
    <row r="3" ht="28" customHeight="1">
      <c r="A3" s="16" t="inlineStr">
        <is>
          <t>L1-02 · Frode esterna</t>
        </is>
      </c>
      <c r="B3" s="17" t="n"/>
      <c r="C3" s="16" t="inlineStr">
        <is>
          <t>Driver: DRV-AI, DRV-CYB</t>
        </is>
      </c>
      <c r="D3" s="17" t="n"/>
      <c r="E3" s="16" t="inlineStr">
        <is>
          <t>Owner: Funzione Antifrode</t>
        </is>
      </c>
      <c r="F3" s="17" t="n"/>
      <c r="G3" s="18" t="inlineStr">
        <is>
          <t>◆ Attenzione del supervisore</t>
        </is>
      </c>
      <c r="H3" s="16" t="inlineStr">
        <is>
          <t>Esito: Variato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76" customHeight="1">
      <c r="A6" s="21" t="inlineStr">
        <is>
          <t>Frodi di tipo APP (pagamento autorizzato dal cliente) in cui il truffatore usa voci o video sintetici generati con l'intelligenza artificiale per impersonare un familiare, un dirigente o un operatore della Banca e indurre il cliente a disporre un bonifico istantaneo verso un conto che controlla. Il bonifico istantaneo e' accreditato in pochi secondi ed e' irrevocabile: una volta disposto non si recupera. Oggi il danno ricade sul cliente; con le linee guida europee sul rimborso obbligatorio delle frodi APP ricadrebbe sempre piu' sulla Banca. Il rischio nasce da un fattore esterno (AI generativa accessibile a tutti) e da un punto debole interno: la verifica fuori banda non copre ancora i bonifici istantanei.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42" customHeight="1">
      <c r="A10" s="23" t="inlineStr">
        <is>
          <t>Severity</t>
        </is>
      </c>
      <c r="B10" s="24" t="n">
        <v>4</v>
      </c>
      <c r="C10" s="25" t="inlineStr">
        <is>
          <t>Importi medi per caso triplicati sui bonifici istantanei (report trimestrale frodi, 10/06/2026); con il rimborso obbligatorio la perdita passerebbe alla Banca.</t>
        </is>
      </c>
      <c r="D10" s="7" t="n"/>
      <c r="E10" s="7" t="n"/>
      <c r="F10" s="7" t="n"/>
      <c r="G10" s="7" t="n"/>
      <c r="H10" s="7" t="n"/>
    </row>
    <row r="11" ht="42" customHeight="1">
      <c r="A11" s="23" t="inlineStr">
        <is>
          <t>Probabilita</t>
        </is>
      </c>
      <c r="B11" s="24" t="n">
        <v>4</v>
      </c>
      <c r="C11" s="25" t="inlineStr">
        <is>
          <t>Perdite rilevanti attese una volta in 1-2 anni: i tentativi sono frequenti (4,2 ogni 10.000 bonifici, KRI K1) ma quasi tutti bloccati.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6" t="n">
        <v>3</v>
      </c>
      <c r="C12" s="25" t="inlineStr">
        <is>
          <t>La verifica fuori banda esiste per i bonifici ordinari ma non per gli istantanei; azione approvata a 6 mesi.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24" t="n">
        <v>4</v>
      </c>
      <c r="C13" s="25" t="inlineStr">
        <is>
          <t>Il danno si produce in minuti; il blocco di un beneficiario fraudolento richiede in media 2,5 ore (KRI K3).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4" t="n">
        <v>4</v>
      </c>
      <c r="C14" s="25" t="inlineStr">
        <is>
          <t>Casi con voce sintetica in due banche italiane comparabili (12/02/2026) e allerta del CERT finanziario (09/06/2026).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27" t="n">
        <v>4</v>
      </c>
      <c r="C15" s="25" t="inlineStr">
        <is>
          <t>Due fonti interne recenti e quantitative, due esterne concordanti.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3,80 = 0,30 x 4 + 0,20 x 4 + 0,20 x 3 + 0,15 x 4 + 0,15 x 4.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9" t="inlineStr">
        <is>
          <t>AGIRE ORA. Tempo necessario X + Y = 0,25 + 0,50 = 0,75 anni; tempo disponibile Z = 0,5 anni (Prossimita 4). Margine Z - (X + Y) = -0,25.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48" customHeight="1">
      <c r="A22" s="21" t="inlineStr">
        <is>
          <t>• Severity 3 → 4: Il report trimestrale frodi documenta importi medi per caso triplicati sui bonifici istantanei rispetto al trimestre precedente. (10/06/2026)
• Confidence 3 → 4: Aggiunta una fonte interna quantitativa recente (report trimestrale frodi) alle due fonti esterne. (10/06/2026)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Analisi interna sulle frodi da ingegneria sociale</t>
        </is>
      </c>
      <c r="B26" s="7" t="n"/>
      <c r="C26" s="7" t="n"/>
      <c r="D26" s="31" t="inlineStr">
        <is>
          <t>20/10/2025</t>
        </is>
      </c>
      <c r="E26" s="32" t="inlineStr">
        <is>
          <t>Interna</t>
        </is>
      </c>
      <c r="F26" s="30" t="inlineStr">
        <is>
          <t>base del rischio: casistica sui canali digitali</t>
        </is>
      </c>
      <c r="G26" s="7" t="n"/>
      <c r="H26" s="7" t="n"/>
    </row>
    <row r="27" ht="30" customHeight="1">
      <c r="A27" s="30" t="inlineStr">
        <is>
          <t>Threat intelligence: campagne di frode con voce sintetica verso banche UE</t>
        </is>
      </c>
      <c r="B27" s="7" t="n"/>
      <c r="C27" s="7" t="n"/>
      <c r="D27" s="31" t="inlineStr">
        <is>
          <t>15/04/2026</t>
        </is>
      </c>
      <c r="E27" s="33" t="inlineStr">
        <is>
          <t>Esterna</t>
        </is>
      </c>
      <c r="F27" s="30" t="inlineStr">
        <is>
          <t>prossimita': campagne attive in Europa</t>
        </is>
      </c>
      <c r="G27" s="7" t="n"/>
      <c r="H27" s="7" t="n"/>
    </row>
    <row r="28" ht="30" customHeight="1">
      <c r="A28" s="30" t="inlineStr">
        <is>
          <t>Report trimestrale frodi — Funzione Antifrode</t>
        </is>
      </c>
      <c r="B28" s="7" t="n"/>
      <c r="C28" s="7" t="n"/>
      <c r="D28" s="31" t="inlineStr">
        <is>
          <t>10/06/2026</t>
        </is>
      </c>
      <c r="E28" s="32" t="inlineStr">
        <is>
          <t>Interna</t>
        </is>
      </c>
      <c r="F28" s="30" t="inlineStr">
        <is>
          <t>severity: importi triplicati; valori dei KRI</t>
        </is>
      </c>
      <c r="G28" s="7" t="n"/>
      <c r="H28" s="7" t="n"/>
    </row>
    <row r="29" ht="30" customHeight="1">
      <c r="A29" s="30" t="inlineStr">
        <is>
          <t>Relazione annuale sui pagamenti al dettaglio dell'autorita' di vigilanza</t>
        </is>
      </c>
      <c r="B29" s="7" t="n"/>
      <c r="C29" s="7" t="n"/>
      <c r="D29" s="31" t="inlineStr">
        <is>
          <t>28/05/2026</t>
        </is>
      </c>
      <c r="E29" s="33" t="inlineStr">
        <is>
          <t>Esterna</t>
        </is>
      </c>
      <c r="F29" s="30" t="inlineStr">
        <is>
          <t>contesto: crescita di istantanei e frodi APP</t>
        </is>
      </c>
      <c r="G29" s="7" t="n"/>
      <c r="H29" s="7" t="n"/>
    </row>
    <row r="31">
      <c r="A31" s="19" t="inlineStr">
        <is>
          <t>Azioni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 ht="34" customHeight="1">
      <c r="A32" s="21" t="inlineStr">
        <is>
          <t>• Introdurre la verifica fuori banda per bonifici istantanei sopra soglia verso beneficiari nuovi. — Funzione Antifrode, 6 mesi, Approvata. Riduce: gap_controlli.</t>
        </is>
      </c>
    </row>
    <row r="34">
      <c r="A34" s="19" t="inlineStr">
        <is>
          <t>KRI in vigore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2" t="inlineStr">
        <is>
          <t>Indicatore</t>
        </is>
      </c>
      <c r="E35" s="22" t="inlineStr">
        <is>
          <t>Valore</t>
        </is>
      </c>
      <c r="F35" s="22" t="inlineStr">
        <is>
          <t>Soglie (attenzione / allerta)</t>
        </is>
      </c>
      <c r="H35" s="22" t="inlineStr">
        <is>
          <t>Stato</t>
        </is>
      </c>
    </row>
    <row r="36" ht="20" customHeight="1">
      <c r="A36" s="34" t="inlineStr">
        <is>
          <t>Tentativi di frode APP per 10.000 bonifici istantanei (n/10k)</t>
        </is>
      </c>
      <c r="E36" s="35" t="n">
        <v>4.2</v>
      </c>
      <c r="F36" s="36" t="inlineStr">
        <is>
          <t>3 / 6</t>
        </is>
      </c>
      <c r="H36" s="37" t="inlineStr">
        <is>
          <t>Ambra</t>
        </is>
      </c>
    </row>
    <row r="37" ht="20" customHeight="1">
      <c r="A37" s="34" t="inlineStr">
        <is>
          <t>Quota di frodi con voce o video sintetici accertati (%)</t>
        </is>
      </c>
      <c r="E37" s="35" t="n">
        <v>12</v>
      </c>
      <c r="F37" s="36" t="inlineStr">
        <is>
          <t>10 / 25</t>
        </is>
      </c>
      <c r="H37" s="37" t="inlineStr">
        <is>
          <t>Ambra</t>
        </is>
      </c>
    </row>
    <row r="38" ht="20" customHeight="1">
      <c r="A38" s="34" t="inlineStr">
        <is>
          <t>Tempo medio di blocco di un beneficiario fraudolento (ore)</t>
        </is>
      </c>
      <c r="E38" s="35" t="n">
        <v>2.5</v>
      </c>
      <c r="F38" s="36" t="inlineStr">
        <is>
          <t>4 / 12</t>
        </is>
      </c>
      <c r="H38" s="38" t="inlineStr">
        <is>
          <t>Verde</t>
        </is>
      </c>
    </row>
    <row r="40">
      <c r="A40" s="19" t="inlineStr">
        <is>
          <t>Andamento negli ultimi trimestri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39" t="inlineStr">
        <is>
          <t>Ciclo</t>
        </is>
      </c>
      <c r="B41" s="39" t="inlineStr">
        <is>
          <t>Sev</t>
        </is>
      </c>
      <c r="C41" s="39" t="inlineStr">
        <is>
          <t>Prob</t>
        </is>
      </c>
      <c r="D41" s="39" t="inlineStr">
        <is>
          <t>Gap</t>
        </is>
      </c>
      <c r="E41" s="39" t="inlineStr">
        <is>
          <t>Vel</t>
        </is>
      </c>
      <c r="F41" s="39" t="inlineStr">
        <is>
          <t>Pross</t>
        </is>
      </c>
      <c r="G41" s="39" t="inlineStr">
        <is>
          <t>Conf</t>
        </is>
      </c>
      <c r="H41" s="39" t="inlineStr">
        <is>
          <t>Score</t>
        </is>
      </c>
    </row>
    <row r="42">
      <c r="A42" s="40" t="inlineStr">
        <is>
          <t>2025Q4</t>
        </is>
      </c>
      <c r="B42" s="41" t="n">
        <v>3</v>
      </c>
      <c r="C42" s="42" t="n">
        <v>4</v>
      </c>
      <c r="D42" s="41" t="n">
        <v>3</v>
      </c>
      <c r="E42" s="42" t="n">
        <v>4</v>
      </c>
      <c r="F42" s="41" t="n">
        <v>3</v>
      </c>
      <c r="G42" s="43" t="n">
        <v>3</v>
      </c>
      <c r="H42" s="44" t="n">
        <v>3.35</v>
      </c>
    </row>
    <row r="43">
      <c r="A43" s="40" t="inlineStr">
        <is>
          <t>2026Q1</t>
        </is>
      </c>
      <c r="B43" s="41" t="n">
        <v>3</v>
      </c>
      <c r="C43" s="42" t="n">
        <v>4</v>
      </c>
      <c r="D43" s="41" t="n">
        <v>3</v>
      </c>
      <c r="E43" s="42" t="n">
        <v>4</v>
      </c>
      <c r="F43" s="42" t="n">
        <v>4</v>
      </c>
      <c r="G43" s="43" t="n">
        <v>3</v>
      </c>
      <c r="H43" s="44" t="n">
        <v>3.5</v>
      </c>
    </row>
    <row r="44">
      <c r="A44" s="40" t="inlineStr">
        <is>
          <t>2026Q2</t>
        </is>
      </c>
      <c r="B44" s="42" t="n">
        <v>4</v>
      </c>
      <c r="C44" s="42" t="n">
        <v>4</v>
      </c>
      <c r="D44" s="41" t="n">
        <v>3</v>
      </c>
      <c r="E44" s="42" t="n">
        <v>4</v>
      </c>
      <c r="F44" s="42" t="n">
        <v>4</v>
      </c>
      <c r="G44" s="45" t="n">
        <v>4</v>
      </c>
      <c r="H44" s="44" t="n">
        <v>3.8</v>
      </c>
    </row>
    <row r="58" ht="26" customHeight="1">
      <c r="A58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42">
    <mergeCell ref="A25:C25"/>
    <mergeCell ref="C10:H10"/>
    <mergeCell ref="G2:H2"/>
    <mergeCell ref="A24:H24"/>
    <mergeCell ref="C9:H9"/>
    <mergeCell ref="A38:D38"/>
    <mergeCell ref="F26:H26"/>
    <mergeCell ref="A27:C27"/>
    <mergeCell ref="A1:H1"/>
    <mergeCell ref="C12:H12"/>
    <mergeCell ref="A26:C26"/>
    <mergeCell ref="A6:H6"/>
    <mergeCell ref="A2:F2"/>
    <mergeCell ref="C11:H11"/>
    <mergeCell ref="F28:H28"/>
    <mergeCell ref="F27:H27"/>
    <mergeCell ref="F36:G36"/>
    <mergeCell ref="A29:C29"/>
    <mergeCell ref="A3:B3"/>
    <mergeCell ref="A36:D36"/>
    <mergeCell ref="A18:H18"/>
    <mergeCell ref="A28:C28"/>
    <mergeCell ref="A21:H21"/>
    <mergeCell ref="F38:G38"/>
    <mergeCell ref="C13:H13"/>
    <mergeCell ref="A5:H5"/>
    <mergeCell ref="A32:H32"/>
    <mergeCell ref="F29:H29"/>
    <mergeCell ref="A8:H8"/>
    <mergeCell ref="A22:H22"/>
    <mergeCell ref="C15:H15"/>
    <mergeCell ref="F25:H25"/>
    <mergeCell ref="A40:H40"/>
    <mergeCell ref="A37:D37"/>
    <mergeCell ref="F37:G37"/>
    <mergeCell ref="C14:H14"/>
    <mergeCell ref="A19:H19"/>
    <mergeCell ref="A58:H58"/>
    <mergeCell ref="C3:D3"/>
    <mergeCell ref="A31:H31"/>
    <mergeCell ref="E3:F3"/>
    <mergeCell ref="A34:H34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2 · NFR-07 · Ransomware presso un fornitore di servizi di pagamento</t>
        </is>
      </c>
      <c r="B2" s="14" t="n"/>
      <c r="C2" s="14" t="n"/>
      <c r="D2" s="14" t="n"/>
      <c r="E2" s="14" t="n"/>
      <c r="F2" s="14" t="n"/>
      <c r="G2" s="15" t="inlineStr">
        <is>
          <t>score 3,60   ● 0,00   ·   Entro l'anno</t>
        </is>
      </c>
      <c r="H2" s="14" t="n"/>
    </row>
    <row r="3" ht="28" customHeight="1">
      <c r="A3" s="16" t="inlineStr">
        <is>
          <t>L1-06 · Interruzione dell'operativita' e disfunzione dei sistemi</t>
        </is>
      </c>
      <c r="B3" s="17" t="n"/>
      <c r="C3" s="16" t="inlineStr">
        <is>
          <t>Driver: DRV-CYB, DRV-TPR</t>
        </is>
      </c>
      <c r="D3" s="17" t="n"/>
      <c r="E3" s="16" t="inlineStr">
        <is>
          <t>Owner: Funzione ICT &amp; Security Risk</t>
        </is>
      </c>
      <c r="F3" s="17" t="n"/>
      <c r="G3" s="18" t="inlineStr">
        <is>
          <t>◆ Attenzione del supervisore</t>
        </is>
      </c>
      <c r="H3" s="16" t="inlineStr">
        <is>
          <t>Esito: Confermato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62" customHeight="1">
      <c r="A6" s="21" t="inlineStr">
        <is>
          <t>Un attacco ransomware al fornitore esterno che gestisce il gateway di pagamento della Banca cifra o rende indisponibili i suoi sistemi. I pagamenti della clientela si fermano finche' il fornitore non ripristina il servizio, e la Banca non ha un gateway alternativo attivabile nei tempi di ripristino previsti. Oltre al disservizio: penali, reclami, segnalazione DORA di incidente grave. Il fornitore e' classificato critico nel registro DORA, ma il ripristino da ransomware non e' mai stato provato insieme.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4" t="n">
        <v>4</v>
      </c>
      <c r="C10" s="25" t="inlineStr">
        <is>
          <t>Blocco dei pagamenti della clientela: funzione essenziale interrotta, incidente grave da segnalare (DORA).</t>
        </is>
      </c>
      <c r="D10" s="7" t="n"/>
      <c r="E10" s="7" t="n"/>
      <c r="F10" s="7" t="n"/>
      <c r="G10" s="7" t="n"/>
      <c r="H10" s="7" t="n"/>
    </row>
    <row r="11" ht="42" customHeight="1">
      <c r="A11" s="23" t="inlineStr">
        <is>
          <t>Probabilita</t>
        </is>
      </c>
      <c r="B11" s="26" t="n">
        <v>3</v>
      </c>
      <c r="C11" s="25" t="inlineStr">
        <is>
          <t>Attacchi ransomware a processori di pagamento europei nel 2026; il fornitore ha 2 vulnerabilita' critiche aperte oltre 30 giorni (KRI K3).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6" t="n">
        <v>3</v>
      </c>
      <c r="C12" s="25" t="inlineStr">
        <is>
          <t>Piano di continuita' presente ma ripristino mai testato con il fornitore; test congiunto approvato a 6 mesi.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47" t="n">
        <v>5</v>
      </c>
      <c r="C13" s="25" t="inlineStr">
        <is>
          <t>Il blocco e' immediato: i pagamenti si fermano appena il gateway e' irraggiungibile.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6" t="n">
        <v>3</v>
      </c>
      <c r="C14" s="25" t="inlineStr">
        <is>
          <t>Precursore nel settore bancario europeo (processore di pagamenti, febbraio 2026), nessun incidente presso il fornitore.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48" t="n">
        <v>3</v>
      </c>
      <c r="C15" s="25" t="inlineStr">
        <is>
          <t>Una fonte interna (registro DORA) e una esterna.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3,60 = 0,30 x 4 + 0,20 x 3 + 0,20 x 3 + 0,15 x 5 + 0,15 x 3.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Entro l'anno. Tempo necessario X + Y = 0,25 + 0,50 = 0,75 anni; tempo disponibile Z = 1,5 anni (Prossimita 3). Margine Z - (X + Y) = 0,75.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20" customHeight="1">
      <c r="A22" s="21" t="inlineStr">
        <is>
          <t>Nessun valore cambiato: confermato sulle fonti del ciclo precedente.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Registro DORA: fornitore del gateway di pagamento classificato critico</t>
        </is>
      </c>
      <c r="B26" s="7" t="n"/>
      <c r="C26" s="7" t="n"/>
      <c r="D26" s="31" t="inlineStr">
        <is>
          <t>15/10/2025</t>
        </is>
      </c>
      <c r="E26" s="32" t="inlineStr">
        <is>
          <t>Interna</t>
        </is>
      </c>
      <c r="F26" s="30" t="inlineStr">
        <is>
          <t>severity: servizio critico senza alternativa</t>
        </is>
      </c>
      <c r="G26" s="7" t="n"/>
      <c r="H26" s="7" t="n"/>
    </row>
    <row r="27" ht="30" customHeight="1">
      <c r="A27" s="30" t="inlineStr">
        <is>
          <t>Attacco ransomware a un processore di pagamenti europeo</t>
        </is>
      </c>
      <c r="B27" s="7" t="n"/>
      <c r="C27" s="7" t="n"/>
      <c r="D27" s="31" t="inlineStr">
        <is>
          <t>20/02/2026</t>
        </is>
      </c>
      <c r="E27" s="33" t="inlineStr">
        <is>
          <t>Esterna</t>
        </is>
      </c>
      <c r="F27" s="30" t="inlineStr">
        <is>
          <t>probabilita' e prossimita': minaccia attiva nel settore</t>
        </is>
      </c>
      <c r="G27" s="7" t="n"/>
      <c r="H27" s="7" t="n"/>
    </row>
    <row r="29">
      <c r="A29" s="19" t="inlineStr">
        <is>
          <t>Azioni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 ht="34" customHeight="1">
      <c r="A30" s="21" t="inlineStr">
        <is>
          <t>• Test congiunto di ripristino da ransomware con il fornitore del gateway di pagamento. — Funzione ICT &amp; Security Risk, 6 mesi, Approvata. Riduce: gap_controlli.</t>
        </is>
      </c>
    </row>
    <row r="32">
      <c r="A32" s="19" t="inlineStr">
        <is>
          <t>KRI in vigore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2" t="inlineStr">
        <is>
          <t>Indicatore</t>
        </is>
      </c>
      <c r="E33" s="22" t="inlineStr">
        <is>
          <t>Valore</t>
        </is>
      </c>
      <c r="F33" s="22" t="inlineStr">
        <is>
          <t>Soglie (attenzione / allerta)</t>
        </is>
      </c>
      <c r="H33" s="22" t="inlineStr">
        <is>
          <t>Stato</t>
        </is>
      </c>
    </row>
    <row r="34" ht="20" customHeight="1">
      <c r="A34" s="34" t="inlineStr">
        <is>
          <t>Fornitori di pagamento critici senza test di ripristino da ransomware (n)</t>
        </is>
      </c>
      <c r="E34" s="35" t="n">
        <v>1</v>
      </c>
      <c r="F34" s="36" t="inlineStr">
        <is>
          <t>1 / 2</t>
        </is>
      </c>
      <c r="H34" s="37" t="inlineStr">
        <is>
          <t>Ambra</t>
        </is>
      </c>
    </row>
    <row r="35" ht="20" customHeight="1">
      <c r="A35" s="34" t="inlineStr">
        <is>
          <t>Ore di indisponibilita' del gateway di pagamento nel trimestre (ore)</t>
        </is>
      </c>
      <c r="E35" s="35" t="n">
        <v>3</v>
      </c>
      <c r="F35" s="36" t="inlineStr">
        <is>
          <t>4 / 12</t>
        </is>
      </c>
      <c r="H35" s="38" t="inlineStr">
        <is>
          <t>Verde</t>
        </is>
      </c>
    </row>
    <row r="36" ht="20" customHeight="1">
      <c r="A36" s="34" t="inlineStr">
        <is>
          <t>Vulnerabilita' critiche aperte oltre 30 giorni presso il fornitore (n)</t>
        </is>
      </c>
      <c r="E36" s="35" t="n">
        <v>2</v>
      </c>
      <c r="F36" s="36" t="inlineStr">
        <is>
          <t>2 / 5</t>
        </is>
      </c>
      <c r="H36" s="37" t="inlineStr">
        <is>
          <t>Ambra</t>
        </is>
      </c>
    </row>
    <row r="38">
      <c r="A38" s="19" t="inlineStr">
        <is>
          <t>Andamento negli ultimi trimestri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39" t="inlineStr">
        <is>
          <t>Ciclo</t>
        </is>
      </c>
      <c r="B39" s="39" t="inlineStr">
        <is>
          <t>Sev</t>
        </is>
      </c>
      <c r="C39" s="39" t="inlineStr">
        <is>
          <t>Prob</t>
        </is>
      </c>
      <c r="D39" s="39" t="inlineStr">
        <is>
          <t>Gap</t>
        </is>
      </c>
      <c r="E39" s="39" t="inlineStr">
        <is>
          <t>Vel</t>
        </is>
      </c>
      <c r="F39" s="39" t="inlineStr">
        <is>
          <t>Pross</t>
        </is>
      </c>
      <c r="G39" s="39" t="inlineStr">
        <is>
          <t>Conf</t>
        </is>
      </c>
      <c r="H39" s="39" t="inlineStr">
        <is>
          <t>Score</t>
        </is>
      </c>
    </row>
    <row r="40">
      <c r="A40" s="40" t="inlineStr">
        <is>
          <t>2025Q4</t>
        </is>
      </c>
      <c r="B40" s="42" t="n">
        <v>4</v>
      </c>
      <c r="C40" s="41" t="n">
        <v>3</v>
      </c>
      <c r="D40" s="41" t="n">
        <v>3</v>
      </c>
      <c r="E40" s="49" t="n">
        <v>5</v>
      </c>
      <c r="F40" s="41" t="n">
        <v>3</v>
      </c>
      <c r="G40" s="43" t="n">
        <v>3</v>
      </c>
      <c r="H40" s="44" t="n">
        <v>3.6</v>
      </c>
    </row>
    <row r="41">
      <c r="A41" s="40" t="inlineStr">
        <is>
          <t>2026Q1</t>
        </is>
      </c>
      <c r="B41" s="42" t="n">
        <v>4</v>
      </c>
      <c r="C41" s="41" t="n">
        <v>3</v>
      </c>
      <c r="D41" s="41" t="n">
        <v>3</v>
      </c>
      <c r="E41" s="49" t="n">
        <v>5</v>
      </c>
      <c r="F41" s="41" t="n">
        <v>3</v>
      </c>
      <c r="G41" s="43" t="n">
        <v>3</v>
      </c>
      <c r="H41" s="44" t="n">
        <v>3.6</v>
      </c>
    </row>
    <row r="42">
      <c r="A42" s="40" t="inlineStr">
        <is>
          <t>2026Q2</t>
        </is>
      </c>
      <c r="B42" s="42" t="n">
        <v>4</v>
      </c>
      <c r="C42" s="41" t="n">
        <v>3</v>
      </c>
      <c r="D42" s="41" t="n">
        <v>3</v>
      </c>
      <c r="E42" s="49" t="n">
        <v>5</v>
      </c>
      <c r="F42" s="41" t="n">
        <v>3</v>
      </c>
      <c r="G42" s="43" t="n">
        <v>3</v>
      </c>
      <c r="H42" s="44" t="n">
        <v>3.6</v>
      </c>
    </row>
    <row r="56" ht="26" customHeight="1">
      <c r="A56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38">
    <mergeCell ref="A25:C25"/>
    <mergeCell ref="C10:H10"/>
    <mergeCell ref="A30:H30"/>
    <mergeCell ref="G2:H2"/>
    <mergeCell ref="A35:D35"/>
    <mergeCell ref="A24:H24"/>
    <mergeCell ref="C9:H9"/>
    <mergeCell ref="F34:G34"/>
    <mergeCell ref="F26:H26"/>
    <mergeCell ref="A27:C27"/>
    <mergeCell ref="A1:H1"/>
    <mergeCell ref="C12:H12"/>
    <mergeCell ref="A26:C26"/>
    <mergeCell ref="A6:H6"/>
    <mergeCell ref="A2:F2"/>
    <mergeCell ref="C11:H11"/>
    <mergeCell ref="A34:D34"/>
    <mergeCell ref="F27:H27"/>
    <mergeCell ref="F36:G36"/>
    <mergeCell ref="A3:B3"/>
    <mergeCell ref="F35:G35"/>
    <mergeCell ref="A36:D36"/>
    <mergeCell ref="A18:H18"/>
    <mergeCell ref="A56:H56"/>
    <mergeCell ref="A21:H21"/>
    <mergeCell ref="C13:H13"/>
    <mergeCell ref="A5:H5"/>
    <mergeCell ref="A32:H32"/>
    <mergeCell ref="A8:H8"/>
    <mergeCell ref="A22:H22"/>
    <mergeCell ref="C15:H15"/>
    <mergeCell ref="F25:H25"/>
    <mergeCell ref="A29:H29"/>
    <mergeCell ref="C14:H14"/>
    <mergeCell ref="A38:H38"/>
    <mergeCell ref="A19:H19"/>
    <mergeCell ref="C3:D3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3 · NFR-12 · Errori operativi nei pagamenti istantanei obbligatori</t>
        </is>
      </c>
      <c r="B2" s="14" t="n"/>
      <c r="C2" s="14" t="n"/>
      <c r="D2" s="14" t="n"/>
      <c r="E2" s="14" t="n"/>
      <c r="F2" s="14" t="n"/>
      <c r="G2" s="15" t="inlineStr">
        <is>
          <t>score 3,50   ▲ +0,15   ·   Entro l'anno</t>
        </is>
      </c>
      <c r="H2" s="14" t="n"/>
    </row>
    <row r="3" ht="28" customHeight="1">
      <c r="A3" s="16" t="inlineStr">
        <is>
          <t>L1-07 · Esecuzione, consegna e gestione dei processi</t>
        </is>
      </c>
      <c r="B3" s="17" t="n"/>
      <c r="C3" s="16" t="inlineStr">
        <is>
          <t>Driver: DRV-TEC</t>
        </is>
      </c>
      <c r="D3" s="17" t="n"/>
      <c r="E3" s="16" t="inlineStr">
        <is>
          <t>Owner: Funzione Operations</t>
        </is>
      </c>
      <c r="F3" s="17" t="n"/>
      <c r="G3" s="16" t="n"/>
      <c r="H3" s="16" t="inlineStr">
        <is>
          <t>Esito: Variato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48" customHeight="1">
      <c r="A6" s="21" t="inlineStr">
        <is>
          <t>Dall'obbligo di offrire i bonifici istantanei a tutta la clientela, i volumi sono cresciuti piu' in fretta dei controlli di processo. Errori di esecuzione, doppi addebiti e differenze di riconciliazione vanno risolti in giornata, perche' il pagamento e' gia' regolato; oggi la riconciliazione e' settimanale. Ne derivano rimborsi indebiti, perdite contabili e reclami. A maggio 2026 si sono visti i primi casi interni.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42" customHeight="1">
      <c r="A10" s="23" t="inlineStr">
        <is>
          <t>Severity</t>
        </is>
      </c>
      <c r="B10" s="26" t="n">
        <v>3</v>
      </c>
      <c r="C10" s="25" t="inlineStr">
        <is>
          <t>Rimborsi indebiti e disservizi su un processo critico, senza effetti sulla continuita': 5 rimborsi nel trimestre (KRI K2).</t>
        </is>
      </c>
      <c r="D10" s="7" t="n"/>
      <c r="E10" s="7" t="n"/>
      <c r="F10" s="7" t="n"/>
      <c r="G10" s="7" t="n"/>
      <c r="H10" s="7" t="n"/>
    </row>
    <row r="11" ht="30" customHeight="1">
      <c r="A11" s="23" t="inlineStr">
        <is>
          <t>Probabilita</t>
        </is>
      </c>
      <c r="B11" s="24" t="n">
        <v>4</v>
      </c>
      <c r="C11" s="25" t="inlineStr">
        <is>
          <t>Errori ricorrenti gia' osservati: 14 differenze aperte oltre un giorno (KRI K1, soglia di attenzione 10).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6" t="n">
        <v>3</v>
      </c>
      <c r="C12" s="25" t="inlineStr">
        <is>
          <t>Riconciliazione solo settimanale; controllo giornaliero automatico approvato a 3 mesi.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24" t="n">
        <v>4</v>
      </c>
      <c r="C13" s="25" t="inlineStr">
        <is>
          <t>Gli errori si propagano in giornata sulle scritture contabili.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4" t="n">
        <v>4</v>
      </c>
      <c r="C14" s="25" t="inlineStr">
        <is>
          <t>Primi rimborsi indebiti e differenze di riconciliazione presso la Banca (report operativo, 15/05/2026).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48" t="n">
        <v>3</v>
      </c>
      <c r="C15" s="25" t="inlineStr">
        <is>
          <t>Due fonti interne, una quantitativa e recente.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3,50 = 0,30 x 3 + 0,20 x 4 + 0,20 x 3 + 0,15 x 4 + 0,15 x 4.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Entro l'anno. Tempo necessario X + Y = 0,25 + 0,25 = 0,50 anni; tempo disponibile Z = 0,5 anni (Prossimita 4). Margine Z - (X + Y) = 0,00.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34" customHeight="1">
      <c r="A22" s="21" t="inlineStr">
        <is>
          <t>• Prossimita 3 → 4: Il report operativo di maggio registra i primi rimborsi indebiti e differenze di riconciliazione sui bonifici istantanei presso la Banca. (15/05/2026)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Piano di adeguamento al regolamento sui bonifici istantanei</t>
        </is>
      </c>
      <c r="B26" s="7" t="n"/>
      <c r="C26" s="7" t="n"/>
      <c r="D26" s="31" t="inlineStr">
        <is>
          <t>01/10/2025</t>
        </is>
      </c>
      <c r="E26" s="32" t="inlineStr">
        <is>
          <t>Interna</t>
        </is>
      </c>
      <c r="F26" s="30" t="inlineStr">
        <is>
          <t>contesto: obbligo e tempi di adeguamento</t>
        </is>
      </c>
      <c r="G26" s="7" t="n"/>
      <c r="H26" s="7" t="n"/>
    </row>
    <row r="27" ht="30" customHeight="1">
      <c r="A27" s="30" t="inlineStr">
        <is>
          <t>Report operativo dei pagamenti istantanei — maggio</t>
        </is>
      </c>
      <c r="B27" s="7" t="n"/>
      <c r="C27" s="7" t="n"/>
      <c r="D27" s="31" t="inlineStr">
        <is>
          <t>15/05/2026</t>
        </is>
      </c>
      <c r="E27" s="32" t="inlineStr">
        <is>
          <t>Interna</t>
        </is>
      </c>
      <c r="F27" s="30" t="inlineStr">
        <is>
          <t>prossimita': primi casi interni; valori dei KRI</t>
        </is>
      </c>
      <c r="G27" s="7" t="n"/>
      <c r="H27" s="7" t="n"/>
    </row>
    <row r="29">
      <c r="A29" s="19" t="inlineStr">
        <is>
          <t>Azioni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 ht="34" customHeight="1">
      <c r="A30" s="21" t="inlineStr">
        <is>
          <t>• Controllo giornaliero automatico delle differenze di riconciliazione sui bonifici istantanei. — Funzione Operations, 3 mesi, Approvata. Riduce: gap_controlli.</t>
        </is>
      </c>
    </row>
    <row r="32">
      <c r="A32" s="19" t="inlineStr">
        <is>
          <t>KRI in vigore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2" t="inlineStr">
        <is>
          <t>Indicatore</t>
        </is>
      </c>
      <c r="E33" s="22" t="inlineStr">
        <is>
          <t>Valore</t>
        </is>
      </c>
      <c r="F33" s="22" t="inlineStr">
        <is>
          <t>Soglie (attenzione / allerta)</t>
        </is>
      </c>
      <c r="H33" s="22" t="inlineStr">
        <is>
          <t>Stato</t>
        </is>
      </c>
    </row>
    <row r="34" ht="20" customHeight="1">
      <c r="A34" s="34" t="inlineStr">
        <is>
          <t>Differenze di riconciliazione sui bonifici istantanei aperte oltre 1 giorno (n)</t>
        </is>
      </c>
      <c r="E34" s="35" t="n">
        <v>14</v>
      </c>
      <c r="F34" s="36" t="inlineStr">
        <is>
          <t>10 / 30</t>
        </is>
      </c>
      <c r="H34" s="37" t="inlineStr">
        <is>
          <t>Ambra</t>
        </is>
      </c>
    </row>
    <row r="35" ht="20" customHeight="1">
      <c r="A35" s="34" t="inlineStr">
        <is>
          <t>Rimborsi indebiti per errori di esecuzione nel trimestre (n)</t>
        </is>
      </c>
      <c r="E35" s="35" t="n">
        <v>5</v>
      </c>
      <c r="F35" s="36" t="inlineStr">
        <is>
          <t>3 / 10</t>
        </is>
      </c>
      <c r="H35" s="37" t="inlineStr">
        <is>
          <t>Ambra</t>
        </is>
      </c>
    </row>
    <row r="36" ht="20" customHeight="1">
      <c r="A36" s="34" t="inlineStr">
        <is>
          <t>Tempo medio di risoluzione delle eccezioni sui pagamenti istantanei (ore)</t>
        </is>
      </c>
      <c r="E36" s="35" t="n">
        <v>5</v>
      </c>
      <c r="F36" s="36" t="inlineStr">
        <is>
          <t>4 / 12</t>
        </is>
      </c>
      <c r="H36" s="37" t="inlineStr">
        <is>
          <t>Ambra</t>
        </is>
      </c>
    </row>
    <row r="38">
      <c r="A38" s="19" t="inlineStr">
        <is>
          <t>Andamento negli ultimi trimestri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39" t="inlineStr">
        <is>
          <t>Ciclo</t>
        </is>
      </c>
      <c r="B39" s="39" t="inlineStr">
        <is>
          <t>Sev</t>
        </is>
      </c>
      <c r="C39" s="39" t="inlineStr">
        <is>
          <t>Prob</t>
        </is>
      </c>
      <c r="D39" s="39" t="inlineStr">
        <is>
          <t>Gap</t>
        </is>
      </c>
      <c r="E39" s="39" t="inlineStr">
        <is>
          <t>Vel</t>
        </is>
      </c>
      <c r="F39" s="39" t="inlineStr">
        <is>
          <t>Pross</t>
        </is>
      </c>
      <c r="G39" s="39" t="inlineStr">
        <is>
          <t>Conf</t>
        </is>
      </c>
      <c r="H39" s="39" t="inlineStr">
        <is>
          <t>Score</t>
        </is>
      </c>
    </row>
    <row r="40">
      <c r="A40" s="40" t="inlineStr">
        <is>
          <t>2025Q4</t>
        </is>
      </c>
      <c r="B40" s="41" t="n">
        <v>3</v>
      </c>
      <c r="C40" s="42" t="n">
        <v>4</v>
      </c>
      <c r="D40" s="41" t="n">
        <v>3</v>
      </c>
      <c r="E40" s="42" t="n">
        <v>4</v>
      </c>
      <c r="F40" s="41" t="n">
        <v>3</v>
      </c>
      <c r="G40" s="43" t="n">
        <v>3</v>
      </c>
      <c r="H40" s="44" t="n">
        <v>3.35</v>
      </c>
    </row>
    <row r="41">
      <c r="A41" s="40" t="inlineStr">
        <is>
          <t>2026Q1</t>
        </is>
      </c>
      <c r="B41" s="41" t="n">
        <v>3</v>
      </c>
      <c r="C41" s="42" t="n">
        <v>4</v>
      </c>
      <c r="D41" s="41" t="n">
        <v>3</v>
      </c>
      <c r="E41" s="42" t="n">
        <v>4</v>
      </c>
      <c r="F41" s="41" t="n">
        <v>3</v>
      </c>
      <c r="G41" s="43" t="n">
        <v>3</v>
      </c>
      <c r="H41" s="44" t="n">
        <v>3.35</v>
      </c>
    </row>
    <row r="42">
      <c r="A42" s="40" t="inlineStr">
        <is>
          <t>2026Q2</t>
        </is>
      </c>
      <c r="B42" s="41" t="n">
        <v>3</v>
      </c>
      <c r="C42" s="42" t="n">
        <v>4</v>
      </c>
      <c r="D42" s="41" t="n">
        <v>3</v>
      </c>
      <c r="E42" s="42" t="n">
        <v>4</v>
      </c>
      <c r="F42" s="42" t="n">
        <v>4</v>
      </c>
      <c r="G42" s="43" t="n">
        <v>3</v>
      </c>
      <c r="H42" s="44" t="n">
        <v>3.5</v>
      </c>
    </row>
    <row r="56" ht="26" customHeight="1">
      <c r="A56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38">
    <mergeCell ref="A25:C25"/>
    <mergeCell ref="C10:H10"/>
    <mergeCell ref="A30:H30"/>
    <mergeCell ref="G2:H2"/>
    <mergeCell ref="A35:D35"/>
    <mergeCell ref="A24:H24"/>
    <mergeCell ref="C9:H9"/>
    <mergeCell ref="F34:G34"/>
    <mergeCell ref="F26:H26"/>
    <mergeCell ref="A27:C27"/>
    <mergeCell ref="A1:H1"/>
    <mergeCell ref="C12:H12"/>
    <mergeCell ref="A26:C26"/>
    <mergeCell ref="A6:H6"/>
    <mergeCell ref="A2:F2"/>
    <mergeCell ref="C11:H11"/>
    <mergeCell ref="A34:D34"/>
    <mergeCell ref="F27:H27"/>
    <mergeCell ref="F36:G36"/>
    <mergeCell ref="A3:B3"/>
    <mergeCell ref="F35:G35"/>
    <mergeCell ref="A36:D36"/>
    <mergeCell ref="A18:H18"/>
    <mergeCell ref="A56:H56"/>
    <mergeCell ref="A21:H21"/>
    <mergeCell ref="C13:H13"/>
    <mergeCell ref="A5:H5"/>
    <mergeCell ref="A32:H32"/>
    <mergeCell ref="A8:H8"/>
    <mergeCell ref="A22:H22"/>
    <mergeCell ref="C15:H15"/>
    <mergeCell ref="F25:H25"/>
    <mergeCell ref="A29:H29"/>
    <mergeCell ref="C14:H14"/>
    <mergeCell ref="A38:H38"/>
    <mergeCell ref="A19:H19"/>
    <mergeCell ref="C3:D3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4 · NFR-02 · Concentrazione su un fornitore cloud critico</t>
        </is>
      </c>
      <c r="B2" s="14" t="n"/>
      <c r="C2" s="14" t="n"/>
      <c r="D2" s="14" t="n"/>
      <c r="E2" s="14" t="n"/>
      <c r="F2" s="14" t="n"/>
      <c r="G2" s="15" t="inlineStr">
        <is>
          <t>score 3,45   ● 0,00   ·   Entro l'anno</t>
        </is>
      </c>
      <c r="H2" s="14" t="n"/>
    </row>
    <row r="3" ht="28" customHeight="1">
      <c r="A3" s="16" t="inlineStr">
        <is>
          <t>L1-06 · Interruzione dell'operativita' e disfunzione dei sistemi</t>
        </is>
      </c>
      <c r="B3" s="17" t="n"/>
      <c r="C3" s="16" t="inlineStr">
        <is>
          <t>Driver: DRV-TPR, DRV-CYB</t>
        </is>
      </c>
      <c r="D3" s="17" t="n"/>
      <c r="E3" s="16" t="inlineStr">
        <is>
          <t>Owner: Funzione ICT &amp; Security Risk</t>
        </is>
      </c>
      <c r="F3" s="17" t="n"/>
      <c r="G3" s="18" t="inlineStr">
        <is>
          <t>◆ Attenzione del supervisore</t>
        </is>
      </c>
      <c r="H3" s="16" t="inlineStr">
        <is>
          <t>Esito: Confermato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34" customHeight="1">
      <c r="A6" s="21" t="inlineStr">
        <is>
          <t>Indisponibilita' prolungata del fornitore cloud che ospita servizi critici, senza alternativa attivabile nei tempi di ripristino.  [Nel file vero: descrizione estesa scritta dall'agente delle schede.]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4" t="n">
        <v>4</v>
      </c>
      <c r="C10" s="25" t="inlineStr">
        <is>
          <t>Severity 4 per servizi critici ospitati su un solo fornitore</t>
        </is>
      </c>
      <c r="D10" s="7" t="n"/>
      <c r="E10" s="7" t="n"/>
      <c r="F10" s="7" t="n"/>
      <c r="G10" s="7" t="n"/>
      <c r="H10" s="7" t="n"/>
    </row>
    <row r="11" ht="30" customHeight="1">
      <c r="A11" s="23" t="inlineStr">
        <is>
          <t>Probabilita</t>
        </is>
      </c>
      <c r="B11" s="50" t="n">
        <v>2</v>
      </c>
      <c r="C11" s="25" t="inlineStr">
        <is>
          <t>Nel file vero: spiegazione scritta dall'agente delle schede.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4" t="n">
        <v>4</v>
      </c>
      <c r="C12" s="25" t="inlineStr">
        <is>
          <t>gap 4 finche' la exit strategy non e' testata su tutti i servizi.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24" t="n">
        <v>4</v>
      </c>
      <c r="C13" s="25" t="inlineStr">
        <is>
          <t>velocity 4 perche' un'interruzione e' immediata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6" t="n">
        <v>3</v>
      </c>
      <c r="C14" s="25" t="inlineStr">
        <is>
          <t>prossimita' 3 senza incidenti gravi recenti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48" t="n">
        <v>3</v>
      </c>
      <c r="C15" s="25" t="inlineStr">
        <is>
          <t>Nel file vero: spiegazione scritta dall'agente delle schede.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3,45 = 0,30 x 4 + 0,20 x 2 + 0,20 x 4 + 0,15 x 4 + 0,15 x 3.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Entro l'anno. Tempo necessario X + Y = 0,25 + 1,00 = 1,25 anni; tempo disponibile Z = 1,5 anni (Prossimita 3). Margine Z - (X + Y) = 0,25.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20" customHeight="1">
      <c r="A22" s="21" t="inlineStr">
        <is>
          <t>Nessun valore cambiato: confermato sulle fonti del ciclo precedente.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Contratto e piano di uscita del fornitore cloud</t>
        </is>
      </c>
      <c r="B26" s="7" t="n"/>
      <c r="C26" s="7" t="n"/>
      <c r="D26" s="31" t="inlineStr">
        <is>
          <t>30/09/2025</t>
        </is>
      </c>
      <c r="E26" s="32" t="inlineStr">
        <is>
          <t>Interna</t>
        </is>
      </c>
      <c r="F26" s="30" t="inlineStr">
        <is>
          <t>—</t>
        </is>
      </c>
      <c r="G26" s="7" t="n"/>
      <c r="H26" s="7" t="n"/>
    </row>
    <row r="27" ht="30" customHeight="1">
      <c r="A27" s="30" t="inlineStr">
        <is>
          <t>Registro delle informazioni DORA — servizi ICT critici</t>
        </is>
      </c>
      <c r="B27" s="7" t="n"/>
      <c r="C27" s="7" t="n"/>
      <c r="D27" s="31" t="inlineStr">
        <is>
          <t>20/03/2026</t>
        </is>
      </c>
      <c r="E27" s="32" t="inlineStr">
        <is>
          <t>Interna</t>
        </is>
      </c>
      <c r="F27" s="30" t="inlineStr">
        <is>
          <t>—</t>
        </is>
      </c>
      <c r="G27" s="7" t="n"/>
      <c r="H27" s="7" t="n"/>
    </row>
    <row r="28" ht="30" customHeight="1">
      <c r="A28" s="30" t="inlineStr">
        <is>
          <t>Esito del test di exit strategy sul fornitore cloud</t>
        </is>
      </c>
      <c r="B28" s="7" t="n"/>
      <c r="C28" s="7" t="n"/>
      <c r="D28" s="31" t="inlineStr">
        <is>
          <t>12/05/2026</t>
        </is>
      </c>
      <c r="E28" s="32" t="inlineStr">
        <is>
          <t>Interna</t>
        </is>
      </c>
      <c r="F28" s="30" t="inlineStr">
        <is>
          <t>—</t>
        </is>
      </c>
      <c r="G28" s="7" t="n"/>
      <c r="H28" s="7" t="n"/>
    </row>
    <row r="30">
      <c r="A30" s="19" t="inlineStr">
        <is>
          <t>Azioni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 ht="34" customHeight="1">
      <c r="A31" s="21" t="inlineStr">
        <is>
          <t>• Eseguire il test completo di exit strategy sui due servizi critici non ancora coperti. — Funzione ICT &amp; Security Risk, 12 mesi, Approvata. Riduce: gap_controlli.</t>
        </is>
      </c>
    </row>
    <row r="33">
      <c r="A33" s="19" t="inlineStr">
        <is>
          <t>KRI in vigore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2" t="inlineStr">
        <is>
          <t>Indicatore</t>
        </is>
      </c>
      <c r="E34" s="22" t="inlineStr">
        <is>
          <t>Valore</t>
        </is>
      </c>
      <c r="F34" s="22" t="inlineStr">
        <is>
          <t>Soglie (attenzione / allerta)</t>
        </is>
      </c>
      <c r="H34" s="22" t="inlineStr">
        <is>
          <t>Stato</t>
        </is>
      </c>
    </row>
    <row r="35" ht="20" customHeight="1">
      <c r="A35" s="34" t="inlineStr">
        <is>
          <t>Quota di servizi critici sul fornitore cloud principale (%)</t>
        </is>
      </c>
      <c r="E35" s="35" t="n">
        <v>78</v>
      </c>
      <c r="F35" s="36" t="inlineStr">
        <is>
          <t>60 / 75</t>
        </is>
      </c>
      <c r="H35" s="51" t="inlineStr">
        <is>
          <t>Rosso</t>
        </is>
      </c>
    </row>
    <row r="36" ht="20" customHeight="1">
      <c r="A36" s="34" t="inlineStr">
        <is>
          <t>Giorni dall'ultimo test di exit strategy (giorni)</t>
        </is>
      </c>
      <c r="E36" s="35" t="n">
        <v>49</v>
      </c>
      <c r="F36" s="36" t="inlineStr">
        <is>
          <t>365 / 540</t>
        </is>
      </c>
      <c r="H36" s="38" t="inlineStr">
        <is>
          <t>Verde</t>
        </is>
      </c>
    </row>
    <row r="37" ht="20" customHeight="1">
      <c r="A37" s="34" t="inlineStr">
        <is>
          <t>Incidenti del fornitore con impatto sui servizi nel trimestre (n)</t>
        </is>
      </c>
      <c r="E37" s="35" t="n">
        <v>1</v>
      </c>
      <c r="F37" s="36" t="inlineStr">
        <is>
          <t>2 / 4</t>
        </is>
      </c>
      <c r="H37" s="38" t="inlineStr">
        <is>
          <t>Verde</t>
        </is>
      </c>
    </row>
    <row r="39">
      <c r="A39" s="19" t="inlineStr">
        <is>
          <t>Andamento negli ultimi trimestri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39" t="inlineStr">
        <is>
          <t>Ciclo</t>
        </is>
      </c>
      <c r="B40" s="39" t="inlineStr">
        <is>
          <t>Sev</t>
        </is>
      </c>
      <c r="C40" s="39" t="inlineStr">
        <is>
          <t>Prob</t>
        </is>
      </c>
      <c r="D40" s="39" t="inlineStr">
        <is>
          <t>Gap</t>
        </is>
      </c>
      <c r="E40" s="39" t="inlineStr">
        <is>
          <t>Vel</t>
        </is>
      </c>
      <c r="F40" s="39" t="inlineStr">
        <is>
          <t>Pross</t>
        </is>
      </c>
      <c r="G40" s="39" t="inlineStr">
        <is>
          <t>Conf</t>
        </is>
      </c>
      <c r="H40" s="39" t="inlineStr">
        <is>
          <t>Score</t>
        </is>
      </c>
    </row>
    <row r="41">
      <c r="A41" s="40" t="inlineStr">
        <is>
          <t>2025Q4</t>
        </is>
      </c>
      <c r="B41" s="42" t="n">
        <v>4</v>
      </c>
      <c r="C41" s="52" t="n">
        <v>2</v>
      </c>
      <c r="D41" s="42" t="n">
        <v>4</v>
      </c>
      <c r="E41" s="42" t="n">
        <v>4</v>
      </c>
      <c r="F41" s="41" t="n">
        <v>3</v>
      </c>
      <c r="G41" s="43" t="n">
        <v>3</v>
      </c>
      <c r="H41" s="44" t="n">
        <v>3.45</v>
      </c>
    </row>
    <row r="42">
      <c r="A42" s="40" t="inlineStr">
        <is>
          <t>2026Q1</t>
        </is>
      </c>
      <c r="B42" s="42" t="n">
        <v>4</v>
      </c>
      <c r="C42" s="52" t="n">
        <v>2</v>
      </c>
      <c r="D42" s="42" t="n">
        <v>4</v>
      </c>
      <c r="E42" s="42" t="n">
        <v>4</v>
      </c>
      <c r="F42" s="41" t="n">
        <v>3</v>
      </c>
      <c r="G42" s="43" t="n">
        <v>3</v>
      </c>
      <c r="H42" s="44" t="n">
        <v>3.45</v>
      </c>
    </row>
    <row r="43">
      <c r="A43" s="40" t="inlineStr">
        <is>
          <t>2026Q2</t>
        </is>
      </c>
      <c r="B43" s="42" t="n">
        <v>4</v>
      </c>
      <c r="C43" s="52" t="n">
        <v>2</v>
      </c>
      <c r="D43" s="42" t="n">
        <v>4</v>
      </c>
      <c r="E43" s="42" t="n">
        <v>4</v>
      </c>
      <c r="F43" s="41" t="n">
        <v>3</v>
      </c>
      <c r="G43" s="43" t="n">
        <v>3</v>
      </c>
      <c r="H43" s="44" t="n">
        <v>3.45</v>
      </c>
    </row>
    <row r="57" ht="26" customHeight="1">
      <c r="A57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40">
    <mergeCell ref="A25:C25"/>
    <mergeCell ref="C10:H10"/>
    <mergeCell ref="A30:H30"/>
    <mergeCell ref="A39:H39"/>
    <mergeCell ref="G2:H2"/>
    <mergeCell ref="A35:D35"/>
    <mergeCell ref="A24:H24"/>
    <mergeCell ref="C9:H9"/>
    <mergeCell ref="F26:H26"/>
    <mergeCell ref="A27:C27"/>
    <mergeCell ref="A1:H1"/>
    <mergeCell ref="C12:H12"/>
    <mergeCell ref="A26:C26"/>
    <mergeCell ref="A6:H6"/>
    <mergeCell ref="A2:F2"/>
    <mergeCell ref="C11:H11"/>
    <mergeCell ref="F28:H28"/>
    <mergeCell ref="F27:H27"/>
    <mergeCell ref="F36:G36"/>
    <mergeCell ref="A3:B3"/>
    <mergeCell ref="F35:G35"/>
    <mergeCell ref="A36:D36"/>
    <mergeCell ref="A18:H18"/>
    <mergeCell ref="A28:C28"/>
    <mergeCell ref="A21:H21"/>
    <mergeCell ref="A57:H57"/>
    <mergeCell ref="C13:H13"/>
    <mergeCell ref="A33:H33"/>
    <mergeCell ref="A5:H5"/>
    <mergeCell ref="A8:H8"/>
    <mergeCell ref="A22:H22"/>
    <mergeCell ref="C15:H15"/>
    <mergeCell ref="F25:H25"/>
    <mergeCell ref="A37:D37"/>
    <mergeCell ref="F37:G37"/>
    <mergeCell ref="C14:H14"/>
    <mergeCell ref="A19:H19"/>
    <mergeCell ref="C3:D3"/>
    <mergeCell ref="A31:H31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5 · NFR-06 · Esfiltrazione di dati tramite strumenti di AI non autorizzati</t>
        </is>
      </c>
      <c r="B2" s="14" t="n"/>
      <c r="C2" s="14" t="n"/>
      <c r="D2" s="14" t="n"/>
      <c r="E2" s="14" t="n"/>
      <c r="F2" s="14" t="n"/>
      <c r="G2" s="15" t="inlineStr">
        <is>
          <t>score 3,20   ● 0,00   ·   Margine 1 anno</t>
        </is>
      </c>
      <c r="H2" s="14" t="n"/>
    </row>
    <row r="3" ht="28" customHeight="1">
      <c r="A3" s="16" t="inlineStr">
        <is>
          <t>L1-01 · Frode interna</t>
        </is>
      </c>
      <c r="B3" s="17" t="n"/>
      <c r="C3" s="16" t="inlineStr">
        <is>
          <t>Driver: DRV-AI, DRV-HUM</t>
        </is>
      </c>
      <c r="D3" s="17" t="n"/>
      <c r="E3" s="16" t="inlineStr">
        <is>
          <t>Owner: Funzione Sicurezza delle Informazioni</t>
        </is>
      </c>
      <c r="F3" s="17" t="n"/>
      <c r="G3" s="16" t="n"/>
      <c r="H3" s="16" t="inlineStr">
        <is>
          <t>Esito: Confermato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34" customHeight="1">
      <c r="A6" s="21" t="inlineStr">
        <is>
          <t>Dipendenti che trasferiscono intenzionalmente dati riservati su servizi di AI generativa esterni per uso personale o a favore di terzi.  [Nel file vero: descrizione estesa scritta dall'agente delle schede.]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6" t="n">
        <v>3</v>
      </c>
      <c r="C10" s="25" t="inlineStr">
        <is>
          <t>Severity 3 per possibile perdita di dati riservati</t>
        </is>
      </c>
      <c r="D10" s="7" t="n"/>
      <c r="E10" s="7" t="n"/>
      <c r="F10" s="7" t="n"/>
      <c r="G10" s="7" t="n"/>
      <c r="H10" s="7" t="n"/>
    </row>
    <row r="11" ht="30" customHeight="1">
      <c r="A11" s="23" t="inlineStr">
        <is>
          <t>Probabilita</t>
        </is>
      </c>
      <c r="B11" s="26" t="n">
        <v>3</v>
      </c>
      <c r="C11" s="25" t="inlineStr">
        <is>
          <t>Nel file vero: spiegazione scritta dall'agente delle schede.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4" t="n">
        <v>4</v>
      </c>
      <c r="C12" s="25" t="inlineStr">
        <is>
          <t>gap 4 perche' il DLP non copre ancora tutti i servizi di AI generativa.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26" t="n">
        <v>3</v>
      </c>
      <c r="C13" s="25" t="inlineStr">
        <is>
          <t>velocity 3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6" t="n">
        <v>3</v>
      </c>
      <c r="C14" s="25" t="inlineStr">
        <is>
          <t>prossimita' 3 per tentativi rilevati dal DLP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53" t="n">
        <v>2</v>
      </c>
      <c r="C15" s="25" t="inlineStr">
        <is>
          <t>Nel file vero: spiegazione scritta dall'agente delle schede.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3,20 = 0,30 x 3 + 0,20 x 3 + 0,20 x 4 + 0,15 x 3 + 0,15 x 3.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Margine 1 anno. Tempo necessario X + Y = 0,25 + 0,25 = 0,50 anni; tempo disponibile Z = 1,5 anni (Prossimita 3). Margine Z - (X + Y) = 1,00.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20" customHeight="1">
      <c r="A22" s="21" t="inlineStr">
        <is>
          <t>Nessun valore cambiato: confermato sulle fonti del ciclo precedente.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Log DLP: tentativi di caricamento verso servizi AI esterni</t>
        </is>
      </c>
      <c r="B26" s="7" t="n"/>
      <c r="C26" s="7" t="n"/>
      <c r="D26" s="31" t="inlineStr">
        <is>
          <t>15/03/2026</t>
        </is>
      </c>
      <c r="E26" s="32" t="inlineStr">
        <is>
          <t>Interna</t>
        </is>
      </c>
      <c r="F26" s="30" t="inlineStr">
        <is>
          <t>—</t>
        </is>
      </c>
      <c r="G26" s="7" t="n"/>
      <c r="H26" s="7" t="n"/>
    </row>
    <row r="27" ht="30" customHeight="1">
      <c r="A27" s="30" t="inlineStr">
        <is>
          <t>Survey interna sull'uso di strumenti di AI generativa</t>
        </is>
      </c>
      <c r="B27" s="7" t="n"/>
      <c r="C27" s="7" t="n"/>
      <c r="D27" s="31" t="inlineStr">
        <is>
          <t>10/02/2026</t>
        </is>
      </c>
      <c r="E27" s="32" t="inlineStr">
        <is>
          <t>Interna</t>
        </is>
      </c>
      <c r="F27" s="30" t="inlineStr">
        <is>
          <t>—</t>
        </is>
      </c>
      <c r="G27" s="7" t="n"/>
      <c r="H27" s="7" t="n"/>
    </row>
    <row r="29">
      <c r="A29" s="19" t="inlineStr">
        <is>
          <t>Azioni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 ht="34" customHeight="1">
      <c r="A30" s="21" t="inlineStr">
        <is>
          <t>• Estendere il DLP a tutti i servizi di AI generativa e bloccare quelli non autorizzati. — Funzione Sicurezza delle Informazioni, 3 mesi, Approvata. Riduce: gap_controlli.</t>
        </is>
      </c>
    </row>
    <row r="32">
      <c r="A32" s="19" t="inlineStr">
        <is>
          <t>KRI in vigore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2" t="inlineStr">
        <is>
          <t>Indicatore</t>
        </is>
      </c>
      <c r="E33" s="22" t="inlineStr">
        <is>
          <t>Valore</t>
        </is>
      </c>
      <c r="F33" s="22" t="inlineStr">
        <is>
          <t>Soglie (attenzione / allerta)</t>
        </is>
      </c>
      <c r="H33" s="22" t="inlineStr">
        <is>
          <t>Stato</t>
        </is>
      </c>
    </row>
    <row r="34" ht="20" customHeight="1">
      <c r="A34" s="34" t="inlineStr">
        <is>
          <t>Tentativi di caricamento di dati riservati su servizi AI non autorizzati (n/mese)</t>
        </is>
      </c>
      <c r="E34" s="35" t="n">
        <v>14</v>
      </c>
      <c r="F34" s="36" t="inlineStr">
        <is>
          <t>10 / 30</t>
        </is>
      </c>
      <c r="H34" s="37" t="inlineStr">
        <is>
          <t>Ambra</t>
        </is>
      </c>
    </row>
    <row r="35" ht="20" customHeight="1">
      <c r="A35" s="34" t="inlineStr">
        <is>
          <t>Quota di dipendenti senza formazione sull'uso dell'AI (%)</t>
        </is>
      </c>
      <c r="E35" s="35" t="n">
        <v>35</v>
      </c>
      <c r="F35" s="36" t="inlineStr">
        <is>
          <t>20 / 40</t>
        </is>
      </c>
      <c r="H35" s="37" t="inlineStr">
        <is>
          <t>Ambra</t>
        </is>
      </c>
    </row>
    <row r="36" ht="20" customHeight="1">
      <c r="A36" s="34" t="inlineStr">
        <is>
          <t>Utenze privilegiate senza revisione degli accessi nel trimestre (n)</t>
        </is>
      </c>
      <c r="E36" s="35" t="n">
        <v>3</v>
      </c>
      <c r="F36" s="36" t="inlineStr">
        <is>
          <t>5 / 15</t>
        </is>
      </c>
      <c r="H36" s="38" t="inlineStr">
        <is>
          <t>Verde</t>
        </is>
      </c>
    </row>
    <row r="38">
      <c r="A38" s="19" t="inlineStr">
        <is>
          <t>Andamento negli ultimi trimestri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39" t="inlineStr">
        <is>
          <t>Ciclo</t>
        </is>
      </c>
      <c r="B39" s="39" t="inlineStr">
        <is>
          <t>Sev</t>
        </is>
      </c>
      <c r="C39" s="39" t="inlineStr">
        <is>
          <t>Prob</t>
        </is>
      </c>
      <c r="D39" s="39" t="inlineStr">
        <is>
          <t>Gap</t>
        </is>
      </c>
      <c r="E39" s="39" t="inlineStr">
        <is>
          <t>Vel</t>
        </is>
      </c>
      <c r="F39" s="39" t="inlineStr">
        <is>
          <t>Pross</t>
        </is>
      </c>
      <c r="G39" s="39" t="inlineStr">
        <is>
          <t>Conf</t>
        </is>
      </c>
      <c r="H39" s="39" t="inlineStr">
        <is>
          <t>Score</t>
        </is>
      </c>
    </row>
    <row r="40">
      <c r="A40" s="40" t="inlineStr">
        <is>
          <t>2026Q1</t>
        </is>
      </c>
      <c r="B40" s="41" t="n">
        <v>3</v>
      </c>
      <c r="C40" s="41" t="n">
        <v>3</v>
      </c>
      <c r="D40" s="42" t="n">
        <v>4</v>
      </c>
      <c r="E40" s="41" t="n">
        <v>3</v>
      </c>
      <c r="F40" s="41" t="n">
        <v>3</v>
      </c>
      <c r="G40" s="54" t="n">
        <v>2</v>
      </c>
      <c r="H40" s="44" t="n">
        <v>3.2</v>
      </c>
    </row>
    <row r="41">
      <c r="A41" s="40" t="inlineStr">
        <is>
          <t>2026Q2</t>
        </is>
      </c>
      <c r="B41" s="41" t="n">
        <v>3</v>
      </c>
      <c r="C41" s="41" t="n">
        <v>3</v>
      </c>
      <c r="D41" s="42" t="n">
        <v>4</v>
      </c>
      <c r="E41" s="41" t="n">
        <v>3</v>
      </c>
      <c r="F41" s="41" t="n">
        <v>3</v>
      </c>
      <c r="G41" s="54" t="n">
        <v>2</v>
      </c>
      <c r="H41" s="44" t="n">
        <v>3.2</v>
      </c>
    </row>
    <row r="42">
      <c r="A42" s="28" t="inlineStr">
        <is>
          <t>Rischio entrato nel registro nel 2026Q1.</t>
        </is>
      </c>
    </row>
    <row r="55" ht="26" customHeight="1">
      <c r="A55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38">
    <mergeCell ref="A25:C25"/>
    <mergeCell ref="C10:H10"/>
    <mergeCell ref="A30:H30"/>
    <mergeCell ref="G2:H2"/>
    <mergeCell ref="A35:D35"/>
    <mergeCell ref="A24:H24"/>
    <mergeCell ref="C9:H9"/>
    <mergeCell ref="F34:G34"/>
    <mergeCell ref="F26:H26"/>
    <mergeCell ref="A27:C27"/>
    <mergeCell ref="A1:H1"/>
    <mergeCell ref="C12:H12"/>
    <mergeCell ref="A26:C26"/>
    <mergeCell ref="A6:H6"/>
    <mergeCell ref="A2:F2"/>
    <mergeCell ref="C11:H11"/>
    <mergeCell ref="A34:D34"/>
    <mergeCell ref="F27:H27"/>
    <mergeCell ref="F36:G36"/>
    <mergeCell ref="A3:B3"/>
    <mergeCell ref="F35:G35"/>
    <mergeCell ref="A36:D36"/>
    <mergeCell ref="A18:H18"/>
    <mergeCell ref="A21:H21"/>
    <mergeCell ref="A55:H55"/>
    <mergeCell ref="C13:H13"/>
    <mergeCell ref="A5:H5"/>
    <mergeCell ref="A32:H32"/>
    <mergeCell ref="A8:H8"/>
    <mergeCell ref="A22:H22"/>
    <mergeCell ref="C15:H15"/>
    <mergeCell ref="F25:H25"/>
    <mergeCell ref="A29:H29"/>
    <mergeCell ref="C14:H14"/>
    <mergeCell ref="A38:H38"/>
    <mergeCell ref="A19:H19"/>
    <mergeCell ref="C3:D3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6 · NFR-10 · Informazioni errate ai clienti da assistenti di AI generativa</t>
        </is>
      </c>
      <c r="B2" s="14" t="n"/>
      <c r="C2" s="14" t="n"/>
      <c r="D2" s="14" t="n"/>
      <c r="E2" s="14" t="n"/>
      <c r="F2" s="14" t="n"/>
      <c r="G2" s="15" t="inlineStr">
        <is>
          <t>score 3,20   ● 0,00   ·   Margine 1 anno</t>
        </is>
      </c>
      <c r="H2" s="14" t="n"/>
    </row>
    <row r="3" ht="28" customHeight="1">
      <c r="A3" s="16" t="inlineStr">
        <is>
          <t>L1-04 · Clientela, prodotti e prassi professionali</t>
        </is>
      </c>
      <c r="B3" s="17" t="n"/>
      <c r="C3" s="16" t="inlineStr">
        <is>
          <t>Driver: DRV-AI, DRV-CON</t>
        </is>
      </c>
      <c r="D3" s="17" t="n"/>
      <c r="E3" s="16" t="inlineStr">
        <is>
          <t>Owner: Funzione Customer Experience</t>
        </is>
      </c>
      <c r="F3" s="17" t="n"/>
      <c r="G3" s="16" t="n"/>
      <c r="H3" s="16" t="inlineStr">
        <is>
          <t>Esito: Confermato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34" customHeight="1">
      <c r="A6" s="21" t="inlineStr">
        <is>
          <t>Chatbot di assistenza basati su AI generativa che danno ai clienti informazioni errate su condizioni, costi o diritti, con reclami e rimborsi.  [Nel file vero: descrizione estesa scritta dall'agente delle schede.]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6" t="n">
        <v>3</v>
      </c>
      <c r="C10" s="25" t="inlineStr">
        <is>
          <t>Severity 3 per reclami e rimborsi su clientela ampia</t>
        </is>
      </c>
      <c r="D10" s="7" t="n"/>
      <c r="E10" s="7" t="n"/>
      <c r="F10" s="7" t="n"/>
      <c r="G10" s="7" t="n"/>
      <c r="H10" s="7" t="n"/>
    </row>
    <row r="11" ht="30" customHeight="1">
      <c r="A11" s="23" t="inlineStr">
        <is>
          <t>Probabilita</t>
        </is>
      </c>
      <c r="B11" s="26" t="n">
        <v>3</v>
      </c>
      <c r="C11" s="25" t="inlineStr">
        <is>
          <t>Nel file vero: spiegazione scritta dall'agente delle schede.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4" t="n">
        <v>4</v>
      </c>
      <c r="C12" s="25" t="inlineStr">
        <is>
          <t>gap 4 perche' le risposte del chatbot sono controllate solo a campione.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26" t="n">
        <v>3</v>
      </c>
      <c r="C13" s="25" t="inlineStr">
        <is>
          <t>velocity 3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6" t="n">
        <v>3</v>
      </c>
      <c r="C14" s="25" t="inlineStr">
        <is>
          <t>prossimita' 3 per casi nel settore europeo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53" t="n">
        <v>2</v>
      </c>
      <c r="C15" s="25" t="inlineStr">
        <is>
          <t>Nel file vero: spiegazione scritta dall'agente delle schede.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3,20 = 0,30 x 3 + 0,20 x 3 + 0,20 x 4 + 0,15 x 3 + 0,15 x 3.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Margine 1 anno. Tempo necessario X + Y = 0,25 + 0,25 = 0,50 anni; tempo disponibile Z = 1,5 anni (Prossimita 3). Margine Z - (X + Y) = 1,00.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20" customHeight="1">
      <c r="A22" s="21" t="inlineStr">
        <is>
          <t>Nessun valore cambiato: confermato sulle fonti del ciclo precedente.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Piano di rilascio del chatbot di assistenza con AI generativa</t>
        </is>
      </c>
      <c r="B26" s="7" t="n"/>
      <c r="C26" s="7" t="n"/>
      <c r="D26" s="31" t="inlineStr">
        <is>
          <t>20/01/2026</t>
        </is>
      </c>
      <c r="E26" s="32" t="inlineStr">
        <is>
          <t>Interna</t>
        </is>
      </c>
      <c r="F26" s="30" t="inlineStr">
        <is>
          <t>—</t>
        </is>
      </c>
      <c r="G26" s="7" t="n"/>
      <c r="H26" s="7" t="n"/>
    </row>
    <row r="27" ht="30" customHeight="1">
      <c r="A27" s="30" t="inlineStr">
        <is>
          <t>Sanzione a una compagnia aerea per risposte errate del proprio chatbot</t>
        </is>
      </c>
      <c r="B27" s="7" t="n"/>
      <c r="C27" s="7" t="n"/>
      <c r="D27" s="31" t="inlineStr">
        <is>
          <t>15/02/2026</t>
        </is>
      </c>
      <c r="E27" s="33" t="inlineStr">
        <is>
          <t>Esterna</t>
        </is>
      </c>
      <c r="F27" s="30" t="inlineStr">
        <is>
          <t>—</t>
        </is>
      </c>
      <c r="G27" s="7" t="n"/>
      <c r="H27" s="7" t="n"/>
    </row>
    <row r="29">
      <c r="A29" s="19" t="inlineStr">
        <is>
          <t>Azioni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 ht="20" customHeight="1">
      <c r="A30" s="21" t="inlineStr">
        <is>
          <t>• Campionamento settimanale delle risposte del chatbot con verifica umana. — Funzione Customer Experience, 3 mesi, Approvata. Riduce: probabilita.</t>
        </is>
      </c>
    </row>
    <row r="32">
      <c r="A32" s="19" t="inlineStr">
        <is>
          <t>KRI in vigore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2" t="inlineStr">
        <is>
          <t>Indicatore</t>
        </is>
      </c>
      <c r="E33" s="22" t="inlineStr">
        <is>
          <t>Valore</t>
        </is>
      </c>
      <c r="F33" s="22" t="inlineStr">
        <is>
          <t>Soglie (attenzione / allerta)</t>
        </is>
      </c>
      <c r="H33" s="22" t="inlineStr">
        <is>
          <t>Stato</t>
        </is>
      </c>
    </row>
    <row r="34" ht="20" customHeight="1">
      <c r="A34" s="34" t="inlineStr">
        <is>
          <t>Risposte del chatbot contestate ogni 1.000 conversazioni (n/1000)</t>
        </is>
      </c>
      <c r="E34" s="35" t="n">
        <v>1.4</v>
      </c>
      <c r="F34" s="36" t="inlineStr">
        <is>
          <t>2 / 5</t>
        </is>
      </c>
      <c r="H34" s="38" t="inlineStr">
        <is>
          <t>Verde</t>
        </is>
      </c>
    </row>
    <row r="35" ht="20" customHeight="1">
      <c r="A35" s="34" t="inlineStr">
        <is>
          <t>Reclami con rimborso originati da informazioni del chatbot (n)</t>
        </is>
      </c>
      <c r="E35" s="35" t="n">
        <v>3</v>
      </c>
      <c r="F35" s="36" t="inlineStr">
        <is>
          <t>2 / 6</t>
        </is>
      </c>
      <c r="H35" s="37" t="inlineStr">
        <is>
          <t>Ambra</t>
        </is>
      </c>
    </row>
    <row r="36" ht="20" customHeight="1">
      <c r="A36" s="34" t="inlineStr">
        <is>
          <t>Quota di risposte del chatbot non campionate dal controllo qualita' (%)</t>
        </is>
      </c>
      <c r="E36" s="35" t="n">
        <v>60</v>
      </c>
      <c r="F36" s="36" t="inlineStr">
        <is>
          <t>20 / 50</t>
        </is>
      </c>
      <c r="H36" s="51" t="inlineStr">
        <is>
          <t>Rosso</t>
        </is>
      </c>
    </row>
    <row r="38">
      <c r="A38" s="19" t="inlineStr">
        <is>
          <t>Andamento negli ultimi trimestri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39" t="inlineStr">
        <is>
          <t>Ciclo</t>
        </is>
      </c>
      <c r="B39" s="39" t="inlineStr">
        <is>
          <t>Sev</t>
        </is>
      </c>
      <c r="C39" s="39" t="inlineStr">
        <is>
          <t>Prob</t>
        </is>
      </c>
      <c r="D39" s="39" t="inlineStr">
        <is>
          <t>Gap</t>
        </is>
      </c>
      <c r="E39" s="39" t="inlineStr">
        <is>
          <t>Vel</t>
        </is>
      </c>
      <c r="F39" s="39" t="inlineStr">
        <is>
          <t>Pross</t>
        </is>
      </c>
      <c r="G39" s="39" t="inlineStr">
        <is>
          <t>Conf</t>
        </is>
      </c>
      <c r="H39" s="39" t="inlineStr">
        <is>
          <t>Score</t>
        </is>
      </c>
    </row>
    <row r="40">
      <c r="A40" s="40" t="inlineStr">
        <is>
          <t>2026Q1</t>
        </is>
      </c>
      <c r="B40" s="41" t="n">
        <v>3</v>
      </c>
      <c r="C40" s="41" t="n">
        <v>3</v>
      </c>
      <c r="D40" s="42" t="n">
        <v>4</v>
      </c>
      <c r="E40" s="41" t="n">
        <v>3</v>
      </c>
      <c r="F40" s="41" t="n">
        <v>3</v>
      </c>
      <c r="G40" s="54" t="n">
        <v>2</v>
      </c>
      <c r="H40" s="44" t="n">
        <v>3.2</v>
      </c>
    </row>
    <row r="41">
      <c r="A41" s="40" t="inlineStr">
        <is>
          <t>2026Q2</t>
        </is>
      </c>
      <c r="B41" s="41" t="n">
        <v>3</v>
      </c>
      <c r="C41" s="41" t="n">
        <v>3</v>
      </c>
      <c r="D41" s="42" t="n">
        <v>4</v>
      </c>
      <c r="E41" s="41" t="n">
        <v>3</v>
      </c>
      <c r="F41" s="41" t="n">
        <v>3</v>
      </c>
      <c r="G41" s="54" t="n">
        <v>2</v>
      </c>
      <c r="H41" s="44" t="n">
        <v>3.2</v>
      </c>
    </row>
    <row r="42">
      <c r="A42" s="28" t="inlineStr">
        <is>
          <t>Rischio entrato nel registro nel 2026Q1.</t>
        </is>
      </c>
    </row>
    <row r="55" ht="26" customHeight="1">
      <c r="A55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38">
    <mergeCell ref="A25:C25"/>
    <mergeCell ref="C10:H10"/>
    <mergeCell ref="A30:H30"/>
    <mergeCell ref="G2:H2"/>
    <mergeCell ref="A35:D35"/>
    <mergeCell ref="A24:H24"/>
    <mergeCell ref="C9:H9"/>
    <mergeCell ref="F34:G34"/>
    <mergeCell ref="F26:H26"/>
    <mergeCell ref="A27:C27"/>
    <mergeCell ref="A1:H1"/>
    <mergeCell ref="C12:H12"/>
    <mergeCell ref="A26:C26"/>
    <mergeCell ref="A6:H6"/>
    <mergeCell ref="A2:F2"/>
    <mergeCell ref="C11:H11"/>
    <mergeCell ref="A34:D34"/>
    <mergeCell ref="F27:H27"/>
    <mergeCell ref="F36:G36"/>
    <mergeCell ref="A3:B3"/>
    <mergeCell ref="F35:G35"/>
    <mergeCell ref="A36:D36"/>
    <mergeCell ref="A18:H18"/>
    <mergeCell ref="A21:H21"/>
    <mergeCell ref="A55:H55"/>
    <mergeCell ref="C13:H13"/>
    <mergeCell ref="A5:H5"/>
    <mergeCell ref="A32:H32"/>
    <mergeCell ref="A8:H8"/>
    <mergeCell ref="A22:H22"/>
    <mergeCell ref="C15:H15"/>
    <mergeCell ref="F25:H25"/>
    <mergeCell ref="A29:H29"/>
    <mergeCell ref="C14:H14"/>
    <mergeCell ref="A38:H38"/>
    <mergeCell ref="A19:H19"/>
    <mergeCell ref="C3:D3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7 · NFR-11 · Fine del supporto dei sistemi di pagamento legacy</t>
        </is>
      </c>
      <c r="B2" s="14" t="n"/>
      <c r="C2" s="14" t="n"/>
      <c r="D2" s="14" t="n"/>
      <c r="E2" s="14" t="n"/>
      <c r="F2" s="14" t="n"/>
      <c r="G2" s="15" t="inlineStr">
        <is>
          <t>score 3,05   ● 0,00   ·   AGIRE ORA</t>
        </is>
      </c>
      <c r="H2" s="14" t="n"/>
    </row>
    <row r="3" ht="28" customHeight="1">
      <c r="A3" s="16" t="inlineStr">
        <is>
          <t>L1-06 · Interruzione dell'operativita' e disfunzione dei sistemi</t>
        </is>
      </c>
      <c r="B3" s="17" t="n"/>
      <c r="C3" s="16" t="inlineStr">
        <is>
          <t>Driver: DRV-TEC</t>
        </is>
      </c>
      <c r="D3" s="17" t="n"/>
      <c r="E3" s="16" t="inlineStr">
        <is>
          <t>Owner: Funzione IT Operations</t>
        </is>
      </c>
      <c r="F3" s="17" t="n"/>
      <c r="G3" s="16" t="n"/>
      <c r="H3" s="16" t="inlineStr">
        <is>
          <t>Esito: Confermato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62" customHeight="1">
      <c r="A6" s="21" t="inlineStr">
        <is>
          <t>Componenti del sistema di pagamento sono fuori dal supporto del produttore: non ricevono piu' patch di sicurezza e dipendono da poche persone che ne conoscono il funzionamento. Una vulnerabilita' sfruttata o un guasto non riparabile interromperebbe i pagamenti. La sostituzione richiede un programma di circa 3 anni (anni di adeguamento indicati dal validatore), molto piu' lungo dell'orizzonte delle singole azioni: per questo il rischio va affrontato ora anche se non e' imminente.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6" t="n">
        <v>3</v>
      </c>
      <c r="C10" s="25" t="inlineStr">
        <is>
          <t>Disservizi sui pagamenti di durata limitata, senza effetti sulla solvibilita'.</t>
        </is>
      </c>
      <c r="D10" s="7" t="n"/>
      <c r="E10" s="7" t="n"/>
      <c r="F10" s="7" t="n"/>
      <c r="G10" s="7" t="n"/>
      <c r="H10" s="7" t="n"/>
    </row>
    <row r="11" ht="42" customHeight="1">
      <c r="A11" s="23" t="inlineStr">
        <is>
          <t>Probabilita</t>
        </is>
      </c>
      <c r="B11" s="26" t="n">
        <v>3</v>
      </c>
      <c r="C11" s="25" t="inlineStr">
        <is>
          <t>5 vulnerabilita' senza patch disponibile (KRI K2) e 7 componenti fuori supporto (KRI K1): un incidente in 2-5 anni e' plausibile.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4" t="n">
        <v>4</v>
      </c>
      <c r="C12" s="25" t="inlineStr">
        <is>
          <t>Nessuna patch per le componenti fuori supporto; solo presidi generici (segmentazione, monitoraggio).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50" t="n">
        <v>2</v>
      </c>
      <c r="C13" s="25" t="inlineStr">
        <is>
          <t>Degrado progressivo: da 6 a 12 mesi fra la scoperta di una vulnerabilita' e il pieno impatto.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6" t="n">
        <v>3</v>
      </c>
      <c r="C14" s="25" t="inlineStr">
        <is>
          <t>Fine del supporto esteso annunciata dal produttore (31/01/2026).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48" t="n">
        <v>3</v>
      </c>
      <c r="C15" s="25" t="inlineStr">
        <is>
          <t>Una fonte interna (inventario IT) e una esterna (produttore).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3,05 = 0,30 x 3 + 0,20 x 3 + 0,20 x 4 + 0,15 x 2 + 0,15 x 3.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34" customHeight="1">
      <c r="A19" s="29" t="inlineStr">
        <is>
          <t>AGIRE ORA. Tempo necessario X + Y = 0,25 + 3,00 (anni di adeguamento strutturale indicati dal validatore) = 3,25 anni; tempo disponibile Z = 1,5 anni (Prossimita 3). Margine Z - (X + Y) = -1,75.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20" customHeight="1">
      <c r="A22" s="21" t="inlineStr">
        <is>
          <t>Nessun valore cambiato: confermato sulle fonti del ciclo precedente.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Inventario delle componenti fuori supporto — IT</t>
        </is>
      </c>
      <c r="B26" s="7" t="n"/>
      <c r="C26" s="7" t="n"/>
      <c r="D26" s="31" t="inlineStr">
        <is>
          <t>30/09/2025</t>
        </is>
      </c>
      <c r="E26" s="32" t="inlineStr">
        <is>
          <t>Interna</t>
        </is>
      </c>
      <c r="F26" s="30" t="inlineStr">
        <is>
          <t>gap_controlli; valore del KRI K1</t>
        </is>
      </c>
      <c r="G26" s="7" t="n"/>
      <c r="H26" s="7" t="n"/>
    </row>
    <row r="27" ht="30" customHeight="1">
      <c r="A27" s="30" t="inlineStr">
        <is>
          <t>Comunicazione del produttore sulla fine del supporto esteso</t>
        </is>
      </c>
      <c r="B27" s="7" t="n"/>
      <c r="C27" s="7" t="n"/>
      <c r="D27" s="31" t="inlineStr">
        <is>
          <t>31/01/2026</t>
        </is>
      </c>
      <c r="E27" s="33" t="inlineStr">
        <is>
          <t>Esterna</t>
        </is>
      </c>
      <c r="F27" s="30" t="inlineStr">
        <is>
          <t>prossimita'</t>
        </is>
      </c>
      <c r="G27" s="7" t="n"/>
      <c r="H27" s="7" t="n"/>
    </row>
    <row r="29">
      <c r="A29" s="19" t="inlineStr">
        <is>
          <t>Azioni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 ht="34" customHeight="1">
      <c r="A30" s="21" t="inlineStr">
        <is>
          <t>• Piano di sostituzione delle componenti fuori supporto del sistema di pagamento. — Funzione IT Operations, 12 mesi, Approvata. Riduce: gap_controlli.</t>
        </is>
      </c>
    </row>
    <row r="32">
      <c r="A32" s="19" t="inlineStr">
        <is>
          <t>KRI in vigore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2" t="inlineStr">
        <is>
          <t>Indicatore</t>
        </is>
      </c>
      <c r="E33" s="22" t="inlineStr">
        <is>
          <t>Valore</t>
        </is>
      </c>
      <c r="F33" s="22" t="inlineStr">
        <is>
          <t>Soglie (attenzione / allerta)</t>
        </is>
      </c>
      <c r="H33" s="22" t="inlineStr">
        <is>
          <t>Stato</t>
        </is>
      </c>
    </row>
    <row r="34" ht="20" customHeight="1">
      <c r="A34" s="34" t="inlineStr">
        <is>
          <t>Componenti del sistema di pagamento fuori supporto (n)</t>
        </is>
      </c>
      <c r="E34" s="35" t="n">
        <v>7</v>
      </c>
      <c r="F34" s="36" t="inlineStr">
        <is>
          <t>3 / 8</t>
        </is>
      </c>
      <c r="H34" s="37" t="inlineStr">
        <is>
          <t>Ambra</t>
        </is>
      </c>
    </row>
    <row r="35" ht="20" customHeight="1">
      <c r="A35" s="34" t="inlineStr">
        <is>
          <t>Vulnerabilita' senza patch disponibile sui sistemi legacy (n)</t>
        </is>
      </c>
      <c r="E35" s="35" t="n">
        <v>5</v>
      </c>
      <c r="F35" s="36" t="inlineStr">
        <is>
          <t>2 / 6</t>
        </is>
      </c>
      <c r="H35" s="37" t="inlineStr">
        <is>
          <t>Ambra</t>
        </is>
      </c>
    </row>
    <row r="36" ht="20" customHeight="1">
      <c r="A36" s="34" t="inlineStr">
        <is>
          <t>Presidi della piattaforma legacy coperti da una sola persona (n)</t>
        </is>
      </c>
      <c r="E36" s="35" t="n">
        <v>2</v>
      </c>
      <c r="F36" s="36" t="inlineStr">
        <is>
          <t>1 / 3</t>
        </is>
      </c>
      <c r="H36" s="37" t="inlineStr">
        <is>
          <t>Ambra</t>
        </is>
      </c>
    </row>
    <row r="38">
      <c r="A38" s="19" t="inlineStr">
        <is>
          <t>Andamento negli ultimi trimestri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39" t="inlineStr">
        <is>
          <t>Ciclo</t>
        </is>
      </c>
      <c r="B39" s="39" t="inlineStr">
        <is>
          <t>Sev</t>
        </is>
      </c>
      <c r="C39" s="39" t="inlineStr">
        <is>
          <t>Prob</t>
        </is>
      </c>
      <c r="D39" s="39" t="inlineStr">
        <is>
          <t>Gap</t>
        </is>
      </c>
      <c r="E39" s="39" t="inlineStr">
        <is>
          <t>Vel</t>
        </is>
      </c>
      <c r="F39" s="39" t="inlineStr">
        <is>
          <t>Pross</t>
        </is>
      </c>
      <c r="G39" s="39" t="inlineStr">
        <is>
          <t>Conf</t>
        </is>
      </c>
      <c r="H39" s="39" t="inlineStr">
        <is>
          <t>Score</t>
        </is>
      </c>
    </row>
    <row r="40">
      <c r="A40" s="40" t="inlineStr">
        <is>
          <t>2025Q4</t>
        </is>
      </c>
      <c r="B40" s="41" t="n">
        <v>3</v>
      </c>
      <c r="C40" s="41" t="n">
        <v>3</v>
      </c>
      <c r="D40" s="42" t="n">
        <v>4</v>
      </c>
      <c r="E40" s="52" t="n">
        <v>2</v>
      </c>
      <c r="F40" s="41" t="n">
        <v>3</v>
      </c>
      <c r="G40" s="43" t="n">
        <v>3</v>
      </c>
      <c r="H40" s="44" t="n">
        <v>3.05</v>
      </c>
    </row>
    <row r="41">
      <c r="A41" s="40" t="inlineStr">
        <is>
          <t>2026Q1</t>
        </is>
      </c>
      <c r="B41" s="41" t="n">
        <v>3</v>
      </c>
      <c r="C41" s="41" t="n">
        <v>3</v>
      </c>
      <c r="D41" s="42" t="n">
        <v>4</v>
      </c>
      <c r="E41" s="52" t="n">
        <v>2</v>
      </c>
      <c r="F41" s="41" t="n">
        <v>3</v>
      </c>
      <c r="G41" s="43" t="n">
        <v>3</v>
      </c>
      <c r="H41" s="44" t="n">
        <v>3.05</v>
      </c>
    </row>
    <row r="42">
      <c r="A42" s="40" t="inlineStr">
        <is>
          <t>2026Q2</t>
        </is>
      </c>
      <c r="B42" s="41" t="n">
        <v>3</v>
      </c>
      <c r="C42" s="41" t="n">
        <v>3</v>
      </c>
      <c r="D42" s="42" t="n">
        <v>4</v>
      </c>
      <c r="E42" s="52" t="n">
        <v>2</v>
      </c>
      <c r="F42" s="41" t="n">
        <v>3</v>
      </c>
      <c r="G42" s="43" t="n">
        <v>3</v>
      </c>
      <c r="H42" s="44" t="n">
        <v>3.05</v>
      </c>
    </row>
    <row r="56" ht="26" customHeight="1">
      <c r="A56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38">
    <mergeCell ref="A25:C25"/>
    <mergeCell ref="C10:H10"/>
    <mergeCell ref="A30:H30"/>
    <mergeCell ref="G2:H2"/>
    <mergeCell ref="A35:D35"/>
    <mergeCell ref="A24:H24"/>
    <mergeCell ref="C9:H9"/>
    <mergeCell ref="F34:G34"/>
    <mergeCell ref="F26:H26"/>
    <mergeCell ref="A27:C27"/>
    <mergeCell ref="A1:H1"/>
    <mergeCell ref="C12:H12"/>
    <mergeCell ref="A26:C26"/>
    <mergeCell ref="A6:H6"/>
    <mergeCell ref="A2:F2"/>
    <mergeCell ref="C11:H11"/>
    <mergeCell ref="A34:D34"/>
    <mergeCell ref="F27:H27"/>
    <mergeCell ref="F36:G36"/>
    <mergeCell ref="A3:B3"/>
    <mergeCell ref="F35:G35"/>
    <mergeCell ref="A36:D36"/>
    <mergeCell ref="A18:H18"/>
    <mergeCell ref="A56:H56"/>
    <mergeCell ref="A21:H21"/>
    <mergeCell ref="C13:H13"/>
    <mergeCell ref="A5:H5"/>
    <mergeCell ref="A32:H32"/>
    <mergeCell ref="A8:H8"/>
    <mergeCell ref="A22:H22"/>
    <mergeCell ref="C15:H15"/>
    <mergeCell ref="F25:H25"/>
    <mergeCell ref="A29:H29"/>
    <mergeCell ref="C14:H14"/>
    <mergeCell ref="A38:H38"/>
    <mergeCell ref="A19:H19"/>
    <mergeCell ref="C3:D3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5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8 · NFR-05 · Errori di processo nella migrazione del core banking</t>
        </is>
      </c>
      <c r="B2" s="14" t="n"/>
      <c r="C2" s="14" t="n"/>
      <c r="D2" s="14" t="n"/>
      <c r="E2" s="14" t="n"/>
      <c r="F2" s="14" t="n"/>
      <c r="G2" s="15" t="inlineStr">
        <is>
          <t>score 3,00   ▼ −0,35   ·   Entro l'anno</t>
        </is>
      </c>
      <c r="H2" s="14" t="n"/>
    </row>
    <row r="3" ht="28" customHeight="1">
      <c r="A3" s="16" t="inlineStr">
        <is>
          <t>L1-07 · Esecuzione, consegna e gestione dei processi</t>
        </is>
      </c>
      <c r="B3" s="17" t="n"/>
      <c r="C3" s="16" t="inlineStr">
        <is>
          <t>Driver: DRV-TEC</t>
        </is>
      </c>
      <c r="D3" s="17" t="n"/>
      <c r="E3" s="16" t="inlineStr">
        <is>
          <t>Owner: Funzione Operations</t>
        </is>
      </c>
      <c r="F3" s="17" t="n"/>
      <c r="G3" s="16" t="n"/>
      <c r="H3" s="16" t="inlineStr">
        <is>
          <t>Esito: Variato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34" customHeight="1">
      <c r="A6" s="21" t="inlineStr">
        <is>
          <t>Errori di conversione dati e controlli di processo non ridisegnati durante la migrazione a ondate del sistema core.  [Nel file vero: descrizione estesa scritta dall'agente delle schede.]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6" t="n">
        <v>3</v>
      </c>
      <c r="C10" s="25" t="inlineStr">
        <is>
          <t>Severity 3 per errori contabili e disservizi limitati nel tempo</t>
        </is>
      </c>
      <c r="D10" s="7" t="n"/>
      <c r="E10" s="7" t="n"/>
      <c r="F10" s="7" t="n"/>
      <c r="G10" s="7" t="n"/>
      <c r="H10" s="7" t="n"/>
    </row>
    <row r="11" ht="30" customHeight="1">
      <c r="A11" s="23" t="inlineStr">
        <is>
          <t>Probabilita</t>
        </is>
      </c>
      <c r="B11" s="26" t="n">
        <v>3</v>
      </c>
      <c r="C11" s="25" t="inlineStr">
        <is>
          <t>Nel file vero: spiegazione scritta dall'agente delle schede.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6" t="n">
        <v>3</v>
      </c>
      <c r="C12" s="25" t="inlineStr">
        <is>
          <t>gap 3 dopo il test positivo dei controlli di riconciliazione ridisegnati.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26" t="n">
        <v>3</v>
      </c>
      <c r="C13" s="25" t="inlineStr">
        <is>
          <t>velocity 3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6" t="n">
        <v>3</v>
      </c>
      <c r="C14" s="25" t="inlineStr">
        <is>
          <t>prossimita' 3 perche' la wave 2 e' nel 2027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27" t="n">
        <v>4</v>
      </c>
      <c r="C15" s="25" t="inlineStr">
        <is>
          <t>Nel file vero: spiegazione scritta dall'agente delle schede.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3,00 = 0,30 x 3 + 0,20 x 3 + 0,20 x 3 + 0,15 x 3 + 0,15 x 3.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Entro l'anno. Tempo necessario X + Y = 0,25 + 1,00 = 1,25 anni; tempo disponibile Z = 1,5 anni (Prossimita 3). Margine Z - (X + Y) = 0,25.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76" customHeight="1">
      <c r="A22" s="21" t="inlineStr">
        <is>
          <t>• Prossimita 4 → 3: Wave 1 completata il 4 maggio 2026; la wave 2 e' pianificata per il 2027, quindi il prossimo punto di esposizione si allontana. (04/05/2026)
• Gap_Controlli 4 → 3: L'audit del 20 maggio 2026 ha testato con esito positivo i controlli di riconciliazione ridisegnati per la wave 1. (20/05/2026)
• Confidence 3 → 4: Disponibile una relazione di audit interna con test dei controlli. (20/05/2026)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Piano di migrazione del core banking — PMO</t>
        </is>
      </c>
      <c r="B26" s="7" t="n"/>
      <c r="C26" s="7" t="n"/>
      <c r="D26" s="31" t="inlineStr">
        <is>
          <t>15/09/2025</t>
        </is>
      </c>
      <c r="E26" s="32" t="inlineStr">
        <is>
          <t>Interna</t>
        </is>
      </c>
      <c r="F26" s="30" t="inlineStr">
        <is>
          <t>—</t>
        </is>
      </c>
      <c r="G26" s="7" t="n"/>
      <c r="H26" s="7" t="n"/>
    </row>
    <row r="27" ht="30" customHeight="1">
      <c r="A27" s="30" t="inlineStr">
        <is>
          <t>Chiusura della wave 1 di migrazione — PMO</t>
        </is>
      </c>
      <c r="B27" s="7" t="n"/>
      <c r="C27" s="7" t="n"/>
      <c r="D27" s="31" t="inlineStr">
        <is>
          <t>04/05/2026</t>
        </is>
      </c>
      <c r="E27" s="32" t="inlineStr">
        <is>
          <t>Interna</t>
        </is>
      </c>
      <c r="F27" s="30" t="inlineStr">
        <is>
          <t>—</t>
        </is>
      </c>
      <c r="G27" s="7" t="n"/>
      <c r="H27" s="7" t="n"/>
    </row>
    <row r="28" ht="30" customHeight="1">
      <c r="A28" s="30" t="inlineStr">
        <is>
          <t>Relazione di audit sui controlli di riconciliazione post-migrazione</t>
        </is>
      </c>
      <c r="B28" s="7" t="n"/>
      <c r="C28" s="7" t="n"/>
      <c r="D28" s="31" t="inlineStr">
        <is>
          <t>20/05/2026</t>
        </is>
      </c>
      <c r="E28" s="32" t="inlineStr">
        <is>
          <t>Interna</t>
        </is>
      </c>
      <c r="F28" s="30" t="inlineStr">
        <is>
          <t>—</t>
        </is>
      </c>
      <c r="G28" s="7" t="n"/>
      <c r="H28" s="7" t="n"/>
    </row>
    <row r="30">
      <c r="A30" s="19" t="inlineStr">
        <is>
          <t>Azioni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 ht="20" customHeight="1">
      <c r="A31" s="21" t="inlineStr">
        <is>
          <t>• Monitoraggio giornaliero degli incidenti post-migrazione con escalation entro 4 ore. — Funzione Operations, 3 mesi, Respinta. Riduce: velocity.</t>
        </is>
      </c>
    </row>
    <row r="33">
      <c r="A33" s="19" t="inlineStr">
        <is>
          <t>KRI in vigore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2" t="inlineStr">
        <is>
          <t>Indicatore</t>
        </is>
      </c>
      <c r="E34" s="22" t="inlineStr">
        <is>
          <t>Valore</t>
        </is>
      </c>
      <c r="F34" s="22" t="inlineStr">
        <is>
          <t>Soglie (attenzione / allerta)</t>
        </is>
      </c>
      <c r="H34" s="22" t="inlineStr">
        <is>
          <t>Stato</t>
        </is>
      </c>
    </row>
    <row r="35" ht="20" customHeight="1">
      <c r="A35" s="34" t="inlineStr">
        <is>
          <t>Differenze di riconciliazione aperte oltre 5 giorni (n)</t>
        </is>
      </c>
      <c r="E35" s="35" t="n">
        <v>12</v>
      </c>
      <c r="F35" s="36" t="inlineStr">
        <is>
          <t>20 / 50</t>
        </is>
      </c>
      <c r="H35" s="38" t="inlineStr">
        <is>
          <t>Verde</t>
        </is>
      </c>
    </row>
    <row r="36" ht="20" customHeight="1">
      <c r="A36" s="34" t="inlineStr">
        <is>
          <t>Incidenti di produzione legati alla migrazione (n)</t>
        </is>
      </c>
      <c r="E36" s="35" t="n">
        <v>7</v>
      </c>
      <c r="F36" s="36" t="inlineStr">
        <is>
          <t>3 / 6</t>
        </is>
      </c>
      <c r="H36" s="51" t="inlineStr">
        <is>
          <t>Rosso</t>
        </is>
      </c>
    </row>
    <row r="37" ht="20" customHeight="1">
      <c r="A37" s="34" t="inlineStr">
        <is>
          <t>Quota di controlli di processo non ridisegnati sul nuovo core (%)</t>
        </is>
      </c>
      <c r="E37" s="35" t="n">
        <v>25</v>
      </c>
      <c r="F37" s="36" t="inlineStr">
        <is>
          <t>30 / 60</t>
        </is>
      </c>
      <c r="H37" s="38" t="inlineStr">
        <is>
          <t>Verde</t>
        </is>
      </c>
    </row>
    <row r="39">
      <c r="A39" s="19" t="inlineStr">
        <is>
          <t>Andamento negli ultimi trimestri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39" t="inlineStr">
        <is>
          <t>Ciclo</t>
        </is>
      </c>
      <c r="B40" s="39" t="inlineStr">
        <is>
          <t>Sev</t>
        </is>
      </c>
      <c r="C40" s="39" t="inlineStr">
        <is>
          <t>Prob</t>
        </is>
      </c>
      <c r="D40" s="39" t="inlineStr">
        <is>
          <t>Gap</t>
        </is>
      </c>
      <c r="E40" s="39" t="inlineStr">
        <is>
          <t>Vel</t>
        </is>
      </c>
      <c r="F40" s="39" t="inlineStr">
        <is>
          <t>Pross</t>
        </is>
      </c>
      <c r="G40" s="39" t="inlineStr">
        <is>
          <t>Conf</t>
        </is>
      </c>
      <c r="H40" s="39" t="inlineStr">
        <is>
          <t>Score</t>
        </is>
      </c>
    </row>
    <row r="41">
      <c r="A41" s="40" t="inlineStr">
        <is>
          <t>2025Q4</t>
        </is>
      </c>
      <c r="B41" s="41" t="n">
        <v>3</v>
      </c>
      <c r="C41" s="41" t="n">
        <v>3</v>
      </c>
      <c r="D41" s="42" t="n">
        <v>4</v>
      </c>
      <c r="E41" s="41" t="n">
        <v>3</v>
      </c>
      <c r="F41" s="42" t="n">
        <v>4</v>
      </c>
      <c r="G41" s="43" t="n">
        <v>3</v>
      </c>
      <c r="H41" s="44" t="n">
        <v>3.35</v>
      </c>
    </row>
    <row r="42">
      <c r="A42" s="40" t="inlineStr">
        <is>
          <t>2026Q1</t>
        </is>
      </c>
      <c r="B42" s="41" t="n">
        <v>3</v>
      </c>
      <c r="C42" s="41" t="n">
        <v>3</v>
      </c>
      <c r="D42" s="42" t="n">
        <v>4</v>
      </c>
      <c r="E42" s="41" t="n">
        <v>3</v>
      </c>
      <c r="F42" s="42" t="n">
        <v>4</v>
      </c>
      <c r="G42" s="43" t="n">
        <v>3</v>
      </c>
      <c r="H42" s="44" t="n">
        <v>3.35</v>
      </c>
    </row>
    <row r="43">
      <c r="A43" s="40" t="inlineStr">
        <is>
          <t>2026Q2</t>
        </is>
      </c>
      <c r="B43" s="41" t="n">
        <v>3</v>
      </c>
      <c r="C43" s="41" t="n">
        <v>3</v>
      </c>
      <c r="D43" s="41" t="n">
        <v>3</v>
      </c>
      <c r="E43" s="41" t="n">
        <v>3</v>
      </c>
      <c r="F43" s="41" t="n">
        <v>3</v>
      </c>
      <c r="G43" s="45" t="n">
        <v>4</v>
      </c>
      <c r="H43" s="44" t="n">
        <v>3</v>
      </c>
    </row>
    <row r="57" ht="26" customHeight="1">
      <c r="A57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40">
    <mergeCell ref="A25:C25"/>
    <mergeCell ref="C10:H10"/>
    <mergeCell ref="A30:H30"/>
    <mergeCell ref="A39:H39"/>
    <mergeCell ref="G2:H2"/>
    <mergeCell ref="A35:D35"/>
    <mergeCell ref="A24:H24"/>
    <mergeCell ref="C9:H9"/>
    <mergeCell ref="F26:H26"/>
    <mergeCell ref="A27:C27"/>
    <mergeCell ref="A1:H1"/>
    <mergeCell ref="C12:H12"/>
    <mergeCell ref="A26:C26"/>
    <mergeCell ref="A6:H6"/>
    <mergeCell ref="A2:F2"/>
    <mergeCell ref="C11:H11"/>
    <mergeCell ref="F28:H28"/>
    <mergeCell ref="F27:H27"/>
    <mergeCell ref="F36:G36"/>
    <mergeCell ref="A3:B3"/>
    <mergeCell ref="F35:G35"/>
    <mergeCell ref="A36:D36"/>
    <mergeCell ref="A18:H18"/>
    <mergeCell ref="A28:C28"/>
    <mergeCell ref="A21:H21"/>
    <mergeCell ref="A57:H57"/>
    <mergeCell ref="C13:H13"/>
    <mergeCell ref="A33:H33"/>
    <mergeCell ref="A5:H5"/>
    <mergeCell ref="A8:H8"/>
    <mergeCell ref="A22:H22"/>
    <mergeCell ref="C15:H15"/>
    <mergeCell ref="F25:H25"/>
    <mergeCell ref="A37:D37"/>
    <mergeCell ref="F37:G37"/>
    <mergeCell ref="C14:H14"/>
    <mergeCell ref="A19:H19"/>
    <mergeCell ref="C3:D3"/>
    <mergeCell ref="A31:H31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9 · NFR-09 · Violazione di sanzioni internazionali tramite triangolazioni</t>
        </is>
      </c>
      <c r="B2" s="14" t="n"/>
      <c r="C2" s="14" t="n"/>
      <c r="D2" s="14" t="n"/>
      <c r="E2" s="14" t="n"/>
      <c r="F2" s="14" t="n"/>
      <c r="G2" s="15" t="inlineStr">
        <is>
          <t>score 2,95   ● 0,00   ·   Margine 1,2 anni</t>
        </is>
      </c>
      <c r="H2" s="14" t="n"/>
    </row>
    <row r="3" ht="28" customHeight="1">
      <c r="A3" s="16" t="inlineStr">
        <is>
          <t>L1-04 · Clientela, prodotti e prassi professionali</t>
        </is>
      </c>
      <c r="B3" s="17" t="n"/>
      <c r="C3" s="16" t="inlineStr">
        <is>
          <t>Driver: DRV-GEO</t>
        </is>
      </c>
      <c r="D3" s="17" t="n"/>
      <c r="E3" s="16" t="inlineStr">
        <is>
          <t>Owner: Funzione Compliance</t>
        </is>
      </c>
      <c r="F3" s="17" t="n"/>
      <c r="G3" s="18" t="inlineStr">
        <is>
          <t>◆ Attenzione del supervisore</t>
        </is>
      </c>
      <c r="H3" s="16" t="inlineStr">
        <is>
          <t>Esito: Confermato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34" customHeight="1">
      <c r="A6" s="21" t="inlineStr">
        <is>
          <t>Pagamenti di clientela corporate verso controparti sanzionate interposte in paesi terzi, non intercettati dal filtro sanzioni.  [Nel file vero: descrizione estesa scritta dall'agente delle schede.]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4" t="n">
        <v>4</v>
      </c>
      <c r="C10" s="25" t="inlineStr">
        <is>
          <t>Severity 4 per sanzioni e danno reputazionale nazionale</t>
        </is>
      </c>
      <c r="D10" s="7" t="n"/>
      <c r="E10" s="7" t="n"/>
      <c r="F10" s="7" t="n"/>
      <c r="G10" s="7" t="n"/>
      <c r="H10" s="7" t="n"/>
    </row>
    <row r="11" ht="30" customHeight="1">
      <c r="A11" s="23" t="inlineStr">
        <is>
          <t>Probabilita</t>
        </is>
      </c>
      <c r="B11" s="50" t="n">
        <v>2</v>
      </c>
      <c r="C11" s="25" t="inlineStr">
        <is>
          <t>Nel file vero: spiegazione scritta dall'agente delle schede.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6" t="n">
        <v>3</v>
      </c>
      <c r="C12" s="25" t="inlineStr">
        <is>
          <t>gap 3 perche' il filtro non vede le controparti indirette.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26" t="n">
        <v>3</v>
      </c>
      <c r="C13" s="25" t="inlineStr">
        <is>
          <t>velocity 3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50" t="n">
        <v>2</v>
      </c>
      <c r="C14" s="25" t="inlineStr">
        <is>
          <t>prossimita' 2 per precursori solo in altri paesi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53" t="n">
        <v>2</v>
      </c>
      <c r="C15" s="25" t="inlineStr">
        <is>
          <t>Nel file vero: spiegazione scritta dall'agente delle schede.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2,95 = 0,30 x 4 + 0,20 x 2 + 0,20 x 3 + 0,15 x 3 + 0,15 x 2.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Margine 1,2 anni. Tempo necessario X + Y = 0,25 + 1,00 = 1,25 anni; tempo disponibile Z = 2,5 anni (Prossimita 2). Margine Z - (X + Y) = 1,25.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20" customHeight="1">
      <c r="A22" s="21" t="inlineStr">
        <is>
          <t>Nessun valore cambiato: confermato sulle fonti del ciclo precedente.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Nuovo pacchetto di sanzioni UE con obblighi di due diligence rafforzata</t>
        </is>
      </c>
      <c r="B26" s="7" t="n"/>
      <c r="C26" s="7" t="n"/>
      <c r="D26" s="31" t="inlineStr">
        <is>
          <t>24/02/2026</t>
        </is>
      </c>
      <c r="E26" s="33" t="inlineStr">
        <is>
          <t>Esterna</t>
        </is>
      </c>
      <c r="F26" s="30" t="inlineStr">
        <is>
          <t>—</t>
        </is>
      </c>
      <c r="G26" s="7" t="n"/>
      <c r="H26" s="7" t="n"/>
    </row>
    <row r="27" ht="30" customHeight="1">
      <c r="A27" s="30" t="inlineStr">
        <is>
          <t>Analisi dei flussi verso paesi di transito — Compliance</t>
        </is>
      </c>
      <c r="B27" s="7" t="n"/>
      <c r="C27" s="7" t="n"/>
      <c r="D27" s="31" t="inlineStr">
        <is>
          <t>12/03/2026</t>
        </is>
      </c>
      <c r="E27" s="32" t="inlineStr">
        <is>
          <t>Interna</t>
        </is>
      </c>
      <c r="F27" s="30" t="inlineStr">
        <is>
          <t>—</t>
        </is>
      </c>
      <c r="G27" s="7" t="n"/>
      <c r="H27" s="7" t="n"/>
    </row>
    <row r="29">
      <c r="A29" s="19" t="inlineStr">
        <is>
          <t>Azioni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 ht="34" customHeight="1">
      <c r="A30" s="21" t="inlineStr">
        <is>
          <t>• Estendere lo screening sanzioni alle controparti indirette dei pagamenti verso paesi di transito. — Funzione Compliance, 12 mesi, Approvata. Riduce: gap_controlli.</t>
        </is>
      </c>
    </row>
    <row r="32">
      <c r="A32" s="19" t="inlineStr">
        <is>
          <t>KRI in vigore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2" t="inlineStr">
        <is>
          <t>Indicatore</t>
        </is>
      </c>
      <c r="E33" s="22" t="inlineStr">
        <is>
          <t>Valore</t>
        </is>
      </c>
      <c r="F33" s="22" t="inlineStr">
        <is>
          <t>Soglie (attenzione / allerta)</t>
        </is>
      </c>
      <c r="H33" s="22" t="inlineStr">
        <is>
          <t>Stato</t>
        </is>
      </c>
    </row>
    <row r="34" ht="20" customHeight="1">
      <c r="A34" s="34" t="inlineStr">
        <is>
          <t>Pagamenti bloccati dal filtro sanzioni ogni 10.000 verso paesi di transito (n/10k)</t>
        </is>
      </c>
      <c r="E34" s="35" t="n">
        <v>3.8</v>
      </c>
      <c r="F34" s="36" t="inlineStr">
        <is>
          <t>2 / 5</t>
        </is>
      </c>
      <c r="H34" s="37" t="inlineStr">
        <is>
          <t>Ambra</t>
        </is>
      </c>
    </row>
    <row r="35" ht="20" customHeight="1">
      <c r="A35" s="34" t="inlineStr">
        <is>
          <t>Clienti corporate ad alto rischio senza due diligence rafforzata aggiornata (%)</t>
        </is>
      </c>
      <c r="E35" s="35" t="n">
        <v>11</v>
      </c>
      <c r="F35" s="36" t="inlineStr">
        <is>
          <t>5 / 15</t>
        </is>
      </c>
      <c r="H35" s="37" t="inlineStr">
        <is>
          <t>Ambra</t>
        </is>
      </c>
    </row>
    <row r="36" ht="20" customHeight="1">
      <c r="A36" s="34" t="inlineStr">
        <is>
          <t>Liste sanzioni recepite oltre 24 ore dalla pubblicazione (n)</t>
        </is>
      </c>
      <c r="E36" s="35" t="n">
        <v>1</v>
      </c>
      <c r="F36" s="36" t="inlineStr">
        <is>
          <t>1 / 3</t>
        </is>
      </c>
      <c r="H36" s="37" t="inlineStr">
        <is>
          <t>Ambra</t>
        </is>
      </c>
    </row>
    <row r="38">
      <c r="A38" s="19" t="inlineStr">
        <is>
          <t>Andamento negli ultimi trimestri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39" t="inlineStr">
        <is>
          <t>Ciclo</t>
        </is>
      </c>
      <c r="B39" s="39" t="inlineStr">
        <is>
          <t>Sev</t>
        </is>
      </c>
      <c r="C39" s="39" t="inlineStr">
        <is>
          <t>Prob</t>
        </is>
      </c>
      <c r="D39" s="39" t="inlineStr">
        <is>
          <t>Gap</t>
        </is>
      </c>
      <c r="E39" s="39" t="inlineStr">
        <is>
          <t>Vel</t>
        </is>
      </c>
      <c r="F39" s="39" t="inlineStr">
        <is>
          <t>Pross</t>
        </is>
      </c>
      <c r="G39" s="39" t="inlineStr">
        <is>
          <t>Conf</t>
        </is>
      </c>
      <c r="H39" s="39" t="inlineStr">
        <is>
          <t>Score</t>
        </is>
      </c>
    </row>
    <row r="40">
      <c r="A40" s="40" t="inlineStr">
        <is>
          <t>2026Q1</t>
        </is>
      </c>
      <c r="B40" s="42" t="n">
        <v>4</v>
      </c>
      <c r="C40" s="52" t="n">
        <v>2</v>
      </c>
      <c r="D40" s="41" t="n">
        <v>3</v>
      </c>
      <c r="E40" s="41" t="n">
        <v>3</v>
      </c>
      <c r="F40" s="52" t="n">
        <v>2</v>
      </c>
      <c r="G40" s="54" t="n">
        <v>2</v>
      </c>
      <c r="H40" s="44" t="n">
        <v>2.95</v>
      </c>
    </row>
    <row r="41">
      <c r="A41" s="40" t="inlineStr">
        <is>
          <t>2026Q2</t>
        </is>
      </c>
      <c r="B41" s="42" t="n">
        <v>4</v>
      </c>
      <c r="C41" s="52" t="n">
        <v>2</v>
      </c>
      <c r="D41" s="41" t="n">
        <v>3</v>
      </c>
      <c r="E41" s="41" t="n">
        <v>3</v>
      </c>
      <c r="F41" s="52" t="n">
        <v>2</v>
      </c>
      <c r="G41" s="54" t="n">
        <v>2</v>
      </c>
      <c r="H41" s="44" t="n">
        <v>2.95</v>
      </c>
    </row>
    <row r="42">
      <c r="A42" s="28" t="inlineStr">
        <is>
          <t>Rischio entrato nel registro nel 2026Q1.</t>
        </is>
      </c>
    </row>
    <row r="55" ht="26" customHeight="1">
      <c r="A55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38">
    <mergeCell ref="A25:C25"/>
    <mergeCell ref="C10:H10"/>
    <mergeCell ref="A30:H30"/>
    <mergeCell ref="G2:H2"/>
    <mergeCell ref="A35:D35"/>
    <mergeCell ref="A24:H24"/>
    <mergeCell ref="C9:H9"/>
    <mergeCell ref="F34:G34"/>
    <mergeCell ref="F26:H26"/>
    <mergeCell ref="A27:C27"/>
    <mergeCell ref="A1:H1"/>
    <mergeCell ref="C12:H12"/>
    <mergeCell ref="A26:C26"/>
    <mergeCell ref="A6:H6"/>
    <mergeCell ref="A2:F2"/>
    <mergeCell ref="C11:H11"/>
    <mergeCell ref="A34:D34"/>
    <mergeCell ref="F27:H27"/>
    <mergeCell ref="F36:G36"/>
    <mergeCell ref="A3:B3"/>
    <mergeCell ref="F35:G35"/>
    <mergeCell ref="A36:D36"/>
    <mergeCell ref="A18:H18"/>
    <mergeCell ref="A21:H21"/>
    <mergeCell ref="A55:H55"/>
    <mergeCell ref="C13:H13"/>
    <mergeCell ref="A5:H5"/>
    <mergeCell ref="A32:H32"/>
    <mergeCell ref="A8:H8"/>
    <mergeCell ref="A22:H22"/>
    <mergeCell ref="C15:H15"/>
    <mergeCell ref="F25:H25"/>
    <mergeCell ref="A29:H29"/>
    <mergeCell ref="C14:H14"/>
    <mergeCell ref="A38:H38"/>
    <mergeCell ref="A19:H19"/>
    <mergeCell ref="C3:D3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10 · NFR-03 · Greenwashing nella commercializzazione di prodotti ESG</t>
        </is>
      </c>
      <c r="B2" s="14" t="n"/>
      <c r="C2" s="14" t="n"/>
      <c r="D2" s="14" t="n"/>
      <c r="E2" s="14" t="n"/>
      <c r="F2" s="14" t="n"/>
      <c r="G2" s="15" t="inlineStr">
        <is>
          <t>score 2,85   ● 0,00   ·   Entro l'anno</t>
        </is>
      </c>
      <c r="H2" s="14" t="n"/>
    </row>
    <row r="3" ht="28" customHeight="1">
      <c r="A3" s="16" t="inlineStr">
        <is>
          <t>L1-04 · Clientela, prodotti e prassi professionali</t>
        </is>
      </c>
      <c r="B3" s="17" t="n"/>
      <c r="C3" s="16" t="inlineStr">
        <is>
          <t>Driver: DRV-CON, DRV-CLI</t>
        </is>
      </c>
      <c r="D3" s="17" t="n"/>
      <c r="E3" s="16" t="inlineStr">
        <is>
          <t>Owner: Funzione Compliance</t>
        </is>
      </c>
      <c r="F3" s="17" t="n"/>
      <c r="G3" s="16" t="n"/>
      <c r="H3" s="16" t="inlineStr">
        <is>
          <t>Esito: Confermato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34" customHeight="1">
      <c r="A6" s="21" t="inlineStr">
        <is>
          <t>Claim ambientali non sostanziati nella documentazione di prodotti di investimento ESG, con rischio di sanzioni e rimborsi.  [Nel file vero: descrizione estesa scritta dall'agente delle schede.]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6" t="n">
        <v>3</v>
      </c>
      <c r="C10" s="25" t="inlineStr">
        <is>
          <t>Severity 3 per sanzioni e rimborsi possibili su una clientela ampia</t>
        </is>
      </c>
      <c r="D10" s="7" t="n"/>
      <c r="E10" s="7" t="n"/>
      <c r="F10" s="7" t="n"/>
      <c r="G10" s="7" t="n"/>
      <c r="H10" s="7" t="n"/>
    </row>
    <row r="11" ht="30" customHeight="1">
      <c r="A11" s="23" t="inlineStr">
        <is>
          <t>Probabilita</t>
        </is>
      </c>
      <c r="B11" s="26" t="n">
        <v>3</v>
      </c>
      <c r="C11" s="25" t="inlineStr">
        <is>
          <t>Nel file vero: spiegazione scritta dall'agente delle schede.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6" t="n">
        <v>3</v>
      </c>
      <c r="C12" s="25" t="inlineStr">
        <is>
          <t>gap 3 per revisione dei claim non ancora completa.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50" t="n">
        <v>2</v>
      </c>
      <c r="C13" s="25" t="inlineStr">
        <is>
          <t>velocity 2 perche' l'esposizione emerge con ispezioni o reclami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6" t="n">
        <v>3</v>
      </c>
      <c r="C14" s="25" t="inlineStr">
        <is>
          <t>prossimita' 3 per orientamenti europei gia' in vigore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48" t="n">
        <v>3</v>
      </c>
      <c r="C15" s="25" t="inlineStr">
        <is>
          <t>Nel file vero: spiegazione scritta dall'agente delle schede.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2,85 = 0,30 x 3 + 0,20 x 3 + 0,20 x 3 + 0,15 x 2 + 0,15 x 3.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Entro l'anno. Tempo necessario X + Y = 0,25 + 0,50 = 0,75 anni; tempo disponibile Z = 1,5 anni (Prossimita 3). Margine Z - (X + Y) = 0,75.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20" customHeight="1">
      <c r="A22" s="21" t="inlineStr">
        <is>
          <t>Nessun valore cambiato: confermato sulle fonti del ciclo precedente.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Orientamenti dell'autorita' europea sui nomi dei fondi ESG</t>
        </is>
      </c>
      <c r="B26" s="7" t="n"/>
      <c r="C26" s="7" t="n"/>
      <c r="D26" s="31" t="inlineStr">
        <is>
          <t>14/11/2025</t>
        </is>
      </c>
      <c r="E26" s="33" t="inlineStr">
        <is>
          <t>Esterna</t>
        </is>
      </c>
      <c r="F26" s="30" t="inlineStr">
        <is>
          <t>—</t>
        </is>
      </c>
      <c r="G26" s="7" t="n"/>
      <c r="H26" s="7" t="n"/>
    </row>
    <row r="27" ht="30" customHeight="1">
      <c r="A27" s="30" t="inlineStr">
        <is>
          <t>Verifica interna dei claim ambientali — Compliance</t>
        </is>
      </c>
      <c r="B27" s="7" t="n"/>
      <c r="C27" s="7" t="n"/>
      <c r="D27" s="31" t="inlineStr">
        <is>
          <t>18/02/2026</t>
        </is>
      </c>
      <c r="E27" s="32" t="inlineStr">
        <is>
          <t>Interna</t>
        </is>
      </c>
      <c r="F27" s="30" t="inlineStr">
        <is>
          <t>—</t>
        </is>
      </c>
      <c r="G27" s="7" t="n"/>
      <c r="H27" s="7" t="n"/>
    </row>
    <row r="29">
      <c r="A29" s="19" t="inlineStr">
        <is>
          <t>Azioni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 ht="20" customHeight="1">
      <c r="A30" s="21" t="inlineStr">
        <is>
          <t>• Revisione indipendente dei claim ambientali di tutti i prodotti ESG in catalogo. — Funzione Compliance, 6 mesi, Approvata. Riduce: gap_controlli.</t>
        </is>
      </c>
    </row>
    <row r="32">
      <c r="A32" s="19" t="inlineStr">
        <is>
          <t>KRI in vigore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2" t="inlineStr">
        <is>
          <t>Indicatore</t>
        </is>
      </c>
      <c r="E33" s="22" t="inlineStr">
        <is>
          <t>Valore</t>
        </is>
      </c>
      <c r="F33" s="22" t="inlineStr">
        <is>
          <t>Soglie (attenzione / allerta)</t>
        </is>
      </c>
      <c r="H33" s="22" t="inlineStr">
        <is>
          <t>Stato</t>
        </is>
      </c>
    </row>
    <row r="34" ht="20" customHeight="1">
      <c r="A34" s="34" t="inlineStr">
        <is>
          <t>Reclami su prodotti ESG ogni 1.000 contratti (n/1000)</t>
        </is>
      </c>
      <c r="E34" s="35" t="n">
        <v>0.8</v>
      </c>
      <c r="F34" s="36" t="inlineStr">
        <is>
          <t>1.5 / 3</t>
        </is>
      </c>
      <c r="H34" s="38" t="inlineStr">
        <is>
          <t>Verde</t>
        </is>
      </c>
    </row>
    <row r="35" ht="20" customHeight="1">
      <c r="A35" s="34" t="inlineStr">
        <is>
          <t>Quota di prodotti ESG senza revisione dei claim nell'anno (%)</t>
        </is>
      </c>
      <c r="E35" s="35" t="n"/>
      <c r="F35" s="36" t="inlineStr">
        <is>
          <t>20 / 40</t>
        </is>
      </c>
      <c r="H35" s="55" t="inlineStr">
        <is>
          <t>Non rilevato</t>
        </is>
      </c>
    </row>
    <row r="36" ht="20" customHeight="1">
      <c r="A36" s="34" t="inlineStr">
        <is>
          <t>Rilievi di audit aperti sulla trasparenza ESG (n)</t>
        </is>
      </c>
      <c r="E36" s="35" t="n">
        <v>1</v>
      </c>
      <c r="F36" s="36" t="inlineStr">
        <is>
          <t>1 / 3</t>
        </is>
      </c>
      <c r="H36" s="37" t="inlineStr">
        <is>
          <t>Ambra</t>
        </is>
      </c>
    </row>
    <row r="38">
      <c r="A38" s="19" t="inlineStr">
        <is>
          <t>Andamento negli ultimi trimestri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39" t="inlineStr">
        <is>
          <t>Ciclo</t>
        </is>
      </c>
      <c r="B39" s="39" t="inlineStr">
        <is>
          <t>Sev</t>
        </is>
      </c>
      <c r="C39" s="39" t="inlineStr">
        <is>
          <t>Prob</t>
        </is>
      </c>
      <c r="D39" s="39" t="inlineStr">
        <is>
          <t>Gap</t>
        </is>
      </c>
      <c r="E39" s="39" t="inlineStr">
        <is>
          <t>Vel</t>
        </is>
      </c>
      <c r="F39" s="39" t="inlineStr">
        <is>
          <t>Pross</t>
        </is>
      </c>
      <c r="G39" s="39" t="inlineStr">
        <is>
          <t>Conf</t>
        </is>
      </c>
      <c r="H39" s="39" t="inlineStr">
        <is>
          <t>Score</t>
        </is>
      </c>
    </row>
    <row r="40">
      <c r="A40" s="40" t="inlineStr">
        <is>
          <t>2025Q4</t>
        </is>
      </c>
      <c r="B40" s="41" t="n">
        <v>3</v>
      </c>
      <c r="C40" s="41" t="n">
        <v>3</v>
      </c>
      <c r="D40" s="41" t="n">
        <v>3</v>
      </c>
      <c r="E40" s="52" t="n">
        <v>2</v>
      </c>
      <c r="F40" s="41" t="n">
        <v>3</v>
      </c>
      <c r="G40" s="43" t="n">
        <v>3</v>
      </c>
      <c r="H40" s="44" t="n">
        <v>2.85</v>
      </c>
    </row>
    <row r="41">
      <c r="A41" s="40" t="inlineStr">
        <is>
          <t>2026Q1</t>
        </is>
      </c>
      <c r="B41" s="41" t="n">
        <v>3</v>
      </c>
      <c r="C41" s="41" t="n">
        <v>3</v>
      </c>
      <c r="D41" s="41" t="n">
        <v>3</v>
      </c>
      <c r="E41" s="52" t="n">
        <v>2</v>
      </c>
      <c r="F41" s="41" t="n">
        <v>3</v>
      </c>
      <c r="G41" s="43" t="n">
        <v>3</v>
      </c>
      <c r="H41" s="44" t="n">
        <v>2.85</v>
      </c>
    </row>
    <row r="42">
      <c r="A42" s="40" t="inlineStr">
        <is>
          <t>2026Q2</t>
        </is>
      </c>
      <c r="B42" s="41" t="n">
        <v>3</v>
      </c>
      <c r="C42" s="41" t="n">
        <v>3</v>
      </c>
      <c r="D42" s="41" t="n">
        <v>3</v>
      </c>
      <c r="E42" s="52" t="n">
        <v>2</v>
      </c>
      <c r="F42" s="41" t="n">
        <v>3</v>
      </c>
      <c r="G42" s="43" t="n">
        <v>3</v>
      </c>
      <c r="H42" s="44" t="n">
        <v>2.85</v>
      </c>
    </row>
    <row r="56" ht="26" customHeight="1">
      <c r="A56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38">
    <mergeCell ref="A25:C25"/>
    <mergeCell ref="C10:H10"/>
    <mergeCell ref="A30:H30"/>
    <mergeCell ref="G2:H2"/>
    <mergeCell ref="A35:D35"/>
    <mergeCell ref="A24:H24"/>
    <mergeCell ref="C9:H9"/>
    <mergeCell ref="F34:G34"/>
    <mergeCell ref="F26:H26"/>
    <mergeCell ref="A27:C27"/>
    <mergeCell ref="A1:H1"/>
    <mergeCell ref="C12:H12"/>
    <mergeCell ref="A26:C26"/>
    <mergeCell ref="A6:H6"/>
    <mergeCell ref="A2:F2"/>
    <mergeCell ref="C11:H11"/>
    <mergeCell ref="A34:D34"/>
    <mergeCell ref="F27:H27"/>
    <mergeCell ref="F36:G36"/>
    <mergeCell ref="A3:B3"/>
    <mergeCell ref="F35:G35"/>
    <mergeCell ref="A36:D36"/>
    <mergeCell ref="A18:H18"/>
    <mergeCell ref="A56:H56"/>
    <mergeCell ref="A21:H21"/>
    <mergeCell ref="C13:H13"/>
    <mergeCell ref="A5:H5"/>
    <mergeCell ref="A32:H32"/>
    <mergeCell ref="A8:H8"/>
    <mergeCell ref="A22:H22"/>
    <mergeCell ref="C15:H15"/>
    <mergeCell ref="F25:H25"/>
    <mergeCell ref="A29:H29"/>
    <mergeCell ref="C14:H14"/>
    <mergeCell ref="A38:H38"/>
    <mergeCell ref="A19:H19"/>
    <mergeCell ref="C3:D3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11 · NFR-04 · Eventi climatici estremi su sedi e data center</t>
        </is>
      </c>
      <c r="B2" s="14" t="n"/>
      <c r="C2" s="14" t="n"/>
      <c r="D2" s="14" t="n"/>
      <c r="E2" s="14" t="n"/>
      <c r="F2" s="14" t="n"/>
      <c r="G2" s="15" t="inlineStr">
        <is>
          <t>score 2,85   ▲ +0,15   ·   Entro l'anno</t>
        </is>
      </c>
      <c r="H2" s="14" t="n"/>
    </row>
    <row r="3" ht="28" customHeight="1">
      <c r="A3" s="16" t="inlineStr">
        <is>
          <t>L1-05 · Danni a beni materiali</t>
        </is>
      </c>
      <c r="B3" s="17" t="n"/>
      <c r="C3" s="16" t="inlineStr">
        <is>
          <t>Driver: DRV-CLI</t>
        </is>
      </c>
      <c r="D3" s="17" t="n"/>
      <c r="E3" s="16" t="inlineStr">
        <is>
          <t>Owner: Funzione Business Continuity</t>
        </is>
      </c>
      <c r="F3" s="17" t="n"/>
      <c r="G3" s="16" t="n"/>
      <c r="H3" s="16" t="inlineStr">
        <is>
          <t>Esito: Variato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34" customHeight="1">
      <c r="A6" s="21" t="inlineStr">
        <is>
          <t>Alluvioni o ondate di calore che rendono inagibili sedi operative o degradano il data center secondario.  [Nel file vero: descrizione estesa scritta dall'agente delle schede.]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6" t="n">
        <v>3</v>
      </c>
      <c r="C10" s="25" t="inlineStr">
        <is>
          <t>Severity 3 per degrado di sedi e del sito secondario</t>
        </is>
      </c>
      <c r="D10" s="7" t="n"/>
      <c r="E10" s="7" t="n"/>
      <c r="F10" s="7" t="n"/>
      <c r="G10" s="7" t="n"/>
      <c r="H10" s="7" t="n"/>
    </row>
    <row r="11" ht="30" customHeight="1">
      <c r="A11" s="23" t="inlineStr">
        <is>
          <t>Probabilita</t>
        </is>
      </c>
      <c r="B11" s="26" t="n">
        <v>3</v>
      </c>
      <c r="C11" s="25" t="inlineStr">
        <is>
          <t>Nel file vero: spiegazione scritta dall'agente delle schede.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6" t="n">
        <v>3</v>
      </c>
      <c r="C12" s="25" t="inlineStr">
        <is>
          <t>gap 3 perche' due sedi critiche non hanno un piano specifico.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50" t="n">
        <v>2</v>
      </c>
      <c r="C13" s="25" t="inlineStr">
        <is>
          <t>velocity 2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6" t="n">
        <v>3</v>
      </c>
      <c r="C14" s="25" t="inlineStr">
        <is>
          <t>prossimita' 3 dopo l'alluvione di maggio su filiali della Banca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48" t="n">
        <v>3</v>
      </c>
      <c r="C15" s="25" t="inlineStr">
        <is>
          <t>Nel file vero: spiegazione scritta dall'agente delle schede.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2,85 = 0,30 x 3 + 0,20 x 3 + 0,20 x 3 + 0,15 x 2 + 0,15 x 3.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Entro l'anno. Tempo necessario X + Y = 0,25 + 1,00 = 1,25 anni; tempo disponibile Z = 1,5 anni (Prossimita 3). Margine Z - (X + Y) = 0,25.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34" customHeight="1">
      <c r="A22" s="21" t="inlineStr">
        <is>
          <t>• Prossimita 2 → 3: Alluvione in Emilia-Romagna del maggio 2026 con chiusura di due filiali della Banca per tre giorni. (06/05/2026)
• Confidence 2 → 3: Evento osservato direttamente su sedi della Banca, in aggiunta alla mappatura BCM. (06/05/2026)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Mappa del rischio idrogeologico delle sedi — BCM</t>
        </is>
      </c>
      <c r="B26" s="7" t="n"/>
      <c r="C26" s="7" t="n"/>
      <c r="D26" s="31" t="inlineStr">
        <is>
          <t>30/10/2025</t>
        </is>
      </c>
      <c r="E26" s="32" t="inlineStr">
        <is>
          <t>Interna</t>
        </is>
      </c>
      <c r="F26" s="30" t="inlineStr">
        <is>
          <t>—</t>
        </is>
      </c>
      <c r="G26" s="7" t="n"/>
      <c r="H26" s="7" t="n"/>
    </row>
    <row r="27" ht="30" customHeight="1">
      <c r="A27" s="30" t="inlineStr">
        <is>
          <t>Alluvione in Emilia-Romagna con chiusura di due filiali</t>
        </is>
      </c>
      <c r="B27" s="7" t="n"/>
      <c r="C27" s="7" t="n"/>
      <c r="D27" s="31" t="inlineStr">
        <is>
          <t>06/05/2026</t>
        </is>
      </c>
      <c r="E27" s="33" t="inlineStr">
        <is>
          <t>Esterna</t>
        </is>
      </c>
      <c r="F27" s="30" t="inlineStr">
        <is>
          <t>—</t>
        </is>
      </c>
      <c r="G27" s="7" t="n"/>
      <c r="H27" s="7" t="n"/>
    </row>
    <row r="29">
      <c r="A29" s="19" t="inlineStr">
        <is>
          <t>Azioni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 ht="34" customHeight="1">
      <c r="A30" s="21" t="inlineStr">
        <is>
          <t>• Redigere piani di continuita' specifici per le due sedi critiche in aree a rischio. — Funzione Business Continuity, 12 mesi, Approvata. Riduce: gap_controlli.</t>
        </is>
      </c>
    </row>
    <row r="32">
      <c r="A32" s="19" t="inlineStr">
        <is>
          <t>KRI in vigore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2" t="inlineStr">
        <is>
          <t>Indicatore</t>
        </is>
      </c>
      <c r="E33" s="22" t="inlineStr">
        <is>
          <t>Valore</t>
        </is>
      </c>
      <c r="F33" s="22" t="inlineStr">
        <is>
          <t>Soglie (attenzione / allerta)</t>
        </is>
      </c>
      <c r="H33" s="22" t="inlineStr">
        <is>
          <t>Stato</t>
        </is>
      </c>
    </row>
    <row r="34" ht="20" customHeight="1">
      <c r="A34" s="34" t="inlineStr">
        <is>
          <t>Sedi critiche in aree a rischio idrogeologico senza piano specifico (n)</t>
        </is>
      </c>
      <c r="E34" s="35" t="n">
        <v>2</v>
      </c>
      <c r="F34" s="36" t="inlineStr">
        <is>
          <t>1 / 3</t>
        </is>
      </c>
      <c r="H34" s="37" t="inlineStr">
        <is>
          <t>Ambra</t>
        </is>
      </c>
    </row>
    <row r="35" ht="20" customHeight="1">
      <c r="A35" s="34" t="inlineStr">
        <is>
          <t>Giorni di indisponibilita' di sedi per eventi climatici (giorni)</t>
        </is>
      </c>
      <c r="E35" s="35" t="n">
        <v>3</v>
      </c>
      <c r="F35" s="36" t="inlineStr">
        <is>
          <t>2 / 5</t>
        </is>
      </c>
      <c r="H35" s="37" t="inlineStr">
        <is>
          <t>Ambra</t>
        </is>
      </c>
    </row>
    <row r="36" ht="20" customHeight="1">
      <c r="A36" s="34" t="inlineStr">
        <is>
          <t>Scarto fra RTO dichiarato e testato del sito secondario (ore)</t>
        </is>
      </c>
      <c r="E36" s="35" t="n">
        <v>0.5</v>
      </c>
      <c r="F36" s="36" t="inlineStr">
        <is>
          <t>1 / 4</t>
        </is>
      </c>
      <c r="H36" s="38" t="inlineStr">
        <is>
          <t>Verde</t>
        </is>
      </c>
    </row>
    <row r="38">
      <c r="A38" s="19" t="inlineStr">
        <is>
          <t>Andamento negli ultimi trimestri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39" t="inlineStr">
        <is>
          <t>Ciclo</t>
        </is>
      </c>
      <c r="B39" s="39" t="inlineStr">
        <is>
          <t>Sev</t>
        </is>
      </c>
      <c r="C39" s="39" t="inlineStr">
        <is>
          <t>Prob</t>
        </is>
      </c>
      <c r="D39" s="39" t="inlineStr">
        <is>
          <t>Gap</t>
        </is>
      </c>
      <c r="E39" s="39" t="inlineStr">
        <is>
          <t>Vel</t>
        </is>
      </c>
      <c r="F39" s="39" t="inlineStr">
        <is>
          <t>Pross</t>
        </is>
      </c>
      <c r="G39" s="39" t="inlineStr">
        <is>
          <t>Conf</t>
        </is>
      </c>
      <c r="H39" s="39" t="inlineStr">
        <is>
          <t>Score</t>
        </is>
      </c>
    </row>
    <row r="40">
      <c r="A40" s="40" t="inlineStr">
        <is>
          <t>2025Q4</t>
        </is>
      </c>
      <c r="B40" s="41" t="n">
        <v>3</v>
      </c>
      <c r="C40" s="41" t="n">
        <v>3</v>
      </c>
      <c r="D40" s="41" t="n">
        <v>3</v>
      </c>
      <c r="E40" s="52" t="n">
        <v>2</v>
      </c>
      <c r="F40" s="52" t="n">
        <v>2</v>
      </c>
      <c r="G40" s="54" t="n">
        <v>2</v>
      </c>
      <c r="H40" s="44" t="n">
        <v>2.7</v>
      </c>
    </row>
    <row r="41">
      <c r="A41" s="40" t="inlineStr">
        <is>
          <t>2026Q1</t>
        </is>
      </c>
      <c r="B41" s="41" t="n">
        <v>3</v>
      </c>
      <c r="C41" s="41" t="n">
        <v>3</v>
      </c>
      <c r="D41" s="41" t="n">
        <v>3</v>
      </c>
      <c r="E41" s="52" t="n">
        <v>2</v>
      </c>
      <c r="F41" s="52" t="n">
        <v>2</v>
      </c>
      <c r="G41" s="54" t="n">
        <v>2</v>
      </c>
      <c r="H41" s="44" t="n">
        <v>2.7</v>
      </c>
    </row>
    <row r="42">
      <c r="A42" s="40" t="inlineStr">
        <is>
          <t>2026Q2</t>
        </is>
      </c>
      <c r="B42" s="41" t="n">
        <v>3</v>
      </c>
      <c r="C42" s="41" t="n">
        <v>3</v>
      </c>
      <c r="D42" s="41" t="n">
        <v>3</v>
      </c>
      <c r="E42" s="52" t="n">
        <v>2</v>
      </c>
      <c r="F42" s="41" t="n">
        <v>3</v>
      </c>
      <c r="G42" s="43" t="n">
        <v>3</v>
      </c>
      <c r="H42" s="44" t="n">
        <v>2.85</v>
      </c>
    </row>
    <row r="56" ht="26" customHeight="1">
      <c r="A56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38">
    <mergeCell ref="A25:C25"/>
    <mergeCell ref="C10:H10"/>
    <mergeCell ref="A30:H30"/>
    <mergeCell ref="G2:H2"/>
    <mergeCell ref="A35:D35"/>
    <mergeCell ref="A24:H24"/>
    <mergeCell ref="C9:H9"/>
    <mergeCell ref="F34:G34"/>
    <mergeCell ref="F26:H26"/>
    <mergeCell ref="A27:C27"/>
    <mergeCell ref="A1:H1"/>
    <mergeCell ref="C12:H12"/>
    <mergeCell ref="A26:C26"/>
    <mergeCell ref="A6:H6"/>
    <mergeCell ref="A2:F2"/>
    <mergeCell ref="C11:H11"/>
    <mergeCell ref="A34:D34"/>
    <mergeCell ref="F27:H27"/>
    <mergeCell ref="F36:G36"/>
    <mergeCell ref="A3:B3"/>
    <mergeCell ref="F35:G35"/>
    <mergeCell ref="A36:D36"/>
    <mergeCell ref="A18:H18"/>
    <mergeCell ref="A56:H56"/>
    <mergeCell ref="A21:H21"/>
    <mergeCell ref="C13:H13"/>
    <mergeCell ref="A5:H5"/>
    <mergeCell ref="A32:H32"/>
    <mergeCell ref="A8:H8"/>
    <mergeCell ref="A22:H22"/>
    <mergeCell ref="C15:H15"/>
    <mergeCell ref="F25:H25"/>
    <mergeCell ref="A29:H29"/>
    <mergeCell ref="C14:H14"/>
    <mergeCell ref="A38:H38"/>
    <mergeCell ref="A19:H19"/>
    <mergeCell ref="C3:D3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2" t="inlineStr">
        <is>
          <t>Horizon Scan NFR — scheda del rischio · ciclo 2026Q2 · dati validati</t>
        </is>
      </c>
    </row>
    <row r="2" ht="30" customHeight="1">
      <c r="A2" s="13" t="inlineStr">
        <is>
          <t>12 · NFR-08 · Accessi impropri di dipendenti ai dati dei clienti</t>
        </is>
      </c>
      <c r="B2" s="14" t="n"/>
      <c r="C2" s="14" t="n"/>
      <c r="D2" s="14" t="n"/>
      <c r="E2" s="14" t="n"/>
      <c r="F2" s="14" t="n"/>
      <c r="G2" s="15" t="inlineStr">
        <is>
          <t>score 2,80   ● 0,00   ·   Margine 1 anno</t>
        </is>
      </c>
      <c r="H2" s="14" t="n"/>
    </row>
    <row r="3" ht="28" customHeight="1">
      <c r="A3" s="16" t="inlineStr">
        <is>
          <t>L1-01 · Frode interna</t>
        </is>
      </c>
      <c r="B3" s="17" t="n"/>
      <c r="C3" s="16" t="inlineStr">
        <is>
          <t>Driver: DRV-HUM, DRV-CON</t>
        </is>
      </c>
      <c r="D3" s="17" t="n"/>
      <c r="E3" s="16" t="inlineStr">
        <is>
          <t>Owner: Funzione Sicurezza delle Informazioni</t>
        </is>
      </c>
      <c r="F3" s="17" t="n"/>
      <c r="G3" s="16" t="n"/>
      <c r="H3" s="16" t="inlineStr">
        <is>
          <t>Esito: Confermato · validato</t>
        </is>
      </c>
    </row>
    <row r="5">
      <c r="A5" s="19" t="inlineStr">
        <is>
          <t>Il rischio</t>
        </is>
      </c>
      <c r="B5" s="20" t="n"/>
      <c r="C5" s="20" t="n"/>
      <c r="D5" s="20" t="n"/>
      <c r="E5" s="20" t="n"/>
      <c r="F5" s="20" t="n"/>
      <c r="G5" s="20" t="n"/>
      <c r="H5" s="20" t="n"/>
    </row>
    <row r="6" ht="34" customHeight="1">
      <c r="A6" s="21" t="inlineStr">
        <is>
          <t>Dipendenti che consultano o estraggono dati di clienti senza motivo di servizio, per curiosita' o a favore di terzi.  [Nel file vero: descrizione estesa scritta dall'agente delle schede.]</t>
        </is>
      </c>
    </row>
    <row r="8">
      <c r="A8" s="19" t="inlineStr">
        <is>
          <t>Valutazione, dimensione per dimensione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2" t="inlineStr">
        <is>
          <t>Dimensione</t>
        </is>
      </c>
      <c r="B9" s="22" t="inlineStr">
        <is>
          <t>Valore</t>
        </is>
      </c>
      <c r="C9" s="22" t="inlineStr">
        <is>
          <t>Perche' (con l'evidenza)</t>
        </is>
      </c>
    </row>
    <row r="10" ht="30" customHeight="1">
      <c r="A10" s="23" t="inlineStr">
        <is>
          <t>Severity</t>
        </is>
      </c>
      <c r="B10" s="26" t="n">
        <v>3</v>
      </c>
      <c r="C10" s="25" t="inlineStr">
        <is>
          <t>Severity 3 per violazione di dati di clientela ampia</t>
        </is>
      </c>
      <c r="D10" s="7" t="n"/>
      <c r="E10" s="7" t="n"/>
      <c r="F10" s="7" t="n"/>
      <c r="G10" s="7" t="n"/>
      <c r="H10" s="7" t="n"/>
    </row>
    <row r="11" ht="30" customHeight="1">
      <c r="A11" s="23" t="inlineStr">
        <is>
          <t>Probabilita</t>
        </is>
      </c>
      <c r="B11" s="50" t="n">
        <v>2</v>
      </c>
      <c r="C11" s="25" t="inlineStr">
        <is>
          <t>Nel file vero: spiegazione scritta dall'agente delle schede.</t>
        </is>
      </c>
      <c r="D11" s="7" t="n"/>
      <c r="E11" s="7" t="n"/>
      <c r="F11" s="7" t="n"/>
      <c r="G11" s="7" t="n"/>
      <c r="H11" s="7" t="n"/>
    </row>
    <row r="12" ht="30" customHeight="1">
      <c r="A12" s="23" t="inlineStr">
        <is>
          <t>Gap_Controlli</t>
        </is>
      </c>
      <c r="B12" s="26" t="n">
        <v>3</v>
      </c>
      <c r="C12" s="25" t="inlineStr">
        <is>
          <t>gap 3 perche' la revisione degli accessi e' annuale e a campione.</t>
        </is>
      </c>
      <c r="D12" s="7" t="n"/>
      <c r="E12" s="7" t="n"/>
      <c r="F12" s="7" t="n"/>
      <c r="G12" s="7" t="n"/>
      <c r="H12" s="7" t="n"/>
    </row>
    <row r="13" ht="30" customHeight="1">
      <c r="A13" s="23" t="inlineStr">
        <is>
          <t>Velocity</t>
        </is>
      </c>
      <c r="B13" s="26" t="n">
        <v>3</v>
      </c>
      <c r="C13" s="25" t="inlineStr">
        <is>
          <t>velocity 3</t>
        </is>
      </c>
      <c r="D13" s="7" t="n"/>
      <c r="E13" s="7" t="n"/>
      <c r="F13" s="7" t="n"/>
      <c r="G13" s="7" t="n"/>
      <c r="H13" s="7" t="n"/>
    </row>
    <row r="14" ht="30" customHeight="1">
      <c r="A14" s="23" t="inlineStr">
        <is>
          <t>Prossimita</t>
        </is>
      </c>
      <c r="B14" s="26" t="n">
        <v>3</v>
      </c>
      <c r="C14" s="25" t="inlineStr">
        <is>
          <t>prossimita' 3 per casi sanzionati nel settore</t>
        </is>
      </c>
      <c r="D14" s="7" t="n"/>
      <c r="E14" s="7" t="n"/>
      <c r="F14" s="7" t="n"/>
      <c r="G14" s="7" t="n"/>
      <c r="H14" s="7" t="n"/>
    </row>
    <row r="15" ht="30" customHeight="1">
      <c r="A15" s="23" t="inlineStr">
        <is>
          <t>Confidence</t>
        </is>
      </c>
      <c r="B15" s="48" t="n">
        <v>3</v>
      </c>
      <c r="C15" s="25" t="inlineStr">
        <is>
          <t>Nel file vero: spiegazione scritta dall'agente delle schede.</t>
        </is>
      </c>
      <c r="D15" s="7" t="n"/>
      <c r="E15" s="7" t="n"/>
      <c r="F15" s="7" t="n"/>
      <c r="G15" s="7" t="n"/>
      <c r="H15" s="7" t="n"/>
    </row>
    <row r="16">
      <c r="A16" s="28" t="inlineStr">
        <is>
          <t>Score composito 2,80 = 0,30 x 3 + 0,20 x 2 + 0,20 x 3 + 0,15 x 3 + 0,15 x 3.  Confidence in blu: solidita' delle fonti, fuori dallo score.</t>
        </is>
      </c>
    </row>
    <row r="18">
      <c r="A18" s="19" t="inlineStr">
        <is>
          <t>Urgenza (disuguaglianza di Mosca)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21" t="inlineStr">
        <is>
          <t>Margine 1 anno. Tempo necessario X + Y = 0,25 + 0,25 = 0,50 anni; tempo disponibile Z = 1,5 anni (Prossimita 3). Margine Z - (X + Y) = 1,00.</t>
        </is>
      </c>
    </row>
    <row r="21">
      <c r="A21" s="19" t="inlineStr">
        <is>
          <t>Cosa e' cambiato nel ciclo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 ht="20" customHeight="1">
      <c r="A22" s="21" t="inlineStr">
        <is>
          <t>Nessun valore cambiato: confermato sulle fonti del ciclo precedente.</t>
        </is>
      </c>
    </row>
    <row r="24">
      <c r="A24" s="19" t="inlineStr">
        <is>
          <t>Fonti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2" t="inlineStr">
        <is>
          <t>Fonte</t>
        </is>
      </c>
      <c r="D25" s="22" t="inlineStr">
        <is>
          <t>Data</t>
        </is>
      </c>
      <c r="E25" s="22" t="inlineStr">
        <is>
          <t>Tipo</t>
        </is>
      </c>
      <c r="F25" s="22" t="inlineStr">
        <is>
          <t>A sostegno di</t>
        </is>
      </c>
    </row>
    <row r="26" ht="30" customHeight="1">
      <c r="A26" s="30" t="inlineStr">
        <is>
          <t>Esiti del monitoraggio degli accessi ai dati clienti — SOC</t>
        </is>
      </c>
      <c r="B26" s="7" t="n"/>
      <c r="C26" s="7" t="n"/>
      <c r="D26" s="31" t="inlineStr">
        <is>
          <t>10/11/2025</t>
        </is>
      </c>
      <c r="E26" s="32" t="inlineStr">
        <is>
          <t>Interna</t>
        </is>
      </c>
      <c r="F26" s="30" t="inlineStr">
        <is>
          <t>—</t>
        </is>
      </c>
      <c r="G26" s="7" t="n"/>
      <c r="H26" s="7" t="n"/>
    </row>
    <row r="27" ht="30" customHeight="1">
      <c r="A27" s="30" t="inlineStr">
        <is>
          <t>Provvedimento dell'autorita' privacy su accessi abusivi in una banca</t>
        </is>
      </c>
      <c r="B27" s="7" t="n"/>
      <c r="C27" s="7" t="n"/>
      <c r="D27" s="31" t="inlineStr">
        <is>
          <t>08/04/2026</t>
        </is>
      </c>
      <c r="E27" s="33" t="inlineStr">
        <is>
          <t>Esterna</t>
        </is>
      </c>
      <c r="F27" s="30" t="inlineStr">
        <is>
          <t>—</t>
        </is>
      </c>
      <c r="G27" s="7" t="n"/>
      <c r="H27" s="7" t="n"/>
    </row>
    <row r="29">
      <c r="A29" s="19" t="inlineStr">
        <is>
          <t>Azioni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 ht="34" customHeight="1">
      <c r="A30" s="21" t="inlineStr">
        <is>
          <t>• Revisione trimestrale automatica degli accessi ai dati clienti senza pratica associata. — Funzione Sicurezza delle Informazioni, 3 mesi, Approvata. Riduce: gap_controlli.</t>
        </is>
      </c>
    </row>
    <row r="32">
      <c r="A32" s="19" t="inlineStr">
        <is>
          <t>KRI in vigore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2" t="inlineStr">
        <is>
          <t>Indicatore</t>
        </is>
      </c>
      <c r="E33" s="22" t="inlineStr">
        <is>
          <t>Valore</t>
        </is>
      </c>
      <c r="F33" s="22" t="inlineStr">
        <is>
          <t>Soglie (attenzione / allerta)</t>
        </is>
      </c>
      <c r="H33" s="22" t="inlineStr">
        <is>
          <t>Stato</t>
        </is>
      </c>
    </row>
    <row r="34" ht="20" customHeight="1">
      <c r="A34" s="34" t="inlineStr">
        <is>
          <t>Accessi ai dati clienti senza pratica associata (n/mese)</t>
        </is>
      </c>
      <c r="E34" s="35" t="n">
        <v>24</v>
      </c>
      <c r="F34" s="36" t="inlineStr">
        <is>
          <t>20 / 50</t>
        </is>
      </c>
      <c r="H34" s="37" t="inlineStr">
        <is>
          <t>Ambra</t>
        </is>
      </c>
    </row>
    <row r="35" ht="20" customHeight="1">
      <c r="A35" s="34" t="inlineStr">
        <is>
          <t>Utenze con profili di accesso non rivisti nell'anno (%)</t>
        </is>
      </c>
      <c r="E35" s="35" t="n">
        <v>6</v>
      </c>
      <c r="F35" s="36" t="inlineStr">
        <is>
          <t>5 / 15</t>
        </is>
      </c>
      <c r="H35" s="37" t="inlineStr">
        <is>
          <t>Ambra</t>
        </is>
      </c>
    </row>
    <row r="36" ht="20" customHeight="1">
      <c r="A36" s="34" t="inlineStr">
        <is>
          <t>Accessi impropri accertati nel trimestre (n)</t>
        </is>
      </c>
      <c r="E36" s="35" t="n">
        <v>0</v>
      </c>
      <c r="F36" s="36" t="inlineStr">
        <is>
          <t>1 / 3</t>
        </is>
      </c>
      <c r="H36" s="38" t="inlineStr">
        <is>
          <t>Verde</t>
        </is>
      </c>
    </row>
    <row r="38">
      <c r="A38" s="19" t="inlineStr">
        <is>
          <t>Andamento negli ultimi trimestri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39" t="inlineStr">
        <is>
          <t>Ciclo</t>
        </is>
      </c>
      <c r="B39" s="39" t="inlineStr">
        <is>
          <t>Sev</t>
        </is>
      </c>
      <c r="C39" s="39" t="inlineStr">
        <is>
          <t>Prob</t>
        </is>
      </c>
      <c r="D39" s="39" t="inlineStr">
        <is>
          <t>Gap</t>
        </is>
      </c>
      <c r="E39" s="39" t="inlineStr">
        <is>
          <t>Vel</t>
        </is>
      </c>
      <c r="F39" s="39" t="inlineStr">
        <is>
          <t>Pross</t>
        </is>
      </c>
      <c r="G39" s="39" t="inlineStr">
        <is>
          <t>Conf</t>
        </is>
      </c>
      <c r="H39" s="39" t="inlineStr">
        <is>
          <t>Score</t>
        </is>
      </c>
    </row>
    <row r="40">
      <c r="A40" s="40" t="inlineStr">
        <is>
          <t>2025Q4</t>
        </is>
      </c>
      <c r="B40" s="41" t="n">
        <v>3</v>
      </c>
      <c r="C40" s="52" t="n">
        <v>2</v>
      </c>
      <c r="D40" s="41" t="n">
        <v>3</v>
      </c>
      <c r="E40" s="41" t="n">
        <v>3</v>
      </c>
      <c r="F40" s="41" t="n">
        <v>3</v>
      </c>
      <c r="G40" s="43" t="n">
        <v>3</v>
      </c>
      <c r="H40" s="44" t="n">
        <v>2.8</v>
      </c>
    </row>
    <row r="41">
      <c r="A41" s="40" t="inlineStr">
        <is>
          <t>2026Q1</t>
        </is>
      </c>
      <c r="B41" s="41" t="n">
        <v>3</v>
      </c>
      <c r="C41" s="52" t="n">
        <v>2</v>
      </c>
      <c r="D41" s="41" t="n">
        <v>3</v>
      </c>
      <c r="E41" s="41" t="n">
        <v>3</v>
      </c>
      <c r="F41" s="41" t="n">
        <v>3</v>
      </c>
      <c r="G41" s="43" t="n">
        <v>3</v>
      </c>
      <c r="H41" s="44" t="n">
        <v>2.8</v>
      </c>
    </row>
    <row r="42">
      <c r="A42" s="40" t="inlineStr">
        <is>
          <t>2026Q2</t>
        </is>
      </c>
      <c r="B42" s="41" t="n">
        <v>3</v>
      </c>
      <c r="C42" s="52" t="n">
        <v>2</v>
      </c>
      <c r="D42" s="41" t="n">
        <v>3</v>
      </c>
      <c r="E42" s="41" t="n">
        <v>3</v>
      </c>
      <c r="F42" s="41" t="n">
        <v>3</v>
      </c>
      <c r="G42" s="43" t="n">
        <v>3</v>
      </c>
      <c r="H42" s="44" t="n">
        <v>2.8</v>
      </c>
    </row>
    <row r="56" ht="26" customHeight="1">
      <c r="A56" s="46" t="inlineStr">
        <is>
          <t>Legenda — Sev = Severity, Prob = Probabilita, Gap = Gap_Controlli, Vel = Velocity, Pross = Prossimita, Conf = Confidence (fuori dallo score). X = anni per decidere e avviare la mitigazione (un trimestre); Y = anni per mitigare (azioni o adeguamento strutturale); Z = anni prima che il rischio possa manifestarsi (dalla Prossimita); AGIRE ORA = X + Y &gt; Z. KRI = indicatore di rischio.</t>
        </is>
      </c>
    </row>
  </sheetData>
  <mergeCells count="38">
    <mergeCell ref="A25:C25"/>
    <mergeCell ref="C10:H10"/>
    <mergeCell ref="A30:H30"/>
    <mergeCell ref="G2:H2"/>
    <mergeCell ref="A35:D35"/>
    <mergeCell ref="A24:H24"/>
    <mergeCell ref="C9:H9"/>
    <mergeCell ref="F34:G34"/>
    <mergeCell ref="F26:H26"/>
    <mergeCell ref="A27:C27"/>
    <mergeCell ref="A1:H1"/>
    <mergeCell ref="C12:H12"/>
    <mergeCell ref="A26:C26"/>
    <mergeCell ref="A6:H6"/>
    <mergeCell ref="A2:F2"/>
    <mergeCell ref="C11:H11"/>
    <mergeCell ref="A34:D34"/>
    <mergeCell ref="F27:H27"/>
    <mergeCell ref="F36:G36"/>
    <mergeCell ref="A3:B3"/>
    <mergeCell ref="F35:G35"/>
    <mergeCell ref="A36:D36"/>
    <mergeCell ref="A18:H18"/>
    <mergeCell ref="A56:H56"/>
    <mergeCell ref="A21:H21"/>
    <mergeCell ref="C13:H13"/>
    <mergeCell ref="A5:H5"/>
    <mergeCell ref="A32:H32"/>
    <mergeCell ref="A8:H8"/>
    <mergeCell ref="A22:H22"/>
    <mergeCell ref="C15:H15"/>
    <mergeCell ref="F25:H25"/>
    <mergeCell ref="A29:H29"/>
    <mergeCell ref="C14:H14"/>
    <mergeCell ref="A38:H38"/>
    <mergeCell ref="A19:H19"/>
    <mergeCell ref="C3:D3"/>
    <mergeCell ref="E3:F3"/>
  </mergeCells>
  <pageMargins left="0.75" right="0.75" top="1" bottom="1" header="0.5" footer="0.5"/>
  <pageSetup orientation="portrait" paperSize="9" fitToHeight="0" fitToWidth="1"/>
  <headerFooter>
    <oddHeader/>
    <oddFooter>&amp;LAnteprima di stile — dati di esempio&amp;RPagina &amp;P di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2026-09-25T13:04:55Z</dcterms:created>
  <dcterms:modified xmlns:dcterms="http://purl.org/dc/terms/" xmlns:xsi="http://www.w3.org/2001/XMLSchema-instance" xsi:type="dcterms:W3CDTF">2026-09-25T13:04:55Z</dcterms:modified>
</cp:coreProperties>
</file>