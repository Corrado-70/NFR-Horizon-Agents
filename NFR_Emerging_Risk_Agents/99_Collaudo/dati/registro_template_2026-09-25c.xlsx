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gra\Documents\NFR Horizon Agents\Demo_W1_W2\"/>
    </mc:Choice>
  </mc:AlternateContent>
  <xr:revisionPtr revIDLastSave="0" documentId="13_ncr:1_{C23298F3-5E7E-43A1-80D6-FE3D2CEFD12A}" xr6:coauthVersionLast="47" xr6:coauthVersionMax="47" xr10:uidLastSave="{00000000-0000-0000-0000-000000000000}"/>
  <bookViews>
    <workbookView xWindow="4500" yWindow="2854" windowWidth="26794" windowHeight="15660" activeTab="1" xr2:uid="{00000000-000D-0000-FFFF-FFFF00000000}"/>
  </bookViews>
  <sheets>
    <sheet name="Guida" sheetId="1" r:id="rId1"/>
    <sheet name="Quadro" sheetId="2" r:id="rId2"/>
    <sheet name="Classifica" sheetId="3" r:id="rId3"/>
    <sheet name="Radar_Mosca" sheetId="4" r:id="rId4"/>
    <sheet name="Matrice" sheetId="5" r:id="rId5"/>
    <sheet name="Delta" sheetId="6" r:id="rId6"/>
    <sheet name="Metodologia" sheetId="7" r:id="rId7"/>
    <sheet name="Registro" sheetId="8" r:id="rId8"/>
    <sheet name="Storico" sheetId="9" r:id="rId9"/>
    <sheet name="Indicatori" sheetId="10" r:id="rId10"/>
    <sheet name="Notizie" sheetId="11" r:id="rId11"/>
    <sheet name="Piano_azioni" sheetId="12" r:id="rId12"/>
    <sheet name="Validazione" sheetId="13" r:id="rId13"/>
    <sheet name="Parametri" sheetId="14" r:id="rId14"/>
    <sheet name="Dizionario" sheetId="15" r:id="rId15"/>
    <sheet name="RiskRegister" sheetId="16" r:id="rId16"/>
    <sheet name="Azioni" sheetId="17" r:id="rId17"/>
    <sheet name="KRI" sheetId="18" r:id="rId18"/>
    <sheet name="NewsLog" sheetId="19" r:id="rId19"/>
    <sheet name="Sintesi_Cicli" sheetId="20" r:id="rId20"/>
  </sheets>
  <definedNames>
    <definedName name="ANA_Anni_Adeguamento">Parametri!$M$4:$M$18</definedName>
    <definedName name="ANA_Attenzione_Supervisore">Parametri!$N$4:$N$18</definedName>
    <definedName name="ANA_Driver">Parametri!$K$4:$K$18</definedName>
    <definedName name="ANA_Event_Type">Parametri!$J$4:$J$18</definedName>
    <definedName name="ANA_ID">Parametri!$H$4:$H$18</definedName>
    <definedName name="ANA_Nome">Parametri!$I$4:$I$18</definedName>
    <definedName name="ANA_Owner">Parametri!$L$4:$L$18</definedName>
    <definedName name="anagrafica">Parametri!$H$4:$N$18</definedName>
    <definedName name="anniProssimita">Parametri!$B$51:$B$55</definedName>
    <definedName name="_xlnm.Print_Area" localSheetId="2">Classifica!$A$1:$K$49</definedName>
    <definedName name="_xlnm.Print_Area" localSheetId="5">Delta!$A$1:$Q$42</definedName>
    <definedName name="_xlnm.Print_Area" localSheetId="4">Matrice!$A$1:$G$32</definedName>
    <definedName name="_xlnm.Print_Area" localSheetId="6">Metodologia!$A$1:$B$106</definedName>
    <definedName name="_xlnm.Print_Area" localSheetId="1">Quadro!$A$1:$O$61</definedName>
    <definedName name="_xlnm.Print_Area" localSheetId="3">Radar_Mosca!$A$1:$L$59</definedName>
    <definedName name="AZ_Ciclo">Azioni!$A$6:$A$20015</definedName>
    <definedName name="AZ_Data_Decisione">Azioni!$K$6:$K$20015</definedName>
    <definedName name="AZ_Decisa_Da">Azioni!$L$6:$L$20015</definedName>
    <definedName name="AZ_Descrizione">Azioni!$D$6:$D$20015</definedName>
    <definedName name="AZ_Dimensione">Azioni!$F$6:$F$20015</definedName>
    <definedName name="AZ_ID_Azione">Azioni!$C$6:$C$20015</definedName>
    <definedName name="AZ_ID_Rischio">Azioni!$B$6:$B$20015</definedName>
    <definedName name="AZ_Mesi_Orizzonte">Azioni!$H$6:$H$20015</definedName>
    <definedName name="AZ_Orizzonte">Azioni!$G$6:$G$20015</definedName>
    <definedName name="AZ_Owner">Azioni!$E$6:$E$20015</definedName>
    <definedName name="AZ_Razionale">Azioni!$I$6:$I$20015</definedName>
    <definedName name="AZ_Stato">Azioni!$J$6:$J$20015</definedName>
    <definedName name="AZ_Validazione">Azioni!$M$6:$M$20015</definedName>
    <definedName name="capienzaElencoKRI">150</definedName>
    <definedName name="capienzaKRICorrenti">60</definedName>
    <definedName name="capienzaPianoAzioni">150</definedName>
    <definedName name="cicliTrend">Parametri!$B$20:$B$27</definedName>
    <definedName name="cicloCorrente">Parametri!$B$15</definedName>
    <definedName name="cicloMeno2">Parametri!$B$17</definedName>
    <definedName name="cicloPrecedente">Parametri!$B$16</definedName>
    <definedName name="classificaAgire">OFFSET(Classifica!$V$5,0,0,MAX(1,COUNT(Classifica!$D$5:$D$19)),1)</definedName>
    <definedName name="classificaEntro">OFFSET(Classifica!$W$5,0,0,MAX(1,COUNT(Classifica!$D$5:$D$19)),1)</definedName>
    <definedName name="classificaEtichette">OFFSET(Classifica!$K$5,0,0,MAX(1,COUNT(Classifica!$D$5:$D$19)),1)</definedName>
    <definedName name="classificaID">OFFSET(Classifica!$B$5,0,0,MAX(1,COUNT(Classifica!$D$5:$D$19)),1)</definedName>
    <definedName name="classificaMargine">OFFSET(Classifica!$X$5,0,0,MAX(1,COUNT(Classifica!$D$5:$D$19)),1)</definedName>
    <definedName name="codiciL1">Parametri!$E$4:$E$10</definedName>
    <definedName name="coperturaAnagrafica">Registro!$D$5</definedName>
    <definedName name="coperturaValutati">Registro!$G$5</definedName>
    <definedName name="decisioniDaPrendere">Registro!$D$4</definedName>
    <definedName name="deltaEtichette">OFFSET(Delta!$AN$5,0,0,MAX(1,COUNT(Delta!$AK$5:$AK$19)),1)</definedName>
    <definedName name="deltaGiu">OFFSET(Delta!$AP$5,0,0,MAX(1,COUNT(Delta!$AK$5:$AK$19)),1)</definedName>
    <definedName name="deltaMotivi">Delta!$K$6:$Q$20</definedName>
    <definedName name="deltaSu">OFFSET(Delta!$AO$5,0,0,MAX(1,COUNT(Delta!$AK$5:$AK$19)),1)</definedName>
    <definedName name="deltaZero">OFFSET(Delta!$AQ$5,0,0,MAX(1,COUNT(Delta!$AK$5:$AK$19)),1)</definedName>
    <definedName name="elencoKRI">OFFSET(Indicatori!$AB$12,0,0,MAX(1,COUNTIF(Indicatori!$AB$12:$AB$161,"?*")),1)</definedName>
    <definedName name="etichettaCiclo">Parametri!$B$57</definedName>
    <definedName name="inizioFinestra4">Parametri!$B$31</definedName>
    <definedName name="KRI_Chiave">KRI!$R$6:$R$20037</definedName>
    <definedName name="KRI_Ciclo">KRI!$A$6:$A$20037</definedName>
    <definedName name="KRI_Ciclo_Aggiornamento">KRI!$P$6:$P$20037</definedName>
    <definedName name="KRI_Ciclo_Definizione">KRI!$O$6:$O$20037</definedName>
    <definedName name="KRI_Data_Rilevazione">KRI!$J$6:$J$20037</definedName>
    <definedName name="KRI_Fonte_Dati">KRI!$F$6:$F$20037</definedName>
    <definedName name="KRI_Fonte_Rilevazione">KRI!$K$6:$K$20037</definedName>
    <definedName name="KRI_ID_Rischio">KRI!$C$6:$C$20037</definedName>
    <definedName name="KRI_In_Vigore">KRI!$N$6:$N$20037</definedName>
    <definedName name="KRI_KRI_ID">KRI!$B$6:$B$20037</definedName>
    <definedName name="KRI_Nome">KRI!$D$6:$D$20037</definedName>
    <definedName name="KRI_Nota_Rilevazione">KRI!$L$6:$L$20037</definedName>
    <definedName name="KRI_Razionale">KRI!$Q$6:$Q$20037</definedName>
    <definedName name="KRI_Soglia_Allerta">KRI!$H$6:$H$20037</definedName>
    <definedName name="KRI_Soglia_Attenzione">KRI!$G$6:$G$20037</definedName>
    <definedName name="KRI_Stato">KRI!$M$6:$M$20037</definedName>
    <definedName name="KRI_Unita">KRI!$E$6:$E$20037</definedName>
    <definedName name="KRI_Validazione">KRI!$S$6:$S$20037</definedName>
    <definedName name="KRI_Valore_Corrente">KRI!$I$6:$I$20037</definedName>
    <definedName name="lenteEtichette">OFFSET(Classifica!$AF$5,0,0,MAX(1,COUNT(Classifica!$D$5:$D$19)),1)</definedName>
    <definedName name="lenteX">OFFSET(Classifica!$AG$5,0,0,MAX(1,COUNT(Classifica!$D$5:$D$19)),1)</definedName>
    <definedName name="lenteY">OFFSET(Classifica!$AH$5,0,0,MAX(1,COUNT(Classifica!$D$5:$D$19)),1)</definedName>
    <definedName name="lenteYOltre">OFFSET(Classifica!$AI$5,0,0,MAX(1,COUNT(Classifica!$D$5:$D$19)),1)</definedName>
    <definedName name="lenteZ">OFFSET(Classifica!$AJ$5,0,0,MAX(1,COUNT(Classifica!$D$5:$D$19)),1)</definedName>
    <definedName name="moscaX">Parametri!$B$48</definedName>
    <definedName name="moscaYDefault">Parametri!$B$49</definedName>
    <definedName name="NW_Codice_Fonte">NewsLog!$F$6:$F$20000</definedName>
    <definedName name="NW_Data">NewsLog!$A$6:$A$20000</definedName>
    <definedName name="NW_Fonte">NewsLog!$E$6:$E$20000</definedName>
    <definedName name="NW_ID_Notizia">NewsLog!$C$6:$C$20000</definedName>
    <definedName name="NW_Imp_L1_01">NewsLog!$I$6:$I$20000</definedName>
    <definedName name="NW_Imp_L1_02">NewsLog!$J$6:$J$20000</definedName>
    <definedName name="NW_Imp_L1_03">NewsLog!$K$6:$K$20000</definedName>
    <definedName name="NW_Imp_L1_04">NewsLog!$L$6:$L$20000</definedName>
    <definedName name="NW_Imp_L1_05">NewsLog!$M$6:$M$20000</definedName>
    <definedName name="NW_Imp_L1_06">NewsLog!$N$6:$N$20000</definedName>
    <definedName name="NW_Imp_L1_07">NewsLog!$O$6:$O$20000</definedName>
    <definedName name="NW_Rischio_ID">NewsLog!$G$6:$G$20000</definedName>
    <definedName name="NW_Segnale">NewsLog!$H$6:$H$20000</definedName>
    <definedName name="NW_Settimana">NewsLog!$B$6:$B$20000</definedName>
    <definedName name="NW_Sintesi">NewsLog!$P$6:$P$20000</definedName>
    <definedName name="NW_Titolo">NewsLog!$D$6:$D$20000</definedName>
    <definedName name="NW_Validazione">NewsLog!$Q$6:$Q$20000</definedName>
    <definedName name="pesoGap">Parametri!$B$7</definedName>
    <definedName name="pesoProbabilita">Parametri!$B$8</definedName>
    <definedName name="pesoProssimita">Parametri!$B$6</definedName>
    <definedName name="pesoSeverity">Parametri!$B$4</definedName>
    <definedName name="pesoVelocity">Parametri!$B$5</definedName>
    <definedName name="posBadge">Registro!$AM$9:$AM$23</definedName>
    <definedName name="posConfidence">Registro!$AK$9:$AK$23</definedName>
    <definedName name="posGap">Registro!$AF$9:$AF$23</definedName>
    <definedName name="posID">Registro!$AA$9:$AA$23</definedName>
    <definedName name="posNetti">Registro!$AL$9:$AL$23</definedName>
    <definedName name="posNome">Registro!$AB$9:$AB$23</definedName>
    <definedName name="posProbabilita">Registro!$AG$9:$AG$23</definedName>
    <definedName name="posProssimita">Registro!$AE$9:$AE$23</definedName>
    <definedName name="posScore">Registro!$AH$9:$AH$23</definedName>
    <definedName name="posScore2">Registro!$AJ$9:$AJ$23</definedName>
    <definedName name="posScorePrec">Registro!$AI$9:$AI$23</definedName>
    <definedName name="posSeverity">Registro!$AC$9:$AC$23</definedName>
    <definedName name="posVelocity">Registro!$AD$9:$AD$23</definedName>
    <definedName name="presidioCodici">Notizie!$A$5:$A$11</definedName>
    <definedName name="presidioStato">Notizie!$F$5:$F$11</definedName>
    <definedName name="quadroCommento">Quadro!$A$36:$O$39</definedName>
    <definedName name="quadroSegnalati">Quadro!$A$44:$O$58</definedName>
    <definedName name="rettificheApplicate">Registro!$G$4</definedName>
    <definedName name="rmID">Radar_Mosca!$A$5:$A$19</definedName>
    <definedName name="rmMargine">Radar_Mosca!$K$5:$K$19</definedName>
    <definedName name="rmPxI">Radar_Mosca!$F$5:$F$19</definedName>
    <definedName name="rmUrgenza">Radar_Mosca!$L$5:$L$19</definedName>
    <definedName name="rmX">Radar_Mosca!$I$5:$I$19</definedName>
    <definedName name="rmY">Radar_Mosca!$J$5:$J$19</definedName>
    <definedName name="rmZ">Radar_Mosca!$H$5:$H$19</definedName>
    <definedName name="RR_Approvato_Da">RiskRegister!$V$6:$V$20012</definedName>
    <definedName name="RR_Chiave">RiskRegister!$T$6:$T$20012</definedName>
    <definedName name="RR_Ciclo">RiskRegister!$A$6:$A$20012</definedName>
    <definedName name="RR_Confidence">RiskRegister!$L$6:$L$20012</definedName>
    <definedName name="RR_Data_Riferimento">RiskRegister!$B$6:$B$20012</definedName>
    <definedName name="RR_Data_Scrittura">RiskRegister!$U$6:$U$20012</definedName>
    <definedName name="RR_Data_Validazione">RiskRegister!$X$6:$X$20012</definedName>
    <definedName name="RR_Descrizione">RiskRegister!$O$6:$O$20012</definedName>
    <definedName name="RR_Driver">RiskRegister!$F$6:$F$20012</definedName>
    <definedName name="RR_Esito">RiskRegister!$N$6:$N$20012</definedName>
    <definedName name="RR_Event_Type">RiskRegister!$E$6:$E$20012</definedName>
    <definedName name="RR_Fonti">RiskRegister!$R$6:$R$20012</definedName>
    <definedName name="RR_Gap_Controlli">RiskRegister!$J$6:$J$20012</definedName>
    <definedName name="RR_ID_Rischio">RiskRegister!$C$6:$C$20012</definedName>
    <definedName name="RR_Nome">RiskRegister!$D$6:$D$20012</definedName>
    <definedName name="RR_Owner">RiskRegister!$S$6:$S$20012</definedName>
    <definedName name="RR_Probabilita">RiskRegister!$M$6:$M$20012</definedName>
    <definedName name="RR_Prossimita">RiskRegister!$I$6:$I$20012</definedName>
    <definedName name="RR_Razionale">RiskRegister!$P$6:$P$20012</definedName>
    <definedName name="RR_Score_Composito">RiskRegister!$K$6:$K$20012</definedName>
    <definedName name="RR_Severity">RiskRegister!$G$6:$G$20012</definedName>
    <definedName name="RR_Validazione">RiskRegister!$W$6:$W$20012</definedName>
    <definedName name="RR_Variazioni">RiskRegister!$Q$6:$Q$20012</definedName>
    <definedName name="RR_Velocity">RiskRegister!$H$6:$H$20012</definedName>
    <definedName name="settimanaCorrente">Parametri!$B$30</definedName>
    <definedName name="settimane12">Parametri!$B$34:$B$45</definedName>
    <definedName name="SI_Ciclo">Sintesi_Cicli!$A$6:$A$20001</definedName>
    <definedName name="SI_Data_Riferimento">Sintesi_Cicli!$B$6:$B$20001</definedName>
    <definedName name="SI_Data_Scrittura">Sintesi_Cicli!$F$6:$F$20001</definedName>
    <definedName name="SI_Osservazioni_Controlli">Sintesi_Cicli!$E$6:$E$20001</definedName>
    <definedName name="SI_Sintesi_A1">Sintesi_Cicli!$C$6:$C$20001</definedName>
    <definedName name="SI_Sintesi_A5">Sintesi_Cicli!$D$6:$D$20001</definedName>
    <definedName name="sogliaDelta">Parametri!$B$12</definedName>
    <definedName name="sogliaDirezione">Parametri!$B$11</definedName>
    <definedName name="statoCopertura">Registro!$H$5</definedName>
    <definedName name="statoValidazione">Registro!$H$4</definedName>
    <definedName name="VAL_Campo">Validazione!$E$6:$E$20213</definedName>
    <definedName name="VAL_Data_Validazione">Validazione!$K$6:$K$20213</definedName>
    <definedName name="VAL_Decisione">Validazione!$G$6:$G$20213</definedName>
    <definedName name="VAL_ID">Validazione!$C$6:$C$20213</definedName>
    <definedName name="VAL_Motivazione">Validazione!$I$6:$I$20213</definedName>
    <definedName name="VAL_Nome">Validazione!$D$6:$D$20213</definedName>
    <definedName name="VAL_Oggetto">Validazione!$B$6:$B$20213</definedName>
    <definedName name="VAL_Periodo">Validazione!$A$6:$A$20213</definedName>
    <definedName name="VAL_Proposta_Agente">Validazione!$F$6:$F$20213</definedName>
    <definedName name="VAL_Stato">Validazione!$L$6:$L$20213</definedName>
    <definedName name="VAL_Validato_Da">Validazione!$J$6:$J$20213</definedName>
    <definedName name="VAL_Valore_Validato">Validazione!$H$6:$H$20213</definedName>
    <definedName name="versioneTemplate">"2026-09-25c"</definedName>
  </definedNames>
  <calcPr calcId="191029"/>
</workbook>
</file>

<file path=xl/calcChain.xml><?xml version="1.0" encoding="utf-8"?>
<calcChain xmlns="http://schemas.openxmlformats.org/spreadsheetml/2006/main">
  <c r="H32" i="17" l="1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T50" i="16"/>
  <c r="K50" i="16"/>
  <c r="T49" i="16"/>
  <c r="K49" i="16"/>
  <c r="T48" i="16"/>
  <c r="K48" i="16"/>
  <c r="T47" i="16"/>
  <c r="K47" i="16"/>
  <c r="T46" i="16"/>
  <c r="K46" i="16"/>
  <c r="T45" i="16"/>
  <c r="K45" i="16"/>
  <c r="T44" i="16"/>
  <c r="K44" i="16"/>
  <c r="T43" i="16"/>
  <c r="K43" i="16"/>
  <c r="T42" i="16"/>
  <c r="K42" i="16"/>
  <c r="T41" i="16"/>
  <c r="K41" i="16"/>
  <c r="T40" i="16"/>
  <c r="K40" i="16"/>
  <c r="T39" i="16"/>
  <c r="K39" i="16"/>
  <c r="R141" i="18"/>
  <c r="M141" i="18"/>
  <c r="R140" i="18"/>
  <c r="M140" i="18"/>
  <c r="R139" i="18"/>
  <c r="M139" i="18"/>
  <c r="R138" i="18"/>
  <c r="M138" i="18"/>
  <c r="R137" i="18"/>
  <c r="M137" i="18"/>
  <c r="R136" i="18"/>
  <c r="M136" i="18"/>
  <c r="R135" i="18"/>
  <c r="M135" i="18"/>
  <c r="R134" i="18"/>
  <c r="M134" i="18"/>
  <c r="R133" i="18"/>
  <c r="M133" i="18"/>
  <c r="R132" i="18"/>
  <c r="M132" i="18"/>
  <c r="R131" i="18"/>
  <c r="M131" i="18"/>
  <c r="R130" i="18"/>
  <c r="M130" i="18"/>
  <c r="R129" i="18"/>
  <c r="M129" i="18"/>
  <c r="R128" i="18"/>
  <c r="M128" i="18"/>
  <c r="R127" i="18"/>
  <c r="M127" i="18"/>
  <c r="R126" i="18"/>
  <c r="M126" i="18"/>
  <c r="R125" i="18"/>
  <c r="M125" i="18"/>
  <c r="R124" i="18"/>
  <c r="M124" i="18"/>
  <c r="R123" i="18"/>
  <c r="M123" i="18"/>
  <c r="R122" i="18"/>
  <c r="M122" i="18"/>
  <c r="R121" i="18"/>
  <c r="M121" i="18"/>
  <c r="R120" i="18"/>
  <c r="M120" i="18"/>
  <c r="R119" i="18"/>
  <c r="M119" i="18"/>
  <c r="R118" i="18"/>
  <c r="M118" i="18"/>
  <c r="R117" i="18"/>
  <c r="M117" i="18"/>
  <c r="R116" i="18"/>
  <c r="M116" i="18"/>
  <c r="R115" i="18"/>
  <c r="M115" i="18"/>
  <c r="R114" i="18"/>
  <c r="M114" i="18"/>
  <c r="R113" i="18"/>
  <c r="M113" i="18"/>
  <c r="R112" i="18"/>
  <c r="M112" i="18"/>
  <c r="R111" i="18"/>
  <c r="M111" i="18"/>
  <c r="R110" i="18"/>
  <c r="M110" i="18"/>
  <c r="R109" i="18"/>
  <c r="M109" i="18"/>
  <c r="R108" i="18"/>
  <c r="M108" i="18"/>
  <c r="R107" i="18"/>
  <c r="M107" i="18"/>
  <c r="R106" i="18"/>
  <c r="M106" i="18"/>
  <c r="R105" i="18"/>
  <c r="M105" i="18"/>
  <c r="B15" i="19"/>
  <c r="B14" i="19"/>
  <c r="B13" i="19"/>
  <c r="B12" i="19"/>
  <c r="B11" i="19"/>
  <c r="B10" i="19"/>
  <c r="B9" i="19"/>
  <c r="B8" i="19"/>
  <c r="B7" i="19"/>
  <c r="B6" i="19"/>
  <c r="R104" i="18"/>
  <c r="M104" i="18"/>
  <c r="R103" i="18"/>
  <c r="M103" i="18"/>
  <c r="R102" i="18"/>
  <c r="M102" i="18"/>
  <c r="R101" i="18"/>
  <c r="M101" i="18"/>
  <c r="R100" i="18"/>
  <c r="M100" i="18"/>
  <c r="R99" i="18"/>
  <c r="M99" i="18"/>
  <c r="R98" i="18"/>
  <c r="M98" i="18"/>
  <c r="R97" i="18"/>
  <c r="M97" i="18"/>
  <c r="R96" i="18"/>
  <c r="M96" i="18"/>
  <c r="R95" i="18"/>
  <c r="M95" i="18"/>
  <c r="R94" i="18"/>
  <c r="M94" i="18"/>
  <c r="R93" i="18"/>
  <c r="M93" i="18"/>
  <c r="R92" i="18"/>
  <c r="M92" i="18"/>
  <c r="R91" i="18"/>
  <c r="M91" i="18"/>
  <c r="R90" i="18"/>
  <c r="M90" i="18"/>
  <c r="R89" i="18"/>
  <c r="M89" i="18"/>
  <c r="R88" i="18"/>
  <c r="M88" i="18"/>
  <c r="R87" i="18"/>
  <c r="M87" i="18"/>
  <c r="R86" i="18"/>
  <c r="M86" i="18"/>
  <c r="R85" i="18"/>
  <c r="M85" i="18"/>
  <c r="R84" i="18"/>
  <c r="M84" i="18"/>
  <c r="R83" i="18"/>
  <c r="M83" i="18"/>
  <c r="R82" i="18"/>
  <c r="M82" i="18"/>
  <c r="R81" i="18"/>
  <c r="M81" i="18"/>
  <c r="R80" i="18"/>
  <c r="M80" i="18"/>
  <c r="R79" i="18"/>
  <c r="M79" i="18"/>
  <c r="R78" i="18"/>
  <c r="M78" i="18"/>
  <c r="R77" i="18"/>
  <c r="M77" i="18"/>
  <c r="R76" i="18"/>
  <c r="M76" i="18"/>
  <c r="R75" i="18"/>
  <c r="M75" i="18"/>
  <c r="R74" i="18"/>
  <c r="M74" i="18"/>
  <c r="R73" i="18"/>
  <c r="M73" i="18"/>
  <c r="R72" i="18"/>
  <c r="M72" i="18"/>
  <c r="R71" i="18"/>
  <c r="M71" i="18"/>
  <c r="R70" i="18"/>
  <c r="M70" i="18"/>
  <c r="R69" i="18"/>
  <c r="M69" i="18"/>
  <c r="R68" i="18"/>
  <c r="M68" i="18"/>
  <c r="R67" i="18"/>
  <c r="M67" i="18"/>
  <c r="R66" i="18"/>
  <c r="M66" i="18"/>
  <c r="R65" i="18"/>
  <c r="M65" i="18"/>
  <c r="R64" i="18"/>
  <c r="M64" i="18"/>
  <c r="R63" i="18"/>
  <c r="M63" i="18"/>
  <c r="R62" i="18"/>
  <c r="M62" i="18"/>
  <c r="R61" i="18"/>
  <c r="M61" i="18"/>
  <c r="R60" i="18"/>
  <c r="M60" i="18"/>
  <c r="R59" i="18"/>
  <c r="M59" i="18"/>
  <c r="R58" i="18"/>
  <c r="M58" i="18"/>
  <c r="R57" i="18"/>
  <c r="M57" i="18"/>
  <c r="R56" i="18"/>
  <c r="M56" i="18"/>
  <c r="R55" i="18"/>
  <c r="M55" i="18"/>
  <c r="R54" i="18"/>
  <c r="M54" i="18"/>
  <c r="R53" i="18"/>
  <c r="M53" i="18"/>
  <c r="R52" i="18"/>
  <c r="M52" i="18"/>
  <c r="R51" i="18"/>
  <c r="M51" i="18"/>
  <c r="R50" i="18"/>
  <c r="M50" i="18"/>
  <c r="R49" i="18"/>
  <c r="M49" i="18"/>
  <c r="R48" i="18"/>
  <c r="M48" i="18"/>
  <c r="R47" i="18"/>
  <c r="M47" i="18"/>
  <c r="R46" i="18"/>
  <c r="M46" i="18"/>
  <c r="R45" i="18"/>
  <c r="M45" i="18"/>
  <c r="R44" i="18"/>
  <c r="M44" i="18"/>
  <c r="R43" i="18"/>
  <c r="M43" i="18"/>
  <c r="R42" i="18"/>
  <c r="M42" i="18"/>
  <c r="R41" i="18"/>
  <c r="M41" i="18"/>
  <c r="R40" i="18"/>
  <c r="M40" i="18"/>
  <c r="R39" i="18"/>
  <c r="M39" i="18"/>
  <c r="R38" i="18"/>
  <c r="M38" i="18"/>
  <c r="R37" i="18"/>
  <c r="M37" i="18"/>
  <c r="R36" i="18"/>
  <c r="M36" i="18"/>
  <c r="R35" i="18"/>
  <c r="M35" i="18"/>
  <c r="R34" i="18"/>
  <c r="M34" i="18"/>
  <c r="R33" i="18"/>
  <c r="M33" i="18"/>
  <c r="R32" i="18"/>
  <c r="M32" i="18"/>
  <c r="R31" i="18"/>
  <c r="M31" i="18"/>
  <c r="R30" i="18"/>
  <c r="M30" i="18"/>
  <c r="R29" i="18"/>
  <c r="M29" i="18"/>
  <c r="R28" i="18"/>
  <c r="M28" i="18"/>
  <c r="R27" i="18"/>
  <c r="M27" i="18"/>
  <c r="R26" i="18"/>
  <c r="M26" i="18"/>
  <c r="R25" i="18"/>
  <c r="M25" i="18"/>
  <c r="R24" i="18"/>
  <c r="M24" i="18"/>
  <c r="R23" i="18"/>
  <c r="M23" i="18"/>
  <c r="R22" i="18"/>
  <c r="M22" i="18"/>
  <c r="R21" i="18"/>
  <c r="M21" i="18"/>
  <c r="R20" i="18"/>
  <c r="M20" i="18"/>
  <c r="R19" i="18"/>
  <c r="M19" i="18"/>
  <c r="R18" i="18"/>
  <c r="M18" i="18"/>
  <c r="R17" i="18"/>
  <c r="M17" i="18"/>
  <c r="R16" i="18"/>
  <c r="M16" i="18"/>
  <c r="R15" i="18"/>
  <c r="M15" i="18"/>
  <c r="R14" i="18"/>
  <c r="M14" i="18"/>
  <c r="R13" i="18"/>
  <c r="M13" i="18"/>
  <c r="R12" i="18"/>
  <c r="M12" i="18"/>
  <c r="R11" i="18"/>
  <c r="M11" i="18"/>
  <c r="R10" i="18"/>
  <c r="M10" i="18"/>
  <c r="R9" i="18"/>
  <c r="M9" i="18"/>
  <c r="R8" i="18"/>
  <c r="M8" i="18"/>
  <c r="R7" i="18"/>
  <c r="M7" i="18"/>
  <c r="R6" i="18"/>
  <c r="M6" i="18"/>
  <c r="H17" i="17"/>
  <c r="H16" i="17"/>
  <c r="H15" i="17"/>
  <c r="H14" i="17"/>
  <c r="H13" i="17"/>
  <c r="H12" i="17"/>
  <c r="H11" i="17"/>
  <c r="H10" i="17"/>
  <c r="H9" i="17"/>
  <c r="H8" i="17"/>
  <c r="H7" i="17"/>
  <c r="H6" i="17"/>
  <c r="T38" i="16"/>
  <c r="K38" i="16"/>
  <c r="T37" i="16"/>
  <c r="K37" i="16"/>
  <c r="T36" i="16"/>
  <c r="K36" i="16"/>
  <c r="T35" i="16"/>
  <c r="K35" i="16"/>
  <c r="T34" i="16"/>
  <c r="K34" i="16"/>
  <c r="T33" i="16"/>
  <c r="K33" i="16"/>
  <c r="T32" i="16"/>
  <c r="K32" i="16"/>
  <c r="T31" i="16"/>
  <c r="K31" i="16"/>
  <c r="T30" i="16"/>
  <c r="K30" i="16"/>
  <c r="T29" i="16"/>
  <c r="K29" i="16"/>
  <c r="T28" i="16"/>
  <c r="K28" i="16"/>
  <c r="T27" i="16"/>
  <c r="K27" i="16"/>
  <c r="T26" i="16"/>
  <c r="K26" i="16"/>
  <c r="T25" i="16"/>
  <c r="K25" i="16"/>
  <c r="T24" i="16"/>
  <c r="K24" i="16"/>
  <c r="T23" i="16"/>
  <c r="K23" i="16"/>
  <c r="T22" i="16"/>
  <c r="K22" i="16"/>
  <c r="T21" i="16"/>
  <c r="K21" i="16"/>
  <c r="T20" i="16"/>
  <c r="K20" i="16"/>
  <c r="T19" i="16"/>
  <c r="K19" i="16"/>
  <c r="T18" i="16"/>
  <c r="K18" i="16"/>
  <c r="T17" i="16"/>
  <c r="K17" i="16"/>
  <c r="T16" i="16"/>
  <c r="K16" i="16"/>
  <c r="T15" i="16"/>
  <c r="K15" i="16"/>
  <c r="T14" i="16"/>
  <c r="K14" i="16"/>
  <c r="T13" i="16"/>
  <c r="K13" i="16"/>
  <c r="T12" i="16"/>
  <c r="K12" i="16"/>
  <c r="T11" i="16"/>
  <c r="K11" i="16"/>
  <c r="T10" i="16"/>
  <c r="K10" i="16"/>
  <c r="T9" i="16"/>
  <c r="K9" i="16"/>
  <c r="T8" i="16"/>
  <c r="K8" i="16"/>
  <c r="T7" i="16"/>
  <c r="K7" i="16"/>
  <c r="T6" i="16"/>
  <c r="K6" i="16"/>
  <c r="B45" i="14"/>
  <c r="B44" i="14"/>
  <c r="B43" i="14"/>
  <c r="B42" i="14"/>
  <c r="B41" i="14"/>
  <c r="A24" i="11" s="1"/>
  <c r="B40" i="14"/>
  <c r="B39" i="14"/>
  <c r="B38" i="14"/>
  <c r="B37" i="14"/>
  <c r="B36" i="14"/>
  <c r="B35" i="14"/>
  <c r="B34" i="14"/>
  <c r="B31" i="14"/>
  <c r="B27" i="14"/>
  <c r="B26" i="14" s="1"/>
  <c r="B16" i="14"/>
  <c r="B17" i="14" s="1"/>
  <c r="B9" i="14"/>
  <c r="C9" i="14" s="1"/>
  <c r="B31" i="7" s="1"/>
  <c r="N155" i="12"/>
  <c r="K155" i="12" s="1"/>
  <c r="N154" i="12"/>
  <c r="K154" i="12" s="1"/>
  <c r="N153" i="12"/>
  <c r="K153" i="12" s="1"/>
  <c r="N152" i="12"/>
  <c r="K152" i="12" s="1"/>
  <c r="N151" i="12"/>
  <c r="N150" i="12"/>
  <c r="N149" i="12"/>
  <c r="N148" i="12"/>
  <c r="N147" i="12"/>
  <c r="K147" i="12" s="1"/>
  <c r="N146" i="12"/>
  <c r="N145" i="12"/>
  <c r="N144" i="12"/>
  <c r="N143" i="12"/>
  <c r="K143" i="12" s="1"/>
  <c r="N142" i="12"/>
  <c r="N141" i="12"/>
  <c r="N140" i="12"/>
  <c r="N139" i="12"/>
  <c r="K139" i="12" s="1"/>
  <c r="N138" i="12"/>
  <c r="N137" i="12"/>
  <c r="K137" i="12" s="1"/>
  <c r="N136" i="12"/>
  <c r="K136" i="12" s="1"/>
  <c r="N135" i="12"/>
  <c r="N134" i="12"/>
  <c r="K134" i="12" s="1"/>
  <c r="N133" i="12"/>
  <c r="K133" i="12" s="1"/>
  <c r="N132" i="12"/>
  <c r="N131" i="12"/>
  <c r="K131" i="12" s="1"/>
  <c r="N130" i="12"/>
  <c r="N129" i="12"/>
  <c r="N128" i="12"/>
  <c r="K128" i="12" s="1"/>
  <c r="N127" i="12"/>
  <c r="I127" i="12" s="1"/>
  <c r="N126" i="12"/>
  <c r="N125" i="12"/>
  <c r="N124" i="12"/>
  <c r="N123" i="12"/>
  <c r="I123" i="12" s="1"/>
  <c r="J123" i="12" s="1"/>
  <c r="N122" i="12"/>
  <c r="N121" i="12"/>
  <c r="K121" i="12" s="1"/>
  <c r="N120" i="12"/>
  <c r="D120" i="12" s="1"/>
  <c r="N119" i="12"/>
  <c r="K119" i="12" s="1"/>
  <c r="N118" i="12"/>
  <c r="N117" i="12"/>
  <c r="K117" i="12" s="1"/>
  <c r="N116" i="12"/>
  <c r="N115" i="12"/>
  <c r="N114" i="12"/>
  <c r="N113" i="12"/>
  <c r="K113" i="12" s="1"/>
  <c r="N112" i="12"/>
  <c r="N111" i="12"/>
  <c r="N110" i="12"/>
  <c r="N109" i="12"/>
  <c r="N108" i="12"/>
  <c r="N107" i="12"/>
  <c r="N106" i="12"/>
  <c r="N105" i="12"/>
  <c r="N104" i="12"/>
  <c r="A104" i="12" s="1"/>
  <c r="N103" i="12"/>
  <c r="E103" i="12" s="1"/>
  <c r="N102" i="12"/>
  <c r="I102" i="12" s="1"/>
  <c r="J102" i="12" s="1"/>
  <c r="N101" i="12"/>
  <c r="I101" i="12" s="1"/>
  <c r="N100" i="12"/>
  <c r="K100" i="12" s="1"/>
  <c r="N99" i="12"/>
  <c r="I99" i="12" s="1"/>
  <c r="N98" i="12"/>
  <c r="K98" i="12" s="1"/>
  <c r="N97" i="12"/>
  <c r="D97" i="12" s="1"/>
  <c r="N96" i="12"/>
  <c r="I96" i="12" s="1"/>
  <c r="N95" i="12"/>
  <c r="N94" i="12"/>
  <c r="K94" i="12" s="1"/>
  <c r="N93" i="12"/>
  <c r="I93" i="12" s="1"/>
  <c r="N92" i="12"/>
  <c r="E92" i="12" s="1"/>
  <c r="N91" i="12"/>
  <c r="I91" i="12" s="1"/>
  <c r="J91" i="12" s="1"/>
  <c r="N90" i="12"/>
  <c r="I90" i="12" s="1"/>
  <c r="J90" i="12" s="1"/>
  <c r="N89" i="12"/>
  <c r="N88" i="12"/>
  <c r="I88" i="12" s="1"/>
  <c r="J88" i="12" s="1"/>
  <c r="N87" i="12"/>
  <c r="A87" i="12" s="1"/>
  <c r="N86" i="12"/>
  <c r="E86" i="12" s="1"/>
  <c r="N85" i="12"/>
  <c r="K85" i="12" s="1"/>
  <c r="N84" i="12"/>
  <c r="I84" i="12" s="1"/>
  <c r="N83" i="12"/>
  <c r="I83" i="12" s="1"/>
  <c r="N82" i="12"/>
  <c r="D82" i="12" s="1"/>
  <c r="N81" i="12"/>
  <c r="E81" i="12" s="1"/>
  <c r="N80" i="12"/>
  <c r="I80" i="12" s="1"/>
  <c r="J80" i="12" s="1"/>
  <c r="N79" i="12"/>
  <c r="N78" i="12"/>
  <c r="I78" i="12" s="1"/>
  <c r="J78" i="12" s="1"/>
  <c r="N77" i="12"/>
  <c r="N76" i="12"/>
  <c r="E76" i="12" s="1"/>
  <c r="N75" i="12"/>
  <c r="A75" i="12" s="1"/>
  <c r="N74" i="12"/>
  <c r="A74" i="12" s="1"/>
  <c r="N73" i="12"/>
  <c r="N72" i="12"/>
  <c r="N71" i="12"/>
  <c r="F71" i="12" s="1"/>
  <c r="N70" i="12"/>
  <c r="I70" i="12" s="1"/>
  <c r="J70" i="12" s="1"/>
  <c r="N69" i="12"/>
  <c r="I69" i="12" s="1"/>
  <c r="N68" i="12"/>
  <c r="I68" i="12" s="1"/>
  <c r="N67" i="12"/>
  <c r="N66" i="12"/>
  <c r="H66" i="12" s="1"/>
  <c r="N65" i="12"/>
  <c r="N64" i="12"/>
  <c r="F64" i="12" s="1"/>
  <c r="N63" i="12"/>
  <c r="G63" i="12" s="1"/>
  <c r="N62" i="12"/>
  <c r="H62" i="12" s="1"/>
  <c r="N61" i="12"/>
  <c r="D61" i="12" s="1"/>
  <c r="N60" i="12"/>
  <c r="H60" i="12" s="1"/>
  <c r="N59" i="12"/>
  <c r="H59" i="12" s="1"/>
  <c r="N58" i="12"/>
  <c r="C58" i="12" s="1"/>
  <c r="N57" i="12"/>
  <c r="H57" i="12" s="1"/>
  <c r="N56" i="12"/>
  <c r="I56" i="12" s="1"/>
  <c r="N55" i="12"/>
  <c r="G55" i="12" s="1"/>
  <c r="N54" i="12"/>
  <c r="D54" i="12" s="1"/>
  <c r="N53" i="12"/>
  <c r="H53" i="12" s="1"/>
  <c r="N52" i="12"/>
  <c r="I52" i="12" s="1"/>
  <c r="N51" i="12"/>
  <c r="N50" i="12"/>
  <c r="H50" i="12" s="1"/>
  <c r="N49" i="12"/>
  <c r="I49" i="12" s="1"/>
  <c r="N48" i="12"/>
  <c r="I48" i="12" s="1"/>
  <c r="N47" i="12"/>
  <c r="G47" i="12" s="1"/>
  <c r="N46" i="12"/>
  <c r="H46" i="12" s="1"/>
  <c r="N45" i="12"/>
  <c r="I45" i="12" s="1"/>
  <c r="N44" i="12"/>
  <c r="N43" i="12"/>
  <c r="G43" i="12" s="1"/>
  <c r="N42" i="12"/>
  <c r="H42" i="12" s="1"/>
  <c r="N41" i="12"/>
  <c r="H41" i="12" s="1"/>
  <c r="N40" i="12"/>
  <c r="I40" i="12" s="1"/>
  <c r="N39" i="12"/>
  <c r="N38" i="12"/>
  <c r="D38" i="12" s="1"/>
  <c r="N37" i="12"/>
  <c r="I37" i="12" s="1"/>
  <c r="N36" i="12"/>
  <c r="I36" i="12" s="1"/>
  <c r="N35" i="12"/>
  <c r="G35" i="12" s="1"/>
  <c r="N34" i="12"/>
  <c r="D34" i="12" s="1"/>
  <c r="N33" i="12"/>
  <c r="N32" i="12"/>
  <c r="N31" i="12"/>
  <c r="G31" i="12" s="1"/>
  <c r="N30" i="12"/>
  <c r="N29" i="12"/>
  <c r="G29" i="12" s="1"/>
  <c r="N28" i="12"/>
  <c r="H28" i="12" s="1"/>
  <c r="N27" i="12"/>
  <c r="D27" i="12" s="1"/>
  <c r="N26" i="12"/>
  <c r="D26" i="12" s="1"/>
  <c r="N25" i="12"/>
  <c r="I25" i="12" s="1"/>
  <c r="N24" i="12"/>
  <c r="N23" i="12"/>
  <c r="H23" i="12" s="1"/>
  <c r="N22" i="12"/>
  <c r="G22" i="12" s="1"/>
  <c r="N21" i="12"/>
  <c r="D21" i="12" s="1"/>
  <c r="N20" i="12"/>
  <c r="D20" i="12" s="1"/>
  <c r="N19" i="12"/>
  <c r="G19" i="12" s="1"/>
  <c r="N18" i="12"/>
  <c r="H18" i="12" s="1"/>
  <c r="N17" i="12"/>
  <c r="H17" i="12" s="1"/>
  <c r="N16" i="12"/>
  <c r="H16" i="12" s="1"/>
  <c r="N15" i="12"/>
  <c r="H15" i="12" s="1"/>
  <c r="N14" i="12"/>
  <c r="I14" i="12" s="1"/>
  <c r="N13" i="12"/>
  <c r="B13" i="12" s="1"/>
  <c r="N12" i="12"/>
  <c r="I12" i="12" s="1"/>
  <c r="N11" i="12"/>
  <c r="F11" i="12" s="1"/>
  <c r="N10" i="12"/>
  <c r="G10" i="12" s="1"/>
  <c r="N9" i="12"/>
  <c r="N8" i="12"/>
  <c r="G8" i="12" s="1"/>
  <c r="N7" i="12"/>
  <c r="I7" i="12" s="1"/>
  <c r="N6" i="12"/>
  <c r="G6" i="12" s="1"/>
  <c r="A28" i="11"/>
  <c r="A27" i="11"/>
  <c r="A26" i="11"/>
  <c r="C26" i="11" s="1"/>
  <c r="A25" i="11"/>
  <c r="D25" i="11" s="1"/>
  <c r="D24" i="11"/>
  <c r="C24" i="11"/>
  <c r="B24" i="11"/>
  <c r="A23" i="11"/>
  <c r="D23" i="11" s="1"/>
  <c r="D22" i="11"/>
  <c r="A22" i="11"/>
  <c r="C22" i="11" s="1"/>
  <c r="A21" i="11"/>
  <c r="B21" i="11" s="1"/>
  <c r="A20" i="11"/>
  <c r="A19" i="11"/>
  <c r="D18" i="11"/>
  <c r="A18" i="11"/>
  <c r="C18" i="11" s="1"/>
  <c r="A17" i="11"/>
  <c r="D17" i="11" s="1"/>
  <c r="D13" i="11"/>
  <c r="I11" i="11"/>
  <c r="H11" i="11"/>
  <c r="G11" i="11"/>
  <c r="E11" i="11"/>
  <c r="D11" i="11"/>
  <c r="C11" i="11"/>
  <c r="I10" i="11"/>
  <c r="H10" i="11"/>
  <c r="G10" i="11"/>
  <c r="E10" i="11"/>
  <c r="D10" i="11"/>
  <c r="C10" i="11"/>
  <c r="I9" i="11"/>
  <c r="H9" i="11"/>
  <c r="G9" i="11"/>
  <c r="E9" i="11"/>
  <c r="D9" i="11"/>
  <c r="C9" i="11"/>
  <c r="I8" i="11"/>
  <c r="H8" i="11"/>
  <c r="G8" i="11"/>
  <c r="E8" i="11"/>
  <c r="D8" i="11"/>
  <c r="C8" i="11"/>
  <c r="I7" i="11"/>
  <c r="H7" i="11"/>
  <c r="G7" i="11"/>
  <c r="E7" i="11"/>
  <c r="D7" i="11"/>
  <c r="C7" i="11"/>
  <c r="I6" i="11"/>
  <c r="H6" i="11"/>
  <c r="G6" i="11"/>
  <c r="E6" i="11"/>
  <c r="D6" i="11"/>
  <c r="C6" i="11"/>
  <c r="I5" i="11"/>
  <c r="H5" i="11"/>
  <c r="G5" i="11"/>
  <c r="E5" i="11"/>
  <c r="D5" i="11"/>
  <c r="C5" i="11"/>
  <c r="AB161" i="10"/>
  <c r="AB160" i="10"/>
  <c r="AB159" i="10"/>
  <c r="AB158" i="10"/>
  <c r="AB157" i="10"/>
  <c r="AB156" i="10"/>
  <c r="AB155" i="10"/>
  <c r="AB154" i="10"/>
  <c r="AB153" i="10"/>
  <c r="AB152" i="10"/>
  <c r="AB151" i="10"/>
  <c r="AB150" i="10"/>
  <c r="AB149" i="10"/>
  <c r="AB148" i="10"/>
  <c r="AB147" i="10"/>
  <c r="AB146" i="10"/>
  <c r="AB145" i="10"/>
  <c r="AB144" i="10"/>
  <c r="AB143" i="10"/>
  <c r="AB142" i="10"/>
  <c r="AB141" i="10"/>
  <c r="AB140" i="10"/>
  <c r="AB139" i="10"/>
  <c r="AB138" i="10"/>
  <c r="AB137" i="10"/>
  <c r="AB136" i="10"/>
  <c r="AB135" i="10"/>
  <c r="AB134" i="10"/>
  <c r="AB133" i="10"/>
  <c r="AB132" i="10"/>
  <c r="AB131" i="10"/>
  <c r="AB130" i="10"/>
  <c r="AB129" i="10"/>
  <c r="AB128" i="10"/>
  <c r="AB127" i="10"/>
  <c r="AB126" i="10"/>
  <c r="AB125" i="10"/>
  <c r="AB124" i="10"/>
  <c r="AB123" i="10"/>
  <c r="AB122" i="10"/>
  <c r="AB121" i="10"/>
  <c r="AB120" i="10"/>
  <c r="AB119" i="10"/>
  <c r="AB118" i="10"/>
  <c r="AB117" i="10"/>
  <c r="AB116" i="10"/>
  <c r="AB115" i="10"/>
  <c r="AB114" i="10"/>
  <c r="AB113" i="10"/>
  <c r="AB112" i="10"/>
  <c r="AB111" i="10"/>
  <c r="AB110" i="10"/>
  <c r="AB109" i="10"/>
  <c r="AB108" i="10"/>
  <c r="AB107" i="10"/>
  <c r="AB106" i="10"/>
  <c r="AB105" i="10"/>
  <c r="AB104" i="10"/>
  <c r="AB103" i="10"/>
  <c r="AB102" i="10"/>
  <c r="AB101" i="10"/>
  <c r="AB100" i="10"/>
  <c r="AB99" i="10"/>
  <c r="AB98" i="10"/>
  <c r="AB97" i="10"/>
  <c r="AB96" i="10"/>
  <c r="AB95" i="10"/>
  <c r="AB94" i="10"/>
  <c r="AB93" i="10"/>
  <c r="AB92" i="10"/>
  <c r="AB91" i="10"/>
  <c r="AB90" i="10"/>
  <c r="AB89" i="10"/>
  <c r="AB88" i="10"/>
  <c r="AB87" i="10"/>
  <c r="AB86" i="10"/>
  <c r="AB85" i="10"/>
  <c r="AB84" i="10"/>
  <c r="AB83" i="10"/>
  <c r="AB82" i="10"/>
  <c r="AB81" i="10"/>
  <c r="AB80" i="10"/>
  <c r="AB79" i="10"/>
  <c r="AB78" i="10"/>
  <c r="AB77" i="10"/>
  <c r="AB76" i="10"/>
  <c r="AB75" i="10"/>
  <c r="AB74" i="10"/>
  <c r="AB73" i="10"/>
  <c r="AB72" i="10"/>
  <c r="AB71" i="10"/>
  <c r="AB70" i="10"/>
  <c r="AB69" i="10"/>
  <c r="AB68" i="10"/>
  <c r="AB67" i="10"/>
  <c r="AB66" i="10"/>
  <c r="Z66" i="10"/>
  <c r="E66" i="10" s="1"/>
  <c r="AB65" i="10"/>
  <c r="Z65" i="10"/>
  <c r="G65" i="10" s="1"/>
  <c r="AB64" i="10"/>
  <c r="Z64" i="10"/>
  <c r="H64" i="10" s="1"/>
  <c r="AB63" i="10"/>
  <c r="Z63" i="10"/>
  <c r="G63" i="10" s="1"/>
  <c r="AB62" i="10"/>
  <c r="Z62" i="10"/>
  <c r="H62" i="10" s="1"/>
  <c r="AB61" i="10"/>
  <c r="Z61" i="10"/>
  <c r="I61" i="10" s="1"/>
  <c r="AB60" i="10"/>
  <c r="Z60" i="10"/>
  <c r="G60" i="10" s="1"/>
  <c r="AB59" i="10"/>
  <c r="Z59" i="10"/>
  <c r="E59" i="10" s="1"/>
  <c r="AB58" i="10"/>
  <c r="Z58" i="10"/>
  <c r="I58" i="10" s="1"/>
  <c r="AB57" i="10"/>
  <c r="Z57" i="10"/>
  <c r="E57" i="10" s="1"/>
  <c r="AB56" i="10"/>
  <c r="Z56" i="10"/>
  <c r="C56" i="10" s="1"/>
  <c r="AB55" i="10"/>
  <c r="Z55" i="10"/>
  <c r="H55" i="10" s="1"/>
  <c r="AB54" i="10"/>
  <c r="Z54" i="10"/>
  <c r="A54" i="10" s="1"/>
  <c r="J54" i="10" s="1"/>
  <c r="AB53" i="10"/>
  <c r="Z53" i="10"/>
  <c r="AB52" i="10"/>
  <c r="Z52" i="10"/>
  <c r="H52" i="10" s="1"/>
  <c r="AB51" i="10"/>
  <c r="Z51" i="10"/>
  <c r="H51" i="10" s="1"/>
  <c r="AB50" i="10"/>
  <c r="Z50" i="10"/>
  <c r="AB49" i="10"/>
  <c r="Z49" i="10"/>
  <c r="G49" i="10" s="1"/>
  <c r="AB48" i="10"/>
  <c r="Z48" i="10"/>
  <c r="F48" i="10" s="1"/>
  <c r="AB47" i="10"/>
  <c r="Z47" i="10"/>
  <c r="I47" i="10" s="1"/>
  <c r="AB46" i="10"/>
  <c r="Z46" i="10"/>
  <c r="D46" i="10" s="1"/>
  <c r="AB45" i="10"/>
  <c r="Z45" i="10"/>
  <c r="C45" i="10" s="1"/>
  <c r="AB44" i="10"/>
  <c r="Z44" i="10"/>
  <c r="AB43" i="10"/>
  <c r="Z43" i="10"/>
  <c r="D43" i="10" s="1"/>
  <c r="AB42" i="10"/>
  <c r="Z42" i="10"/>
  <c r="I42" i="10" s="1"/>
  <c r="AB41" i="10"/>
  <c r="Z41" i="10"/>
  <c r="AB40" i="10"/>
  <c r="Z40" i="10"/>
  <c r="A40" i="10" s="1"/>
  <c r="J40" i="10" s="1"/>
  <c r="AB39" i="10"/>
  <c r="Z39" i="10"/>
  <c r="G39" i="10" s="1"/>
  <c r="AB38" i="10"/>
  <c r="Z38" i="10"/>
  <c r="G38" i="10" s="1"/>
  <c r="AB37" i="10"/>
  <c r="Z37" i="10"/>
  <c r="I37" i="10" s="1"/>
  <c r="AB36" i="10"/>
  <c r="Z36" i="10"/>
  <c r="I36" i="10" s="1"/>
  <c r="AB35" i="10"/>
  <c r="Z35" i="10"/>
  <c r="F35" i="10" s="1"/>
  <c r="AB34" i="10"/>
  <c r="Z34" i="10"/>
  <c r="I34" i="10" s="1"/>
  <c r="AB33" i="10"/>
  <c r="Z33" i="10"/>
  <c r="D33" i="10" s="1"/>
  <c r="AB32" i="10"/>
  <c r="Z32" i="10"/>
  <c r="I32" i="10" s="1"/>
  <c r="AB31" i="10"/>
  <c r="Z31" i="10"/>
  <c r="H31" i="10" s="1"/>
  <c r="AB30" i="10"/>
  <c r="Z30" i="10"/>
  <c r="AB29" i="10"/>
  <c r="Z29" i="10"/>
  <c r="H29" i="10" s="1"/>
  <c r="AB28" i="10"/>
  <c r="Z28" i="10"/>
  <c r="B28" i="10" s="1"/>
  <c r="AB27" i="10"/>
  <c r="Z27" i="10"/>
  <c r="G27" i="10" s="1"/>
  <c r="AB26" i="10"/>
  <c r="Z26" i="10"/>
  <c r="F26" i="10" s="1"/>
  <c r="AB25" i="10"/>
  <c r="Z25" i="10"/>
  <c r="I25" i="10" s="1"/>
  <c r="AB24" i="10"/>
  <c r="Z24" i="10"/>
  <c r="G24" i="10" s="1"/>
  <c r="AB23" i="10"/>
  <c r="Z23" i="10"/>
  <c r="A23" i="10" s="1"/>
  <c r="J23" i="10" s="1"/>
  <c r="AB22" i="10"/>
  <c r="Z22" i="10"/>
  <c r="B22" i="10" s="1"/>
  <c r="AB21" i="10"/>
  <c r="Z21" i="10"/>
  <c r="F21" i="10" s="1"/>
  <c r="AB20" i="10"/>
  <c r="Z20" i="10"/>
  <c r="I20" i="10" s="1"/>
  <c r="AB19" i="10"/>
  <c r="Z19" i="10"/>
  <c r="C19" i="10" s="1"/>
  <c r="M19" i="10"/>
  <c r="R19" i="10" s="1"/>
  <c r="AB18" i="10"/>
  <c r="Z18" i="10"/>
  <c r="B18" i="10" s="1"/>
  <c r="AB17" i="10"/>
  <c r="Z17" i="10"/>
  <c r="G17" i="10" s="1"/>
  <c r="AB16" i="10"/>
  <c r="Z16" i="10"/>
  <c r="B16" i="10" s="1"/>
  <c r="AB15" i="10"/>
  <c r="Z15" i="10"/>
  <c r="E15" i="10" s="1"/>
  <c r="AB14" i="10"/>
  <c r="Z14" i="10"/>
  <c r="H14" i="10" s="1"/>
  <c r="AB13" i="10"/>
  <c r="Z13" i="10"/>
  <c r="G13" i="10" s="1"/>
  <c r="AB12" i="10"/>
  <c r="Z12" i="10"/>
  <c r="E12" i="10" s="1"/>
  <c r="Z11" i="10"/>
  <c r="G11" i="10" s="1"/>
  <c r="Z10" i="10"/>
  <c r="A10" i="10" s="1"/>
  <c r="J10" i="10" s="1"/>
  <c r="Z9" i="10"/>
  <c r="I9" i="10" s="1"/>
  <c r="Z8" i="10"/>
  <c r="G8" i="10" s="1"/>
  <c r="Z7" i="10"/>
  <c r="AA4" i="10"/>
  <c r="H4" i="10"/>
  <c r="F4" i="10"/>
  <c r="D4" i="10"/>
  <c r="B4" i="10"/>
  <c r="J4" i="9"/>
  <c r="AA23" i="8"/>
  <c r="AM23" i="8" s="1"/>
  <c r="AJ22" i="8"/>
  <c r="AI22" i="8"/>
  <c r="AA22" i="8"/>
  <c r="AH22" i="8" s="1"/>
  <c r="T18" i="3" s="1"/>
  <c r="AA21" i="8"/>
  <c r="AK21" i="8" s="1"/>
  <c r="AA20" i="8"/>
  <c r="AL20" i="8" s="1"/>
  <c r="AA19" i="8"/>
  <c r="A15" i="9" s="1"/>
  <c r="AA18" i="8"/>
  <c r="J27" i="2" s="1"/>
  <c r="AA17" i="8"/>
  <c r="AJ17" i="8" s="1"/>
  <c r="AA16" i="8"/>
  <c r="J25" i="2" s="1"/>
  <c r="AA15" i="8"/>
  <c r="A11" i="9" s="1"/>
  <c r="AA14" i="8"/>
  <c r="AA13" i="8"/>
  <c r="AA12" i="8"/>
  <c r="AD12" i="8" s="1"/>
  <c r="AA11" i="8"/>
  <c r="A7" i="9" s="1"/>
  <c r="AA10" i="8"/>
  <c r="AK10" i="8" s="1"/>
  <c r="AA9" i="8"/>
  <c r="L5" i="5" s="1"/>
  <c r="G5" i="8"/>
  <c r="A5" i="2" s="1"/>
  <c r="D5" i="8"/>
  <c r="G4" i="8"/>
  <c r="D4" i="8"/>
  <c r="M5" i="2" s="1"/>
  <c r="B89" i="7"/>
  <c r="B88" i="7"/>
  <c r="B87" i="7"/>
  <c r="B86" i="7"/>
  <c r="B85" i="7"/>
  <c r="B84" i="7"/>
  <c r="B82" i="7"/>
  <c r="B30" i="7"/>
  <c r="B29" i="7"/>
  <c r="B28" i="7"/>
  <c r="B27" i="7"/>
  <c r="B26" i="7"/>
  <c r="AD18" i="6"/>
  <c r="AE18" i="6" s="1"/>
  <c r="U77" i="4"/>
  <c r="V77" i="4" s="1"/>
  <c r="U76" i="4"/>
  <c r="Z76" i="4" s="1"/>
  <c r="U75" i="4"/>
  <c r="U74" i="4"/>
  <c r="Y74" i="4" s="1"/>
  <c r="U73" i="4"/>
  <c r="AC72" i="4"/>
  <c r="U72" i="4"/>
  <c r="X72" i="4" s="1"/>
  <c r="U71" i="4"/>
  <c r="V71" i="4" s="1"/>
  <c r="AB70" i="4"/>
  <c r="U70" i="4"/>
  <c r="Z70" i="4" s="1"/>
  <c r="U69" i="4"/>
  <c r="Y69" i="4" s="1"/>
  <c r="U68" i="4"/>
  <c r="U67" i="4"/>
  <c r="X67" i="4" s="1"/>
  <c r="AA66" i="4"/>
  <c r="Z66" i="4"/>
  <c r="U66" i="4"/>
  <c r="X66" i="4" s="1"/>
  <c r="U65" i="4"/>
  <c r="U64" i="4"/>
  <c r="AC63" i="4"/>
  <c r="U63" i="4"/>
  <c r="V63" i="4" s="1"/>
  <c r="U62" i="4"/>
  <c r="V62" i="4" s="1"/>
  <c r="AC61" i="4"/>
  <c r="AB61" i="4"/>
  <c r="AA61" i="4"/>
  <c r="W61" i="4"/>
  <c r="U61" i="4"/>
  <c r="V61" i="4" s="1"/>
  <c r="U60" i="4"/>
  <c r="AC59" i="4"/>
  <c r="AB59" i="4"/>
  <c r="Z59" i="4"/>
  <c r="U59" i="4"/>
  <c r="AA59" i="4" s="1"/>
  <c r="Z58" i="4"/>
  <c r="Y58" i="4"/>
  <c r="U58" i="4"/>
  <c r="AA58" i="4" s="1"/>
  <c r="U57" i="4"/>
  <c r="AC56" i="4"/>
  <c r="AB56" i="4"/>
  <c r="U56" i="4"/>
  <c r="Z56" i="4" s="1"/>
  <c r="U55" i="4"/>
  <c r="V55" i="4" s="1"/>
  <c r="U54" i="4"/>
  <c r="V54" i="4" s="1"/>
  <c r="U53" i="4"/>
  <c r="V53" i="4" s="1"/>
  <c r="U52" i="4"/>
  <c r="X52" i="4" s="1"/>
  <c r="U51" i="4"/>
  <c r="AB51" i="4" s="1"/>
  <c r="U50" i="4"/>
  <c r="AB50" i="4" s="1"/>
  <c r="AA49" i="4"/>
  <c r="Z49" i="4"/>
  <c r="Y49" i="4"/>
  <c r="U49" i="4"/>
  <c r="X49" i="4" s="1"/>
  <c r="AC48" i="4"/>
  <c r="Z48" i="4"/>
  <c r="U48" i="4"/>
  <c r="Y48" i="4" s="1"/>
  <c r="U47" i="4"/>
  <c r="U46" i="4"/>
  <c r="Z46" i="4" s="1"/>
  <c r="AB45" i="4"/>
  <c r="AA45" i="4"/>
  <c r="U45" i="4"/>
  <c r="V45" i="4" s="1"/>
  <c r="U44" i="4"/>
  <c r="U43" i="4"/>
  <c r="W43" i="4" s="1"/>
  <c r="U42" i="4"/>
  <c r="AC41" i="4"/>
  <c r="U41" i="4"/>
  <c r="AB41" i="4" s="1"/>
  <c r="U40" i="4"/>
  <c r="U39" i="4"/>
  <c r="V39" i="4" s="1"/>
  <c r="AB38" i="4"/>
  <c r="U38" i="4"/>
  <c r="AA38" i="4" s="1"/>
  <c r="U37" i="4"/>
  <c r="AC37" i="4" s="1"/>
  <c r="U36" i="4"/>
  <c r="X35" i="4"/>
  <c r="U35" i="4"/>
  <c r="W35" i="4" s="1"/>
  <c r="U34" i="4"/>
  <c r="AA34" i="4" s="1"/>
  <c r="U33" i="4"/>
  <c r="AA33" i="4" s="1"/>
  <c r="U32" i="4"/>
  <c r="AB32" i="4" s="1"/>
  <c r="U31" i="4"/>
  <c r="V31" i="4" s="1"/>
  <c r="U30" i="4"/>
  <c r="AA30" i="4" s="1"/>
  <c r="AC29" i="4"/>
  <c r="AB29" i="4"/>
  <c r="AA29" i="4"/>
  <c r="Z29" i="4"/>
  <c r="U29" i="4"/>
  <c r="V29" i="4" s="1"/>
  <c r="AC28" i="4"/>
  <c r="AB28" i="4"/>
  <c r="AA28" i="4"/>
  <c r="Z28" i="4"/>
  <c r="U28" i="4"/>
  <c r="V28" i="4" s="1"/>
  <c r="Z27" i="4"/>
  <c r="Y27" i="4"/>
  <c r="U27" i="4"/>
  <c r="W27" i="4" s="1"/>
  <c r="U26" i="4"/>
  <c r="W26" i="4" s="1"/>
  <c r="U25" i="4"/>
  <c r="V25" i="4" s="1"/>
  <c r="Z24" i="4"/>
  <c r="U24" i="4"/>
  <c r="AC24" i="4" s="1"/>
  <c r="U23" i="4"/>
  <c r="Z23" i="4" s="1"/>
  <c r="U22" i="4"/>
  <c r="AC22" i="4" s="1"/>
  <c r="AC21" i="4"/>
  <c r="AB21" i="4"/>
  <c r="AA21" i="4"/>
  <c r="Z21" i="4"/>
  <c r="Y21" i="4"/>
  <c r="X21" i="4"/>
  <c r="W21" i="4"/>
  <c r="U21" i="4"/>
  <c r="V21" i="4" s="1"/>
  <c r="U20" i="4"/>
  <c r="Z20" i="4" s="1"/>
  <c r="AC19" i="4"/>
  <c r="AB19" i="4"/>
  <c r="AA19" i="4"/>
  <c r="Z19" i="4"/>
  <c r="U19" i="4"/>
  <c r="W19" i="4" s="1"/>
  <c r="A19" i="4"/>
  <c r="P19" i="4" s="1"/>
  <c r="AF18" i="4"/>
  <c r="AE18" i="4"/>
  <c r="U18" i="4"/>
  <c r="A18" i="4"/>
  <c r="O18" i="4" s="1"/>
  <c r="AC17" i="4"/>
  <c r="U17" i="4"/>
  <c r="X17" i="4" s="1"/>
  <c r="A17" i="4"/>
  <c r="G17" i="4" s="1"/>
  <c r="H17" i="4" s="1"/>
  <c r="AF16" i="4"/>
  <c r="AE16" i="4"/>
  <c r="U16" i="4"/>
  <c r="Y16" i="4" s="1"/>
  <c r="A16" i="4"/>
  <c r="T16" i="4" s="1"/>
  <c r="U15" i="4"/>
  <c r="W15" i="4" s="1"/>
  <c r="A15" i="4"/>
  <c r="G15" i="4" s="1"/>
  <c r="H15" i="4" s="1"/>
  <c r="AF14" i="4"/>
  <c r="AE14" i="4"/>
  <c r="U14" i="4"/>
  <c r="X14" i="4" s="1"/>
  <c r="A14" i="4"/>
  <c r="E14" i="4" s="1"/>
  <c r="U13" i="4"/>
  <c r="AC13" i="4" s="1"/>
  <c r="A13" i="4"/>
  <c r="DB13" i="2" s="1"/>
  <c r="AF12" i="4"/>
  <c r="AE12" i="4"/>
  <c r="U12" i="4"/>
  <c r="V12" i="4" s="1"/>
  <c r="A12" i="4"/>
  <c r="J12" i="4" s="1"/>
  <c r="AJ11" i="4"/>
  <c r="AI11" i="4"/>
  <c r="U11" i="4"/>
  <c r="V11" i="4" s="1"/>
  <c r="A11" i="4"/>
  <c r="AJ10" i="4"/>
  <c r="AI10" i="4"/>
  <c r="AF10" i="4"/>
  <c r="AE10" i="4"/>
  <c r="U10" i="4"/>
  <c r="A10" i="4"/>
  <c r="T10" i="4" s="1"/>
  <c r="AJ9" i="4"/>
  <c r="AI9" i="4"/>
  <c r="U9" i="4"/>
  <c r="A9" i="4"/>
  <c r="BO9" i="4" s="1"/>
  <c r="AJ8" i="4"/>
  <c r="AI8" i="4"/>
  <c r="AF8" i="4"/>
  <c r="AE8" i="4"/>
  <c r="U8" i="4"/>
  <c r="Y8" i="4" s="1"/>
  <c r="A8" i="4"/>
  <c r="DB8" i="2" s="1"/>
  <c r="AJ7" i="4"/>
  <c r="AI7" i="4"/>
  <c r="U7" i="4"/>
  <c r="W7" i="4" s="1"/>
  <c r="A7" i="4"/>
  <c r="G7" i="4" s="1"/>
  <c r="H7" i="4" s="1"/>
  <c r="AJ6" i="4"/>
  <c r="AI6" i="4"/>
  <c r="AF6" i="4"/>
  <c r="AE6" i="4"/>
  <c r="U6" i="4"/>
  <c r="Z6" i="4" s="1"/>
  <c r="A6" i="4"/>
  <c r="T6" i="4" s="1"/>
  <c r="BO5" i="4"/>
  <c r="AJ5" i="4"/>
  <c r="AI5" i="4"/>
  <c r="U5" i="4"/>
  <c r="AA5" i="4" s="1"/>
  <c r="A5" i="4"/>
  <c r="DB5" i="2" s="1"/>
  <c r="BH77" i="2"/>
  <c r="BH76" i="2"/>
  <c r="BK76" i="2" s="1"/>
  <c r="BH75" i="2"/>
  <c r="BJ75" i="2" s="1"/>
  <c r="BP74" i="2"/>
  <c r="BM74" i="2"/>
  <c r="BL74" i="2"/>
  <c r="BK74" i="2"/>
  <c r="BI74" i="2"/>
  <c r="BH74" i="2"/>
  <c r="BJ74" i="2" s="1"/>
  <c r="BH73" i="2"/>
  <c r="BJ73" i="2" s="1"/>
  <c r="BH72" i="2"/>
  <c r="BM72" i="2" s="1"/>
  <c r="BH71" i="2"/>
  <c r="BI71" i="2" s="1"/>
  <c r="BH70" i="2"/>
  <c r="BH69" i="2"/>
  <c r="BN69" i="2" s="1"/>
  <c r="BH68" i="2"/>
  <c r="BH67" i="2"/>
  <c r="BI67" i="2" s="1"/>
  <c r="BH66" i="2"/>
  <c r="BH65" i="2"/>
  <c r="BK65" i="2" s="1"/>
  <c r="BM64" i="2"/>
  <c r="BL64" i="2"/>
  <c r="BK64" i="2"/>
  <c r="BH64" i="2"/>
  <c r="BI64" i="2" s="1"/>
  <c r="BH63" i="2"/>
  <c r="BP63" i="2" s="1"/>
  <c r="BH62" i="2"/>
  <c r="BJ62" i="2" s="1"/>
  <c r="BH61" i="2"/>
  <c r="BH60" i="2"/>
  <c r="BO60" i="2" s="1"/>
  <c r="BH59" i="2"/>
  <c r="BM59" i="2" s="1"/>
  <c r="BH58" i="2"/>
  <c r="BP57" i="2"/>
  <c r="BO57" i="2"/>
  <c r="BH57" i="2"/>
  <c r="BN57" i="2" s="1"/>
  <c r="BH56" i="2"/>
  <c r="BH55" i="2"/>
  <c r="BI55" i="2" s="1"/>
  <c r="BL54" i="2"/>
  <c r="BI54" i="2"/>
  <c r="BH54" i="2"/>
  <c r="BM54" i="2" s="1"/>
  <c r="BH53" i="2"/>
  <c r="BN53" i="2" s="1"/>
  <c r="BH52" i="2"/>
  <c r="BK52" i="2" s="1"/>
  <c r="BH51" i="2"/>
  <c r="BP51" i="2" s="1"/>
  <c r="BH50" i="2"/>
  <c r="BM50" i="2" s="1"/>
  <c r="BH49" i="2"/>
  <c r="BN49" i="2" s="1"/>
  <c r="BH48" i="2"/>
  <c r="BH47" i="2"/>
  <c r="BP47" i="2" s="1"/>
  <c r="BH46" i="2"/>
  <c r="BP46" i="2" s="1"/>
  <c r="BH45" i="2"/>
  <c r="BO45" i="2" s="1"/>
  <c r="BL44" i="2"/>
  <c r="BK44" i="2"/>
  <c r="BH44" i="2"/>
  <c r="BP44" i="2" s="1"/>
  <c r="BH43" i="2"/>
  <c r="BK43" i="2" s="1"/>
  <c r="BL42" i="2"/>
  <c r="BH42" i="2"/>
  <c r="BK42" i="2" s="1"/>
  <c r="BH41" i="2"/>
  <c r="BK41" i="2" s="1"/>
  <c r="BH40" i="2"/>
  <c r="BP40" i="2" s="1"/>
  <c r="BH39" i="2"/>
  <c r="BP39" i="2" s="1"/>
  <c r="D39" i="2"/>
  <c r="BP38" i="2"/>
  <c r="BO38" i="2"/>
  <c r="BN38" i="2"/>
  <c r="BH38" i="2"/>
  <c r="BK38" i="2" s="1"/>
  <c r="D38" i="2"/>
  <c r="BH37" i="2"/>
  <c r="BH36" i="2"/>
  <c r="BN36" i="2" s="1"/>
  <c r="T36" i="2"/>
  <c r="T37" i="2" s="1"/>
  <c r="D37" i="2" s="1"/>
  <c r="BH35" i="2"/>
  <c r="BH34" i="2"/>
  <c r="BM34" i="2" s="1"/>
  <c r="BH33" i="2"/>
  <c r="BK33" i="2" s="1"/>
  <c r="BH32" i="2"/>
  <c r="BP31" i="2"/>
  <c r="BO31" i="2"/>
  <c r="BH31" i="2"/>
  <c r="BI31" i="2" s="1"/>
  <c r="BN30" i="2"/>
  <c r="BM30" i="2"/>
  <c r="BL30" i="2"/>
  <c r="BK30" i="2"/>
  <c r="BH30" i="2"/>
  <c r="BJ30" i="2" s="1"/>
  <c r="BH29" i="2"/>
  <c r="BN29" i="2" s="1"/>
  <c r="BH28" i="2"/>
  <c r="BM28" i="2" s="1"/>
  <c r="BP27" i="2"/>
  <c r="BH27" i="2"/>
  <c r="BI27" i="2" s="1"/>
  <c r="BH26" i="2"/>
  <c r="BH25" i="2"/>
  <c r="BN25" i="2" s="1"/>
  <c r="BI24" i="2"/>
  <c r="BH24" i="2"/>
  <c r="BH23" i="2"/>
  <c r="BH22" i="2"/>
  <c r="J22" i="2"/>
  <c r="BP21" i="2"/>
  <c r="BO21" i="2"/>
  <c r="BH21" i="2"/>
  <c r="BI21" i="2" s="1"/>
  <c r="BH20" i="2"/>
  <c r="BH19" i="2"/>
  <c r="BN19" i="2" s="1"/>
  <c r="BS18" i="2"/>
  <c r="BR18" i="2"/>
  <c r="BH18" i="2"/>
  <c r="BL18" i="2" s="1"/>
  <c r="BH17" i="2"/>
  <c r="BO17" i="2" s="1"/>
  <c r="BS16" i="2"/>
  <c r="BR16" i="2"/>
  <c r="BH16" i="2"/>
  <c r="BK16" i="2" s="1"/>
  <c r="BH15" i="2"/>
  <c r="BI15" i="2" s="1"/>
  <c r="BS14" i="2"/>
  <c r="BR14" i="2"/>
  <c r="BO14" i="2"/>
  <c r="BN14" i="2"/>
  <c r="BM14" i="2"/>
  <c r="BJ14" i="2"/>
  <c r="BI14" i="2"/>
  <c r="BH14" i="2"/>
  <c r="BP14" i="2" s="1"/>
  <c r="BH13" i="2"/>
  <c r="BL13" i="2" s="1"/>
  <c r="BS12" i="2"/>
  <c r="BR12" i="2"/>
  <c r="BH12" i="2"/>
  <c r="BJ12" i="2" s="1"/>
  <c r="BW11" i="2"/>
  <c r="BV11" i="2"/>
  <c r="BH11" i="2"/>
  <c r="BN11" i="2" s="1"/>
  <c r="BW10" i="2"/>
  <c r="BV10" i="2"/>
  <c r="BS10" i="2"/>
  <c r="BR10" i="2"/>
  <c r="BH10" i="2"/>
  <c r="BP10" i="2" s="1"/>
  <c r="BW9" i="2"/>
  <c r="BV9" i="2"/>
  <c r="BH9" i="2"/>
  <c r="BP9" i="2" s="1"/>
  <c r="BW8" i="2"/>
  <c r="BV8" i="2"/>
  <c r="BS8" i="2"/>
  <c r="BR8" i="2"/>
  <c r="BO8" i="2"/>
  <c r="BH8" i="2"/>
  <c r="BL8" i="2" s="1"/>
  <c r="BW7" i="2"/>
  <c r="BV7" i="2"/>
  <c r="BO7" i="2"/>
  <c r="BN7" i="2"/>
  <c r="BM7" i="2"/>
  <c r="BH7" i="2"/>
  <c r="BP7" i="2" s="1"/>
  <c r="BW6" i="2"/>
  <c r="BV6" i="2"/>
  <c r="BS6" i="2"/>
  <c r="BR6" i="2"/>
  <c r="BP6" i="2"/>
  <c r="BO6" i="2"/>
  <c r="BL6" i="2"/>
  <c r="BK6" i="2"/>
  <c r="BJ6" i="2"/>
  <c r="BI6" i="2"/>
  <c r="BH6" i="2"/>
  <c r="J6" i="2"/>
  <c r="G6" i="2"/>
  <c r="BW5" i="2"/>
  <c r="BV5" i="2"/>
  <c r="BJ5" i="2"/>
  <c r="BH5" i="2"/>
  <c r="BI5" i="2" s="1"/>
  <c r="J5" i="2"/>
  <c r="G5" i="2"/>
  <c r="C23" i="11" l="1"/>
  <c r="BK12" i="2"/>
  <c r="BI28" i="2"/>
  <c r="BI36" i="2"/>
  <c r="BI46" i="2"/>
  <c r="BN72" i="2"/>
  <c r="D12" i="4"/>
  <c r="V16" i="4"/>
  <c r="D18" i="4"/>
  <c r="V32" i="4"/>
  <c r="AC45" i="4"/>
  <c r="W54" i="4"/>
  <c r="AB69" i="4"/>
  <c r="AK22" i="8"/>
  <c r="BO46" i="2"/>
  <c r="BO72" i="2"/>
  <c r="AL22" i="8"/>
  <c r="BI10" i="2"/>
  <c r="BM12" i="2"/>
  <c r="BK28" i="2"/>
  <c r="J31" i="2"/>
  <c r="K31" i="2" s="1"/>
  <c r="BM36" i="2"/>
  <c r="BI44" i="2"/>
  <c r="BM53" i="2"/>
  <c r="BO59" i="2"/>
  <c r="BP65" i="2"/>
  <c r="BO76" i="2"/>
  <c r="X8" i="4"/>
  <c r="G12" i="4"/>
  <c r="H12" i="4" s="1"/>
  <c r="G18" i="4"/>
  <c r="H18" i="4" s="1"/>
  <c r="V27" i="4"/>
  <c r="Z32" i="4"/>
  <c r="AB37" i="4"/>
  <c r="AB43" i="4"/>
  <c r="Z54" i="4"/>
  <c r="V58" i="4"/>
  <c r="W66" i="4"/>
  <c r="E18" i="11"/>
  <c r="BL12" i="2"/>
  <c r="J18" i="2"/>
  <c r="BJ28" i="2"/>
  <c r="BJ36" i="2"/>
  <c r="BL53" i="2"/>
  <c r="V8" i="4"/>
  <c r="E12" i="4"/>
  <c r="Y13" i="4"/>
  <c r="E18" i="4"/>
  <c r="B19" i="4"/>
  <c r="Y32" i="4"/>
  <c r="AA37" i="4"/>
  <c r="X43" i="4"/>
  <c r="Y54" i="4"/>
  <c r="AC69" i="4"/>
  <c r="AB74" i="4"/>
  <c r="BN12" i="2"/>
  <c r="BL28" i="2"/>
  <c r="BO39" i="2"/>
  <c r="BJ44" i="2"/>
  <c r="BP59" i="2"/>
  <c r="I12" i="4"/>
  <c r="I18" i="4"/>
  <c r="Y19" i="4"/>
  <c r="AA32" i="4"/>
  <c r="AC43" i="4"/>
  <c r="W51" i="4"/>
  <c r="AA54" i="4"/>
  <c r="W58" i="4"/>
  <c r="Y66" i="4"/>
  <c r="AA70" i="4"/>
  <c r="B18" i="11"/>
  <c r="BP12" i="2"/>
  <c r="DB18" i="2"/>
  <c r="BN28" i="2"/>
  <c r="D5" i="4"/>
  <c r="T12" i="4"/>
  <c r="W17" i="4"/>
  <c r="M18" i="4"/>
  <c r="AC32" i="4"/>
  <c r="W52" i="4"/>
  <c r="BO18" i="4"/>
  <c r="AA69" i="4"/>
  <c r="AB22" i="8"/>
  <c r="B18" i="9" s="1"/>
  <c r="B26" i="11"/>
  <c r="DB10" i="2"/>
  <c r="BO15" i="2"/>
  <c r="J20" i="2"/>
  <c r="BI38" i="2"/>
  <c r="BI42" i="2"/>
  <c r="BN44" i="2"/>
  <c r="BM49" i="2"/>
  <c r="BL69" i="2"/>
  <c r="Y5" i="4"/>
  <c r="Y12" i="4"/>
  <c r="Z17" i="4"/>
  <c r="T18" i="4"/>
  <c r="W28" i="4"/>
  <c r="X45" i="4"/>
  <c r="V49" i="4"/>
  <c r="AB52" i="4"/>
  <c r="V56" i="4"/>
  <c r="AC66" i="4"/>
  <c r="V72" i="4"/>
  <c r="L6" i="5"/>
  <c r="AC22" i="8"/>
  <c r="BP15" i="2"/>
  <c r="BI30" i="2"/>
  <c r="BJ38" i="2"/>
  <c r="BJ42" i="2"/>
  <c r="BO44" i="2"/>
  <c r="BM69" i="2"/>
  <c r="BN74" i="2"/>
  <c r="Z12" i="4"/>
  <c r="V15" i="4"/>
  <c r="AA17" i="4"/>
  <c r="W24" i="4"/>
  <c r="X28" i="4"/>
  <c r="X41" i="4"/>
  <c r="Y45" i="4"/>
  <c r="W49" i="4"/>
  <c r="AC52" i="4"/>
  <c r="Y56" i="4"/>
  <c r="X59" i="4"/>
  <c r="W72" i="4"/>
  <c r="L18" i="5"/>
  <c r="AG22" i="8"/>
  <c r="BO12" i="2"/>
  <c r="J18" i="4"/>
  <c r="BN15" i="2"/>
  <c r="J26" i="2"/>
  <c r="BM44" i="2"/>
  <c r="BL49" i="2"/>
  <c r="I7" i="4"/>
  <c r="Y17" i="4"/>
  <c r="P18" i="4"/>
  <c r="W45" i="4"/>
  <c r="AB66" i="4"/>
  <c r="D26" i="11"/>
  <c r="E26" i="11" s="1"/>
  <c r="BL7" i="2"/>
  <c r="BJ27" i="2"/>
  <c r="BM57" i="2"/>
  <c r="BJ64" i="2"/>
  <c r="BO74" i="2"/>
  <c r="AB17" i="4"/>
  <c r="Y24" i="4"/>
  <c r="Y28" i="4"/>
  <c r="V30" i="4"/>
  <c r="Z45" i="4"/>
  <c r="Y59" i="4"/>
  <c r="AD7" i="6"/>
  <c r="B22" i="11"/>
  <c r="BK18" i="2"/>
  <c r="BI73" i="2"/>
  <c r="C6" i="4"/>
  <c r="M6" i="4" s="1"/>
  <c r="AC9" i="4"/>
  <c r="AB9" i="4"/>
  <c r="X9" i="4"/>
  <c r="AA9" i="4"/>
  <c r="Z57" i="4"/>
  <c r="Y57" i="4"/>
  <c r="X57" i="4"/>
  <c r="AA57" i="4"/>
  <c r="AB57" i="4"/>
  <c r="AC57" i="4"/>
  <c r="V57" i="4"/>
  <c r="W57" i="4"/>
  <c r="AC65" i="4"/>
  <c r="AB65" i="4"/>
  <c r="Z65" i="4"/>
  <c r="AA65" i="4"/>
  <c r="W65" i="4"/>
  <c r="X65" i="4"/>
  <c r="Y65" i="4"/>
  <c r="AC73" i="4"/>
  <c r="Y73" i="4"/>
  <c r="AB73" i="4"/>
  <c r="Z73" i="4"/>
  <c r="V73" i="4"/>
  <c r="AA73" i="4"/>
  <c r="W73" i="4"/>
  <c r="X73" i="4"/>
  <c r="AB77" i="4"/>
  <c r="AA77" i="4"/>
  <c r="Z77" i="4"/>
  <c r="X77" i="4"/>
  <c r="Y77" i="4"/>
  <c r="AC77" i="4"/>
  <c r="BL50" i="2"/>
  <c r="J6" i="4"/>
  <c r="V9" i="4"/>
  <c r="V65" i="4"/>
  <c r="AB25" i="4"/>
  <c r="AA25" i="4"/>
  <c r="Z25" i="4"/>
  <c r="AC25" i="4"/>
  <c r="X25" i="4"/>
  <c r="Y25" i="4"/>
  <c r="BJ20" i="2"/>
  <c r="BI20" i="2"/>
  <c r="BO20" i="2"/>
  <c r="BP20" i="2"/>
  <c r="BK25" i="2"/>
  <c r="BK58" i="2"/>
  <c r="BI58" i="2"/>
  <c r="BP58" i="2"/>
  <c r="BL58" i="2"/>
  <c r="BO58" i="2"/>
  <c r="BK20" i="2"/>
  <c r="BM25" i="2"/>
  <c r="BN48" i="2"/>
  <c r="BP48" i="2"/>
  <c r="BO48" i="2"/>
  <c r="BK48" i="2"/>
  <c r="BL48" i="2"/>
  <c r="BM48" i="2"/>
  <c r="BI48" i="2"/>
  <c r="BJ48" i="2"/>
  <c r="W25" i="4"/>
  <c r="X42" i="4"/>
  <c r="AA42" i="4"/>
  <c r="AB42" i="4"/>
  <c r="AC42" i="4"/>
  <c r="Y42" i="4"/>
  <c r="Z42" i="4"/>
  <c r="BL20" i="2"/>
  <c r="W42" i="4"/>
  <c r="W77" i="4"/>
  <c r="BO25" i="2"/>
  <c r="BP25" i="2"/>
  <c r="BM71" i="2"/>
  <c r="BP71" i="2"/>
  <c r="BO71" i="2"/>
  <c r="BL71" i="2"/>
  <c r="BN71" i="2"/>
  <c r="BJ71" i="2"/>
  <c r="BK71" i="2"/>
  <c r="BP5" i="2"/>
  <c r="BK5" i="2"/>
  <c r="BO5" i="2"/>
  <c r="BO32" i="2"/>
  <c r="BN32" i="2"/>
  <c r="BM32" i="2"/>
  <c r="BM75" i="2"/>
  <c r="BN75" i="2"/>
  <c r="BL75" i="2"/>
  <c r="BP75" i="2"/>
  <c r="BK75" i="2"/>
  <c r="BO75" i="2"/>
  <c r="X7" i="4"/>
  <c r="Y7" i="4"/>
  <c r="BN77" i="2"/>
  <c r="BL77" i="2"/>
  <c r="AC44" i="4"/>
  <c r="AB44" i="4"/>
  <c r="Z44" i="4"/>
  <c r="X44" i="4"/>
  <c r="Y44" i="4"/>
  <c r="W9" i="4"/>
  <c r="BP50" i="2"/>
  <c r="BI77" i="2"/>
  <c r="W8" i="4"/>
  <c r="AB8" i="4"/>
  <c r="AC8" i="4"/>
  <c r="Z8" i="4"/>
  <c r="AA8" i="4"/>
  <c r="Y18" i="4"/>
  <c r="W18" i="4"/>
  <c r="V44" i="4"/>
  <c r="AA75" i="4"/>
  <c r="AC75" i="4"/>
  <c r="X75" i="4"/>
  <c r="Y75" i="4"/>
  <c r="AB75" i="4"/>
  <c r="BJ18" i="2"/>
  <c r="BN18" i="2"/>
  <c r="BM18" i="2"/>
  <c r="BO18" i="2"/>
  <c r="BP18" i="2"/>
  <c r="BL67" i="2"/>
  <c r="BN67" i="2"/>
  <c r="BJ67" i="2"/>
  <c r="BK67" i="2"/>
  <c r="BO73" i="2"/>
  <c r="BK73" i="2"/>
  <c r="BL73" i="2"/>
  <c r="E6" i="4"/>
  <c r="I6" i="4"/>
  <c r="BO6" i="4"/>
  <c r="G6" i="4"/>
  <c r="H6" i="4" s="1"/>
  <c r="J11" i="4"/>
  <c r="D11" i="4"/>
  <c r="A8" i="9"/>
  <c r="AD8" i="6"/>
  <c r="AF8" i="6" s="1"/>
  <c r="J21" i="2"/>
  <c r="AF12" i="8"/>
  <c r="L8" i="5"/>
  <c r="W44" i="4"/>
  <c r="V75" i="4"/>
  <c r="AA35" i="4"/>
  <c r="AC35" i="4"/>
  <c r="AB35" i="4"/>
  <c r="Z35" i="4"/>
  <c r="Y35" i="4"/>
  <c r="W75" i="4"/>
  <c r="BM15" i="2"/>
  <c r="DB17" i="2"/>
  <c r="DB19" i="2"/>
  <c r="BL21" i="2"/>
  <c r="BN31" i="2"/>
  <c r="BP34" i="2"/>
  <c r="BL57" i="2"/>
  <c r="BN59" i="2"/>
  <c r="BP62" i="2"/>
  <c r="BM65" i="2"/>
  <c r="BN76" i="2"/>
  <c r="C12" i="4"/>
  <c r="M12" i="4" s="1"/>
  <c r="DB12" i="2"/>
  <c r="BO12" i="4"/>
  <c r="N19" i="4"/>
  <c r="Y29" i="4"/>
  <c r="X29" i="4"/>
  <c r="W29" i="4"/>
  <c r="AC33" i="4"/>
  <c r="Z37" i="4"/>
  <c r="V52" i="4"/>
  <c r="AA52" i="4"/>
  <c r="Z52" i="4"/>
  <c r="Y52" i="4"/>
  <c r="Z69" i="4"/>
  <c r="AC76" i="4"/>
  <c r="L17" i="5"/>
  <c r="AM22" i="8"/>
  <c r="A18" i="9"/>
  <c r="J18" i="9" s="1"/>
  <c r="AF22" i="8"/>
  <c r="AE22" i="8"/>
  <c r="AD22" i="8"/>
  <c r="F7" i="11"/>
  <c r="J7" i="11" s="1"/>
  <c r="F9" i="11"/>
  <c r="J9" i="11" s="1"/>
  <c r="C20" i="11"/>
  <c r="D20" i="11"/>
  <c r="B20" i="11"/>
  <c r="BL10" i="2"/>
  <c r="BK10" i="2"/>
  <c r="BK24" i="2"/>
  <c r="BO24" i="2"/>
  <c r="BN24" i="2"/>
  <c r="BI34" i="2"/>
  <c r="BJ43" i="2"/>
  <c r="BP43" i="2"/>
  <c r="BJ52" i="2"/>
  <c r="BM52" i="2"/>
  <c r="BL52" i="2"/>
  <c r="BI62" i="2"/>
  <c r="Y6" i="4"/>
  <c r="AB11" i="4"/>
  <c r="AA11" i="4"/>
  <c r="Y39" i="4"/>
  <c r="AA55" i="4"/>
  <c r="AC55" i="4"/>
  <c r="Z55" i="4"/>
  <c r="Y55" i="4"/>
  <c r="AB68" i="4"/>
  <c r="AA68" i="4"/>
  <c r="V68" i="4"/>
  <c r="AG21" i="8"/>
  <c r="M17" i="5" s="1"/>
  <c r="AC53" i="4"/>
  <c r="AB53" i="4"/>
  <c r="X62" i="4"/>
  <c r="AC62" i="4"/>
  <c r="AB21" i="8"/>
  <c r="B17" i="9" s="1"/>
  <c r="AL16" i="8"/>
  <c r="AM16" i="8" s="1"/>
  <c r="AE16" i="8"/>
  <c r="AD12" i="6"/>
  <c r="AI12" i="6" s="1"/>
  <c r="AC16" i="8"/>
  <c r="AJ21" i="8"/>
  <c r="BM10" i="2"/>
  <c r="BJ13" i="2"/>
  <c r="BJ15" i="2"/>
  <c r="BK17" i="2"/>
  <c r="BL24" i="2"/>
  <c r="BO29" i="2"/>
  <c r="BK31" i="2"/>
  <c r="BL34" i="2"/>
  <c r="BM43" i="2"/>
  <c r="BO52" i="2"/>
  <c r="BI57" i="2"/>
  <c r="BJ59" i="2"/>
  <c r="BM62" i="2"/>
  <c r="BJ65" i="2"/>
  <c r="BO68" i="2"/>
  <c r="BJ68" i="2"/>
  <c r="BI76" i="2"/>
  <c r="AB5" i="4"/>
  <c r="B8" i="4"/>
  <c r="J8" i="4"/>
  <c r="I8" i="4"/>
  <c r="AC11" i="4"/>
  <c r="J17" i="4"/>
  <c r="K17" i="4" s="1"/>
  <c r="Q17" i="4" s="1"/>
  <c r="G19" i="4"/>
  <c r="H19" i="4" s="1"/>
  <c r="X20" i="4"/>
  <c r="V26" i="4"/>
  <c r="Z30" i="4"/>
  <c r="Z33" i="4"/>
  <c r="W37" i="4"/>
  <c r="AA41" i="4"/>
  <c r="Z41" i="4"/>
  <c r="Y41" i="4"/>
  <c r="Y51" i="4"/>
  <c r="Y53" i="4"/>
  <c r="X55" i="4"/>
  <c r="Z62" i="4"/>
  <c r="W69" i="4"/>
  <c r="W71" i="4"/>
  <c r="AI9" i="8"/>
  <c r="AK9" i="8"/>
  <c r="AF9" i="8"/>
  <c r="AE9" i="8"/>
  <c r="AN22" i="8"/>
  <c r="E23" i="11"/>
  <c r="AE21" i="8"/>
  <c r="AD17" i="6"/>
  <c r="AI17" i="6" s="1"/>
  <c r="A17" i="9"/>
  <c r="J17" i="9" s="1"/>
  <c r="AD21" i="8"/>
  <c r="AC21" i="8"/>
  <c r="BP8" i="2"/>
  <c r="BJ10" i="2"/>
  <c r="BJ17" i="2"/>
  <c r="BN21" i="2"/>
  <c r="BM21" i="2"/>
  <c r="BJ24" i="2"/>
  <c r="BJ31" i="2"/>
  <c r="BK34" i="2"/>
  <c r="BL43" i="2"/>
  <c r="BN52" i="2"/>
  <c r="BL62" i="2"/>
  <c r="BI65" i="2"/>
  <c r="AC6" i="4"/>
  <c r="W11" i="4"/>
  <c r="C19" i="4"/>
  <c r="V20" i="4"/>
  <c r="Y30" i="4"/>
  <c r="V33" i="4"/>
  <c r="V37" i="4"/>
  <c r="X51" i="4"/>
  <c r="X53" i="4"/>
  <c r="W55" i="4"/>
  <c r="Y62" i="4"/>
  <c r="V69" i="4"/>
  <c r="V76" i="4"/>
  <c r="Y76" i="4"/>
  <c r="X76" i="4"/>
  <c r="W76" i="4"/>
  <c r="BN10" i="2"/>
  <c r="BI12" i="2"/>
  <c r="BK13" i="2"/>
  <c r="BK15" i="2"/>
  <c r="BN17" i="2"/>
  <c r="J19" i="2"/>
  <c r="BJ21" i="2"/>
  <c r="BM24" i="2"/>
  <c r="J30" i="2"/>
  <c r="K30" i="2" s="1"/>
  <c r="BL31" i="2"/>
  <c r="BN34" i="2"/>
  <c r="BM38" i="2"/>
  <c r="BL38" i="2"/>
  <c r="BK40" i="2"/>
  <c r="BN43" i="2"/>
  <c r="BM45" i="2"/>
  <c r="BP52" i="2"/>
  <c r="BJ57" i="2"/>
  <c r="BK59" i="2"/>
  <c r="BN62" i="2"/>
  <c r="BI68" i="2"/>
  <c r="BL72" i="2"/>
  <c r="BJ76" i="2"/>
  <c r="C8" i="4"/>
  <c r="M8" i="4" s="1"/>
  <c r="I19" i="4"/>
  <c r="Y20" i="4"/>
  <c r="X37" i="4"/>
  <c r="V41" i="4"/>
  <c r="AC49" i="4"/>
  <c r="AB49" i="4"/>
  <c r="Z51" i="4"/>
  <c r="Z53" i="4"/>
  <c r="X58" i="4"/>
  <c r="AC58" i="4"/>
  <c r="AB62" i="4"/>
  <c r="X69" i="4"/>
  <c r="Z72" i="4"/>
  <c r="AB72" i="4"/>
  <c r="AA72" i="4"/>
  <c r="Y72" i="4"/>
  <c r="AA76" i="4"/>
  <c r="L11" i="5"/>
  <c r="AB9" i="8"/>
  <c r="B5" i="9" s="1"/>
  <c r="AE17" i="8"/>
  <c r="AM21" i="8"/>
  <c r="B23" i="11"/>
  <c r="BM29" i="2"/>
  <c r="BJ29" i="2"/>
  <c r="BJ34" i="2"/>
  <c r="BK62" i="2"/>
  <c r="BO65" i="2"/>
  <c r="BN65" i="2"/>
  <c r="Y33" i="4"/>
  <c r="X33" i="4"/>
  <c r="W33" i="4"/>
  <c r="Z39" i="4"/>
  <c r="W53" i="4"/>
  <c r="W62" i="4"/>
  <c r="AH21" i="8"/>
  <c r="T17" i="3" s="1"/>
  <c r="BO10" i="2"/>
  <c r="BL15" i="2"/>
  <c r="BK21" i="2"/>
  <c r="BP24" i="2"/>
  <c r="BP30" i="2"/>
  <c r="BO30" i="2"/>
  <c r="BM31" i="2"/>
  <c r="BO34" i="2"/>
  <c r="BL40" i="2"/>
  <c r="BO43" i="2"/>
  <c r="BK57" i="2"/>
  <c r="BL59" i="2"/>
  <c r="BO62" i="2"/>
  <c r="BL65" i="2"/>
  <c r="D8" i="4"/>
  <c r="M19" i="4"/>
  <c r="AC27" i="4"/>
  <c r="AB27" i="4"/>
  <c r="AB33" i="4"/>
  <c r="Y37" i="4"/>
  <c r="W41" i="4"/>
  <c r="AA53" i="4"/>
  <c r="Z61" i="4"/>
  <c r="Y61" i="4"/>
  <c r="X61" i="4"/>
  <c r="AB76" i="4"/>
  <c r="L13" i="5"/>
  <c r="AD9" i="8"/>
  <c r="AK17" i="8"/>
  <c r="AN21" i="8"/>
  <c r="E24" i="11"/>
  <c r="F6" i="11"/>
  <c r="J6" i="11" s="1"/>
  <c r="F10" i="11"/>
  <c r="J10" i="11" s="1"/>
  <c r="B17" i="11"/>
  <c r="Y23" i="4"/>
  <c r="Y31" i="4"/>
  <c r="V43" i="4"/>
  <c r="V70" i="4"/>
  <c r="C17" i="11"/>
  <c r="E17" i="11" s="1"/>
  <c r="G10" i="4"/>
  <c r="H10" i="4" s="1"/>
  <c r="W12" i="4"/>
  <c r="C18" i="4"/>
  <c r="Z31" i="4"/>
  <c r="W59" i="4"/>
  <c r="Y63" i="4"/>
  <c r="M18" i="10"/>
  <c r="B25" i="14"/>
  <c r="I4" i="9"/>
  <c r="I11" i="9" s="1"/>
  <c r="Q19" i="10"/>
  <c r="AJ20" i="8"/>
  <c r="P19" i="10"/>
  <c r="S19" i="10"/>
  <c r="O19" i="10"/>
  <c r="T19" i="10"/>
  <c r="AJ16" i="8"/>
  <c r="AI12" i="8"/>
  <c r="N19" i="10"/>
  <c r="M6" i="2"/>
  <c r="H26" i="12"/>
  <c r="A62" i="12"/>
  <c r="A58" i="12"/>
  <c r="D58" i="12"/>
  <c r="I60" i="12"/>
  <c r="J60" i="12" s="1"/>
  <c r="G26" i="12"/>
  <c r="A80" i="12"/>
  <c r="E91" i="12"/>
  <c r="C14" i="12"/>
  <c r="G23" i="12"/>
  <c r="D14" i="12"/>
  <c r="I23" i="12"/>
  <c r="J23" i="12" s="1"/>
  <c r="G76" i="12"/>
  <c r="D62" i="12"/>
  <c r="A78" i="12"/>
  <c r="B26" i="12"/>
  <c r="D78" i="12"/>
  <c r="D74" i="12"/>
  <c r="A66" i="12"/>
  <c r="E74" i="12"/>
  <c r="C22" i="12"/>
  <c r="C28" i="12"/>
  <c r="C66" i="12"/>
  <c r="I74" i="12"/>
  <c r="J74" i="12" s="1"/>
  <c r="I81" i="12"/>
  <c r="J81" i="12" s="1"/>
  <c r="C91" i="12"/>
  <c r="B14" i="12"/>
  <c r="F60" i="12"/>
  <c r="D66" i="12"/>
  <c r="K81" i="12"/>
  <c r="C62" i="12"/>
  <c r="F68" i="12"/>
  <c r="G80" i="12"/>
  <c r="A94" i="12"/>
  <c r="I98" i="12"/>
  <c r="J98" i="12" s="1"/>
  <c r="D41" i="12"/>
  <c r="C50" i="12"/>
  <c r="D57" i="12"/>
  <c r="H68" i="12"/>
  <c r="C87" i="12"/>
  <c r="E94" i="12"/>
  <c r="C19" i="12"/>
  <c r="I41" i="12"/>
  <c r="J41" i="12" s="1"/>
  <c r="I87" i="12"/>
  <c r="J87" i="12" s="1"/>
  <c r="I94" i="12"/>
  <c r="J94" i="12" s="1"/>
  <c r="A25" i="12"/>
  <c r="C25" i="12"/>
  <c r="D52" i="12"/>
  <c r="A101" i="12"/>
  <c r="K18" i="4"/>
  <c r="Q18" i="4" s="1"/>
  <c r="F21" i="12"/>
  <c r="D25" i="12"/>
  <c r="D35" i="12"/>
  <c r="H52" i="12"/>
  <c r="A70" i="12"/>
  <c r="A96" i="12"/>
  <c r="K101" i="12"/>
  <c r="A15" i="12"/>
  <c r="I21" i="12"/>
  <c r="F25" i="12"/>
  <c r="A29" i="12"/>
  <c r="H35" i="12"/>
  <c r="C70" i="12"/>
  <c r="D123" i="12"/>
  <c r="A85" i="12"/>
  <c r="A17" i="12"/>
  <c r="D22" i="12"/>
  <c r="C26" i="12"/>
  <c r="H29" i="12"/>
  <c r="D85" i="12"/>
  <c r="A98" i="12"/>
  <c r="C12" i="12"/>
  <c r="F17" i="12"/>
  <c r="B29" i="12"/>
  <c r="F29" i="12"/>
  <c r="A12" i="12"/>
  <c r="B17" i="12"/>
  <c r="I29" i="12"/>
  <c r="A55" i="12"/>
  <c r="E85" i="12"/>
  <c r="C98" i="12"/>
  <c r="E98" i="12"/>
  <c r="F7" i="12"/>
  <c r="B8" i="12"/>
  <c r="F14" i="12"/>
  <c r="H22" i="12"/>
  <c r="H55" i="12"/>
  <c r="H58" i="12"/>
  <c r="D94" i="12"/>
  <c r="E101" i="12"/>
  <c r="D117" i="12"/>
  <c r="I8" i="12"/>
  <c r="F13" i="12"/>
  <c r="B15" i="12"/>
  <c r="A27" i="12"/>
  <c r="A90" i="12"/>
  <c r="K123" i="12"/>
  <c r="J48" i="12"/>
  <c r="C8" i="12"/>
  <c r="G14" i="12"/>
  <c r="F20" i="12"/>
  <c r="D8" i="12"/>
  <c r="H14" i="12"/>
  <c r="J14" i="12" s="1"/>
  <c r="G17" i="12"/>
  <c r="G20" i="12"/>
  <c r="A23" i="12"/>
  <c r="G25" i="12"/>
  <c r="F27" i="12"/>
  <c r="A38" i="12"/>
  <c r="D50" i="12"/>
  <c r="D56" i="12"/>
  <c r="A59" i="12"/>
  <c r="D70" i="12"/>
  <c r="C75" i="12"/>
  <c r="C83" i="12"/>
  <c r="D90" i="12"/>
  <c r="H8" i="12"/>
  <c r="C13" i="12"/>
  <c r="D7" i="12"/>
  <c r="I10" i="12"/>
  <c r="I16" i="12"/>
  <c r="J16" i="12" s="1"/>
  <c r="A20" i="12"/>
  <c r="F8" i="12"/>
  <c r="A13" i="12"/>
  <c r="I17" i="12"/>
  <c r="J17" i="12" s="1"/>
  <c r="H20" i="12"/>
  <c r="B23" i="12"/>
  <c r="H27" i="12"/>
  <c r="A47" i="12"/>
  <c r="F56" i="12"/>
  <c r="F59" i="12"/>
  <c r="H70" i="12"/>
  <c r="D75" i="12"/>
  <c r="D83" i="12"/>
  <c r="E90" i="12"/>
  <c r="D102" i="12"/>
  <c r="G13" i="12"/>
  <c r="I15" i="12"/>
  <c r="J15" i="12" s="1"/>
  <c r="D19" i="12"/>
  <c r="A7" i="12"/>
  <c r="B20" i="12"/>
  <c r="C20" i="12"/>
  <c r="I26" i="12"/>
  <c r="I20" i="12"/>
  <c r="F23" i="12"/>
  <c r="A26" i="12"/>
  <c r="I27" i="12"/>
  <c r="A31" i="12"/>
  <c r="D47" i="12"/>
  <c r="H56" i="12"/>
  <c r="G59" i="12"/>
  <c r="A63" i="12"/>
  <c r="E75" i="12"/>
  <c r="E83" i="12"/>
  <c r="E102" i="12"/>
  <c r="I136" i="12"/>
  <c r="J136" i="12" s="1"/>
  <c r="F47" i="12"/>
  <c r="D63" i="12"/>
  <c r="I75" i="12"/>
  <c r="J75" i="12" s="1"/>
  <c r="J99" i="12"/>
  <c r="K127" i="12"/>
  <c r="A84" i="12"/>
  <c r="A100" i="12"/>
  <c r="D103" i="12"/>
  <c r="F26" i="12"/>
  <c r="D48" i="12"/>
  <c r="I57" i="12"/>
  <c r="J57" i="12" s="1"/>
  <c r="D76" i="12"/>
  <c r="A81" i="12"/>
  <c r="D88" i="12"/>
  <c r="D100" i="12"/>
  <c r="K103" i="12"/>
  <c r="D122" i="12"/>
  <c r="H48" i="12"/>
  <c r="D69" i="12"/>
  <c r="E100" i="12"/>
  <c r="I122" i="12"/>
  <c r="J122" i="12" s="1"/>
  <c r="AK7" i="6"/>
  <c r="AL7" i="6" s="1"/>
  <c r="AI14" i="8"/>
  <c r="AI16" i="8"/>
  <c r="AH20" i="8"/>
  <c r="T16" i="3" s="1"/>
  <c r="F18" i="4"/>
  <c r="M18" i="5"/>
  <c r="AI18" i="5" s="1"/>
  <c r="L16" i="5"/>
  <c r="I16" i="4"/>
  <c r="AD20" i="8"/>
  <c r="AE20" i="8"/>
  <c r="AD16" i="6"/>
  <c r="AF16" i="6" s="1"/>
  <c r="AB19" i="8"/>
  <c r="B15" i="9" s="1"/>
  <c r="AC19" i="8"/>
  <c r="AD15" i="6"/>
  <c r="AE15" i="6" s="1"/>
  <c r="AD19" i="8"/>
  <c r="AE19" i="8"/>
  <c r="AI19" i="8"/>
  <c r="DB15" i="2"/>
  <c r="I15" i="4"/>
  <c r="J28" i="2"/>
  <c r="K28" i="2" s="1"/>
  <c r="L15" i="5"/>
  <c r="L14" i="5"/>
  <c r="B14" i="4"/>
  <c r="AD14" i="6"/>
  <c r="AJ14" i="6" s="1"/>
  <c r="G14" i="4"/>
  <c r="H14" i="4" s="1"/>
  <c r="T13" i="4"/>
  <c r="BO13" i="4"/>
  <c r="G13" i="4"/>
  <c r="H13" i="4" s="1"/>
  <c r="J13" i="4"/>
  <c r="AC17" i="8"/>
  <c r="AD17" i="8"/>
  <c r="AF17" i="8"/>
  <c r="AG17" i="8"/>
  <c r="AI17" i="8"/>
  <c r="K12" i="4"/>
  <c r="Q12" i="4" s="1"/>
  <c r="AF16" i="8"/>
  <c r="AH16" i="8"/>
  <c r="AD15" i="8"/>
  <c r="AL15" i="8"/>
  <c r="AM15" i="8" s="1"/>
  <c r="BO11" i="4"/>
  <c r="E11" i="4"/>
  <c r="F11" i="4" s="1"/>
  <c r="AC15" i="8"/>
  <c r="G11" i="4"/>
  <c r="H11" i="4" s="1"/>
  <c r="J24" i="2"/>
  <c r="D10" i="4"/>
  <c r="E10" i="4"/>
  <c r="D9" i="4"/>
  <c r="E9" i="4"/>
  <c r="I9" i="4"/>
  <c r="J9" i="4"/>
  <c r="C9" i="4"/>
  <c r="O9" i="4" s="1"/>
  <c r="AE12" i="8"/>
  <c r="AH12" i="8"/>
  <c r="T8" i="3" s="1"/>
  <c r="AJ12" i="8"/>
  <c r="AK12" i="8"/>
  <c r="AL12" i="8"/>
  <c r="AM12" i="8" s="1"/>
  <c r="AB12" i="8"/>
  <c r="B8" i="9" s="1"/>
  <c r="D7" i="4"/>
  <c r="E7" i="4"/>
  <c r="AD11" i="8"/>
  <c r="F5" i="11"/>
  <c r="J5" i="11" s="1"/>
  <c r="F11" i="11"/>
  <c r="J11" i="11" s="1"/>
  <c r="AJ10" i="8"/>
  <c r="AL10" i="8"/>
  <c r="AD6" i="6"/>
  <c r="AE6" i="6" s="1"/>
  <c r="AB10" i="8"/>
  <c r="B6" i="9" s="1"/>
  <c r="AC10" i="8"/>
  <c r="AD10" i="8"/>
  <c r="AE10" i="8"/>
  <c r="A6" i="9"/>
  <c r="AF10" i="8"/>
  <c r="AG10" i="8"/>
  <c r="AH10" i="8"/>
  <c r="T6" i="3" s="1"/>
  <c r="O6" i="4"/>
  <c r="AI10" i="8"/>
  <c r="D6" i="4"/>
  <c r="F6" i="4" s="1"/>
  <c r="F8" i="11"/>
  <c r="J8" i="11" s="1"/>
  <c r="AG8" i="6"/>
  <c r="E5" i="4"/>
  <c r="F5" i="4" s="1"/>
  <c r="I5" i="4"/>
  <c r="T5" i="4"/>
  <c r="AG18" i="6"/>
  <c r="K18" i="2"/>
  <c r="AE8" i="6"/>
  <c r="AE7" i="6"/>
  <c r="A5" i="9"/>
  <c r="E22" i="10"/>
  <c r="H22" i="10"/>
  <c r="E28" i="10"/>
  <c r="C23" i="10"/>
  <c r="E40" i="10"/>
  <c r="F40" i="10"/>
  <c r="I45" i="10"/>
  <c r="B55" i="10"/>
  <c r="H66" i="10"/>
  <c r="I40" i="10"/>
  <c r="G23" i="10"/>
  <c r="K23" i="10" s="1"/>
  <c r="G46" i="10"/>
  <c r="G18" i="10"/>
  <c r="A52" i="10"/>
  <c r="J52" i="10" s="1"/>
  <c r="H23" i="10"/>
  <c r="I18" i="10"/>
  <c r="I23" i="10"/>
  <c r="A28" i="10"/>
  <c r="J28" i="10" s="1"/>
  <c r="I38" i="10"/>
  <c r="D52" i="10"/>
  <c r="D16" i="10"/>
  <c r="I27" i="10"/>
  <c r="H16" i="10"/>
  <c r="D35" i="10"/>
  <c r="C59" i="10"/>
  <c r="G35" i="10"/>
  <c r="D40" i="10"/>
  <c r="A12" i="10"/>
  <c r="J12" i="10" s="1"/>
  <c r="I15" i="10"/>
  <c r="I33" i="10"/>
  <c r="B12" i="10"/>
  <c r="I16" i="10"/>
  <c r="H18" i="10"/>
  <c r="C43" i="10"/>
  <c r="H46" i="10"/>
  <c r="A59" i="10"/>
  <c r="J59" i="10" s="1"/>
  <c r="A66" i="10"/>
  <c r="J66" i="10" s="1"/>
  <c r="C40" i="10"/>
  <c r="E43" i="10"/>
  <c r="I46" i="10"/>
  <c r="F59" i="10"/>
  <c r="F12" i="10"/>
  <c r="B34" i="10"/>
  <c r="I59" i="10"/>
  <c r="D34" i="10"/>
  <c r="B64" i="10"/>
  <c r="D12" i="10"/>
  <c r="E34" i="10"/>
  <c r="C16" i="10"/>
  <c r="H19" i="10"/>
  <c r="H21" i="10"/>
  <c r="C28" i="10"/>
  <c r="G34" i="10"/>
  <c r="H38" i="10"/>
  <c r="H45" i="10"/>
  <c r="C65" i="10"/>
  <c r="E16" i="10"/>
  <c r="D58" i="10"/>
  <c r="C61" i="10"/>
  <c r="D65" i="10"/>
  <c r="F28" i="10"/>
  <c r="A33" i="10"/>
  <c r="J33" i="10" s="1"/>
  <c r="E49" i="10"/>
  <c r="B11" i="10"/>
  <c r="F15" i="10"/>
  <c r="F16" i="10"/>
  <c r="A18" i="10"/>
  <c r="J18" i="10" s="1"/>
  <c r="E33" i="10"/>
  <c r="A35" i="10"/>
  <c r="J35" i="10" s="1"/>
  <c r="H49" i="10"/>
  <c r="G58" i="10"/>
  <c r="F61" i="10"/>
  <c r="E65" i="10"/>
  <c r="C13" i="10"/>
  <c r="H13" i="10"/>
  <c r="G15" i="10"/>
  <c r="G16" i="10"/>
  <c r="F18" i="10"/>
  <c r="H33" i="10"/>
  <c r="C39" i="10"/>
  <c r="C46" i="10"/>
  <c r="G54" i="10"/>
  <c r="K54" i="10" s="1"/>
  <c r="H17" i="10"/>
  <c r="A26" i="10"/>
  <c r="J26" i="10" s="1"/>
  <c r="D32" i="10"/>
  <c r="C38" i="10"/>
  <c r="B40" i="10"/>
  <c r="D42" i="10"/>
  <c r="E45" i="10"/>
  <c r="G48" i="10"/>
  <c r="G51" i="10"/>
  <c r="I52" i="10"/>
  <c r="A24" i="10"/>
  <c r="J24" i="10" s="1"/>
  <c r="K24" i="10" s="1"/>
  <c r="C26" i="10"/>
  <c r="D28" i="10"/>
  <c r="F32" i="10"/>
  <c r="F38" i="10"/>
  <c r="F45" i="10"/>
  <c r="A47" i="10"/>
  <c r="J47" i="10" s="1"/>
  <c r="I48" i="10"/>
  <c r="I51" i="10"/>
  <c r="A65" i="10"/>
  <c r="J65" i="10" s="1"/>
  <c r="K65" i="10" s="1"/>
  <c r="I66" i="10"/>
  <c r="B36" i="10"/>
  <c r="A61" i="10"/>
  <c r="J61" i="10" s="1"/>
  <c r="E62" i="10"/>
  <c r="B24" i="10"/>
  <c r="D26" i="10"/>
  <c r="I12" i="10"/>
  <c r="F24" i="10"/>
  <c r="F36" i="10"/>
  <c r="D47" i="10"/>
  <c r="B56" i="10"/>
  <c r="B61" i="10"/>
  <c r="E17" i="10"/>
  <c r="G12" i="10"/>
  <c r="H12" i="10"/>
  <c r="C47" i="10"/>
  <c r="A15" i="10"/>
  <c r="J15" i="10" s="1"/>
  <c r="C18" i="10"/>
  <c r="D19" i="10"/>
  <c r="H24" i="10"/>
  <c r="F47" i="10"/>
  <c r="F31" i="10"/>
  <c r="B19" i="10"/>
  <c r="B15" i="10"/>
  <c r="G28" i="10"/>
  <c r="A31" i="10"/>
  <c r="J31" i="10" s="1"/>
  <c r="G36" i="10"/>
  <c r="D11" i="10"/>
  <c r="D14" i="10"/>
  <c r="C15" i="10"/>
  <c r="A16" i="10"/>
  <c r="J16" i="10" s="1"/>
  <c r="D18" i="10"/>
  <c r="F19" i="10"/>
  <c r="B20" i="10"/>
  <c r="I24" i="10"/>
  <c r="D27" i="10"/>
  <c r="H28" i="10"/>
  <c r="B31" i="10"/>
  <c r="B33" i="10"/>
  <c r="H36" i="10"/>
  <c r="G40" i="10"/>
  <c r="K40" i="10" s="1"/>
  <c r="H43" i="10"/>
  <c r="H47" i="10"/>
  <c r="F49" i="10"/>
  <c r="B52" i="10"/>
  <c r="C54" i="10"/>
  <c r="D61" i="10"/>
  <c r="H63" i="10"/>
  <c r="I14" i="10"/>
  <c r="D15" i="10"/>
  <c r="D17" i="10"/>
  <c r="E18" i="10"/>
  <c r="G19" i="10"/>
  <c r="F20" i="10"/>
  <c r="I28" i="10"/>
  <c r="E31" i="10"/>
  <c r="B39" i="10"/>
  <c r="H40" i="10"/>
  <c r="A46" i="10"/>
  <c r="J46" i="10" s="1"/>
  <c r="C52" i="10"/>
  <c r="E54" i="10"/>
  <c r="C57" i="10"/>
  <c r="E61" i="10"/>
  <c r="I63" i="10"/>
  <c r="F17" i="10"/>
  <c r="G31" i="10"/>
  <c r="I39" i="10"/>
  <c r="E52" i="10"/>
  <c r="H54" i="10"/>
  <c r="G61" i="10"/>
  <c r="B66" i="10"/>
  <c r="C12" i="10"/>
  <c r="H15" i="10"/>
  <c r="E21" i="10"/>
  <c r="C48" i="10"/>
  <c r="F52" i="10"/>
  <c r="I54" i="10"/>
  <c r="A58" i="10"/>
  <c r="J58" i="10" s="1"/>
  <c r="H61" i="10"/>
  <c r="A64" i="10"/>
  <c r="J64" i="10" s="1"/>
  <c r="C66" i="10"/>
  <c r="A45" i="10"/>
  <c r="J45" i="10" s="1"/>
  <c r="E48" i="10"/>
  <c r="G52" i="10"/>
  <c r="D66" i="10"/>
  <c r="F13" i="10"/>
  <c r="F29" i="10"/>
  <c r="H35" i="10"/>
  <c r="A38" i="10"/>
  <c r="J38" i="10" s="1"/>
  <c r="K38" i="10" s="1"/>
  <c r="F58" i="10"/>
  <c r="D60" i="10"/>
  <c r="BJ23" i="2"/>
  <c r="BP23" i="2"/>
  <c r="BO23" i="2"/>
  <c r="BL23" i="2"/>
  <c r="BI23" i="2"/>
  <c r="BN23" i="2"/>
  <c r="BM23" i="2"/>
  <c r="BK23" i="2"/>
  <c r="BM26" i="2"/>
  <c r="BL26" i="2"/>
  <c r="BK26" i="2"/>
  <c r="BO26" i="2"/>
  <c r="BN26" i="2"/>
  <c r="BI26" i="2"/>
  <c r="BJ26" i="2"/>
  <c r="BP26" i="2"/>
  <c r="BP61" i="2"/>
  <c r="BO61" i="2"/>
  <c r="BJ61" i="2"/>
  <c r="BI61" i="2"/>
  <c r="BK61" i="2"/>
  <c r="BN61" i="2"/>
  <c r="BM61" i="2"/>
  <c r="BL61" i="2"/>
  <c r="BK56" i="2"/>
  <c r="BJ56" i="2"/>
  <c r="BP56" i="2"/>
  <c r="BO56" i="2"/>
  <c r="BL56" i="2"/>
  <c r="BN56" i="2"/>
  <c r="BM56" i="2"/>
  <c r="BI56" i="2"/>
  <c r="BN37" i="2"/>
  <c r="BM37" i="2"/>
  <c r="BL37" i="2"/>
  <c r="BK37" i="2"/>
  <c r="BI37" i="2"/>
  <c r="BP37" i="2"/>
  <c r="BO37" i="2"/>
  <c r="BJ37" i="2"/>
  <c r="Z36" i="4"/>
  <c r="Y36" i="4"/>
  <c r="AB36" i="4"/>
  <c r="AC36" i="4"/>
  <c r="AA36" i="4"/>
  <c r="V36" i="4"/>
  <c r="W36" i="4"/>
  <c r="BI11" i="2"/>
  <c r="BP32" i="2"/>
  <c r="BI47" i="2"/>
  <c r="BO49" i="2"/>
  <c r="BI51" i="2"/>
  <c r="BO69" i="2"/>
  <c r="BL47" i="2"/>
  <c r="BJ51" i="2"/>
  <c r="BJ55" i="2"/>
  <c r="BN55" i="2"/>
  <c r="BM55" i="2"/>
  <c r="BP55" i="2"/>
  <c r="BO55" i="2"/>
  <c r="BL55" i="2"/>
  <c r="BJ63" i="2"/>
  <c r="BP69" i="2"/>
  <c r="BO77" i="2"/>
  <c r="AB13" i="4"/>
  <c r="X13" i="4"/>
  <c r="W13" i="4"/>
  <c r="V13" i="4"/>
  <c r="Z13" i="4"/>
  <c r="AA13" i="4"/>
  <c r="Y34" i="4"/>
  <c r="BM9" i="2"/>
  <c r="BL9" i="2"/>
  <c r="BI19" i="2"/>
  <c r="BP35" i="2"/>
  <c r="BJ35" i="2"/>
  <c r="BI35" i="2"/>
  <c r="BL35" i="2"/>
  <c r="BK35" i="2"/>
  <c r="BO35" i="2"/>
  <c r="BP41" i="2"/>
  <c r="BN41" i="2"/>
  <c r="BM41" i="2"/>
  <c r="BJ41" i="2"/>
  <c r="BI41" i="2"/>
  <c r="BI63" i="2"/>
  <c r="X10" i="4"/>
  <c r="W10" i="4"/>
  <c r="V10" i="4"/>
  <c r="AA10" i="4"/>
  <c r="AC10" i="4"/>
  <c r="Y10" i="4"/>
  <c r="AD13" i="8"/>
  <c r="AK13" i="8"/>
  <c r="A9" i="9"/>
  <c r="AI13" i="8"/>
  <c r="AE13" i="8"/>
  <c r="AD9" i="6"/>
  <c r="AF13" i="8"/>
  <c r="AC13" i="8"/>
  <c r="AB13" i="8"/>
  <c r="B9" i="9" s="1"/>
  <c r="AL13" i="8"/>
  <c r="AM13" i="8" s="1"/>
  <c r="AJ13" i="8"/>
  <c r="AG13" i="8"/>
  <c r="L9" i="5"/>
  <c r="X34" i="4"/>
  <c r="W34" i="4"/>
  <c r="AC34" i="4"/>
  <c r="Z34" i="4"/>
  <c r="AB34" i="4"/>
  <c r="V34" i="4"/>
  <c r="BJ11" i="2"/>
  <c r="BJ16" i="2"/>
  <c r="BI33" i="2"/>
  <c r="BN35" i="2"/>
  <c r="BJ39" i="2"/>
  <c r="BM39" i="2"/>
  <c r="BL39" i="2"/>
  <c r="BL41" i="2"/>
  <c r="BM47" i="2"/>
  <c r="BO50" i="2"/>
  <c r="BN50" i="2"/>
  <c r="BM51" i="2"/>
  <c r="BJ70" i="2"/>
  <c r="BO70" i="2"/>
  <c r="BN70" i="2"/>
  <c r="BL70" i="2"/>
  <c r="BK70" i="2"/>
  <c r="BP70" i="2"/>
  <c r="BM70" i="2"/>
  <c r="BN5" i="2"/>
  <c r="BM5" i="2"/>
  <c r="BL5" i="2"/>
  <c r="BI7" i="2"/>
  <c r="BK9" i="2"/>
  <c r="BL14" i="2"/>
  <c r="BK14" i="2"/>
  <c r="D36" i="2"/>
  <c r="BI39" i="2"/>
  <c r="BO41" i="2"/>
  <c r="BJ46" i="2"/>
  <c r="BN46" i="2"/>
  <c r="BM46" i="2"/>
  <c r="BL46" i="2"/>
  <c r="BK46" i="2"/>
  <c r="BI50" i="2"/>
  <c r="BO51" i="2"/>
  <c r="BK55" i="2"/>
  <c r="BP64" i="2"/>
  <c r="BO64" i="2"/>
  <c r="BN64" i="2"/>
  <c r="BP68" i="2"/>
  <c r="BN68" i="2"/>
  <c r="BM68" i="2"/>
  <c r="BL68" i="2"/>
  <c r="BK68" i="2"/>
  <c r="BI70" i="2"/>
  <c r="Z10" i="4"/>
  <c r="AB40" i="4"/>
  <c r="AA40" i="4"/>
  <c r="Z40" i="4"/>
  <c r="X40" i="4"/>
  <c r="W40" i="4"/>
  <c r="AC40" i="4"/>
  <c r="Y40" i="4"/>
  <c r="V40" i="4"/>
  <c r="AH13" i="8"/>
  <c r="T9" i="3" s="1"/>
  <c r="BM11" i="2"/>
  <c r="BL11" i="2"/>
  <c r="BK47" i="2"/>
  <c r="BJ47" i="2"/>
  <c r="BO47" i="2"/>
  <c r="BN47" i="2"/>
  <c r="BM63" i="2"/>
  <c r="BL63" i="2"/>
  <c r="BK63" i="2"/>
  <c r="BO63" i="2"/>
  <c r="BN63" i="2"/>
  <c r="BM77" i="2"/>
  <c r="X36" i="4"/>
  <c r="X50" i="4"/>
  <c r="AA50" i="4"/>
  <c r="Z50" i="4"/>
  <c r="V50" i="4"/>
  <c r="AC50" i="4"/>
  <c r="W50" i="4"/>
  <c r="Y50" i="4"/>
  <c r="BL16" i="2"/>
  <c r="BP16" i="2"/>
  <c r="BN16" i="2"/>
  <c r="BM16" i="2"/>
  <c r="BJ8" i="2"/>
  <c r="BI8" i="2"/>
  <c r="BI9" i="2"/>
  <c r="BJ33" i="2"/>
  <c r="BO33" i="2"/>
  <c r="BN33" i="2"/>
  <c r="BM33" i="2"/>
  <c r="BL33" i="2"/>
  <c r="BP33" i="2"/>
  <c r="BJ7" i="2"/>
  <c r="BM8" i="2"/>
  <c r="BN9" i="2"/>
  <c r="BO11" i="2"/>
  <c r="BO13" i="2"/>
  <c r="BN13" i="2"/>
  <c r="BP13" i="2"/>
  <c r="BM13" i="2"/>
  <c r="BO16" i="2"/>
  <c r="BM17" i="2"/>
  <c r="BL17" i="2"/>
  <c r="BP17" i="2"/>
  <c r="BN27" i="2"/>
  <c r="BO27" i="2"/>
  <c r="BM27" i="2"/>
  <c r="BL27" i="2"/>
  <c r="BK27" i="2"/>
  <c r="BL36" i="2"/>
  <c r="BK36" i="2"/>
  <c r="BP36" i="2"/>
  <c r="BO36" i="2"/>
  <c r="BK39" i="2"/>
  <c r="BP42" i="2"/>
  <c r="BO42" i="2"/>
  <c r="BN42" i="2"/>
  <c r="BM42" i="2"/>
  <c r="BJ50" i="2"/>
  <c r="BN54" i="2"/>
  <c r="BP54" i="2"/>
  <c r="BO54" i="2"/>
  <c r="BK54" i="2"/>
  <c r="BJ54" i="2"/>
  <c r="Z5" i="4"/>
  <c r="X5" i="4"/>
  <c r="W5" i="4"/>
  <c r="V5" i="4"/>
  <c r="AC5" i="4"/>
  <c r="T7" i="4"/>
  <c r="C7" i="4"/>
  <c r="O7" i="4" s="1"/>
  <c r="B7" i="4"/>
  <c r="BO7" i="4"/>
  <c r="J7" i="4"/>
  <c r="K7" i="4" s="1"/>
  <c r="DB7" i="2"/>
  <c r="AB10" i="4"/>
  <c r="BM19" i="2"/>
  <c r="BP19" i="2"/>
  <c r="BO19" i="2"/>
  <c r="BK19" i="2"/>
  <c r="BJ19" i="2"/>
  <c r="BN51" i="2"/>
  <c r="BL51" i="2"/>
  <c r="BK51" i="2"/>
  <c r="BI16" i="2"/>
  <c r="BL19" i="2"/>
  <c r="BM35" i="2"/>
  <c r="BK8" i="2"/>
  <c r="BJ9" i="2"/>
  <c r="BK11" i="2"/>
  <c r="BK7" i="2"/>
  <c r="BN8" i="2"/>
  <c r="BO9" i="2"/>
  <c r="BP11" i="2"/>
  <c r="BI13" i="2"/>
  <c r="BI17" i="2"/>
  <c r="BN39" i="2"/>
  <c r="BK50" i="2"/>
  <c r="BJ58" i="2"/>
  <c r="BN58" i="2"/>
  <c r="BM58" i="2"/>
  <c r="BN73" i="2"/>
  <c r="BM73" i="2"/>
  <c r="BP73" i="2"/>
  <c r="BO10" i="4"/>
  <c r="J10" i="4"/>
  <c r="I10" i="4"/>
  <c r="C10" i="4"/>
  <c r="O10" i="4" s="1"/>
  <c r="B10" i="4"/>
  <c r="Z16" i="4"/>
  <c r="W16" i="4"/>
  <c r="AC16" i="4"/>
  <c r="AB16" i="4"/>
  <c r="X16" i="4"/>
  <c r="AA16" i="4"/>
  <c r="I17" i="4"/>
  <c r="BO17" i="4"/>
  <c r="O17" i="4"/>
  <c r="T17" i="4"/>
  <c r="C17" i="4"/>
  <c r="B17" i="4"/>
  <c r="P17" i="4"/>
  <c r="D17" i="4"/>
  <c r="N17" i="4"/>
  <c r="M17" i="4"/>
  <c r="E17" i="4"/>
  <c r="X46" i="4"/>
  <c r="Y46" i="4"/>
  <c r="W46" i="4"/>
  <c r="V46" i="4"/>
  <c r="AB46" i="4"/>
  <c r="AA46" i="4"/>
  <c r="AC46" i="4"/>
  <c r="J8" i="9"/>
  <c r="AA67" i="4"/>
  <c r="Z67" i="4"/>
  <c r="Y67" i="4"/>
  <c r="AB67" i="4"/>
  <c r="AC67" i="4"/>
  <c r="V67" i="4"/>
  <c r="W67" i="4"/>
  <c r="BI22" i="2"/>
  <c r="BP22" i="2"/>
  <c r="BL22" i="2"/>
  <c r="BK22" i="2"/>
  <c r="BO22" i="2"/>
  <c r="BN22" i="2"/>
  <c r="BK32" i="2"/>
  <c r="BJ32" i="2"/>
  <c r="BN45" i="2"/>
  <c r="BP45" i="2"/>
  <c r="BJ45" i="2"/>
  <c r="BI45" i="2"/>
  <c r="BJ49" i="2"/>
  <c r="BP49" i="2"/>
  <c r="BP60" i="2"/>
  <c r="BM60" i="2"/>
  <c r="BL60" i="2"/>
  <c r="BJ60" i="2"/>
  <c r="BI60" i="2"/>
  <c r="BJ66" i="2"/>
  <c r="BL66" i="2"/>
  <c r="BK66" i="2"/>
  <c r="BP66" i="2"/>
  <c r="BN66" i="2"/>
  <c r="BM66" i="2"/>
  <c r="BJ22" i="2"/>
  <c r="BI32" i="2"/>
  <c r="BK45" i="2"/>
  <c r="BI49" i="2"/>
  <c r="BP53" i="2"/>
  <c r="BO53" i="2"/>
  <c r="BJ53" i="2"/>
  <c r="BI53" i="2"/>
  <c r="BK60" i="2"/>
  <c r="BI66" i="2"/>
  <c r="BK69" i="2"/>
  <c r="BJ69" i="2"/>
  <c r="BM22" i="2"/>
  <c r="BL32" i="2"/>
  <c r="BM40" i="2"/>
  <c r="BJ40" i="2"/>
  <c r="BI40" i="2"/>
  <c r="BO40" i="2"/>
  <c r="BN40" i="2"/>
  <c r="BL45" i="2"/>
  <c r="BK49" i="2"/>
  <c r="BK53" i="2"/>
  <c r="BN60" i="2"/>
  <c r="BO66" i="2"/>
  <c r="BI69" i="2"/>
  <c r="BP77" i="2"/>
  <c r="BK77" i="2"/>
  <c r="BJ77" i="2"/>
  <c r="B15" i="4"/>
  <c r="BO15" i="4"/>
  <c r="T15" i="4"/>
  <c r="E15" i="4"/>
  <c r="C15" i="4"/>
  <c r="O15" i="4" s="1"/>
  <c r="J15" i="4"/>
  <c r="K15" i="4" s="1"/>
  <c r="D15" i="4"/>
  <c r="AA47" i="4"/>
  <c r="AC47" i="4"/>
  <c r="AB47" i="4"/>
  <c r="V47" i="4"/>
  <c r="X47" i="4"/>
  <c r="W47" i="4"/>
  <c r="Z47" i="4"/>
  <c r="AH14" i="6"/>
  <c r="AF14" i="6"/>
  <c r="AG14" i="6"/>
  <c r="AE14" i="6"/>
  <c r="AB14" i="4"/>
  <c r="W14" i="4"/>
  <c r="V14" i="4"/>
  <c r="AA14" i="4"/>
  <c r="AC14" i="4"/>
  <c r="Z14" i="4"/>
  <c r="Y14" i="4"/>
  <c r="X38" i="4"/>
  <c r="AC38" i="4"/>
  <c r="V38" i="4"/>
  <c r="Y38" i="4"/>
  <c r="W38" i="4"/>
  <c r="Z38" i="4"/>
  <c r="Y47" i="4"/>
  <c r="AI14" i="6"/>
  <c r="F12" i="4"/>
  <c r="D13" i="4"/>
  <c r="E13" i="4"/>
  <c r="C13" i="4"/>
  <c r="O13" i="4" s="1"/>
  <c r="I13" i="4"/>
  <c r="B13" i="4"/>
  <c r="AC20" i="4"/>
  <c r="W20" i="4"/>
  <c r="V24" i="4"/>
  <c r="I10" i="10"/>
  <c r="E10" i="10"/>
  <c r="B10" i="10"/>
  <c r="C10" i="10"/>
  <c r="H10" i="10"/>
  <c r="G10" i="10"/>
  <c r="K10" i="10" s="1"/>
  <c r="F10" i="10"/>
  <c r="D10" i="10"/>
  <c r="Z60" i="4"/>
  <c r="Y60" i="4"/>
  <c r="AA60" i="4"/>
  <c r="X60" i="4"/>
  <c r="AB60" i="4"/>
  <c r="AB64" i="4"/>
  <c r="AA64" i="4"/>
  <c r="X64" i="4"/>
  <c r="AC64" i="4"/>
  <c r="Y64" i="4"/>
  <c r="W64" i="4"/>
  <c r="B16" i="4"/>
  <c r="DB16" i="2"/>
  <c r="E16" i="4"/>
  <c r="BO16" i="4"/>
  <c r="J16" i="4"/>
  <c r="D16" i="4"/>
  <c r="X22" i="4"/>
  <c r="Y22" i="4"/>
  <c r="W22" i="4"/>
  <c r="AA22" i="4"/>
  <c r="AB22" i="4"/>
  <c r="AB24" i="4"/>
  <c r="AB48" i="4"/>
  <c r="V48" i="4"/>
  <c r="AA48" i="4"/>
  <c r="V60" i="4"/>
  <c r="V64" i="4"/>
  <c r="X74" i="4"/>
  <c r="AA74" i="4"/>
  <c r="Z74" i="4"/>
  <c r="AC74" i="4"/>
  <c r="BP76" i="2"/>
  <c r="BM76" i="2"/>
  <c r="BL76" i="2"/>
  <c r="C16" i="4"/>
  <c r="M16" i="4" s="1"/>
  <c r="AA20" i="4"/>
  <c r="V22" i="4"/>
  <c r="W48" i="4"/>
  <c r="W60" i="4"/>
  <c r="Z64" i="4"/>
  <c r="V74" i="4"/>
  <c r="B57" i="14"/>
  <c r="H4" i="8"/>
  <c r="BP29" i="2"/>
  <c r="BL29" i="2"/>
  <c r="BK29" i="2"/>
  <c r="BN6" i="2"/>
  <c r="BM6" i="2"/>
  <c r="BN20" i="2"/>
  <c r="BM20" i="2"/>
  <c r="BI29" i="2"/>
  <c r="AC7" i="4"/>
  <c r="AB7" i="4"/>
  <c r="V7" i="4"/>
  <c r="AA7" i="4"/>
  <c r="Z7" i="4"/>
  <c r="T8" i="4"/>
  <c r="G8" i="4"/>
  <c r="H8" i="4" s="1"/>
  <c r="E8" i="4"/>
  <c r="F8" i="4" s="1"/>
  <c r="BO8" i="4"/>
  <c r="O8" i="4"/>
  <c r="G16" i="4"/>
  <c r="H16" i="4" s="1"/>
  <c r="AB20" i="4"/>
  <c r="Z22" i="4"/>
  <c r="AA27" i="4"/>
  <c r="X27" i="4"/>
  <c r="X30" i="4"/>
  <c r="AC30" i="4"/>
  <c r="AB30" i="4"/>
  <c r="W30" i="4"/>
  <c r="X48" i="4"/>
  <c r="AC60" i="4"/>
  <c r="W74" i="4"/>
  <c r="AH8" i="6"/>
  <c r="AK8" i="6"/>
  <c r="AL8" i="6" s="1"/>
  <c r="AI8" i="6"/>
  <c r="AJ8" i="6"/>
  <c r="AE14" i="8"/>
  <c r="AB14" i="8"/>
  <c r="B10" i="9" s="1"/>
  <c r="AC14" i="8"/>
  <c r="AJ14" i="8"/>
  <c r="AD14" i="8"/>
  <c r="AH14" i="8"/>
  <c r="T10" i="3" s="1"/>
  <c r="J23" i="2"/>
  <c r="AG14" i="8"/>
  <c r="AF14" i="8"/>
  <c r="AD10" i="6"/>
  <c r="AK14" i="8"/>
  <c r="L10" i="5"/>
  <c r="A10" i="9"/>
  <c r="AL14" i="8"/>
  <c r="AM14" i="8" s="1"/>
  <c r="AN23" i="8"/>
  <c r="AB23" i="8"/>
  <c r="B19" i="9" s="1"/>
  <c r="AD23" i="8"/>
  <c r="AF23" i="8"/>
  <c r="AE23" i="8"/>
  <c r="AH23" i="8"/>
  <c r="T19" i="3" s="1"/>
  <c r="AJ23" i="8"/>
  <c r="AD19" i="6"/>
  <c r="AL23" i="8"/>
  <c r="AK23" i="8"/>
  <c r="AG23" i="8"/>
  <c r="AI23" i="8"/>
  <c r="J32" i="2"/>
  <c r="K32" i="2" s="1"/>
  <c r="AC23" i="8"/>
  <c r="A19" i="9"/>
  <c r="L19" i="5"/>
  <c r="Z15" i="4"/>
  <c r="AA15" i="4"/>
  <c r="Y15" i="4"/>
  <c r="AC15" i="4"/>
  <c r="AB15" i="4"/>
  <c r="AA23" i="4"/>
  <c r="AC23" i="4"/>
  <c r="AB23" i="4"/>
  <c r="X23" i="4"/>
  <c r="W23" i="4"/>
  <c r="V23" i="4"/>
  <c r="AA71" i="4"/>
  <c r="AC71" i="4"/>
  <c r="AB71" i="4"/>
  <c r="Z71" i="4"/>
  <c r="Y71" i="4"/>
  <c r="X71" i="4"/>
  <c r="J7" i="9"/>
  <c r="N7" i="10"/>
  <c r="N6" i="10"/>
  <c r="N10" i="10"/>
  <c r="N9" i="10"/>
  <c r="N8" i="10"/>
  <c r="N5" i="10"/>
  <c r="E7" i="10"/>
  <c r="H7" i="10"/>
  <c r="F7" i="10"/>
  <c r="G7" i="10"/>
  <c r="C7" i="10"/>
  <c r="I7" i="10"/>
  <c r="D7" i="10"/>
  <c r="B7" i="10"/>
  <c r="A7" i="10"/>
  <c r="J7" i="10" s="1"/>
  <c r="Z9" i="4"/>
  <c r="Y9" i="4"/>
  <c r="AB12" i="4"/>
  <c r="AA12" i="4"/>
  <c r="X12" i="4"/>
  <c r="AC12" i="4"/>
  <c r="X15" i="4"/>
  <c r="X24" i="4"/>
  <c r="AA24" i="4"/>
  <c r="AA31" i="4"/>
  <c r="W31" i="4"/>
  <c r="AC31" i="4"/>
  <c r="AB31" i="4"/>
  <c r="X31" i="4"/>
  <c r="AA39" i="4"/>
  <c r="X39" i="4"/>
  <c r="W39" i="4"/>
  <c r="AC39" i="4"/>
  <c r="AB39" i="4"/>
  <c r="AA63" i="4"/>
  <c r="X63" i="4"/>
  <c r="W63" i="4"/>
  <c r="AB63" i="4"/>
  <c r="Z63" i="4"/>
  <c r="J15" i="9"/>
  <c r="AM10" i="8"/>
  <c r="AI18" i="8"/>
  <c r="AF18" i="8"/>
  <c r="AE18" i="8"/>
  <c r="AK18" i="8"/>
  <c r="A14" i="9"/>
  <c r="AL18" i="8"/>
  <c r="AM18" i="8" s="1"/>
  <c r="AJ18" i="8"/>
  <c r="AG18" i="8"/>
  <c r="AD18" i="8"/>
  <c r="AB18" i="8"/>
  <c r="B14" i="9" s="1"/>
  <c r="A8" i="10"/>
  <c r="J8" i="10" s="1"/>
  <c r="K8" i="10" s="1"/>
  <c r="X18" i="4"/>
  <c r="AB18" i="4"/>
  <c r="AA18" i="4"/>
  <c r="V18" i="4"/>
  <c r="X26" i="4"/>
  <c r="AA26" i="4"/>
  <c r="Z26" i="4"/>
  <c r="Y26" i="4"/>
  <c r="AC18" i="8"/>
  <c r="B8" i="10"/>
  <c r="AC68" i="4"/>
  <c r="Z68" i="4"/>
  <c r="Y68" i="4"/>
  <c r="AH7" i="6"/>
  <c r="AG7" i="6"/>
  <c r="AI7" i="6"/>
  <c r="AI15" i="6"/>
  <c r="AH18" i="8"/>
  <c r="E8" i="10"/>
  <c r="I8" i="10"/>
  <c r="H8" i="10"/>
  <c r="D8" i="10"/>
  <c r="C8" i="10"/>
  <c r="F8" i="10"/>
  <c r="BP72" i="2"/>
  <c r="BJ72" i="2"/>
  <c r="BI72" i="2"/>
  <c r="B5" i="4"/>
  <c r="J5" i="4"/>
  <c r="G5" i="4"/>
  <c r="H5" i="4" s="1"/>
  <c r="X6" i="4"/>
  <c r="AB6" i="4"/>
  <c r="AA6" i="4"/>
  <c r="V6" i="4"/>
  <c r="T11" i="4"/>
  <c r="DB11" i="2"/>
  <c r="I11" i="4"/>
  <c r="B11" i="4"/>
  <c r="Z18" i="4"/>
  <c r="J19" i="4"/>
  <c r="K19" i="4" s="1"/>
  <c r="E19" i="4"/>
  <c r="D19" i="4"/>
  <c r="O19" i="4"/>
  <c r="T19" i="4"/>
  <c r="BO19" i="4"/>
  <c r="AB26" i="4"/>
  <c r="W68" i="4"/>
  <c r="AF7" i="6"/>
  <c r="AF15" i="6"/>
  <c r="I6" i="9"/>
  <c r="J11" i="9"/>
  <c r="F9" i="10"/>
  <c r="BL25" i="2"/>
  <c r="BJ25" i="2"/>
  <c r="BI25" i="2"/>
  <c r="BO28" i="2"/>
  <c r="BP28" i="2"/>
  <c r="BM67" i="2"/>
  <c r="BP67" i="2"/>
  <c r="BO67" i="2"/>
  <c r="BK72" i="2"/>
  <c r="C5" i="4"/>
  <c r="W6" i="4"/>
  <c r="C11" i="4"/>
  <c r="Y11" i="4"/>
  <c r="X11" i="4"/>
  <c r="Z11" i="4"/>
  <c r="D14" i="4"/>
  <c r="F14" i="4" s="1"/>
  <c r="DB14" i="2"/>
  <c r="J14" i="4"/>
  <c r="BO14" i="4"/>
  <c r="I14" i="4"/>
  <c r="C14" i="4"/>
  <c r="T14" i="4"/>
  <c r="AC18" i="4"/>
  <c r="V19" i="4"/>
  <c r="X19" i="4"/>
  <c r="AC26" i="4"/>
  <c r="AA51" i="4"/>
  <c r="AC51" i="4"/>
  <c r="V51" i="4"/>
  <c r="X56" i="4"/>
  <c r="W56" i="4"/>
  <c r="AA56" i="4"/>
  <c r="X68" i="4"/>
  <c r="AJ7" i="6"/>
  <c r="AB11" i="8"/>
  <c r="B7" i="9" s="1"/>
  <c r="AJ11" i="8"/>
  <c r="AI11" i="8"/>
  <c r="AL11" i="8"/>
  <c r="AM11" i="8" s="1"/>
  <c r="AG11" i="8"/>
  <c r="AF11" i="8"/>
  <c r="AE11" i="8"/>
  <c r="AK11" i="8"/>
  <c r="L7" i="5"/>
  <c r="AH11" i="8"/>
  <c r="T7" i="3" s="1"/>
  <c r="AC11" i="8"/>
  <c r="E9" i="10"/>
  <c r="C9" i="10"/>
  <c r="B9" i="10"/>
  <c r="A9" i="10"/>
  <c r="J9" i="10" s="1"/>
  <c r="H9" i="10"/>
  <c r="G9" i="10"/>
  <c r="D9" i="10"/>
  <c r="AL18" i="6"/>
  <c r="AJ18" i="6"/>
  <c r="AF18" i="6"/>
  <c r="AK18" i="6"/>
  <c r="AI18" i="6"/>
  <c r="AH19" i="8"/>
  <c r="T15" i="3" s="1"/>
  <c r="AK20" i="8"/>
  <c r="A16" i="9"/>
  <c r="AB20" i="8"/>
  <c r="B16" i="9" s="1"/>
  <c r="AG20" i="8"/>
  <c r="AC20" i="8"/>
  <c r="AN20" i="8"/>
  <c r="J29" i="2"/>
  <c r="AM20" i="8"/>
  <c r="B13" i="10"/>
  <c r="C30" i="10"/>
  <c r="B30" i="10"/>
  <c r="H30" i="10"/>
  <c r="G30" i="10"/>
  <c r="F30" i="10"/>
  <c r="E30" i="10"/>
  <c r="I30" i="10"/>
  <c r="D30" i="10"/>
  <c r="A30" i="10"/>
  <c r="J30" i="10" s="1"/>
  <c r="AH18" i="6"/>
  <c r="AF20" i="8"/>
  <c r="C11" i="10"/>
  <c r="B9" i="4"/>
  <c r="T9" i="4"/>
  <c r="G9" i="4"/>
  <c r="H9" i="4" s="1"/>
  <c r="DB9" i="2"/>
  <c r="O12" i="4"/>
  <c r="X32" i="4"/>
  <c r="W32" i="4"/>
  <c r="AA43" i="4"/>
  <c r="Z43" i="4"/>
  <c r="Y43" i="4"/>
  <c r="AA44" i="4"/>
  <c r="X54" i="4"/>
  <c r="AC54" i="4"/>
  <c r="AB54" i="4"/>
  <c r="AB55" i="4"/>
  <c r="AB58" i="4"/>
  <c r="AF15" i="8"/>
  <c r="AG15" i="8"/>
  <c r="AK15" i="8"/>
  <c r="AE15" i="8"/>
  <c r="AB15" i="8"/>
  <c r="B11" i="9" s="1"/>
  <c r="AJ15" i="8"/>
  <c r="AI15" i="8"/>
  <c r="AD11" i="6"/>
  <c r="AH15" i="8"/>
  <c r="AI20" i="8"/>
  <c r="X70" i="4"/>
  <c r="Y70" i="4"/>
  <c r="W70" i="4"/>
  <c r="AJ16" i="6"/>
  <c r="AE16" i="6"/>
  <c r="A6" i="2"/>
  <c r="H5" i="8"/>
  <c r="AL9" i="8"/>
  <c r="AM9" i="8" s="1"/>
  <c r="AC9" i="8"/>
  <c r="AJ9" i="8"/>
  <c r="AG9" i="8"/>
  <c r="AD5" i="6"/>
  <c r="AJ19" i="8"/>
  <c r="AK19" i="8"/>
  <c r="AF19" i="8"/>
  <c r="AL19" i="8"/>
  <c r="AM19" i="8" s="1"/>
  <c r="I13" i="10"/>
  <c r="E13" i="10"/>
  <c r="A13" i="10"/>
  <c r="J13" i="10" s="1"/>
  <c r="K13" i="10" s="1"/>
  <c r="D13" i="10"/>
  <c r="H11" i="10"/>
  <c r="E11" i="10"/>
  <c r="A11" i="10"/>
  <c r="J11" i="10" s="1"/>
  <c r="K11" i="10" s="1"/>
  <c r="F11" i="10"/>
  <c r="I11" i="10"/>
  <c r="B14" i="10"/>
  <c r="A14" i="10"/>
  <c r="J14" i="10" s="1"/>
  <c r="E14" i="10"/>
  <c r="C14" i="10"/>
  <c r="F14" i="10"/>
  <c r="AA62" i="4"/>
  <c r="AC70" i="4"/>
  <c r="Z75" i="4"/>
  <c r="AH9" i="8"/>
  <c r="T5" i="3" s="1"/>
  <c r="AG19" i="8"/>
  <c r="G14" i="10"/>
  <c r="O18" i="10"/>
  <c r="R18" i="10"/>
  <c r="N18" i="10"/>
  <c r="Q18" i="10"/>
  <c r="P18" i="10"/>
  <c r="T18" i="10"/>
  <c r="S18" i="10"/>
  <c r="B17" i="10"/>
  <c r="C17" i="10"/>
  <c r="I17" i="10"/>
  <c r="A17" i="10"/>
  <c r="J17" i="10" s="1"/>
  <c r="K17" i="10" s="1"/>
  <c r="B41" i="10"/>
  <c r="G41" i="10"/>
  <c r="E41" i="10"/>
  <c r="D41" i="10"/>
  <c r="C41" i="10"/>
  <c r="A41" i="10"/>
  <c r="J41" i="10" s="1"/>
  <c r="H41" i="10"/>
  <c r="I41" i="10"/>
  <c r="F41" i="10"/>
  <c r="N18" i="4"/>
  <c r="DB6" i="2"/>
  <c r="BI18" i="2"/>
  <c r="BI43" i="2"/>
  <c r="BI52" i="2"/>
  <c r="BI59" i="2"/>
  <c r="BI75" i="2"/>
  <c r="B6" i="4"/>
  <c r="B12" i="4"/>
  <c r="V17" i="4"/>
  <c r="B18" i="4"/>
  <c r="V35" i="4"/>
  <c r="V42" i="4"/>
  <c r="V59" i="4"/>
  <c r="V66" i="4"/>
  <c r="G21" i="10"/>
  <c r="D21" i="10"/>
  <c r="I21" i="10"/>
  <c r="B21" i="10"/>
  <c r="C21" i="10"/>
  <c r="A21" i="10"/>
  <c r="J21" i="10" s="1"/>
  <c r="C25" i="10"/>
  <c r="E25" i="10"/>
  <c r="H25" i="10"/>
  <c r="F25" i="10"/>
  <c r="G25" i="10"/>
  <c r="D25" i="10"/>
  <c r="B25" i="10"/>
  <c r="A25" i="10"/>
  <c r="J25" i="10" s="1"/>
  <c r="E20" i="10"/>
  <c r="AG16" i="8"/>
  <c r="M12" i="5" s="1"/>
  <c r="A12" i="9"/>
  <c r="AK16" i="8"/>
  <c r="AD16" i="8"/>
  <c r="AB16" i="8"/>
  <c r="B12" i="9" s="1"/>
  <c r="L12" i="5"/>
  <c r="AH17" i="8"/>
  <c r="T13" i="3" s="1"/>
  <c r="AB17" i="8"/>
  <c r="AL17" i="8"/>
  <c r="AM17" i="8" s="1"/>
  <c r="A13" i="9"/>
  <c r="AD13" i="6"/>
  <c r="H20" i="10"/>
  <c r="D20" i="10"/>
  <c r="G20" i="10"/>
  <c r="A20" i="10"/>
  <c r="J20" i="10" s="1"/>
  <c r="C20" i="10"/>
  <c r="B50" i="10"/>
  <c r="C50" i="10"/>
  <c r="E50" i="10"/>
  <c r="D50" i="10"/>
  <c r="A50" i="10"/>
  <c r="J50" i="10" s="1"/>
  <c r="G50" i="10"/>
  <c r="F50" i="10"/>
  <c r="I50" i="10"/>
  <c r="H50" i="10"/>
  <c r="H44" i="10"/>
  <c r="B44" i="10"/>
  <c r="C44" i="10"/>
  <c r="I44" i="10"/>
  <c r="G44" i="10"/>
  <c r="F44" i="10"/>
  <c r="E44" i="10"/>
  <c r="D44" i="10"/>
  <c r="A44" i="10"/>
  <c r="J44" i="10" s="1"/>
  <c r="A53" i="10"/>
  <c r="J53" i="10" s="1"/>
  <c r="E53" i="10"/>
  <c r="D53" i="10"/>
  <c r="C53" i="10"/>
  <c r="B53" i="10"/>
  <c r="F53" i="10"/>
  <c r="I53" i="10"/>
  <c r="F22" i="10"/>
  <c r="D22" i="10"/>
  <c r="C22" i="10"/>
  <c r="A22" i="10"/>
  <c r="J22" i="10" s="1"/>
  <c r="I22" i="10"/>
  <c r="G22" i="10"/>
  <c r="A32" i="10"/>
  <c r="J32" i="10" s="1"/>
  <c r="A27" i="10"/>
  <c r="J27" i="10" s="1"/>
  <c r="K27" i="10" s="1"/>
  <c r="E27" i="10"/>
  <c r="B27" i="10"/>
  <c r="H27" i="10"/>
  <c r="B32" i="10"/>
  <c r="D29" i="10"/>
  <c r="G32" i="10"/>
  <c r="B26" i="10"/>
  <c r="E26" i="10"/>
  <c r="I26" i="10"/>
  <c r="G26" i="10"/>
  <c r="H26" i="10"/>
  <c r="E29" i="10"/>
  <c r="H32" i="10"/>
  <c r="C32" i="10"/>
  <c r="E32" i="10"/>
  <c r="C37" i="10"/>
  <c r="D37" i="10"/>
  <c r="F37" i="10"/>
  <c r="B37" i="10"/>
  <c r="A37" i="10"/>
  <c r="J37" i="10" s="1"/>
  <c r="H37" i="10"/>
  <c r="G37" i="10"/>
  <c r="E37" i="10"/>
  <c r="C27" i="10"/>
  <c r="G53" i="10"/>
  <c r="F27" i="10"/>
  <c r="C29" i="10"/>
  <c r="A29" i="10"/>
  <c r="J29" i="10" s="1"/>
  <c r="I29" i="10"/>
  <c r="G29" i="10"/>
  <c r="B29" i="10"/>
  <c r="H53" i="10"/>
  <c r="D57" i="10"/>
  <c r="H57" i="10"/>
  <c r="A57" i="10"/>
  <c r="J57" i="10" s="1"/>
  <c r="B57" i="10"/>
  <c r="I57" i="10"/>
  <c r="G57" i="10"/>
  <c r="F57" i="10"/>
  <c r="F62" i="10"/>
  <c r="D62" i="10"/>
  <c r="I62" i="10"/>
  <c r="G62" i="10"/>
  <c r="C62" i="10"/>
  <c r="B62" i="10"/>
  <c r="A62" i="10"/>
  <c r="J62" i="10" s="1"/>
  <c r="A42" i="10"/>
  <c r="J42" i="10" s="1"/>
  <c r="I55" i="10"/>
  <c r="A55" i="10"/>
  <c r="J55" i="10" s="1"/>
  <c r="G55" i="10"/>
  <c r="F55" i="10"/>
  <c r="E55" i="10"/>
  <c r="D55" i="10"/>
  <c r="C55" i="10"/>
  <c r="D36" i="10"/>
  <c r="C36" i="10"/>
  <c r="E36" i="10"/>
  <c r="A36" i="10"/>
  <c r="J36" i="10" s="1"/>
  <c r="A39" i="10"/>
  <c r="J39" i="10" s="1"/>
  <c r="K39" i="10" s="1"/>
  <c r="D39" i="10"/>
  <c r="H39" i="10"/>
  <c r="F39" i="10"/>
  <c r="E39" i="10"/>
  <c r="C42" i="10"/>
  <c r="I43" i="10"/>
  <c r="B43" i="10"/>
  <c r="A43" i="10"/>
  <c r="J43" i="10" s="1"/>
  <c r="G43" i="10"/>
  <c r="F43" i="10"/>
  <c r="F46" i="10"/>
  <c r="B46" i="10"/>
  <c r="E46" i="10"/>
  <c r="AC12" i="8"/>
  <c r="AG12" i="8"/>
  <c r="AL21" i="8"/>
  <c r="AI21" i="8"/>
  <c r="AF21" i="8"/>
  <c r="E23" i="10"/>
  <c r="D23" i="10"/>
  <c r="F23" i="10"/>
  <c r="B23" i="10"/>
  <c r="G42" i="10"/>
  <c r="A51" i="10"/>
  <c r="J51" i="10" s="1"/>
  <c r="C51" i="10"/>
  <c r="F51" i="10"/>
  <c r="E51" i="10"/>
  <c r="D51" i="10"/>
  <c r="B51" i="10"/>
  <c r="E19" i="10"/>
  <c r="A19" i="10"/>
  <c r="J19" i="10" s="1"/>
  <c r="I19" i="10"/>
  <c r="E35" i="10"/>
  <c r="C35" i="10"/>
  <c r="I35" i="10"/>
  <c r="B35" i="10"/>
  <c r="A60" i="10"/>
  <c r="J60" i="10" s="1"/>
  <c r="K60" i="10" s="1"/>
  <c r="H60" i="10"/>
  <c r="E60" i="10"/>
  <c r="I60" i="10"/>
  <c r="F60" i="10"/>
  <c r="C60" i="10"/>
  <c r="B60" i="10"/>
  <c r="B42" i="10"/>
  <c r="H42" i="10"/>
  <c r="F42" i="10"/>
  <c r="E42" i="10"/>
  <c r="H56" i="10"/>
  <c r="A56" i="10"/>
  <c r="J56" i="10" s="1"/>
  <c r="I56" i="10"/>
  <c r="G56" i="10"/>
  <c r="F56" i="10"/>
  <c r="E56" i="10"/>
  <c r="D56" i="10"/>
  <c r="K24" i="12"/>
  <c r="E24" i="12"/>
  <c r="G24" i="12"/>
  <c r="F24" i="12"/>
  <c r="H24" i="12"/>
  <c r="D24" i="12"/>
  <c r="C24" i="12"/>
  <c r="B24" i="12"/>
  <c r="A24" i="12"/>
  <c r="C49" i="10"/>
  <c r="B49" i="10"/>
  <c r="B54" i="10"/>
  <c r="A63" i="10"/>
  <c r="J63" i="10" s="1"/>
  <c r="K63" i="10" s="1"/>
  <c r="C64" i="10"/>
  <c r="K6" i="12"/>
  <c r="E6" i="12"/>
  <c r="F6" i="12"/>
  <c r="D6" i="12"/>
  <c r="B6" i="12"/>
  <c r="I6" i="12"/>
  <c r="H6" i="12"/>
  <c r="F34" i="10"/>
  <c r="C34" i="10"/>
  <c r="D48" i="10"/>
  <c r="B48" i="10"/>
  <c r="B59" i="10"/>
  <c r="H59" i="10"/>
  <c r="D59" i="10"/>
  <c r="B63" i="10"/>
  <c r="D64" i="10"/>
  <c r="B9" i="12"/>
  <c r="C24" i="10"/>
  <c r="G33" i="10"/>
  <c r="C33" i="10"/>
  <c r="E38" i="10"/>
  <c r="E47" i="10"/>
  <c r="B47" i="10"/>
  <c r="D54" i="10"/>
  <c r="C63" i="10"/>
  <c r="E64" i="10"/>
  <c r="G66" i="10"/>
  <c r="F66" i="10"/>
  <c r="F9" i="12"/>
  <c r="A49" i="10"/>
  <c r="J49" i="10" s="1"/>
  <c r="K49" i="10" s="1"/>
  <c r="C58" i="10"/>
  <c r="H58" i="10"/>
  <c r="B58" i="10"/>
  <c r="D63" i="10"/>
  <c r="I9" i="12"/>
  <c r="I31" i="10"/>
  <c r="C31" i="10"/>
  <c r="A34" i="10"/>
  <c r="J34" i="10" s="1"/>
  <c r="K34" i="10" s="1"/>
  <c r="G45" i="10"/>
  <c r="B45" i="10"/>
  <c r="A48" i="10"/>
  <c r="J48" i="10" s="1"/>
  <c r="D49" i="10"/>
  <c r="F54" i="10"/>
  <c r="H65" i="10"/>
  <c r="F65" i="10"/>
  <c r="I65" i="10"/>
  <c r="K9" i="12"/>
  <c r="E9" i="12"/>
  <c r="C9" i="12"/>
  <c r="D9" i="12"/>
  <c r="A9" i="12"/>
  <c r="H9" i="12"/>
  <c r="G9" i="12"/>
  <c r="I64" i="10"/>
  <c r="F64" i="10"/>
  <c r="G64" i="10"/>
  <c r="B19" i="11"/>
  <c r="D19" i="11"/>
  <c r="C19" i="11"/>
  <c r="E19" i="11" s="1"/>
  <c r="D27" i="11"/>
  <c r="B27" i="11"/>
  <c r="C27" i="11"/>
  <c r="F63" i="10"/>
  <c r="E63" i="10"/>
  <c r="B28" i="11"/>
  <c r="D28" i="11"/>
  <c r="C28" i="11"/>
  <c r="B11" i="12"/>
  <c r="D24" i="10"/>
  <c r="E24" i="10"/>
  <c r="D31" i="10"/>
  <c r="F33" i="10"/>
  <c r="H34" i="10"/>
  <c r="B38" i="10"/>
  <c r="D38" i="10"/>
  <c r="D45" i="10"/>
  <c r="G47" i="10"/>
  <c r="H48" i="10"/>
  <c r="I49" i="10"/>
  <c r="E58" i="10"/>
  <c r="G59" i="10"/>
  <c r="B65" i="10"/>
  <c r="A6" i="12"/>
  <c r="K33" i="12"/>
  <c r="E33" i="12"/>
  <c r="B33" i="12"/>
  <c r="G33" i="12"/>
  <c r="F33" i="12"/>
  <c r="C33" i="12"/>
  <c r="A33" i="12"/>
  <c r="H33" i="12"/>
  <c r="D33" i="12"/>
  <c r="I33" i="12"/>
  <c r="J33" i="12" s="1"/>
  <c r="D21" i="11"/>
  <c r="C21" i="11"/>
  <c r="E21" i="11" s="1"/>
  <c r="C6" i="12"/>
  <c r="K11" i="12"/>
  <c r="E11" i="12"/>
  <c r="H11" i="12"/>
  <c r="D11" i="12"/>
  <c r="C11" i="12"/>
  <c r="A11" i="12"/>
  <c r="I11" i="12"/>
  <c r="G11" i="12"/>
  <c r="I24" i="12"/>
  <c r="K30" i="12"/>
  <c r="E30" i="12"/>
  <c r="I30" i="12"/>
  <c r="G30" i="12"/>
  <c r="F30" i="12"/>
  <c r="D30" i="12"/>
  <c r="B30" i="12"/>
  <c r="K39" i="12"/>
  <c r="E39" i="12"/>
  <c r="B39" i="12"/>
  <c r="C39" i="12"/>
  <c r="I39" i="12"/>
  <c r="J39" i="12" s="1"/>
  <c r="G39" i="12"/>
  <c r="D39" i="12"/>
  <c r="K51" i="12"/>
  <c r="E51" i="12"/>
  <c r="B51" i="12"/>
  <c r="C51" i="12"/>
  <c r="I51" i="12"/>
  <c r="J51" i="12" s="1"/>
  <c r="F51" i="12"/>
  <c r="A51" i="12"/>
  <c r="K65" i="12"/>
  <c r="E65" i="12"/>
  <c r="B65" i="12"/>
  <c r="H65" i="12"/>
  <c r="G65" i="12"/>
  <c r="F65" i="12"/>
  <c r="C65" i="12"/>
  <c r="A65" i="12"/>
  <c r="D65" i="12"/>
  <c r="K36" i="12"/>
  <c r="E36" i="12"/>
  <c r="B36" i="12"/>
  <c r="G36" i="12"/>
  <c r="C36" i="12"/>
  <c r="A36" i="12"/>
  <c r="F36" i="12"/>
  <c r="J36" i="12"/>
  <c r="D40" i="12"/>
  <c r="K42" i="12"/>
  <c r="E42" i="12"/>
  <c r="B42" i="12"/>
  <c r="I42" i="12"/>
  <c r="J42" i="12" s="1"/>
  <c r="G42" i="12"/>
  <c r="F42" i="12"/>
  <c r="K45" i="12"/>
  <c r="E45" i="12"/>
  <c r="B45" i="12"/>
  <c r="J45" i="12"/>
  <c r="G45" i="12"/>
  <c r="F45" i="12"/>
  <c r="C45" i="12"/>
  <c r="A45" i="12"/>
  <c r="H45" i="12"/>
  <c r="F15" i="12"/>
  <c r="F19" i="12"/>
  <c r="A21" i="12"/>
  <c r="K28" i="12"/>
  <c r="E28" i="12"/>
  <c r="I28" i="12"/>
  <c r="J28" i="12" s="1"/>
  <c r="F28" i="12"/>
  <c r="D28" i="12"/>
  <c r="B28" i="12"/>
  <c r="A28" i="12"/>
  <c r="G28" i="12"/>
  <c r="D31" i="12"/>
  <c r="C34" i="12"/>
  <c r="H37" i="12"/>
  <c r="F40" i="12"/>
  <c r="A43" i="12"/>
  <c r="C46" i="12"/>
  <c r="D49" i="12"/>
  <c r="H77" i="12"/>
  <c r="F77" i="12"/>
  <c r="B77" i="12"/>
  <c r="G77" i="12"/>
  <c r="C77" i="12"/>
  <c r="K77" i="12"/>
  <c r="E77" i="12"/>
  <c r="D77" i="12"/>
  <c r="A77" i="12"/>
  <c r="I77" i="12"/>
  <c r="J77" i="12" s="1"/>
  <c r="K7" i="12"/>
  <c r="E7" i="12"/>
  <c r="H7" i="12"/>
  <c r="J7" i="12" s="1"/>
  <c r="C7" i="12"/>
  <c r="G7" i="12"/>
  <c r="K13" i="12"/>
  <c r="E13" i="12"/>
  <c r="I13" i="12"/>
  <c r="H13" i="12"/>
  <c r="D13" i="12"/>
  <c r="F31" i="12"/>
  <c r="H40" i="12"/>
  <c r="F43" i="12"/>
  <c r="H49" i="12"/>
  <c r="H89" i="12"/>
  <c r="F89" i="12"/>
  <c r="B89" i="12"/>
  <c r="G89" i="12"/>
  <c r="C89" i="12"/>
  <c r="K89" i="12"/>
  <c r="I89" i="12"/>
  <c r="J89" i="12" s="1"/>
  <c r="D89" i="12"/>
  <c r="A89" i="12"/>
  <c r="E89" i="12"/>
  <c r="K19" i="12"/>
  <c r="E19" i="12"/>
  <c r="B19" i="12"/>
  <c r="I19" i="12"/>
  <c r="H19" i="12"/>
  <c r="K34" i="12"/>
  <c r="E34" i="12"/>
  <c r="B34" i="12"/>
  <c r="I34" i="12"/>
  <c r="J34" i="12" s="1"/>
  <c r="G34" i="12"/>
  <c r="F34" i="12"/>
  <c r="A34" i="12"/>
  <c r="H34" i="12"/>
  <c r="K37" i="12"/>
  <c r="E37" i="12"/>
  <c r="B37" i="12"/>
  <c r="J37" i="12"/>
  <c r="G37" i="12"/>
  <c r="F37" i="12"/>
  <c r="C37" i="12"/>
  <c r="A37" i="12"/>
  <c r="D37" i="12"/>
  <c r="K46" i="12"/>
  <c r="E46" i="12"/>
  <c r="B46" i="12"/>
  <c r="I46" i="12"/>
  <c r="J46" i="12" s="1"/>
  <c r="G46" i="12"/>
  <c r="F46" i="12"/>
  <c r="D46" i="12"/>
  <c r="A46" i="12"/>
  <c r="J52" i="12"/>
  <c r="K31" i="12"/>
  <c r="E31" i="12"/>
  <c r="B31" i="12"/>
  <c r="C31" i="12"/>
  <c r="I31" i="12"/>
  <c r="H31" i="12"/>
  <c r="K40" i="12"/>
  <c r="E40" i="12"/>
  <c r="B40" i="12"/>
  <c r="G40" i="12"/>
  <c r="C40" i="12"/>
  <c r="A40" i="12"/>
  <c r="J40" i="12"/>
  <c r="K43" i="12"/>
  <c r="E43" i="12"/>
  <c r="B43" i="12"/>
  <c r="C43" i="12"/>
  <c r="I43" i="12"/>
  <c r="J43" i="12" s="1"/>
  <c r="D43" i="12"/>
  <c r="H43" i="12"/>
  <c r="K49" i="12"/>
  <c r="E49" i="12"/>
  <c r="B49" i="12"/>
  <c r="J49" i="12"/>
  <c r="G49" i="12"/>
  <c r="F49" i="12"/>
  <c r="C49" i="12"/>
  <c r="A49" i="12"/>
  <c r="K15" i="12"/>
  <c r="E15" i="12"/>
  <c r="C15" i="12"/>
  <c r="G15" i="12"/>
  <c r="D15" i="12"/>
  <c r="K21" i="12"/>
  <c r="E21" i="12"/>
  <c r="G21" i="12"/>
  <c r="C21" i="12"/>
  <c r="B21" i="12"/>
  <c r="H21" i="12"/>
  <c r="D32" i="12"/>
  <c r="F35" i="12"/>
  <c r="C38" i="12"/>
  <c r="F44" i="12"/>
  <c r="K53" i="12"/>
  <c r="E53" i="12"/>
  <c r="B53" i="12"/>
  <c r="G53" i="12"/>
  <c r="F53" i="12"/>
  <c r="C53" i="12"/>
  <c r="A53" i="12"/>
  <c r="I53" i="12"/>
  <c r="J53" i="12" s="1"/>
  <c r="D53" i="12"/>
  <c r="K67" i="12"/>
  <c r="E67" i="12"/>
  <c r="B67" i="12"/>
  <c r="C67" i="12"/>
  <c r="I67" i="12"/>
  <c r="J67" i="12" s="1"/>
  <c r="H67" i="12"/>
  <c r="G67" i="12"/>
  <c r="F67" i="12"/>
  <c r="D67" i="12"/>
  <c r="A67" i="12"/>
  <c r="D10" i="12"/>
  <c r="H12" i="12"/>
  <c r="J12" i="12" s="1"/>
  <c r="C16" i="12"/>
  <c r="B18" i="12"/>
  <c r="H32" i="12"/>
  <c r="H44" i="12"/>
  <c r="A54" i="12"/>
  <c r="H79" i="12"/>
  <c r="F79" i="12"/>
  <c r="B79" i="12"/>
  <c r="G79" i="12"/>
  <c r="K79" i="12"/>
  <c r="I79" i="12"/>
  <c r="J79" i="12" s="1"/>
  <c r="E79" i="12"/>
  <c r="C79" i="12"/>
  <c r="A79" i="12"/>
  <c r="D79" i="12"/>
  <c r="D16" i="12"/>
  <c r="C18" i="12"/>
  <c r="K38" i="12"/>
  <c r="E38" i="12"/>
  <c r="B38" i="12"/>
  <c r="I38" i="12"/>
  <c r="J38" i="12" s="1"/>
  <c r="G38" i="12"/>
  <c r="F38" i="12"/>
  <c r="H38" i="12"/>
  <c r="I44" i="12"/>
  <c r="J44" i="12" s="1"/>
  <c r="C54" i="12"/>
  <c r="K71" i="12"/>
  <c r="E71" i="12"/>
  <c r="B71" i="12"/>
  <c r="D71" i="12"/>
  <c r="C71" i="12"/>
  <c r="I71" i="12"/>
  <c r="J71" i="12" s="1"/>
  <c r="G71" i="12"/>
  <c r="A71" i="12"/>
  <c r="H71" i="12"/>
  <c r="K12" i="12"/>
  <c r="E12" i="12"/>
  <c r="G12" i="12"/>
  <c r="F12" i="12"/>
  <c r="D12" i="12"/>
  <c r="B12" i="12"/>
  <c r="A30" i="12"/>
  <c r="K32" i="12"/>
  <c r="E32" i="12"/>
  <c r="B32" i="12"/>
  <c r="G32" i="12"/>
  <c r="C32" i="12"/>
  <c r="A32" i="12"/>
  <c r="I32" i="12"/>
  <c r="F32" i="12"/>
  <c r="K35" i="12"/>
  <c r="E35" i="12"/>
  <c r="B35" i="12"/>
  <c r="C35" i="12"/>
  <c r="I35" i="12"/>
  <c r="J35" i="12" s="1"/>
  <c r="A35" i="12"/>
  <c r="A39" i="12"/>
  <c r="A42" i="12"/>
  <c r="K47" i="12"/>
  <c r="E47" i="12"/>
  <c r="B47" i="12"/>
  <c r="C47" i="12"/>
  <c r="I47" i="12"/>
  <c r="J47" i="12" s="1"/>
  <c r="H47" i="12"/>
  <c r="D51" i="12"/>
  <c r="K10" i="12"/>
  <c r="E10" i="12"/>
  <c r="F10" i="12"/>
  <c r="B10" i="12"/>
  <c r="A10" i="12"/>
  <c r="C10" i="12"/>
  <c r="H10" i="12"/>
  <c r="K18" i="12"/>
  <c r="E18" i="12"/>
  <c r="G18" i="12"/>
  <c r="F18" i="12"/>
  <c r="A18" i="12"/>
  <c r="I18" i="12"/>
  <c r="J18" i="12" s="1"/>
  <c r="D18" i="12"/>
  <c r="C30" i="12"/>
  <c r="D36" i="12"/>
  <c r="F39" i="12"/>
  <c r="C42" i="12"/>
  <c r="K44" i="12"/>
  <c r="E44" i="12"/>
  <c r="B44" i="12"/>
  <c r="G44" i="12"/>
  <c r="C44" i="12"/>
  <c r="A44" i="12"/>
  <c r="D44" i="12"/>
  <c r="G51" i="12"/>
  <c r="K54" i="12"/>
  <c r="E54" i="12"/>
  <c r="B54" i="12"/>
  <c r="I54" i="12"/>
  <c r="J54" i="12" s="1"/>
  <c r="G54" i="12"/>
  <c r="F54" i="12"/>
  <c r="H54" i="12"/>
  <c r="H73" i="12"/>
  <c r="F73" i="12"/>
  <c r="B73" i="12"/>
  <c r="G73" i="12"/>
  <c r="C73" i="12"/>
  <c r="K73" i="12"/>
  <c r="I73" i="12"/>
  <c r="J73" i="12" s="1"/>
  <c r="D73" i="12"/>
  <c r="A73" i="12"/>
  <c r="E73" i="12"/>
  <c r="B7" i="12"/>
  <c r="K16" i="12"/>
  <c r="E16" i="12"/>
  <c r="F16" i="12"/>
  <c r="B16" i="12"/>
  <c r="A16" i="12"/>
  <c r="G16" i="12"/>
  <c r="A19" i="12"/>
  <c r="K27" i="12"/>
  <c r="E27" i="12"/>
  <c r="G27" i="12"/>
  <c r="C27" i="12"/>
  <c r="B27" i="12"/>
  <c r="H30" i="12"/>
  <c r="H36" i="12"/>
  <c r="H39" i="12"/>
  <c r="D42" i="12"/>
  <c r="D45" i="12"/>
  <c r="H51" i="12"/>
  <c r="K61" i="12"/>
  <c r="E61" i="12"/>
  <c r="B61" i="12"/>
  <c r="G61" i="12"/>
  <c r="F61" i="12"/>
  <c r="C61" i="12"/>
  <c r="A61" i="12"/>
  <c r="H61" i="12"/>
  <c r="I61" i="12"/>
  <c r="J61" i="12" s="1"/>
  <c r="I65" i="12"/>
  <c r="J65" i="12" s="1"/>
  <c r="K56" i="12"/>
  <c r="E56" i="12"/>
  <c r="B56" i="12"/>
  <c r="G56" i="12"/>
  <c r="C56" i="12"/>
  <c r="A56" i="12"/>
  <c r="K63" i="12"/>
  <c r="E63" i="12"/>
  <c r="B63" i="12"/>
  <c r="C63" i="12"/>
  <c r="I63" i="12"/>
  <c r="J63" i="12" s="1"/>
  <c r="K68" i="12"/>
  <c r="E68" i="12"/>
  <c r="B68" i="12"/>
  <c r="G68" i="12"/>
  <c r="D68" i="12"/>
  <c r="C68" i="12"/>
  <c r="A68" i="12"/>
  <c r="J83" i="12"/>
  <c r="H104" i="12"/>
  <c r="G104" i="12"/>
  <c r="F104" i="12"/>
  <c r="C104" i="12"/>
  <c r="B104" i="12"/>
  <c r="E104" i="12"/>
  <c r="K104" i="12"/>
  <c r="I104" i="12"/>
  <c r="J104" i="12" s="1"/>
  <c r="D104" i="12"/>
  <c r="H115" i="12"/>
  <c r="G115" i="12"/>
  <c r="F115" i="12"/>
  <c r="C115" i="12"/>
  <c r="B115" i="12"/>
  <c r="A115" i="12"/>
  <c r="I115" i="12"/>
  <c r="J115" i="12" s="1"/>
  <c r="E115" i="12"/>
  <c r="K115" i="12"/>
  <c r="D115" i="12"/>
  <c r="F48" i="12"/>
  <c r="D55" i="12"/>
  <c r="H64" i="12"/>
  <c r="F72" i="12"/>
  <c r="H105" i="12"/>
  <c r="G105" i="12"/>
  <c r="F105" i="12"/>
  <c r="C105" i="12"/>
  <c r="B105" i="12"/>
  <c r="A105" i="12"/>
  <c r="I105" i="12"/>
  <c r="J105" i="12" s="1"/>
  <c r="E105" i="12"/>
  <c r="K105" i="12"/>
  <c r="D105" i="12"/>
  <c r="K50" i="12"/>
  <c r="E50" i="12"/>
  <c r="B50" i="12"/>
  <c r="I50" i="12"/>
  <c r="J50" i="12" s="1"/>
  <c r="G50" i="12"/>
  <c r="F50" i="12"/>
  <c r="K52" i="12"/>
  <c r="E52" i="12"/>
  <c r="B52" i="12"/>
  <c r="G52" i="12"/>
  <c r="C52" i="12"/>
  <c r="A52" i="12"/>
  <c r="F55" i="12"/>
  <c r="K59" i="12"/>
  <c r="E59" i="12"/>
  <c r="B59" i="12"/>
  <c r="C59" i="12"/>
  <c r="I59" i="12"/>
  <c r="J59" i="12" s="1"/>
  <c r="I64" i="12"/>
  <c r="J64" i="12" s="1"/>
  <c r="J69" i="12"/>
  <c r="I72" i="12"/>
  <c r="J72" i="12" s="1"/>
  <c r="J84" i="12"/>
  <c r="H106" i="12"/>
  <c r="G106" i="12"/>
  <c r="F106" i="12"/>
  <c r="C106" i="12"/>
  <c r="B106" i="12"/>
  <c r="A106" i="12"/>
  <c r="E106" i="12"/>
  <c r="K106" i="12"/>
  <c r="I106" i="12"/>
  <c r="J106" i="12" s="1"/>
  <c r="D106" i="12"/>
  <c r="K41" i="12"/>
  <c r="E41" i="12"/>
  <c r="B41" i="12"/>
  <c r="G41" i="12"/>
  <c r="F41" i="12"/>
  <c r="C41" i="12"/>
  <c r="A41" i="12"/>
  <c r="K57" i="12"/>
  <c r="E57" i="12"/>
  <c r="B57" i="12"/>
  <c r="G57" i="12"/>
  <c r="F57" i="12"/>
  <c r="C57" i="12"/>
  <c r="A57" i="12"/>
  <c r="D60" i="12"/>
  <c r="H107" i="12"/>
  <c r="G107" i="12"/>
  <c r="F107" i="12"/>
  <c r="C107" i="12"/>
  <c r="B107" i="12"/>
  <c r="A107" i="12"/>
  <c r="I107" i="12"/>
  <c r="J107" i="12" s="1"/>
  <c r="E107" i="12"/>
  <c r="D107" i="12"/>
  <c r="K107" i="12"/>
  <c r="K64" i="12"/>
  <c r="E64" i="12"/>
  <c r="B64" i="12"/>
  <c r="G64" i="12"/>
  <c r="D64" i="12"/>
  <c r="C64" i="12"/>
  <c r="A64" i="12"/>
  <c r="K72" i="12"/>
  <c r="E72" i="12"/>
  <c r="B72" i="12"/>
  <c r="H72" i="12"/>
  <c r="G72" i="12"/>
  <c r="D72" i="12"/>
  <c r="C72" i="12"/>
  <c r="A72" i="12"/>
  <c r="D95" i="12"/>
  <c r="H108" i="12"/>
  <c r="G108" i="12"/>
  <c r="F108" i="12"/>
  <c r="C108" i="12"/>
  <c r="B108" i="12"/>
  <c r="A108" i="12"/>
  <c r="E108" i="12"/>
  <c r="K108" i="12"/>
  <c r="I108" i="12"/>
  <c r="J108" i="12" s="1"/>
  <c r="D108" i="12"/>
  <c r="K48" i="12"/>
  <c r="E48" i="12"/>
  <c r="B48" i="12"/>
  <c r="G48" i="12"/>
  <c r="C48" i="12"/>
  <c r="A48" i="12"/>
  <c r="K55" i="12"/>
  <c r="E55" i="12"/>
  <c r="B55" i="12"/>
  <c r="C55" i="12"/>
  <c r="I55" i="12"/>
  <c r="J55" i="12" s="1"/>
  <c r="D92" i="12"/>
  <c r="H109" i="12"/>
  <c r="G109" i="12"/>
  <c r="F109" i="12"/>
  <c r="C109" i="12"/>
  <c r="B109" i="12"/>
  <c r="A109" i="12"/>
  <c r="I109" i="12"/>
  <c r="J109" i="12" s="1"/>
  <c r="E109" i="12"/>
  <c r="K109" i="12"/>
  <c r="D109" i="12"/>
  <c r="H82" i="12"/>
  <c r="F82" i="12"/>
  <c r="B82" i="12"/>
  <c r="C82" i="12"/>
  <c r="K82" i="12"/>
  <c r="G82" i="12"/>
  <c r="I82" i="12"/>
  <c r="J82" i="12" s="1"/>
  <c r="E82" i="12"/>
  <c r="A82" i="12"/>
  <c r="H95" i="12"/>
  <c r="F95" i="12"/>
  <c r="B95" i="12"/>
  <c r="G95" i="12"/>
  <c r="K95" i="12"/>
  <c r="I95" i="12"/>
  <c r="J95" i="12" s="1"/>
  <c r="E95" i="12"/>
  <c r="C95" i="12"/>
  <c r="A95" i="12"/>
  <c r="H92" i="12"/>
  <c r="F92" i="12"/>
  <c r="B92" i="12"/>
  <c r="K92" i="12"/>
  <c r="C92" i="12"/>
  <c r="A92" i="12"/>
  <c r="I92" i="12"/>
  <c r="J92" i="12" s="1"/>
  <c r="G92" i="12"/>
  <c r="H111" i="12"/>
  <c r="G111" i="12"/>
  <c r="F111" i="12"/>
  <c r="C111" i="12"/>
  <c r="B111" i="12"/>
  <c r="A111" i="12"/>
  <c r="I111" i="12"/>
  <c r="J111" i="12" s="1"/>
  <c r="E111" i="12"/>
  <c r="K111" i="12"/>
  <c r="D111" i="12"/>
  <c r="K58" i="12"/>
  <c r="E58" i="12"/>
  <c r="B58" i="12"/>
  <c r="I58" i="12"/>
  <c r="J58" i="12" s="1"/>
  <c r="G58" i="12"/>
  <c r="F58" i="12"/>
  <c r="K60" i="12"/>
  <c r="E60" i="12"/>
  <c r="B60" i="12"/>
  <c r="G60" i="12"/>
  <c r="C60" i="12"/>
  <c r="A60" i="12"/>
  <c r="F63" i="12"/>
  <c r="H112" i="12"/>
  <c r="G112" i="12"/>
  <c r="F112" i="12"/>
  <c r="C112" i="12"/>
  <c r="B112" i="12"/>
  <c r="A112" i="12"/>
  <c r="E112" i="12"/>
  <c r="K112" i="12"/>
  <c r="I112" i="12"/>
  <c r="J112" i="12" s="1"/>
  <c r="D112" i="12"/>
  <c r="H86" i="12"/>
  <c r="F86" i="12"/>
  <c r="B86" i="12"/>
  <c r="C86" i="12"/>
  <c r="K86" i="12"/>
  <c r="G86" i="12"/>
  <c r="I86" i="12"/>
  <c r="J86" i="12" s="1"/>
  <c r="D86" i="12"/>
  <c r="A86" i="12"/>
  <c r="H93" i="12"/>
  <c r="F93" i="12"/>
  <c r="B93" i="12"/>
  <c r="G93" i="12"/>
  <c r="C93" i="12"/>
  <c r="K93" i="12"/>
  <c r="J93" i="12"/>
  <c r="E93" i="12"/>
  <c r="D93" i="12"/>
  <c r="A93" i="12"/>
  <c r="J96" i="12"/>
  <c r="E22" i="11"/>
  <c r="B25" i="11"/>
  <c r="C25" i="11"/>
  <c r="E25" i="11" s="1"/>
  <c r="K22" i="12"/>
  <c r="E22" i="12"/>
  <c r="I22" i="12"/>
  <c r="F22" i="12"/>
  <c r="B22" i="12"/>
  <c r="A22" i="12"/>
  <c r="A50" i="12"/>
  <c r="F52" i="12"/>
  <c r="J56" i="12"/>
  <c r="D59" i="12"/>
  <c r="H63" i="12"/>
  <c r="J68" i="12"/>
  <c r="H76" i="12"/>
  <c r="F76" i="12"/>
  <c r="B76" i="12"/>
  <c r="K76" i="12"/>
  <c r="C76" i="12"/>
  <c r="A76" i="12"/>
  <c r="I76" i="12"/>
  <c r="J76" i="12" s="1"/>
  <c r="H97" i="12"/>
  <c r="G97" i="12"/>
  <c r="F97" i="12"/>
  <c r="B97" i="12"/>
  <c r="I97" i="12"/>
  <c r="J97" i="12" s="1"/>
  <c r="C97" i="12"/>
  <c r="H125" i="12"/>
  <c r="G125" i="12"/>
  <c r="F125" i="12"/>
  <c r="E125" i="12"/>
  <c r="C125" i="12"/>
  <c r="B125" i="12"/>
  <c r="A125" i="12"/>
  <c r="I125" i="12"/>
  <c r="J125" i="12" s="1"/>
  <c r="H130" i="12"/>
  <c r="G130" i="12"/>
  <c r="F130" i="12"/>
  <c r="E130" i="12"/>
  <c r="D130" i="12"/>
  <c r="C130" i="12"/>
  <c r="B130" i="12"/>
  <c r="A130" i="12"/>
  <c r="H142" i="12"/>
  <c r="G142" i="12"/>
  <c r="F142" i="12"/>
  <c r="E142" i="12"/>
  <c r="D142" i="12"/>
  <c r="C142" i="12"/>
  <c r="B142" i="12"/>
  <c r="A142" i="12"/>
  <c r="I142" i="12"/>
  <c r="J142" i="12" s="1"/>
  <c r="K142" i="12"/>
  <c r="H151" i="12"/>
  <c r="G151" i="12"/>
  <c r="F151" i="12"/>
  <c r="E151" i="12"/>
  <c r="D151" i="12"/>
  <c r="C151" i="12"/>
  <c r="B151" i="12"/>
  <c r="A151" i="12"/>
  <c r="I151" i="12"/>
  <c r="J151" i="12" s="1"/>
  <c r="H110" i="12"/>
  <c r="G110" i="12"/>
  <c r="F110" i="12"/>
  <c r="C110" i="12"/>
  <c r="B110" i="12"/>
  <c r="A110" i="12"/>
  <c r="E110" i="12"/>
  <c r="K110" i="12"/>
  <c r="H113" i="12"/>
  <c r="G113" i="12"/>
  <c r="F113" i="12"/>
  <c r="C113" i="12"/>
  <c r="B113" i="12"/>
  <c r="A113" i="12"/>
  <c r="I113" i="12"/>
  <c r="J113" i="12" s="1"/>
  <c r="E113" i="12"/>
  <c r="H116" i="12"/>
  <c r="G116" i="12"/>
  <c r="F116" i="12"/>
  <c r="C116" i="12"/>
  <c r="B116" i="12"/>
  <c r="A116" i="12"/>
  <c r="E116" i="12"/>
  <c r="K116" i="12"/>
  <c r="H119" i="12"/>
  <c r="G119" i="12"/>
  <c r="F119" i="12"/>
  <c r="C119" i="12"/>
  <c r="B119" i="12"/>
  <c r="A119" i="12"/>
  <c r="I119" i="12"/>
  <c r="J119" i="12" s="1"/>
  <c r="E119" i="12"/>
  <c r="H122" i="12"/>
  <c r="G122" i="12"/>
  <c r="F122" i="12"/>
  <c r="C122" i="12"/>
  <c r="B122" i="12"/>
  <c r="A122" i="12"/>
  <c r="E122" i="12"/>
  <c r="K122" i="12"/>
  <c r="H88" i="12"/>
  <c r="F88" i="12"/>
  <c r="B88" i="12"/>
  <c r="K88" i="12"/>
  <c r="C88" i="12"/>
  <c r="D114" i="12"/>
  <c r="H126" i="12"/>
  <c r="G126" i="12"/>
  <c r="F126" i="12"/>
  <c r="E126" i="12"/>
  <c r="D126" i="12"/>
  <c r="C126" i="12"/>
  <c r="B126" i="12"/>
  <c r="A126" i="12"/>
  <c r="K126" i="12"/>
  <c r="I126" i="12"/>
  <c r="J126" i="12" s="1"/>
  <c r="H131" i="12"/>
  <c r="G131" i="12"/>
  <c r="F131" i="12"/>
  <c r="E131" i="12"/>
  <c r="D131" i="12"/>
  <c r="C131" i="12"/>
  <c r="B131" i="12"/>
  <c r="A131" i="12"/>
  <c r="I131" i="12"/>
  <c r="J131" i="12" s="1"/>
  <c r="H136" i="12"/>
  <c r="G136" i="12"/>
  <c r="F136" i="12"/>
  <c r="E136" i="12"/>
  <c r="D136" i="12"/>
  <c r="C136" i="12"/>
  <c r="B136" i="12"/>
  <c r="A136" i="12"/>
  <c r="H143" i="12"/>
  <c r="G143" i="12"/>
  <c r="F143" i="12"/>
  <c r="E143" i="12"/>
  <c r="D143" i="12"/>
  <c r="C143" i="12"/>
  <c r="B143" i="12"/>
  <c r="A143" i="12"/>
  <c r="I143" i="12"/>
  <c r="J143" i="12" s="1"/>
  <c r="C17" i="12"/>
  <c r="C23" i="12"/>
  <c r="H25" i="12"/>
  <c r="J25" i="12" s="1"/>
  <c r="C29" i="12"/>
  <c r="F62" i="12"/>
  <c r="F66" i="12"/>
  <c r="A69" i="12"/>
  <c r="F70" i="12"/>
  <c r="H74" i="12"/>
  <c r="F74" i="12"/>
  <c r="B74" i="12"/>
  <c r="C74" i="12"/>
  <c r="K74" i="12"/>
  <c r="G74" i="12"/>
  <c r="E78" i="12"/>
  <c r="D80" i="12"/>
  <c r="H81" i="12"/>
  <c r="F81" i="12"/>
  <c r="B81" i="12"/>
  <c r="G81" i="12"/>
  <c r="C81" i="12"/>
  <c r="I85" i="12"/>
  <c r="J85" i="12" s="1"/>
  <c r="D87" i="12"/>
  <c r="H90" i="12"/>
  <c r="F90" i="12"/>
  <c r="B90" i="12"/>
  <c r="C90" i="12"/>
  <c r="K90" i="12"/>
  <c r="G90" i="12"/>
  <c r="E96" i="12"/>
  <c r="H102" i="12"/>
  <c r="G102" i="12"/>
  <c r="F102" i="12"/>
  <c r="B102" i="12"/>
  <c r="K102" i="12"/>
  <c r="C102" i="12"/>
  <c r="A102" i="12"/>
  <c r="I114" i="12"/>
  <c r="J114" i="12" s="1"/>
  <c r="I120" i="12"/>
  <c r="J120" i="12" s="1"/>
  <c r="H144" i="12"/>
  <c r="G144" i="12"/>
  <c r="F144" i="12"/>
  <c r="E144" i="12"/>
  <c r="D144" i="12"/>
  <c r="C144" i="12"/>
  <c r="B144" i="12"/>
  <c r="A144" i="12"/>
  <c r="I144" i="12"/>
  <c r="J144" i="12" s="1"/>
  <c r="K144" i="12"/>
  <c r="K8" i="12"/>
  <c r="E8" i="12"/>
  <c r="K14" i="12"/>
  <c r="E14" i="12"/>
  <c r="D17" i="12"/>
  <c r="K20" i="12"/>
  <c r="E20" i="12"/>
  <c r="D23" i="12"/>
  <c r="K26" i="12"/>
  <c r="E26" i="12"/>
  <c r="D29" i="12"/>
  <c r="G62" i="12"/>
  <c r="G66" i="12"/>
  <c r="C69" i="12"/>
  <c r="G70" i="12"/>
  <c r="E80" i="12"/>
  <c r="H83" i="12"/>
  <c r="F83" i="12"/>
  <c r="B83" i="12"/>
  <c r="G83" i="12"/>
  <c r="K83" i="12"/>
  <c r="E87" i="12"/>
  <c r="A91" i="12"/>
  <c r="G96" i="12"/>
  <c r="H100" i="12"/>
  <c r="G100" i="12"/>
  <c r="F100" i="12"/>
  <c r="B100" i="12"/>
  <c r="I100" i="12"/>
  <c r="J100" i="12" s="1"/>
  <c r="C100" i="12"/>
  <c r="A103" i="12"/>
  <c r="H132" i="12"/>
  <c r="G132" i="12"/>
  <c r="F132" i="12"/>
  <c r="E132" i="12"/>
  <c r="D132" i="12"/>
  <c r="C132" i="12"/>
  <c r="B132" i="12"/>
  <c r="A132" i="12"/>
  <c r="K132" i="12"/>
  <c r="I132" i="12"/>
  <c r="J132" i="12" s="1"/>
  <c r="H145" i="12"/>
  <c r="G145" i="12"/>
  <c r="F145" i="12"/>
  <c r="E145" i="12"/>
  <c r="D145" i="12"/>
  <c r="C145" i="12"/>
  <c r="B145" i="12"/>
  <c r="A145" i="12"/>
  <c r="I145" i="12"/>
  <c r="J145" i="12" s="1"/>
  <c r="K145" i="12"/>
  <c r="H114" i="12"/>
  <c r="G114" i="12"/>
  <c r="F114" i="12"/>
  <c r="C114" i="12"/>
  <c r="B114" i="12"/>
  <c r="A114" i="12"/>
  <c r="E114" i="12"/>
  <c r="K114" i="12"/>
  <c r="H117" i="12"/>
  <c r="G117" i="12"/>
  <c r="F117" i="12"/>
  <c r="C117" i="12"/>
  <c r="B117" i="12"/>
  <c r="A117" i="12"/>
  <c r="I117" i="12"/>
  <c r="J117" i="12" s="1"/>
  <c r="E117" i="12"/>
  <c r="H120" i="12"/>
  <c r="G120" i="12"/>
  <c r="F120" i="12"/>
  <c r="C120" i="12"/>
  <c r="B120" i="12"/>
  <c r="A120" i="12"/>
  <c r="E120" i="12"/>
  <c r="K120" i="12"/>
  <c r="H127" i="12"/>
  <c r="G127" i="12"/>
  <c r="F127" i="12"/>
  <c r="E127" i="12"/>
  <c r="D127" i="12"/>
  <c r="C127" i="12"/>
  <c r="B127" i="12"/>
  <c r="A127" i="12"/>
  <c r="J127" i="12"/>
  <c r="I133" i="12"/>
  <c r="J133" i="12" s="1"/>
  <c r="H146" i="12"/>
  <c r="G146" i="12"/>
  <c r="F146" i="12"/>
  <c r="E146" i="12"/>
  <c r="D146" i="12"/>
  <c r="C146" i="12"/>
  <c r="B146" i="12"/>
  <c r="A146" i="12"/>
  <c r="I146" i="12"/>
  <c r="J146" i="12" s="1"/>
  <c r="K146" i="12"/>
  <c r="K25" i="12"/>
  <c r="E25" i="12"/>
  <c r="I62" i="12"/>
  <c r="J62" i="12" s="1"/>
  <c r="I66" i="12"/>
  <c r="J66" i="12" s="1"/>
  <c r="F69" i="12"/>
  <c r="H78" i="12"/>
  <c r="F78" i="12"/>
  <c r="B78" i="12"/>
  <c r="C78" i="12"/>
  <c r="K78" i="12"/>
  <c r="G78" i="12"/>
  <c r="D84" i="12"/>
  <c r="H85" i="12"/>
  <c r="F85" i="12"/>
  <c r="B85" i="12"/>
  <c r="G85" i="12"/>
  <c r="C85" i="12"/>
  <c r="D91" i="12"/>
  <c r="H98" i="12"/>
  <c r="G98" i="12"/>
  <c r="F98" i="12"/>
  <c r="B98" i="12"/>
  <c r="D98" i="12"/>
  <c r="C101" i="12"/>
  <c r="D118" i="12"/>
  <c r="D121" i="12"/>
  <c r="D124" i="12"/>
  <c r="A8" i="12"/>
  <c r="A14" i="12"/>
  <c r="G69" i="12"/>
  <c r="E84" i="12"/>
  <c r="H87" i="12"/>
  <c r="F87" i="12"/>
  <c r="B87" i="12"/>
  <c r="G87" i="12"/>
  <c r="K87" i="12"/>
  <c r="H96" i="12"/>
  <c r="F96" i="12"/>
  <c r="B96" i="12"/>
  <c r="K96" i="12"/>
  <c r="D96" i="12"/>
  <c r="C96" i="12"/>
  <c r="D99" i="12"/>
  <c r="I118" i="12"/>
  <c r="J118" i="12" s="1"/>
  <c r="I124" i="12"/>
  <c r="J124" i="12" s="1"/>
  <c r="H128" i="12"/>
  <c r="G128" i="12"/>
  <c r="F128" i="12"/>
  <c r="E128" i="12"/>
  <c r="D128" i="12"/>
  <c r="C128" i="12"/>
  <c r="B128" i="12"/>
  <c r="A128" i="12"/>
  <c r="I128" i="12"/>
  <c r="J128" i="12" s="1"/>
  <c r="H133" i="12"/>
  <c r="G133" i="12"/>
  <c r="F133" i="12"/>
  <c r="E133" i="12"/>
  <c r="D133" i="12"/>
  <c r="C133" i="12"/>
  <c r="B133" i="12"/>
  <c r="A133" i="12"/>
  <c r="I139" i="12"/>
  <c r="J139" i="12" s="1"/>
  <c r="H147" i="12"/>
  <c r="G147" i="12"/>
  <c r="F147" i="12"/>
  <c r="E147" i="12"/>
  <c r="D147" i="12"/>
  <c r="C147" i="12"/>
  <c r="B147" i="12"/>
  <c r="A147" i="12"/>
  <c r="I147" i="12"/>
  <c r="J147" i="12" s="1"/>
  <c r="K62" i="12"/>
  <c r="E62" i="12"/>
  <c r="B62" i="12"/>
  <c r="K66" i="12"/>
  <c r="E66" i="12"/>
  <c r="B66" i="12"/>
  <c r="H69" i="12"/>
  <c r="K70" i="12"/>
  <c r="E70" i="12"/>
  <c r="B70" i="12"/>
  <c r="H80" i="12"/>
  <c r="F80" i="12"/>
  <c r="B80" i="12"/>
  <c r="K80" i="12"/>
  <c r="C80" i="12"/>
  <c r="G84" i="12"/>
  <c r="A88" i="12"/>
  <c r="A97" i="12"/>
  <c r="E99" i="12"/>
  <c r="H103" i="12"/>
  <c r="G103" i="12"/>
  <c r="F103" i="12"/>
  <c r="B103" i="12"/>
  <c r="I103" i="12"/>
  <c r="J103" i="12" s="1"/>
  <c r="C103" i="12"/>
  <c r="H148" i="12"/>
  <c r="G148" i="12"/>
  <c r="F148" i="12"/>
  <c r="E148" i="12"/>
  <c r="D148" i="12"/>
  <c r="C148" i="12"/>
  <c r="B148" i="12"/>
  <c r="A148" i="12"/>
  <c r="I148" i="12"/>
  <c r="J148" i="12" s="1"/>
  <c r="K148" i="12"/>
  <c r="H118" i="12"/>
  <c r="G118" i="12"/>
  <c r="F118" i="12"/>
  <c r="C118" i="12"/>
  <c r="B118" i="12"/>
  <c r="A118" i="12"/>
  <c r="E118" i="12"/>
  <c r="K118" i="12"/>
  <c r="H121" i="12"/>
  <c r="G121" i="12"/>
  <c r="F121" i="12"/>
  <c r="C121" i="12"/>
  <c r="B121" i="12"/>
  <c r="A121" i="12"/>
  <c r="I121" i="12"/>
  <c r="J121" i="12" s="1"/>
  <c r="E121" i="12"/>
  <c r="H124" i="12"/>
  <c r="G124" i="12"/>
  <c r="F124" i="12"/>
  <c r="C124" i="12"/>
  <c r="B124" i="12"/>
  <c r="A124" i="12"/>
  <c r="E124" i="12"/>
  <c r="K124" i="12"/>
  <c r="H129" i="12"/>
  <c r="G129" i="12"/>
  <c r="F129" i="12"/>
  <c r="E129" i="12"/>
  <c r="D129" i="12"/>
  <c r="C129" i="12"/>
  <c r="B129" i="12"/>
  <c r="A129" i="12"/>
  <c r="K129" i="12"/>
  <c r="I129" i="12"/>
  <c r="J129" i="12" s="1"/>
  <c r="H134" i="12"/>
  <c r="G134" i="12"/>
  <c r="F134" i="12"/>
  <c r="E134" i="12"/>
  <c r="D134" i="12"/>
  <c r="C134" i="12"/>
  <c r="B134" i="12"/>
  <c r="A134" i="12"/>
  <c r="I134" i="12"/>
  <c r="J134" i="12" s="1"/>
  <c r="H139" i="12"/>
  <c r="G139" i="12"/>
  <c r="F139" i="12"/>
  <c r="E139" i="12"/>
  <c r="D139" i="12"/>
  <c r="C139" i="12"/>
  <c r="B139" i="12"/>
  <c r="A139" i="12"/>
  <c r="H149" i="12"/>
  <c r="G149" i="12"/>
  <c r="F149" i="12"/>
  <c r="E149" i="12"/>
  <c r="D149" i="12"/>
  <c r="C149" i="12"/>
  <c r="B149" i="12"/>
  <c r="A149" i="12"/>
  <c r="I149" i="12"/>
  <c r="J149" i="12" s="1"/>
  <c r="K149" i="12"/>
  <c r="K17" i="12"/>
  <c r="E17" i="12"/>
  <c r="K23" i="12"/>
  <c r="E23" i="12"/>
  <c r="B25" i="12"/>
  <c r="K29" i="12"/>
  <c r="E29" i="12"/>
  <c r="H75" i="12"/>
  <c r="F75" i="12"/>
  <c r="B75" i="12"/>
  <c r="G75" i="12"/>
  <c r="K75" i="12"/>
  <c r="D81" i="12"/>
  <c r="A83" i="12"/>
  <c r="E88" i="12"/>
  <c r="H91" i="12"/>
  <c r="F91" i="12"/>
  <c r="B91" i="12"/>
  <c r="G91" i="12"/>
  <c r="K91" i="12"/>
  <c r="E97" i="12"/>
  <c r="H101" i="12"/>
  <c r="G101" i="12"/>
  <c r="F101" i="12"/>
  <c r="B101" i="12"/>
  <c r="D101" i="12"/>
  <c r="J101" i="12"/>
  <c r="D110" i="12"/>
  <c r="D113" i="12"/>
  <c r="D116" i="12"/>
  <c r="D119" i="12"/>
  <c r="D125" i="12"/>
  <c r="I130" i="12"/>
  <c r="J130" i="12" s="1"/>
  <c r="H140" i="12"/>
  <c r="G140" i="12"/>
  <c r="F140" i="12"/>
  <c r="E140" i="12"/>
  <c r="D140" i="12"/>
  <c r="C140" i="12"/>
  <c r="B140" i="12"/>
  <c r="A140" i="12"/>
  <c r="I140" i="12"/>
  <c r="J140" i="12" s="1"/>
  <c r="K140" i="12"/>
  <c r="H150" i="12"/>
  <c r="G150" i="12"/>
  <c r="F150" i="12"/>
  <c r="E150" i="12"/>
  <c r="D150" i="12"/>
  <c r="C150" i="12"/>
  <c r="B150" i="12"/>
  <c r="A150" i="12"/>
  <c r="I150" i="12"/>
  <c r="J150" i="12" s="1"/>
  <c r="K150" i="12"/>
  <c r="K69" i="12"/>
  <c r="E69" i="12"/>
  <c r="B69" i="12"/>
  <c r="H84" i="12"/>
  <c r="F84" i="12"/>
  <c r="B84" i="12"/>
  <c r="K84" i="12"/>
  <c r="C84" i="12"/>
  <c r="G88" i="12"/>
  <c r="K97" i="12"/>
  <c r="H99" i="12"/>
  <c r="G99" i="12"/>
  <c r="F99" i="12"/>
  <c r="B99" i="12"/>
  <c r="K99" i="12"/>
  <c r="C99" i="12"/>
  <c r="A99" i="12"/>
  <c r="I110" i="12"/>
  <c r="J110" i="12" s="1"/>
  <c r="I116" i="12"/>
  <c r="J116" i="12" s="1"/>
  <c r="K125" i="12"/>
  <c r="K130" i="12"/>
  <c r="H135" i="12"/>
  <c r="G135" i="12"/>
  <c r="F135" i="12"/>
  <c r="E135" i="12"/>
  <c r="D135" i="12"/>
  <c r="C135" i="12"/>
  <c r="B135" i="12"/>
  <c r="A135" i="12"/>
  <c r="K135" i="12"/>
  <c r="I135" i="12"/>
  <c r="J135" i="12" s="1"/>
  <c r="H141" i="12"/>
  <c r="G141" i="12"/>
  <c r="F141" i="12"/>
  <c r="E141" i="12"/>
  <c r="D141" i="12"/>
  <c r="C141" i="12"/>
  <c r="B141" i="12"/>
  <c r="A141" i="12"/>
  <c r="I141" i="12"/>
  <c r="J141" i="12" s="1"/>
  <c r="K141" i="12"/>
  <c r="K151" i="12"/>
  <c r="H138" i="12"/>
  <c r="G138" i="12"/>
  <c r="F138" i="12"/>
  <c r="E138" i="12"/>
  <c r="D138" i="12"/>
  <c r="C138" i="12"/>
  <c r="B138" i="12"/>
  <c r="A138" i="12"/>
  <c r="H154" i="12"/>
  <c r="G154" i="12"/>
  <c r="F154" i="12"/>
  <c r="E154" i="12"/>
  <c r="D154" i="12"/>
  <c r="C154" i="12"/>
  <c r="B154" i="12"/>
  <c r="A154" i="12"/>
  <c r="I154" i="12"/>
  <c r="J154" i="12" s="1"/>
  <c r="G94" i="12"/>
  <c r="H155" i="12"/>
  <c r="G155" i="12"/>
  <c r="F155" i="12"/>
  <c r="E155" i="12"/>
  <c r="D155" i="12"/>
  <c r="C155" i="12"/>
  <c r="B155" i="12"/>
  <c r="A155" i="12"/>
  <c r="I155" i="12"/>
  <c r="J155" i="12" s="1"/>
  <c r="E123" i="12"/>
  <c r="I137" i="12"/>
  <c r="J137" i="12" s="1"/>
  <c r="H94" i="12"/>
  <c r="F94" i="12"/>
  <c r="B94" i="12"/>
  <c r="H152" i="12"/>
  <c r="G152" i="12"/>
  <c r="F152" i="12"/>
  <c r="E152" i="12"/>
  <c r="D152" i="12"/>
  <c r="C152" i="12"/>
  <c r="B152" i="12"/>
  <c r="A152" i="12"/>
  <c r="I152" i="12"/>
  <c r="J152" i="12" s="1"/>
  <c r="H137" i="12"/>
  <c r="G137" i="12"/>
  <c r="F137" i="12"/>
  <c r="E137" i="12"/>
  <c r="D137" i="12"/>
  <c r="C137" i="12"/>
  <c r="B137" i="12"/>
  <c r="A137" i="12"/>
  <c r="H123" i="12"/>
  <c r="G123" i="12"/>
  <c r="F123" i="12"/>
  <c r="C123" i="12"/>
  <c r="B123" i="12"/>
  <c r="A123" i="12"/>
  <c r="I138" i="12"/>
  <c r="J138" i="12" s="1"/>
  <c r="H153" i="12"/>
  <c r="G153" i="12"/>
  <c r="F153" i="12"/>
  <c r="E153" i="12"/>
  <c r="D153" i="12"/>
  <c r="C153" i="12"/>
  <c r="B153" i="12"/>
  <c r="A153" i="12"/>
  <c r="I153" i="12"/>
  <c r="J153" i="12" s="1"/>
  <c r="C94" i="12"/>
  <c r="K138" i="12"/>
  <c r="AF17" i="6" l="1"/>
  <c r="AK16" i="6"/>
  <c r="AL16" i="6" s="1"/>
  <c r="AJ17" i="6"/>
  <c r="J6" i="12"/>
  <c r="AI16" i="6"/>
  <c r="AK17" i="6"/>
  <c r="M10" i="4"/>
  <c r="AH16" i="6"/>
  <c r="AH12" i="6"/>
  <c r="AF12" i="6"/>
  <c r="K11" i="4"/>
  <c r="L11" i="4" s="1"/>
  <c r="T11" i="2" s="1"/>
  <c r="K8" i="4"/>
  <c r="K6" i="4"/>
  <c r="L6" i="4" s="1"/>
  <c r="T6" i="2" s="1"/>
  <c r="AO17" i="5"/>
  <c r="W17" i="5"/>
  <c r="Z17" i="5"/>
  <c r="AM17" i="5"/>
  <c r="AP17" i="5"/>
  <c r="V17" i="5"/>
  <c r="AD17" i="5"/>
  <c r="AK17" i="5"/>
  <c r="AF17" i="5"/>
  <c r="O17" i="5"/>
  <c r="U17" i="5"/>
  <c r="AJ17" i="5"/>
  <c r="X17" i="5"/>
  <c r="AI17" i="5"/>
  <c r="AL17" i="5"/>
  <c r="T17" i="5"/>
  <c r="AC17" i="5"/>
  <c r="AG17" i="5"/>
  <c r="AA17" i="5"/>
  <c r="S17" i="5"/>
  <c r="Y17" i="5"/>
  <c r="AN17" i="5"/>
  <c r="AQ17" i="5"/>
  <c r="AB17" i="5"/>
  <c r="N17" i="5"/>
  <c r="P17" i="5" s="1"/>
  <c r="AL17" i="6"/>
  <c r="AG12" i="6"/>
  <c r="I8" i="9"/>
  <c r="M13" i="4"/>
  <c r="AJ12" i="6"/>
  <c r="AH17" i="6"/>
  <c r="K50" i="10"/>
  <c r="AE17" i="6"/>
  <c r="AK12" i="6"/>
  <c r="AL12" i="6" s="1"/>
  <c r="AG17" i="6"/>
  <c r="E20" i="11"/>
  <c r="I15" i="9"/>
  <c r="AE12" i="6"/>
  <c r="I18" i="9"/>
  <c r="AJ15" i="6"/>
  <c r="I5" i="9"/>
  <c r="AH15" i="6"/>
  <c r="I7" i="9"/>
  <c r="E28" i="11"/>
  <c r="I17" i="9"/>
  <c r="AG15" i="6"/>
  <c r="AK15" i="6"/>
  <c r="AL15" i="6" s="1"/>
  <c r="H4" i="9"/>
  <c r="B24" i="14"/>
  <c r="M17" i="10"/>
  <c r="J32" i="12"/>
  <c r="J31" i="12"/>
  <c r="J30" i="12"/>
  <c r="J29" i="12"/>
  <c r="J22" i="12"/>
  <c r="J27" i="12"/>
  <c r="J26" i="12"/>
  <c r="J24" i="12"/>
  <c r="L17" i="4"/>
  <c r="T17" i="2" s="1"/>
  <c r="J21" i="12"/>
  <c r="J20" i="12"/>
  <c r="J19" i="12"/>
  <c r="L18" i="4"/>
  <c r="T18" i="2" s="1"/>
  <c r="J8" i="12"/>
  <c r="J9" i="12"/>
  <c r="J10" i="12"/>
  <c r="J13" i="12"/>
  <c r="J11" i="12"/>
  <c r="AF18" i="5"/>
  <c r="V18" i="5"/>
  <c r="AH17" i="5"/>
  <c r="AG18" i="5"/>
  <c r="AJ18" i="5"/>
  <c r="T18" i="5"/>
  <c r="S18" i="5"/>
  <c r="AC18" i="5"/>
  <c r="AQ18" i="5"/>
  <c r="AK18" i="5"/>
  <c r="U18" i="5"/>
  <c r="Z18" i="5"/>
  <c r="AN18" i="5"/>
  <c r="AA18" i="5"/>
  <c r="AH18" i="5"/>
  <c r="AB18" i="5"/>
  <c r="O18" i="5"/>
  <c r="W18" i="5"/>
  <c r="AO18" i="5"/>
  <c r="M11" i="5"/>
  <c r="AD11" i="5" s="1"/>
  <c r="X18" i="5"/>
  <c r="AD18" i="5"/>
  <c r="AL18" i="5"/>
  <c r="N18" i="5"/>
  <c r="P18" i="5" s="1"/>
  <c r="AE17" i="5"/>
  <c r="AN19" i="8"/>
  <c r="Y18" i="5"/>
  <c r="AP18" i="5"/>
  <c r="AM18" i="5"/>
  <c r="AE18" i="5"/>
  <c r="M19" i="5"/>
  <c r="AF19" i="5" s="1"/>
  <c r="F9" i="4"/>
  <c r="AN14" i="8"/>
  <c r="M15" i="5"/>
  <c r="X15" i="5" s="1"/>
  <c r="M9" i="5"/>
  <c r="N9" i="5" s="1"/>
  <c r="P9" i="5" s="1"/>
  <c r="M6" i="5"/>
  <c r="AO6" i="5" s="1"/>
  <c r="F19" i="4"/>
  <c r="L12" i="4"/>
  <c r="T12" i="2" s="1"/>
  <c r="M5" i="5"/>
  <c r="AC5" i="5" s="1"/>
  <c r="F7" i="4"/>
  <c r="AN12" i="8"/>
  <c r="M10" i="5"/>
  <c r="AA10" i="5" s="1"/>
  <c r="M13" i="5"/>
  <c r="V13" i="5" s="1"/>
  <c r="K16" i="4"/>
  <c r="Q16" i="4" s="1"/>
  <c r="AK14" i="6"/>
  <c r="AL14" i="6" s="1"/>
  <c r="M16" i="5"/>
  <c r="AE16" i="5" s="1"/>
  <c r="AG16" i="6"/>
  <c r="M15" i="4"/>
  <c r="K14" i="4"/>
  <c r="Q14" i="4" s="1"/>
  <c r="K13" i="4"/>
  <c r="Q13" i="4" s="1"/>
  <c r="AN17" i="8"/>
  <c r="F13" i="4"/>
  <c r="T12" i="3"/>
  <c r="AN16" i="8"/>
  <c r="K23" i="2"/>
  <c r="J5" i="9"/>
  <c r="K10" i="4"/>
  <c r="L10" i="4" s="1"/>
  <c r="T10" i="2" s="1"/>
  <c r="J6" i="9"/>
  <c r="F10" i="4"/>
  <c r="K9" i="4"/>
  <c r="Q9" i="4" s="1"/>
  <c r="N9" i="4"/>
  <c r="M9" i="4"/>
  <c r="P9" i="4" s="1"/>
  <c r="K21" i="2"/>
  <c r="K20" i="2"/>
  <c r="AJ6" i="6"/>
  <c r="AI6" i="6"/>
  <c r="AH6" i="6"/>
  <c r="AG6" i="6"/>
  <c r="AF6" i="6"/>
  <c r="AK6" i="6"/>
  <c r="AL6" i="6" s="1"/>
  <c r="AN10" i="8"/>
  <c r="K19" i="2"/>
  <c r="N5" i="4"/>
  <c r="N12" i="4"/>
  <c r="P12" i="4" s="1"/>
  <c r="S12" i="4" s="1"/>
  <c r="N6" i="4"/>
  <c r="P6" i="4" s="1"/>
  <c r="K5" i="4"/>
  <c r="Q5" i="4" s="1"/>
  <c r="K16" i="10"/>
  <c r="K66" i="10"/>
  <c r="K51" i="10"/>
  <c r="K18" i="10"/>
  <c r="K19" i="10"/>
  <c r="K59" i="10"/>
  <c r="K58" i="10"/>
  <c r="K61" i="10"/>
  <c r="K28" i="10"/>
  <c r="K48" i="10"/>
  <c r="K46" i="10"/>
  <c r="K45" i="10"/>
  <c r="K35" i="10"/>
  <c r="K52" i="10"/>
  <c r="K15" i="10"/>
  <c r="K12" i="10"/>
  <c r="K26" i="10"/>
  <c r="K47" i="10"/>
  <c r="K64" i="10"/>
  <c r="K33" i="10"/>
  <c r="K29" i="10"/>
  <c r="K37" i="10"/>
  <c r="K32" i="10"/>
  <c r="K36" i="10"/>
  <c r="K22" i="10"/>
  <c r="K14" i="10"/>
  <c r="K31" i="10"/>
  <c r="Q7" i="4"/>
  <c r="L7" i="4"/>
  <c r="T7" i="2" s="1"/>
  <c r="Q19" i="4"/>
  <c r="L19" i="4"/>
  <c r="T19" i="2" s="1"/>
  <c r="L15" i="4"/>
  <c r="T15" i="2" s="1"/>
  <c r="Q15" i="4"/>
  <c r="AN11" i="8"/>
  <c r="AN18" i="8"/>
  <c r="T14" i="3"/>
  <c r="N11" i="4"/>
  <c r="M11" i="4"/>
  <c r="O11" i="4"/>
  <c r="N15" i="4"/>
  <c r="P15" i="4" s="1"/>
  <c r="K56" i="10"/>
  <c r="M8" i="5"/>
  <c r="K55" i="10"/>
  <c r="J12" i="9"/>
  <c r="I12" i="9"/>
  <c r="H12" i="9"/>
  <c r="N14" i="4"/>
  <c r="M14" i="4"/>
  <c r="O14" i="4"/>
  <c r="N8" i="4"/>
  <c r="P8" i="4" s="1"/>
  <c r="M5" i="4"/>
  <c r="O5" i="4"/>
  <c r="M14" i="5"/>
  <c r="H10" i="9"/>
  <c r="J10" i="9"/>
  <c r="I10" i="9"/>
  <c r="K22" i="2"/>
  <c r="E27" i="11"/>
  <c r="K57" i="10"/>
  <c r="AK12" i="5"/>
  <c r="Y12" i="5"/>
  <c r="AN12" i="5"/>
  <c r="AA12" i="5"/>
  <c r="AM12" i="5"/>
  <c r="Z12" i="5"/>
  <c r="AQ12" i="5"/>
  <c r="AB12" i="5"/>
  <c r="AI12" i="5"/>
  <c r="T12" i="5"/>
  <c r="AH12" i="5"/>
  <c r="S12" i="5"/>
  <c r="AF12" i="5"/>
  <c r="AC12" i="5"/>
  <c r="X12" i="5"/>
  <c r="V12" i="5"/>
  <c r="U12" i="5"/>
  <c r="AL12" i="5"/>
  <c r="AG12" i="5"/>
  <c r="AE12" i="5"/>
  <c r="AD12" i="5"/>
  <c r="W12" i="5"/>
  <c r="N12" i="5"/>
  <c r="P12" i="5" s="1"/>
  <c r="AO12" i="5"/>
  <c r="O12" i="5"/>
  <c r="AJ12" i="5" s="1"/>
  <c r="AP12" i="5"/>
  <c r="K29" i="2"/>
  <c r="K7" i="10"/>
  <c r="N16" i="4"/>
  <c r="F15" i="4"/>
  <c r="N7" i="4"/>
  <c r="M7" i="4"/>
  <c r="K25" i="2"/>
  <c r="AE13" i="6"/>
  <c r="AK13" i="6"/>
  <c r="AL13" i="6" s="1"/>
  <c r="AI13" i="6"/>
  <c r="AF13" i="6"/>
  <c r="AH13" i="6"/>
  <c r="AG13" i="6"/>
  <c r="AJ13" i="6"/>
  <c r="L8" i="4"/>
  <c r="T8" i="2" s="1"/>
  <c r="Q8" i="4"/>
  <c r="K27" i="2"/>
  <c r="S17" i="4"/>
  <c r="R17" i="4"/>
  <c r="K20" i="10"/>
  <c r="K9" i="10"/>
  <c r="AG19" i="6"/>
  <c r="AF19" i="6"/>
  <c r="AK19" i="6"/>
  <c r="AL19" i="6"/>
  <c r="AJ19" i="6"/>
  <c r="AH19" i="6"/>
  <c r="AI19" i="6"/>
  <c r="AE19" i="6"/>
  <c r="N13" i="4"/>
  <c r="P13" i="4" s="1"/>
  <c r="K24" i="2"/>
  <c r="AF5" i="6"/>
  <c r="AG5" i="6"/>
  <c r="AH5" i="6"/>
  <c r="AE5" i="6"/>
  <c r="AK5" i="6"/>
  <c r="AJ5" i="6"/>
  <c r="AI5" i="6"/>
  <c r="AN15" i="8"/>
  <c r="T11" i="3"/>
  <c r="M7" i="5"/>
  <c r="H14" i="9"/>
  <c r="I14" i="9"/>
  <c r="J14" i="9"/>
  <c r="AE10" i="6"/>
  <c r="AH10" i="6"/>
  <c r="AG10" i="6"/>
  <c r="AF10" i="6"/>
  <c r="AK10" i="6"/>
  <c r="AL10" i="6" s="1"/>
  <c r="AJ10" i="6"/>
  <c r="AI10" i="6"/>
  <c r="S18" i="4"/>
  <c r="R18" i="4"/>
  <c r="J9" i="9"/>
  <c r="H9" i="9"/>
  <c r="I9" i="9"/>
  <c r="H13" i="9"/>
  <c r="I13" i="9"/>
  <c r="J13" i="9"/>
  <c r="K21" i="10"/>
  <c r="AI11" i="6"/>
  <c r="AE11" i="6"/>
  <c r="AH11" i="6"/>
  <c r="AG11" i="6"/>
  <c r="AJ11" i="6"/>
  <c r="AF11" i="6"/>
  <c r="AK11" i="6"/>
  <c r="AL11" i="6" s="1"/>
  <c r="K43" i="10"/>
  <c r="B13" i="9"/>
  <c r="K26" i="2"/>
  <c r="K25" i="10"/>
  <c r="AN9" i="8"/>
  <c r="H16" i="9"/>
  <c r="I16" i="9"/>
  <c r="J16" i="9"/>
  <c r="A1" i="20"/>
  <c r="A1" i="16"/>
  <c r="A1" i="15"/>
  <c r="A1" i="18"/>
  <c r="A1" i="14"/>
  <c r="A1" i="17"/>
  <c r="A1" i="13"/>
  <c r="A1" i="19"/>
  <c r="A1" i="12"/>
  <c r="A1" i="11"/>
  <c r="A1" i="1"/>
  <c r="A1" i="9"/>
  <c r="A1" i="2"/>
  <c r="A1" i="8"/>
  <c r="A1" i="10"/>
  <c r="A1" i="5"/>
  <c r="A1" i="3"/>
  <c r="A1" i="7"/>
  <c r="A1" i="6"/>
  <c r="A1" i="4"/>
  <c r="F16" i="4"/>
  <c r="N10" i="4"/>
  <c r="P10" i="4" s="1"/>
  <c r="AJ9" i="6"/>
  <c r="AK9" i="6"/>
  <c r="AL9" i="6" s="1"/>
  <c r="AI9" i="6"/>
  <c r="AH9" i="6"/>
  <c r="AG9" i="6"/>
  <c r="AF9" i="6"/>
  <c r="AE9" i="6"/>
  <c r="K53" i="10"/>
  <c r="K44" i="10"/>
  <c r="K30" i="10"/>
  <c r="K42" i="10"/>
  <c r="K41" i="10"/>
  <c r="K62" i="10"/>
  <c r="J19" i="9"/>
  <c r="I19" i="9"/>
  <c r="H19" i="9"/>
  <c r="O16" i="4"/>
  <c r="F17" i="4"/>
  <c r="AN13" i="8"/>
  <c r="Q11" i="4" l="1"/>
  <c r="Q6" i="4"/>
  <c r="S6" i="4" s="1"/>
  <c r="CU6" i="2" s="1"/>
  <c r="N17" i="10"/>
  <c r="P17" i="10"/>
  <c r="R17" i="10"/>
  <c r="S17" i="10"/>
  <c r="Q17" i="10"/>
  <c r="T17" i="10"/>
  <c r="O17" i="10"/>
  <c r="B23" i="14"/>
  <c r="M16" i="10"/>
  <c r="G4" i="9"/>
  <c r="H8" i="9"/>
  <c r="H15" i="9"/>
  <c r="H5" i="9"/>
  <c r="H6" i="9"/>
  <c r="H7" i="9"/>
  <c r="H11" i="9"/>
  <c r="H18" i="9"/>
  <c r="H17" i="9"/>
  <c r="L9" i="4"/>
  <c r="T9" i="2" s="1"/>
  <c r="T11" i="5"/>
  <c r="AC11" i="5"/>
  <c r="AM11" i="5"/>
  <c r="AN11" i="5"/>
  <c r="X11" i="5"/>
  <c r="AH11" i="5"/>
  <c r="AP11" i="5"/>
  <c r="AA11" i="5"/>
  <c r="AB11" i="5"/>
  <c r="AK11" i="5"/>
  <c r="N11" i="5"/>
  <c r="P11" i="5" s="1"/>
  <c r="AG11" i="5"/>
  <c r="O11" i="5"/>
  <c r="AF11" i="5" s="1"/>
  <c r="S11" i="5"/>
  <c r="AI11" i="5"/>
  <c r="V11" i="5"/>
  <c r="U11" i="5"/>
  <c r="W11" i="5"/>
  <c r="AO11" i="5"/>
  <c r="Y11" i="5"/>
  <c r="AJ11" i="5"/>
  <c r="AL11" i="5"/>
  <c r="Z11" i="5"/>
  <c r="AQ11" i="5"/>
  <c r="AE11" i="5"/>
  <c r="AL5" i="5"/>
  <c r="S5" i="5"/>
  <c r="AN5" i="5"/>
  <c r="AF10" i="5"/>
  <c r="O10" i="5"/>
  <c r="AE10" i="5" s="1"/>
  <c r="AM10" i="5"/>
  <c r="AJ19" i="5"/>
  <c r="Y15" i="5"/>
  <c r="W19" i="5"/>
  <c r="AF15" i="5"/>
  <c r="O5" i="5"/>
  <c r="AA5" i="5" s="1"/>
  <c r="AQ15" i="5"/>
  <c r="AQ5" i="5"/>
  <c r="Z5" i="5"/>
  <c r="AI15" i="5"/>
  <c r="X19" i="5"/>
  <c r="Z15" i="5"/>
  <c r="AD5" i="5"/>
  <c r="AD15" i="5"/>
  <c r="AC19" i="5"/>
  <c r="AO19" i="5"/>
  <c r="N5" i="5"/>
  <c r="P5" i="5" s="1"/>
  <c r="AL15" i="5"/>
  <c r="AC16" i="5"/>
  <c r="AB5" i="5"/>
  <c r="O15" i="5"/>
  <c r="AE15" i="5" s="1"/>
  <c r="AO16" i="5"/>
  <c r="Y19" i="5"/>
  <c r="AG19" i="5"/>
  <c r="U9" i="5"/>
  <c r="L16" i="4"/>
  <c r="T16" i="2" s="1"/>
  <c r="AB15" i="5"/>
  <c r="X9" i="5"/>
  <c r="S9" i="5"/>
  <c r="AO9" i="5"/>
  <c r="AM16" i="5"/>
  <c r="AA19" i="5"/>
  <c r="AH9" i="5"/>
  <c r="AH16" i="5"/>
  <c r="AN15" i="5"/>
  <c r="X16" i="5"/>
  <c r="AH15" i="5"/>
  <c r="T16" i="5"/>
  <c r="AN19" i="5"/>
  <c r="T15" i="5"/>
  <c r="AP16" i="5"/>
  <c r="S15" i="5"/>
  <c r="V15" i="5"/>
  <c r="AB19" i="5"/>
  <c r="AM15" i="5"/>
  <c r="O16" i="5"/>
  <c r="Z16" i="5" s="1"/>
  <c r="AL19" i="5"/>
  <c r="AA15" i="5"/>
  <c r="AJ16" i="5"/>
  <c r="AC15" i="5"/>
  <c r="U15" i="5"/>
  <c r="AQ16" i="5"/>
  <c r="O19" i="5"/>
  <c r="AI9" i="5"/>
  <c r="Y9" i="5"/>
  <c r="AB9" i="5"/>
  <c r="AG15" i="5"/>
  <c r="AO15" i="5"/>
  <c r="S16" i="5"/>
  <c r="N19" i="5"/>
  <c r="P19" i="5" s="1"/>
  <c r="AN16" i="5"/>
  <c r="AD9" i="5"/>
  <c r="S19" i="5"/>
  <c r="AF9" i="5"/>
  <c r="AP15" i="5"/>
  <c r="AJ15" i="5"/>
  <c r="N16" i="5"/>
  <c r="P16" i="5" s="1"/>
  <c r="N15" i="5"/>
  <c r="P15" i="5" s="1"/>
  <c r="AK15" i="5"/>
  <c r="AB16" i="5"/>
  <c r="AH19" i="5"/>
  <c r="AL9" i="5"/>
  <c r="AK19" i="5"/>
  <c r="U19" i="5"/>
  <c r="AM19" i="5"/>
  <c r="AI19" i="5"/>
  <c r="AP19" i="5"/>
  <c r="V19" i="5"/>
  <c r="W9" i="5"/>
  <c r="V9" i="5"/>
  <c r="AC6" i="5"/>
  <c r="AE19" i="5"/>
  <c r="AQ19" i="5"/>
  <c r="T19" i="5"/>
  <c r="AM9" i="5"/>
  <c r="AL13" i="5"/>
  <c r="AD19" i="5"/>
  <c r="Z19" i="5"/>
  <c r="AK9" i="5"/>
  <c r="N13" i="5"/>
  <c r="P13" i="5" s="1"/>
  <c r="N6" i="5"/>
  <c r="P6" i="5" s="1"/>
  <c r="AF13" i="5"/>
  <c r="AN6" i="5"/>
  <c r="AD16" i="5"/>
  <c r="AO5" i="5"/>
  <c r="W15" i="5"/>
  <c r="AI16" i="5"/>
  <c r="Z9" i="5"/>
  <c r="AP6" i="5"/>
  <c r="V5" i="5"/>
  <c r="U16" i="5"/>
  <c r="O9" i="5"/>
  <c r="AE9" i="5" s="1"/>
  <c r="AK16" i="5"/>
  <c r="AG9" i="5"/>
  <c r="L14" i="4"/>
  <c r="T14" i="2" s="1"/>
  <c r="Q10" i="4"/>
  <c r="S10" i="4" s="1"/>
  <c r="AI5" i="5"/>
  <c r="AF5" i="5"/>
  <c r="AH5" i="5"/>
  <c r="AM5" i="5"/>
  <c r="AG5" i="5"/>
  <c r="AP5" i="5"/>
  <c r="T5" i="5"/>
  <c r="AC9" i="5"/>
  <c r="AP9" i="5"/>
  <c r="AB6" i="5"/>
  <c r="Y5" i="5"/>
  <c r="AK5" i="5"/>
  <c r="W16" i="5"/>
  <c r="V16" i="5"/>
  <c r="AJ9" i="5"/>
  <c r="AA9" i="5"/>
  <c r="AI13" i="5"/>
  <c r="W5" i="5"/>
  <c r="AJ5" i="5"/>
  <c r="X5" i="5"/>
  <c r="U5" i="5"/>
  <c r="AE5" i="5"/>
  <c r="AF16" i="5"/>
  <c r="AL16" i="5"/>
  <c r="T9" i="5"/>
  <c r="AN9" i="5"/>
  <c r="Y16" i="5"/>
  <c r="AA16" i="5"/>
  <c r="AQ9" i="5"/>
  <c r="AM6" i="5"/>
  <c r="U10" i="5"/>
  <c r="S10" i="5"/>
  <c r="X10" i="5"/>
  <c r="AH10" i="5"/>
  <c r="Y10" i="5"/>
  <c r="Z10" i="5"/>
  <c r="L5" i="4"/>
  <c r="T5" i="2" s="1"/>
  <c r="AN10" i="5"/>
  <c r="V10" i="5"/>
  <c r="AK10" i="5"/>
  <c r="AI10" i="5"/>
  <c r="AL10" i="5"/>
  <c r="W10" i="5"/>
  <c r="AB10" i="5"/>
  <c r="AG10" i="5"/>
  <c r="AO10" i="5"/>
  <c r="AJ10" i="5"/>
  <c r="T10" i="5"/>
  <c r="N10" i="5"/>
  <c r="P10" i="5" s="1"/>
  <c r="AC10" i="5"/>
  <c r="AP10" i="5"/>
  <c r="AD10" i="5"/>
  <c r="AQ10" i="5"/>
  <c r="U13" i="5"/>
  <c r="AG16" i="5"/>
  <c r="AO13" i="5"/>
  <c r="AQ13" i="5"/>
  <c r="AN13" i="5"/>
  <c r="AD13" i="5"/>
  <c r="Y13" i="5"/>
  <c r="W13" i="5"/>
  <c r="Z13" i="5"/>
  <c r="AB13" i="5"/>
  <c r="AG13" i="5"/>
  <c r="Z6" i="5"/>
  <c r="AH6" i="5"/>
  <c r="AJ6" i="5"/>
  <c r="V6" i="5"/>
  <c r="AI6" i="5"/>
  <c r="W6" i="5"/>
  <c r="AE6" i="5"/>
  <c r="AQ6" i="5"/>
  <c r="AD6" i="5"/>
  <c r="AA6" i="5"/>
  <c r="X6" i="5"/>
  <c r="O6" i="5"/>
  <c r="AK6" i="5" s="1"/>
  <c r="AF6" i="5"/>
  <c r="T6" i="5"/>
  <c r="Y6" i="5"/>
  <c r="AL6" i="5"/>
  <c r="S6" i="5"/>
  <c r="U6" i="5"/>
  <c r="AG6" i="5"/>
  <c r="S13" i="5"/>
  <c r="X13" i="5"/>
  <c r="AA13" i="5"/>
  <c r="AE13" i="5"/>
  <c r="AC13" i="5"/>
  <c r="T13" i="5"/>
  <c r="AP13" i="5"/>
  <c r="AM13" i="5"/>
  <c r="AJ13" i="5"/>
  <c r="O13" i="5"/>
  <c r="AK13" i="5" s="1"/>
  <c r="AH13" i="5"/>
  <c r="L13" i="4"/>
  <c r="T13" i="2" s="1"/>
  <c r="R6" i="4"/>
  <c r="DA6" i="2" s="1"/>
  <c r="U18" i="3"/>
  <c r="K18" i="3" s="1"/>
  <c r="R12" i="4"/>
  <c r="BN12" i="4" s="1"/>
  <c r="CL12" i="2"/>
  <c r="AL12" i="4"/>
  <c r="AY12" i="4"/>
  <c r="CU12" i="2"/>
  <c r="CE12" i="2"/>
  <c r="AW12" i="4"/>
  <c r="BY12" i="2"/>
  <c r="CG12" i="2"/>
  <c r="CR12" i="2"/>
  <c r="CC12" i="2"/>
  <c r="BH12" i="4"/>
  <c r="CB12" i="2"/>
  <c r="AT12" i="4"/>
  <c r="BJ12" i="4"/>
  <c r="CD12" i="2"/>
  <c r="CY12" i="2"/>
  <c r="AV12" i="4"/>
  <c r="BE12" i="4"/>
  <c r="CQ12" i="2"/>
  <c r="BG12" i="4"/>
  <c r="BC12" i="4"/>
  <c r="CA12" i="2"/>
  <c r="CH12" i="2"/>
  <c r="CT12" i="2"/>
  <c r="BM12" i="4"/>
  <c r="BD12" i="4"/>
  <c r="AR12" i="4"/>
  <c r="BA12" i="4"/>
  <c r="CK12" i="2"/>
  <c r="P14" i="4"/>
  <c r="S14" i="4" s="1"/>
  <c r="P16" i="4"/>
  <c r="R16" i="4" s="1"/>
  <c r="CN12" i="2"/>
  <c r="AX12" i="4"/>
  <c r="AP12" i="4"/>
  <c r="BB12" i="4"/>
  <c r="CX12" i="2"/>
  <c r="P7" i="4"/>
  <c r="R7" i="4" s="1"/>
  <c r="U13" i="3"/>
  <c r="Z13" i="3" s="1"/>
  <c r="U19" i="3"/>
  <c r="AA19" i="3" s="1"/>
  <c r="BK12" i="4"/>
  <c r="CZ12" i="2"/>
  <c r="CS12" i="2"/>
  <c r="CW12" i="2"/>
  <c r="CF12" i="2"/>
  <c r="AN12" i="4"/>
  <c r="AM12" i="4"/>
  <c r="AS12" i="4"/>
  <c r="AQ12" i="4"/>
  <c r="BL12" i="4"/>
  <c r="CM12" i="2"/>
  <c r="AU12" i="4"/>
  <c r="BZ12" i="2"/>
  <c r="CO12" i="2"/>
  <c r="CV12" i="2"/>
  <c r="CJ12" i="2"/>
  <c r="BI12" i="4"/>
  <c r="BF12" i="4"/>
  <c r="CI12" i="2"/>
  <c r="CP12" i="2"/>
  <c r="AO12" i="4"/>
  <c r="AZ12" i="4"/>
  <c r="U7" i="3"/>
  <c r="U8" i="3"/>
  <c r="BN17" i="4"/>
  <c r="DA17" i="2"/>
  <c r="U15" i="3"/>
  <c r="BP17" i="4"/>
  <c r="DC17" i="2"/>
  <c r="U16" i="3"/>
  <c r="BN18" i="4"/>
  <c r="DA18" i="2"/>
  <c r="P11" i="4"/>
  <c r="S11" i="4" s="1"/>
  <c r="U17" i="3"/>
  <c r="R15" i="4"/>
  <c r="S15" i="4"/>
  <c r="BY15" i="2" s="1"/>
  <c r="BP12" i="4"/>
  <c r="DC12" i="2"/>
  <c r="DC18" i="2"/>
  <c r="BP18" i="4"/>
  <c r="AW18" i="4"/>
  <c r="AN18" i="4"/>
  <c r="CG18" i="2"/>
  <c r="CF18" i="2"/>
  <c r="CX18" i="2"/>
  <c r="CE18" i="2"/>
  <c r="AM18" i="4"/>
  <c r="AL18" i="4"/>
  <c r="CW18" i="2"/>
  <c r="CD18" i="2"/>
  <c r="CV18" i="2"/>
  <c r="CQ18" i="2"/>
  <c r="CM18" i="2"/>
  <c r="BD18" i="4"/>
  <c r="CL18" i="2"/>
  <c r="CU18" i="2"/>
  <c r="BM18" i="4"/>
  <c r="CR18" i="2"/>
  <c r="BJ18" i="4"/>
  <c r="BC18" i="4"/>
  <c r="CI18" i="2"/>
  <c r="CH18" i="2"/>
  <c r="AP18" i="4"/>
  <c r="AZ18" i="4"/>
  <c r="AV18" i="4"/>
  <c r="CZ18" i="2"/>
  <c r="BI18" i="4"/>
  <c r="CT18" i="2"/>
  <c r="CN18" i="2"/>
  <c r="AR18" i="4"/>
  <c r="BZ18" i="2"/>
  <c r="CB18" i="2"/>
  <c r="AY18" i="4"/>
  <c r="CS18" i="2"/>
  <c r="CO18" i="2"/>
  <c r="BH18" i="4"/>
  <c r="CK18" i="2"/>
  <c r="BY18" i="2"/>
  <c r="AU18" i="4"/>
  <c r="AX18" i="4"/>
  <c r="AQ18" i="4"/>
  <c r="CP18" i="2"/>
  <c r="CY18" i="2"/>
  <c r="AO18" i="4"/>
  <c r="BK18" i="4"/>
  <c r="CC18" i="2"/>
  <c r="CJ18" i="2"/>
  <c r="BF18" i="4"/>
  <c r="BG18" i="4"/>
  <c r="BL18" i="4"/>
  <c r="AT18" i="4"/>
  <c r="AS18" i="4"/>
  <c r="BE18" i="4"/>
  <c r="BB18" i="4"/>
  <c r="CA18" i="2"/>
  <c r="BA18" i="4"/>
  <c r="U9" i="3"/>
  <c r="AT2" i="6"/>
  <c r="R8" i="4"/>
  <c r="S8" i="4"/>
  <c r="AI14" i="5"/>
  <c r="W14" i="5"/>
  <c r="AQ14" i="5"/>
  <c r="AD14" i="5"/>
  <c r="AP14" i="5"/>
  <c r="AC14" i="5"/>
  <c r="O14" i="5"/>
  <c r="AE14" i="5" s="1"/>
  <c r="AA14" i="5"/>
  <c r="AK14" i="5"/>
  <c r="U14" i="5"/>
  <c r="AJ14" i="5"/>
  <c r="T14" i="5"/>
  <c r="AG14" i="5"/>
  <c r="AL14" i="5"/>
  <c r="AH14" i="5"/>
  <c r="AB14" i="5"/>
  <c r="N14" i="5"/>
  <c r="P14" i="5" s="1"/>
  <c r="AO14" i="5"/>
  <c r="AM14" i="5"/>
  <c r="AF14" i="5"/>
  <c r="Z14" i="5"/>
  <c r="Y14" i="5"/>
  <c r="S14" i="5"/>
  <c r="X14" i="5"/>
  <c r="AN14" i="5"/>
  <c r="V14" i="5"/>
  <c r="U5" i="3"/>
  <c r="R19" i="4"/>
  <c r="S19" i="4"/>
  <c r="AO12" i="8"/>
  <c r="AO20" i="8"/>
  <c r="AO17" i="8"/>
  <c r="AO14" i="8"/>
  <c r="AO10" i="8"/>
  <c r="AO22" i="8"/>
  <c r="AO19" i="8"/>
  <c r="AO9" i="8"/>
  <c r="AO21" i="8"/>
  <c r="AO23" i="8"/>
  <c r="AO15" i="8"/>
  <c r="AO18" i="8"/>
  <c r="AO16" i="8"/>
  <c r="AO13" i="8"/>
  <c r="AO11" i="8"/>
  <c r="BD17" i="4"/>
  <c r="AR17" i="4"/>
  <c r="CW17" i="2"/>
  <c r="CK17" i="2"/>
  <c r="BY17" i="2"/>
  <c r="BE17" i="4"/>
  <c r="AQ17" i="4"/>
  <c r="CU17" i="2"/>
  <c r="CH17" i="2"/>
  <c r="BC17" i="4"/>
  <c r="AP17" i="4"/>
  <c r="CT17" i="2"/>
  <c r="CG17" i="2"/>
  <c r="AZ17" i="4"/>
  <c r="BI17" i="4"/>
  <c r="AT17" i="4"/>
  <c r="BK17" i="4"/>
  <c r="AS17" i="4"/>
  <c r="BJ17" i="4"/>
  <c r="AO17" i="4"/>
  <c r="CZ17" i="2"/>
  <c r="BF17" i="4"/>
  <c r="AL17" i="4"/>
  <c r="BB17" i="4"/>
  <c r="AX17" i="4"/>
  <c r="AV17" i="4"/>
  <c r="CO17" i="2"/>
  <c r="BZ17" i="2"/>
  <c r="CN17" i="2"/>
  <c r="AU17" i="4"/>
  <c r="AN17" i="4"/>
  <c r="BG17" i="4"/>
  <c r="BA17" i="4"/>
  <c r="AY17" i="4"/>
  <c r="CP17" i="2"/>
  <c r="CM17" i="2"/>
  <c r="AW17" i="4"/>
  <c r="AM17" i="4"/>
  <c r="CJ17" i="2"/>
  <c r="CX17" i="2"/>
  <c r="CB17" i="2"/>
  <c r="CI17" i="2"/>
  <c r="CD17" i="2"/>
  <c r="BL17" i="4"/>
  <c r="CF17" i="2"/>
  <c r="CY17" i="2"/>
  <c r="CE17" i="2"/>
  <c r="BM17" i="4"/>
  <c r="CS17" i="2"/>
  <c r="CV17" i="2"/>
  <c r="CC17" i="2"/>
  <c r="BH17" i="4"/>
  <c r="CR17" i="2"/>
  <c r="CQ17" i="2"/>
  <c r="CL17" i="2"/>
  <c r="CA17" i="2"/>
  <c r="AL5" i="6"/>
  <c r="U6" i="3"/>
  <c r="P5" i="4"/>
  <c r="S5" i="4" s="1"/>
  <c r="U12" i="3"/>
  <c r="S9" i="4"/>
  <c r="R9" i="4"/>
  <c r="U10" i="3"/>
  <c r="U14" i="3"/>
  <c r="R13" i="4"/>
  <c r="S13" i="4"/>
  <c r="AH7" i="5"/>
  <c r="V7" i="5"/>
  <c r="AI7" i="5"/>
  <c r="U7" i="5"/>
  <c r="AG7" i="5"/>
  <c r="T7" i="5"/>
  <c r="AJ7" i="5"/>
  <c r="AQ7" i="5"/>
  <c r="AB7" i="5"/>
  <c r="AP7" i="5"/>
  <c r="AA7" i="5"/>
  <c r="AN7" i="5"/>
  <c r="Y7" i="5"/>
  <c r="AC7" i="5"/>
  <c r="Z7" i="5"/>
  <c r="W7" i="5"/>
  <c r="S7" i="5"/>
  <c r="AK7" i="5"/>
  <c r="AD7" i="5"/>
  <c r="O7" i="5"/>
  <c r="AE7" i="5" s="1"/>
  <c r="N7" i="5"/>
  <c r="P7" i="5" s="1"/>
  <c r="AL7" i="5"/>
  <c r="AO7" i="5"/>
  <c r="AM7" i="5"/>
  <c r="AF7" i="5"/>
  <c r="X7" i="5"/>
  <c r="AH8" i="5"/>
  <c r="V8" i="5"/>
  <c r="AL8" i="5"/>
  <c r="Y8" i="5"/>
  <c r="AK8" i="5"/>
  <c r="X8" i="5"/>
  <c r="AD8" i="5"/>
  <c r="N8" i="5"/>
  <c r="P8" i="5" s="1"/>
  <c r="AN8" i="5"/>
  <c r="W8" i="5"/>
  <c r="AM8" i="5"/>
  <c r="U8" i="5"/>
  <c r="AI8" i="5"/>
  <c r="S8" i="5"/>
  <c r="AO8" i="5"/>
  <c r="O8" i="5"/>
  <c r="AE8" i="5" s="1"/>
  <c r="AJ8" i="5"/>
  <c r="AF8" i="5"/>
  <c r="AG8" i="5"/>
  <c r="AA8" i="5"/>
  <c r="T8" i="5"/>
  <c r="AP8" i="5"/>
  <c r="Z8" i="5"/>
  <c r="AQ8" i="5"/>
  <c r="AB8" i="5"/>
  <c r="AC8" i="5"/>
  <c r="U11" i="3"/>
  <c r="S7" i="4" l="1"/>
  <c r="AL7" i="4" s="1"/>
  <c r="G17" i="9"/>
  <c r="G5" i="9"/>
  <c r="G8" i="9"/>
  <c r="G6" i="9"/>
  <c r="G15" i="9"/>
  <c r="G7" i="9"/>
  <c r="G11" i="9"/>
  <c r="G18" i="9"/>
  <c r="G16" i="9"/>
  <c r="G10" i="9"/>
  <c r="G14" i="9"/>
  <c r="G13" i="9"/>
  <c r="G19" i="9"/>
  <c r="G9" i="9"/>
  <c r="G12" i="9"/>
  <c r="N16" i="10"/>
  <c r="O16" i="10"/>
  <c r="P16" i="10"/>
  <c r="T16" i="10"/>
  <c r="R16" i="10"/>
  <c r="Q16" i="10"/>
  <c r="S16" i="10"/>
  <c r="B22" i="14"/>
  <c r="F4" i="9"/>
  <c r="M15" i="10"/>
  <c r="AW6" i="4"/>
  <c r="CW6" i="2"/>
  <c r="CI6" i="2"/>
  <c r="R10" i="4"/>
  <c r="BN10" i="4" s="1"/>
  <c r="AM6" i="4"/>
  <c r="CM6" i="2"/>
  <c r="AS6" i="4"/>
  <c r="CA6" i="2"/>
  <c r="BM6" i="4"/>
  <c r="CG6" i="2"/>
  <c r="AP6" i="4"/>
  <c r="BP6" i="4"/>
  <c r="BI6" i="4"/>
  <c r="AV6" i="4"/>
  <c r="CT6" i="2"/>
  <c r="BZ6" i="2"/>
  <c r="CQ6" i="2"/>
  <c r="CL6" i="2"/>
  <c r="BY6" i="2"/>
  <c r="AX6" i="4"/>
  <c r="CV6" i="2"/>
  <c r="BL6" i="4"/>
  <c r="AR6" i="4"/>
  <c r="CE6" i="2"/>
  <c r="BH6" i="4"/>
  <c r="BB6" i="4"/>
  <c r="AL6" i="4"/>
  <c r="BE6" i="4"/>
  <c r="CX6" i="2"/>
  <c r="CR6" i="2"/>
  <c r="BF6" i="4"/>
  <c r="CN6" i="2"/>
  <c r="CK6" i="2"/>
  <c r="CB6" i="2"/>
  <c r="AQ6" i="4"/>
  <c r="BG6" i="4"/>
  <c r="CD6" i="2"/>
  <c r="CJ6" i="2"/>
  <c r="CS6" i="2"/>
  <c r="AT6" i="4"/>
  <c r="CC6" i="2"/>
  <c r="CP6" i="2"/>
  <c r="CY6" i="2"/>
  <c r="AY6" i="4"/>
  <c r="AN6" i="4"/>
  <c r="AO6" i="4"/>
  <c r="BD6" i="4"/>
  <c r="CZ6" i="2"/>
  <c r="BA6" i="4"/>
  <c r="BJ6" i="4"/>
  <c r="AU6" i="4"/>
  <c r="BC6" i="4"/>
  <c r="BK6" i="4"/>
  <c r="CF6" i="2"/>
  <c r="AZ6" i="4"/>
  <c r="CO6" i="2"/>
  <c r="CH6" i="2"/>
  <c r="DC6" i="2"/>
  <c r="BN6" i="4"/>
  <c r="X18" i="3"/>
  <c r="V18" i="3"/>
  <c r="AA18" i="3"/>
  <c r="G18" i="3"/>
  <c r="C18" i="3"/>
  <c r="CW15" i="2"/>
  <c r="D18" i="3"/>
  <c r="E18" i="3"/>
  <c r="D5" i="2"/>
  <c r="D6" i="2" s="1"/>
  <c r="Z18" i="3"/>
  <c r="R14" i="4"/>
  <c r="DA14" i="2" s="1"/>
  <c r="I13" i="3"/>
  <c r="AD13" i="3" s="1"/>
  <c r="D13" i="3"/>
  <c r="CJ15" i="2"/>
  <c r="CU15" i="2"/>
  <c r="W18" i="3"/>
  <c r="E19" i="3"/>
  <c r="A18" i="3"/>
  <c r="AT15" i="4"/>
  <c r="Y18" i="3"/>
  <c r="I18" i="3"/>
  <c r="AD18" i="3" s="1"/>
  <c r="Q17" i="5"/>
  <c r="G28" i="5" s="1"/>
  <c r="B18" i="3"/>
  <c r="U57" i="2" s="1"/>
  <c r="CQ15" i="2"/>
  <c r="DA12" i="2"/>
  <c r="CF15" i="2"/>
  <c r="J18" i="3"/>
  <c r="AX15" i="4"/>
  <c r="CR15" i="2"/>
  <c r="BA15" i="4"/>
  <c r="CB15" i="2"/>
  <c r="BB15" i="4"/>
  <c r="CS15" i="2"/>
  <c r="BZ15" i="2"/>
  <c r="CG15" i="2"/>
  <c r="CM15" i="2"/>
  <c r="CO15" i="2"/>
  <c r="CD15" i="2"/>
  <c r="CZ15" i="2"/>
  <c r="BF15" i="4"/>
  <c r="AN15" i="4"/>
  <c r="AZ15" i="4"/>
  <c r="CX15" i="2"/>
  <c r="CY15" i="2"/>
  <c r="BD15" i="4"/>
  <c r="BH15" i="4"/>
  <c r="BM15" i="4"/>
  <c r="AL15" i="4"/>
  <c r="CA15" i="2"/>
  <c r="H18" i="3"/>
  <c r="AB18" i="3" s="1"/>
  <c r="B13" i="3"/>
  <c r="G13" i="3" s="1"/>
  <c r="Z19" i="3"/>
  <c r="X19" i="3"/>
  <c r="W19" i="3"/>
  <c r="E7" i="5"/>
  <c r="M12" i="2" s="1"/>
  <c r="A19" i="3"/>
  <c r="B19" i="3"/>
  <c r="U58" i="2" s="1"/>
  <c r="C19" i="3"/>
  <c r="H19" i="3"/>
  <c r="AB19" i="3" s="1"/>
  <c r="I19" i="3"/>
  <c r="AD19" i="3" s="1"/>
  <c r="J13" i="3"/>
  <c r="K19" i="3"/>
  <c r="AA13" i="3"/>
  <c r="S16" i="4"/>
  <c r="CW16" i="2" s="1"/>
  <c r="V19" i="3"/>
  <c r="A13" i="3"/>
  <c r="G9" i="5"/>
  <c r="O14" i="2" s="1"/>
  <c r="D5" i="5"/>
  <c r="L10" i="2" s="1"/>
  <c r="D7" i="5"/>
  <c r="L12" i="2" s="1"/>
  <c r="F8" i="5"/>
  <c r="N13" i="2" s="1"/>
  <c r="G6" i="5"/>
  <c r="O11" i="2" s="1"/>
  <c r="D19" i="3"/>
  <c r="H13" i="3"/>
  <c r="V13" i="3" s="1"/>
  <c r="F7" i="5"/>
  <c r="N12" i="2" s="1"/>
  <c r="C6" i="5"/>
  <c r="K11" i="2" s="1"/>
  <c r="E9" i="5"/>
  <c r="M14" i="2" s="1"/>
  <c r="CL15" i="2"/>
  <c r="CE15" i="2"/>
  <c r="AQ15" i="4"/>
  <c r="CP15" i="2"/>
  <c r="CV15" i="2"/>
  <c r="CT15" i="2"/>
  <c r="BG15" i="4"/>
  <c r="CK15" i="2"/>
  <c r="AM15" i="4"/>
  <c r="BC15" i="4"/>
  <c r="BK15" i="4"/>
  <c r="AU15" i="4"/>
  <c r="CI15" i="2"/>
  <c r="AP15" i="4"/>
  <c r="BL15" i="4"/>
  <c r="BE15" i="4"/>
  <c r="CN15" i="2"/>
  <c r="CH15" i="2"/>
  <c r="AR15" i="4"/>
  <c r="AS15" i="4"/>
  <c r="AO15" i="4"/>
  <c r="AV15" i="4"/>
  <c r="AY15" i="4"/>
  <c r="AW15" i="4"/>
  <c r="BJ15" i="4"/>
  <c r="BI15" i="4"/>
  <c r="CC15" i="2"/>
  <c r="Q13" i="5"/>
  <c r="G24" i="5" s="1"/>
  <c r="E8" i="5"/>
  <c r="M13" i="2" s="1"/>
  <c r="C5" i="5"/>
  <c r="K10" i="2" s="1"/>
  <c r="G7" i="5"/>
  <c r="O12" i="2" s="1"/>
  <c r="G5" i="5"/>
  <c r="O10" i="2" s="1"/>
  <c r="E5" i="5"/>
  <c r="M10" i="2" s="1"/>
  <c r="E6" i="5"/>
  <c r="M11" i="2" s="1"/>
  <c r="D8" i="5"/>
  <c r="L13" i="2" s="1"/>
  <c r="G19" i="3"/>
  <c r="C13" i="3"/>
  <c r="F5" i="5"/>
  <c r="N10" i="2" s="1"/>
  <c r="R5" i="4"/>
  <c r="BN5" i="4" s="1"/>
  <c r="C7" i="5"/>
  <c r="K12" i="2" s="1"/>
  <c r="D6" i="5"/>
  <c r="L11" i="2" s="1"/>
  <c r="C9" i="5"/>
  <c r="K14" i="2" s="1"/>
  <c r="D9" i="5"/>
  <c r="L14" i="2" s="1"/>
  <c r="Q12" i="5"/>
  <c r="A23" i="5" s="1"/>
  <c r="J19" i="3"/>
  <c r="Y13" i="3"/>
  <c r="Q19" i="5"/>
  <c r="A30" i="5" s="1"/>
  <c r="Y19" i="3"/>
  <c r="E13" i="3"/>
  <c r="C8" i="5"/>
  <c r="K13" i="2" s="1"/>
  <c r="F6" i="5"/>
  <c r="N11" i="2" s="1"/>
  <c r="G8" i="5"/>
  <c r="O13" i="2" s="1"/>
  <c r="F9" i="5"/>
  <c r="N14" i="2" s="1"/>
  <c r="Q14" i="5"/>
  <c r="F25" i="5" s="1"/>
  <c r="DC11" i="2"/>
  <c r="BP11" i="4"/>
  <c r="CM11" i="2"/>
  <c r="CC11" i="2"/>
  <c r="CT11" i="2"/>
  <c r="CB11" i="2"/>
  <c r="CP11" i="2"/>
  <c r="AN11" i="4"/>
  <c r="CR11" i="2"/>
  <c r="CW11" i="2"/>
  <c r="CD11" i="2"/>
  <c r="CO11" i="2"/>
  <c r="BA11" i="4"/>
  <c r="AO11" i="4"/>
  <c r="CY11" i="2"/>
  <c r="BK11" i="4"/>
  <c r="CA11" i="2"/>
  <c r="AW11" i="4"/>
  <c r="CZ11" i="2"/>
  <c r="BJ11" i="4"/>
  <c r="AU11" i="4"/>
  <c r="CN11" i="2"/>
  <c r="AV11" i="4"/>
  <c r="CJ11" i="2"/>
  <c r="AY11" i="4"/>
  <c r="AX11" i="4"/>
  <c r="BB11" i="4"/>
  <c r="BZ11" i="2"/>
  <c r="CL11" i="2"/>
  <c r="CI11" i="2"/>
  <c r="AL11" i="4"/>
  <c r="AM11" i="4"/>
  <c r="BH11" i="4"/>
  <c r="CH11" i="2"/>
  <c r="CG11" i="2"/>
  <c r="BE11" i="4"/>
  <c r="BM11" i="4"/>
  <c r="BG11" i="4"/>
  <c r="CV11" i="2"/>
  <c r="CS11" i="2"/>
  <c r="AR11" i="4"/>
  <c r="AT11" i="4"/>
  <c r="AZ11" i="4"/>
  <c r="CF11" i="2"/>
  <c r="CQ11" i="2"/>
  <c r="BL11" i="4"/>
  <c r="BF11" i="4"/>
  <c r="AP11" i="4"/>
  <c r="CE11" i="2"/>
  <c r="AS11" i="4"/>
  <c r="BC11" i="4"/>
  <c r="CK11" i="2"/>
  <c r="CU11" i="2"/>
  <c r="BD11" i="4"/>
  <c r="AQ11" i="4"/>
  <c r="BI11" i="4"/>
  <c r="BY11" i="2"/>
  <c r="CX11" i="2"/>
  <c r="BP5" i="4"/>
  <c r="DC5" i="2"/>
  <c r="CX5" i="2"/>
  <c r="CF5" i="2"/>
  <c r="CV5" i="2"/>
  <c r="CG5" i="2"/>
  <c r="CT5" i="2"/>
  <c r="BC5" i="4"/>
  <c r="CH5" i="2"/>
  <c r="CD5" i="2"/>
  <c r="CC5" i="2"/>
  <c r="BL5" i="4"/>
  <c r="AP5" i="4"/>
  <c r="BA5" i="4"/>
  <c r="CS5" i="2"/>
  <c r="AV5" i="4"/>
  <c r="CQ5" i="2"/>
  <c r="BJ5" i="4"/>
  <c r="CB5" i="2"/>
  <c r="CP5" i="2"/>
  <c r="CE5" i="2"/>
  <c r="CZ5" i="2"/>
  <c r="BM5" i="4"/>
  <c r="CA5" i="2"/>
  <c r="CI5" i="2"/>
  <c r="AL5" i="4"/>
  <c r="BI5" i="4"/>
  <c r="CK5" i="2"/>
  <c r="AM5" i="4"/>
  <c r="AU5" i="4"/>
  <c r="AT5" i="4"/>
  <c r="CY5" i="2"/>
  <c r="CN5" i="2"/>
  <c r="CO5" i="2"/>
  <c r="BD5" i="4"/>
  <c r="BH5" i="4"/>
  <c r="CJ5" i="2"/>
  <c r="AX5" i="4"/>
  <c r="BZ5" i="2"/>
  <c r="AR5" i="4"/>
  <c r="AO5" i="4"/>
  <c r="BF5" i="4"/>
  <c r="CU5" i="2"/>
  <c r="BK5" i="4"/>
  <c r="CL5" i="2"/>
  <c r="BE5" i="4"/>
  <c r="BG5" i="4"/>
  <c r="AZ5" i="4"/>
  <c r="AS5" i="4"/>
  <c r="CM5" i="2"/>
  <c r="AQ5" i="4"/>
  <c r="AN5" i="4"/>
  <c r="AY5" i="4"/>
  <c r="BY5" i="2"/>
  <c r="CR5" i="2"/>
  <c r="BB5" i="4"/>
  <c r="CW5" i="2"/>
  <c r="AW5" i="4"/>
  <c r="I10" i="3"/>
  <c r="AD10" i="3" s="1"/>
  <c r="AA10" i="3"/>
  <c r="Y10" i="3"/>
  <c r="J10" i="3"/>
  <c r="H10" i="3"/>
  <c r="E10" i="3"/>
  <c r="D10" i="3"/>
  <c r="Z10" i="3"/>
  <c r="C10" i="3"/>
  <c r="B10" i="3"/>
  <c r="A10" i="3"/>
  <c r="CL7" i="2"/>
  <c r="BD7" i="4"/>
  <c r="AO7" i="4"/>
  <c r="AP7" i="4"/>
  <c r="CH7" i="2"/>
  <c r="Q16" i="5"/>
  <c r="I10" i="8"/>
  <c r="N10" i="8"/>
  <c r="A10" i="8"/>
  <c r="J10" i="8"/>
  <c r="K10" i="8" s="1"/>
  <c r="G10" i="8"/>
  <c r="O10" i="8"/>
  <c r="F10" i="8"/>
  <c r="E10" i="8"/>
  <c r="C10" i="8"/>
  <c r="S10" i="8"/>
  <c r="H10" i="8"/>
  <c r="D10" i="8"/>
  <c r="T10" i="8"/>
  <c r="B10" i="8"/>
  <c r="M10" i="8"/>
  <c r="BN8" i="4"/>
  <c r="DA8" i="2"/>
  <c r="BN16" i="4"/>
  <c r="DA16" i="2"/>
  <c r="BP10" i="4"/>
  <c r="CR10" i="2"/>
  <c r="CB10" i="2"/>
  <c r="CQ10" i="2"/>
  <c r="CA10" i="2"/>
  <c r="CW10" i="2"/>
  <c r="CE10" i="2"/>
  <c r="DC10" i="2"/>
  <c r="CS10" i="2"/>
  <c r="CD10" i="2"/>
  <c r="CT10" i="2"/>
  <c r="BZ10" i="2"/>
  <c r="CP10" i="2"/>
  <c r="AQ10" i="4"/>
  <c r="CC10" i="2"/>
  <c r="AO10" i="4"/>
  <c r="AU10" i="4"/>
  <c r="CV10" i="2"/>
  <c r="BH10" i="4"/>
  <c r="AX10" i="4"/>
  <c r="CF10" i="2"/>
  <c r="BE10" i="4"/>
  <c r="BJ10" i="4"/>
  <c r="CJ10" i="2"/>
  <c r="AL10" i="4"/>
  <c r="BA10" i="4"/>
  <c r="CZ10" i="2"/>
  <c r="AV10" i="4"/>
  <c r="CM10" i="2"/>
  <c r="CO10" i="2"/>
  <c r="CH10" i="2"/>
  <c r="AM10" i="4"/>
  <c r="CL10" i="2"/>
  <c r="CG10" i="2"/>
  <c r="AR10" i="4"/>
  <c r="CU10" i="2"/>
  <c r="CY10" i="2"/>
  <c r="AY10" i="4"/>
  <c r="CI10" i="2"/>
  <c r="CK10" i="2"/>
  <c r="AS10" i="4"/>
  <c r="CN10" i="2"/>
  <c r="BF10" i="4"/>
  <c r="BI10" i="4"/>
  <c r="BG10" i="4"/>
  <c r="BL10" i="4"/>
  <c r="AT10" i="4"/>
  <c r="BM10" i="4"/>
  <c r="BY10" i="2"/>
  <c r="AZ10" i="4"/>
  <c r="BC10" i="4"/>
  <c r="AP10" i="4"/>
  <c r="BD10" i="4"/>
  <c r="CX10" i="2"/>
  <c r="BK10" i="4"/>
  <c r="AN10" i="4"/>
  <c r="BB10" i="4"/>
  <c r="AW10" i="4"/>
  <c r="M14" i="8"/>
  <c r="A14" i="8"/>
  <c r="I14" i="8"/>
  <c r="H14" i="8"/>
  <c r="O14" i="8"/>
  <c r="F14" i="8"/>
  <c r="J14" i="8"/>
  <c r="L14" i="8" s="1"/>
  <c r="G14" i="8"/>
  <c r="E14" i="8"/>
  <c r="S14" i="8"/>
  <c r="C14" i="8"/>
  <c r="T14" i="8"/>
  <c r="N14" i="8"/>
  <c r="B14" i="8"/>
  <c r="D14" i="8"/>
  <c r="Q15" i="5"/>
  <c r="E13" i="8"/>
  <c r="O13" i="8"/>
  <c r="A13" i="8"/>
  <c r="S13" i="8"/>
  <c r="C13" i="8"/>
  <c r="H13" i="8"/>
  <c r="G13" i="8"/>
  <c r="F13" i="8"/>
  <c r="D13" i="8"/>
  <c r="I13" i="8"/>
  <c r="T13" i="8"/>
  <c r="N13" i="8"/>
  <c r="J13" i="8"/>
  <c r="K13" i="8" s="1"/>
  <c r="B13" i="8"/>
  <c r="M13" i="8"/>
  <c r="S20" i="8"/>
  <c r="G20" i="8"/>
  <c r="I20" i="8"/>
  <c r="M20" i="8"/>
  <c r="F20" i="8"/>
  <c r="A20" i="8"/>
  <c r="O20" i="8"/>
  <c r="T20" i="8"/>
  <c r="N20" i="8"/>
  <c r="H20" i="8"/>
  <c r="E20" i="8"/>
  <c r="C20" i="8"/>
  <c r="J20" i="8"/>
  <c r="K20" i="8" s="1"/>
  <c r="B20" i="8"/>
  <c r="D20" i="8"/>
  <c r="R11" i="4"/>
  <c r="Q18" i="5"/>
  <c r="O16" i="8"/>
  <c r="C16" i="8"/>
  <c r="E16" i="8"/>
  <c r="J16" i="8"/>
  <c r="L16" i="8" s="1"/>
  <c r="G16" i="8"/>
  <c r="D16" i="8"/>
  <c r="M16" i="8"/>
  <c r="N16" i="8"/>
  <c r="H16" i="8"/>
  <c r="A16" i="8"/>
  <c r="T16" i="8"/>
  <c r="S16" i="8"/>
  <c r="I16" i="8"/>
  <c r="F16" i="8"/>
  <c r="B16" i="8"/>
  <c r="H12" i="8"/>
  <c r="I12" i="8"/>
  <c r="M12" i="8"/>
  <c r="J12" i="8"/>
  <c r="K12" i="8" s="1"/>
  <c r="G12" i="8"/>
  <c r="F12" i="8"/>
  <c r="C12" i="8"/>
  <c r="N12" i="8"/>
  <c r="D12" i="8"/>
  <c r="T12" i="8"/>
  <c r="O12" i="8"/>
  <c r="B12" i="8"/>
  <c r="E12" i="8"/>
  <c r="A12" i="8"/>
  <c r="S12" i="8"/>
  <c r="H9" i="3"/>
  <c r="AB9" i="3" s="1"/>
  <c r="J9" i="3"/>
  <c r="I9" i="3"/>
  <c r="AD9" i="3" s="1"/>
  <c r="C9" i="3"/>
  <c r="AA9" i="3"/>
  <c r="B9" i="3"/>
  <c r="E9" i="3"/>
  <c r="Y9" i="3"/>
  <c r="D9" i="3"/>
  <c r="A9" i="3"/>
  <c r="A14" i="2" s="1"/>
  <c r="Z9" i="3"/>
  <c r="Q9" i="5"/>
  <c r="E18" i="8"/>
  <c r="M18" i="8"/>
  <c r="O18" i="8"/>
  <c r="T18" i="8"/>
  <c r="C18" i="8"/>
  <c r="N18" i="8"/>
  <c r="J18" i="8"/>
  <c r="L18" i="8" s="1"/>
  <c r="I18" i="8"/>
  <c r="D18" i="8"/>
  <c r="B18" i="8"/>
  <c r="H18" i="8"/>
  <c r="S18" i="8"/>
  <c r="G18" i="8"/>
  <c r="F18" i="8"/>
  <c r="A18" i="8"/>
  <c r="BP19" i="4"/>
  <c r="DC19" i="2"/>
  <c r="AM19" i="4"/>
  <c r="AU19" i="4"/>
  <c r="CC19" i="2"/>
  <c r="CH19" i="2"/>
  <c r="CL19" i="2"/>
  <c r="CO19" i="2"/>
  <c r="AX19" i="4"/>
  <c r="CV19" i="2"/>
  <c r="CK19" i="2"/>
  <c r="CZ19" i="2"/>
  <c r="CG19" i="2"/>
  <c r="BD19" i="4"/>
  <c r="BF19" i="4"/>
  <c r="CD19" i="2"/>
  <c r="BI19" i="4"/>
  <c r="BY19" i="2"/>
  <c r="BZ19" i="2"/>
  <c r="AO19" i="4"/>
  <c r="CB19" i="2"/>
  <c r="BL19" i="4"/>
  <c r="AT19" i="4"/>
  <c r="AW19" i="4"/>
  <c r="CR19" i="2"/>
  <c r="AY19" i="4"/>
  <c r="CN19" i="2"/>
  <c r="AS19" i="4"/>
  <c r="BG19" i="4"/>
  <c r="CS19" i="2"/>
  <c r="BK19" i="4"/>
  <c r="CT19" i="2"/>
  <c r="BC19" i="4"/>
  <c r="AZ19" i="4"/>
  <c r="BJ19" i="4"/>
  <c r="CM19" i="2"/>
  <c r="CW19" i="2"/>
  <c r="BE19" i="4"/>
  <c r="CJ19" i="2"/>
  <c r="CY19" i="2"/>
  <c r="BA19" i="4"/>
  <c r="CP19" i="2"/>
  <c r="BB19" i="4"/>
  <c r="AL19" i="4"/>
  <c r="BH19" i="4"/>
  <c r="CF19" i="2"/>
  <c r="CU19" i="2"/>
  <c r="AN19" i="4"/>
  <c r="CQ19" i="2"/>
  <c r="AP19" i="4"/>
  <c r="CX19" i="2"/>
  <c r="AQ19" i="4"/>
  <c r="CE19" i="2"/>
  <c r="CA19" i="2"/>
  <c r="BM19" i="4"/>
  <c r="AR19" i="4"/>
  <c r="AV19" i="4"/>
  <c r="CI19" i="2"/>
  <c r="C8" i="3"/>
  <c r="I8" i="3"/>
  <c r="AD8" i="3" s="1"/>
  <c r="H8" i="3"/>
  <c r="AB8" i="3" s="1"/>
  <c r="E8" i="3"/>
  <c r="AA8" i="3"/>
  <c r="D8" i="3"/>
  <c r="Y8" i="3"/>
  <c r="A8" i="3"/>
  <c r="A13" i="2" s="1"/>
  <c r="J8" i="3"/>
  <c r="B8" i="3"/>
  <c r="Z8" i="3"/>
  <c r="J11" i="8"/>
  <c r="L11" i="8" s="1"/>
  <c r="D11" i="8"/>
  <c r="O11" i="8"/>
  <c r="A11" i="8"/>
  <c r="I11" i="8"/>
  <c r="H11" i="8"/>
  <c r="F11" i="8"/>
  <c r="E11" i="8"/>
  <c r="B11" i="8"/>
  <c r="S11" i="8"/>
  <c r="T11" i="8"/>
  <c r="M11" i="8"/>
  <c r="G11" i="8"/>
  <c r="N11" i="8"/>
  <c r="C11" i="8"/>
  <c r="C16" i="3"/>
  <c r="B16" i="3"/>
  <c r="G16" i="3" s="1"/>
  <c r="A16" i="3"/>
  <c r="I16" i="3"/>
  <c r="AD16" i="3" s="1"/>
  <c r="H16" i="3"/>
  <c r="AB16" i="3" s="1"/>
  <c r="Z16" i="3"/>
  <c r="Y16" i="3"/>
  <c r="AA16" i="3"/>
  <c r="J16" i="3"/>
  <c r="E16" i="3"/>
  <c r="D16" i="3"/>
  <c r="Q10" i="5"/>
  <c r="N15" i="8"/>
  <c r="B15" i="8"/>
  <c r="M15" i="8"/>
  <c r="C15" i="8"/>
  <c r="J15" i="8"/>
  <c r="K15" i="8" s="1"/>
  <c r="F15" i="8"/>
  <c r="I15" i="8"/>
  <c r="H15" i="8"/>
  <c r="S15" i="8"/>
  <c r="O15" i="8"/>
  <c r="T15" i="8"/>
  <c r="G15" i="8"/>
  <c r="E15" i="8"/>
  <c r="D15" i="8"/>
  <c r="A15" i="8"/>
  <c r="BN19" i="4"/>
  <c r="DA19" i="2"/>
  <c r="BP15" i="4"/>
  <c r="DC15" i="2"/>
  <c r="BP14" i="4"/>
  <c r="DC14" i="2"/>
  <c r="BF14" i="4"/>
  <c r="BE14" i="4"/>
  <c r="CA14" i="2"/>
  <c r="CH14" i="2"/>
  <c r="CE14" i="2"/>
  <c r="AT14" i="4"/>
  <c r="AN14" i="4"/>
  <c r="CN14" i="2"/>
  <c r="CT14" i="2"/>
  <c r="CS14" i="2"/>
  <c r="BC14" i="4"/>
  <c r="BK14" i="4"/>
  <c r="BZ14" i="2"/>
  <c r="CR14" i="2"/>
  <c r="BY14" i="2"/>
  <c r="AP14" i="4"/>
  <c r="AS14" i="4"/>
  <c r="BD14" i="4"/>
  <c r="AY14" i="4"/>
  <c r="AM14" i="4"/>
  <c r="CP14" i="2"/>
  <c r="BJ14" i="4"/>
  <c r="BA14" i="4"/>
  <c r="CW14" i="2"/>
  <c r="CI14" i="2"/>
  <c r="AW14" i="4"/>
  <c r="CQ14" i="2"/>
  <c r="CX14" i="2"/>
  <c r="CU14" i="2"/>
  <c r="CD14" i="2"/>
  <c r="AR14" i="4"/>
  <c r="AV14" i="4"/>
  <c r="CG14" i="2"/>
  <c r="CY14" i="2"/>
  <c r="BB14" i="4"/>
  <c r="BG14" i="4"/>
  <c r="CK14" i="2"/>
  <c r="CB14" i="2"/>
  <c r="CM14" i="2"/>
  <c r="AO14" i="4"/>
  <c r="AL14" i="4"/>
  <c r="CZ14" i="2"/>
  <c r="AX14" i="4"/>
  <c r="CL14" i="2"/>
  <c r="CO14" i="2"/>
  <c r="AU14" i="4"/>
  <c r="CJ14" i="2"/>
  <c r="CV14" i="2"/>
  <c r="CC14" i="2"/>
  <c r="BM14" i="4"/>
  <c r="BI14" i="4"/>
  <c r="CF14" i="2"/>
  <c r="BL14" i="4"/>
  <c r="BH14" i="4"/>
  <c r="AZ14" i="4"/>
  <c r="AQ14" i="4"/>
  <c r="D17" i="8"/>
  <c r="I17" i="8"/>
  <c r="C17" i="8"/>
  <c r="S17" i="8"/>
  <c r="B17" i="8"/>
  <c r="E17" i="8"/>
  <c r="M17" i="8"/>
  <c r="G17" i="8"/>
  <c r="T17" i="8"/>
  <c r="O17" i="8"/>
  <c r="H17" i="8"/>
  <c r="A17" i="8"/>
  <c r="N17" i="8"/>
  <c r="J17" i="8"/>
  <c r="K17" i="8" s="1"/>
  <c r="F17" i="8"/>
  <c r="BN9" i="4"/>
  <c r="DA9" i="2"/>
  <c r="Q7" i="5"/>
  <c r="I6" i="3"/>
  <c r="AD6" i="3" s="1"/>
  <c r="J6" i="3"/>
  <c r="H6" i="3"/>
  <c r="AB6" i="3" s="1"/>
  <c r="E6" i="3"/>
  <c r="D6" i="3"/>
  <c r="C6" i="3"/>
  <c r="B6" i="3"/>
  <c r="G6" i="3" s="1"/>
  <c r="AA6" i="3"/>
  <c r="A6" i="3"/>
  <c r="A11" i="2" s="1"/>
  <c r="Z6" i="3"/>
  <c r="Y6" i="3"/>
  <c r="J23" i="8"/>
  <c r="K23" i="8"/>
  <c r="L23" i="8"/>
  <c r="H23" i="8"/>
  <c r="I23" i="8"/>
  <c r="M23" i="8"/>
  <c r="S23" i="8"/>
  <c r="O23" i="8"/>
  <c r="E23" i="8"/>
  <c r="D23" i="8"/>
  <c r="B23" i="8"/>
  <c r="T23" i="8"/>
  <c r="N23" i="8"/>
  <c r="G23" i="8"/>
  <c r="F23" i="8"/>
  <c r="A23" i="8"/>
  <c r="C23" i="8"/>
  <c r="J5" i="3"/>
  <c r="Z5" i="3"/>
  <c r="A5" i="3"/>
  <c r="A10" i="2" s="1"/>
  <c r="Y5" i="3"/>
  <c r="I5" i="3"/>
  <c r="AD5" i="3" s="1"/>
  <c r="H5" i="3"/>
  <c r="X5" i="3" s="1"/>
  <c r="E5" i="3"/>
  <c r="D5" i="3"/>
  <c r="C5" i="3"/>
  <c r="B5" i="3"/>
  <c r="G5" i="3" s="1"/>
  <c r="AA5" i="3"/>
  <c r="DA15" i="2"/>
  <c r="BN15" i="4"/>
  <c r="Z15" i="3"/>
  <c r="C15" i="3"/>
  <c r="B15" i="3"/>
  <c r="AA15" i="3"/>
  <c r="A15" i="3"/>
  <c r="Y15" i="3"/>
  <c r="E15" i="3"/>
  <c r="D15" i="3"/>
  <c r="H15" i="3"/>
  <c r="AB15" i="3" s="1"/>
  <c r="J15" i="3"/>
  <c r="I15" i="3"/>
  <c r="AD15" i="3" s="1"/>
  <c r="Z7" i="3"/>
  <c r="J7" i="3"/>
  <c r="I7" i="3"/>
  <c r="AD7" i="3" s="1"/>
  <c r="A7" i="3"/>
  <c r="A12" i="2" s="1"/>
  <c r="B7" i="3"/>
  <c r="G7" i="3" s="1"/>
  <c r="AA7" i="3"/>
  <c r="C7" i="3"/>
  <c r="Y7" i="3"/>
  <c r="H7" i="3"/>
  <c r="AB7" i="3" s="1"/>
  <c r="E7" i="3"/>
  <c r="D7" i="3"/>
  <c r="BP13" i="4"/>
  <c r="DC13" i="2"/>
  <c r="AM13" i="4"/>
  <c r="AX13" i="4"/>
  <c r="BG13" i="4"/>
  <c r="AN13" i="4"/>
  <c r="BI13" i="4"/>
  <c r="CU13" i="2"/>
  <c r="AW13" i="4"/>
  <c r="BE13" i="4"/>
  <c r="CX13" i="2"/>
  <c r="BY13" i="2"/>
  <c r="CI13" i="2"/>
  <c r="BJ13" i="4"/>
  <c r="BC13" i="4"/>
  <c r="CF13" i="2"/>
  <c r="CP13" i="2"/>
  <c r="BL13" i="4"/>
  <c r="AR13" i="4"/>
  <c r="CN13" i="2"/>
  <c r="CR13" i="2"/>
  <c r="CO13" i="2"/>
  <c r="AY13" i="4"/>
  <c r="BF13" i="4"/>
  <c r="CM13" i="2"/>
  <c r="CW13" i="2"/>
  <c r="AZ13" i="4"/>
  <c r="AO13" i="4"/>
  <c r="AQ13" i="4"/>
  <c r="CA13" i="2"/>
  <c r="BZ13" i="2"/>
  <c r="AL13" i="4"/>
  <c r="AT13" i="4"/>
  <c r="BB13" i="4"/>
  <c r="CE13" i="2"/>
  <c r="CT13" i="2"/>
  <c r="CZ13" i="2"/>
  <c r="BA13" i="4"/>
  <c r="CV13" i="2"/>
  <c r="CH13" i="2"/>
  <c r="CL13" i="2"/>
  <c r="AP13" i="4"/>
  <c r="CD13" i="2"/>
  <c r="BH13" i="4"/>
  <c r="BK13" i="4"/>
  <c r="CY13" i="2"/>
  <c r="CG13" i="2"/>
  <c r="CS13" i="2"/>
  <c r="AV13" i="4"/>
  <c r="AU13" i="4"/>
  <c r="CK13" i="2"/>
  <c r="CC13" i="2"/>
  <c r="CB13" i="2"/>
  <c r="BM13" i="4"/>
  <c r="BD13" i="4"/>
  <c r="AS13" i="4"/>
  <c r="CQ13" i="2"/>
  <c r="CJ13" i="2"/>
  <c r="DA13" i="2"/>
  <c r="BN13" i="4"/>
  <c r="BP9" i="4"/>
  <c r="DC9" i="2"/>
  <c r="AM9" i="4"/>
  <c r="BH9" i="4"/>
  <c r="CK9" i="2"/>
  <c r="BA9" i="4"/>
  <c r="AW9" i="4"/>
  <c r="CQ9" i="2"/>
  <c r="AP9" i="4"/>
  <c r="AS9" i="4"/>
  <c r="CV9" i="2"/>
  <c r="CJ9" i="2"/>
  <c r="CE9" i="2"/>
  <c r="BG9" i="4"/>
  <c r="AQ9" i="4"/>
  <c r="CG9" i="2"/>
  <c r="BZ9" i="2"/>
  <c r="BL9" i="4"/>
  <c r="AO9" i="4"/>
  <c r="CX9" i="2"/>
  <c r="CT9" i="2"/>
  <c r="AX9" i="4"/>
  <c r="AY9" i="4"/>
  <c r="AV9" i="4"/>
  <c r="CI9" i="2"/>
  <c r="CC9" i="2"/>
  <c r="AL9" i="4"/>
  <c r="BI9" i="4"/>
  <c r="CF9" i="2"/>
  <c r="CA9" i="2"/>
  <c r="AZ9" i="4"/>
  <c r="AN9" i="4"/>
  <c r="CM9" i="2"/>
  <c r="CB9" i="2"/>
  <c r="BY9" i="2"/>
  <c r="CP9" i="2"/>
  <c r="CZ9" i="2"/>
  <c r="CR9" i="2"/>
  <c r="BK9" i="4"/>
  <c r="CD9" i="2"/>
  <c r="CL9" i="2"/>
  <c r="CW9" i="2"/>
  <c r="CS9" i="2"/>
  <c r="BD9" i="4"/>
  <c r="BJ9" i="4"/>
  <c r="CY9" i="2"/>
  <c r="CH9" i="2"/>
  <c r="BE9" i="4"/>
  <c r="AR9" i="4"/>
  <c r="AU9" i="4"/>
  <c r="BF9" i="4"/>
  <c r="CU9" i="2"/>
  <c r="CN9" i="2"/>
  <c r="BM9" i="4"/>
  <c r="BC9" i="4"/>
  <c r="AT9" i="4"/>
  <c r="BB9" i="4"/>
  <c r="CO9" i="2"/>
  <c r="Q6" i="5"/>
  <c r="AM13" i="6"/>
  <c r="AM14" i="6"/>
  <c r="AM6" i="6"/>
  <c r="AM10" i="6"/>
  <c r="AM19" i="6"/>
  <c r="AM18" i="6"/>
  <c r="AM16" i="6"/>
  <c r="AM8" i="6"/>
  <c r="AM15" i="6"/>
  <c r="AM9" i="6"/>
  <c r="AM7" i="6"/>
  <c r="AM5" i="6"/>
  <c r="AM12" i="6"/>
  <c r="AM17" i="6"/>
  <c r="AM11" i="6"/>
  <c r="T21" i="8"/>
  <c r="H21" i="8"/>
  <c r="M21" i="8"/>
  <c r="F21" i="8"/>
  <c r="C21" i="8"/>
  <c r="B21" i="8"/>
  <c r="S21" i="8"/>
  <c r="A21" i="8"/>
  <c r="I21" i="8"/>
  <c r="G21" i="8"/>
  <c r="N21" i="8"/>
  <c r="J21" i="8"/>
  <c r="O21" i="8"/>
  <c r="L21" i="8"/>
  <c r="E21" i="8"/>
  <c r="D21" i="8"/>
  <c r="K21" i="8"/>
  <c r="W17" i="3"/>
  <c r="B17" i="3"/>
  <c r="U56" i="2" s="1"/>
  <c r="V17" i="3"/>
  <c r="A17" i="3"/>
  <c r="J17" i="3"/>
  <c r="Y17" i="3"/>
  <c r="X17" i="3"/>
  <c r="I17" i="3"/>
  <c r="AD17" i="3" s="1"/>
  <c r="H17" i="3"/>
  <c r="AB17" i="3" s="1"/>
  <c r="AA17" i="3"/>
  <c r="Z17" i="3"/>
  <c r="K17" i="3"/>
  <c r="G17" i="3"/>
  <c r="C17" i="3"/>
  <c r="E17" i="3"/>
  <c r="D17" i="3"/>
  <c r="Z11" i="3"/>
  <c r="AA11" i="3"/>
  <c r="E11" i="3"/>
  <c r="H11" i="3"/>
  <c r="D11" i="3"/>
  <c r="J11" i="3"/>
  <c r="I11" i="3"/>
  <c r="AD11" i="3" s="1"/>
  <c r="C11" i="3"/>
  <c r="B11" i="3"/>
  <c r="G11" i="3" s="1"/>
  <c r="A11" i="3"/>
  <c r="Y11" i="3"/>
  <c r="I14" i="3"/>
  <c r="AD14" i="3" s="1"/>
  <c r="Y14" i="3"/>
  <c r="D14" i="3"/>
  <c r="C14" i="3"/>
  <c r="J14" i="3"/>
  <c r="H14" i="3"/>
  <c r="AB14" i="3" s="1"/>
  <c r="AA14" i="3"/>
  <c r="E14" i="3"/>
  <c r="Z14" i="3"/>
  <c r="A14" i="3"/>
  <c r="B14" i="3"/>
  <c r="G14" i="3" s="1"/>
  <c r="BN7" i="4"/>
  <c r="DA7" i="2"/>
  <c r="Q5" i="5"/>
  <c r="Q11" i="5"/>
  <c r="T9" i="8"/>
  <c r="H9" i="8"/>
  <c r="J9" i="8"/>
  <c r="K9" i="8" s="1"/>
  <c r="B9" i="8"/>
  <c r="A9" i="8"/>
  <c r="O9" i="8"/>
  <c r="F9" i="8"/>
  <c r="S9" i="8"/>
  <c r="M9" i="8"/>
  <c r="G9" i="8"/>
  <c r="E9" i="8"/>
  <c r="D9" i="8"/>
  <c r="N9" i="8"/>
  <c r="C9" i="8"/>
  <c r="I9" i="8"/>
  <c r="F19" i="8"/>
  <c r="D19" i="8"/>
  <c r="T19" i="8"/>
  <c r="E19" i="8"/>
  <c r="S19" i="8"/>
  <c r="A19" i="8"/>
  <c r="O19" i="8"/>
  <c r="N19" i="8"/>
  <c r="M19" i="8"/>
  <c r="C19" i="8"/>
  <c r="B19" i="8"/>
  <c r="J19" i="8"/>
  <c r="K19" i="8" s="1"/>
  <c r="G19" i="8"/>
  <c r="H19" i="8"/>
  <c r="I19" i="8"/>
  <c r="C12" i="3"/>
  <c r="AA12" i="3"/>
  <c r="Z12" i="3"/>
  <c r="E12" i="3"/>
  <c r="D12" i="3"/>
  <c r="B12" i="3"/>
  <c r="G12" i="3" s="1"/>
  <c r="A12" i="3"/>
  <c r="H12" i="3"/>
  <c r="AB12" i="3" s="1"/>
  <c r="Y12" i="3"/>
  <c r="J12" i="3"/>
  <c r="I12" i="3"/>
  <c r="AD12" i="3" s="1"/>
  <c r="Q8" i="5"/>
  <c r="I22" i="8"/>
  <c r="T22" i="8"/>
  <c r="G22" i="8"/>
  <c r="S22" i="8"/>
  <c r="E22" i="8"/>
  <c r="A22" i="8"/>
  <c r="O22" i="8"/>
  <c r="N22" i="8"/>
  <c r="B22" i="8"/>
  <c r="M22" i="8"/>
  <c r="L22" i="8"/>
  <c r="F22" i="8"/>
  <c r="D22" i="8"/>
  <c r="C22" i="8"/>
  <c r="K22" i="8"/>
  <c r="H22" i="8"/>
  <c r="J22" i="8"/>
  <c r="BP8" i="4"/>
  <c r="DC8" i="2"/>
  <c r="CW8" i="2"/>
  <c r="AL8" i="4"/>
  <c r="CR8" i="2"/>
  <c r="CQ8" i="2"/>
  <c r="CK8" i="2"/>
  <c r="BK8" i="4"/>
  <c r="CB8" i="2"/>
  <c r="AU8" i="4"/>
  <c r="BY8" i="2"/>
  <c r="CZ8" i="2"/>
  <c r="CO8" i="2"/>
  <c r="AR8" i="4"/>
  <c r="BF8" i="4"/>
  <c r="BB8" i="4"/>
  <c r="CI8" i="2"/>
  <c r="BA8" i="4"/>
  <c r="CP8" i="2"/>
  <c r="AT8" i="4"/>
  <c r="AM8" i="4"/>
  <c r="CY8" i="2"/>
  <c r="CE8" i="2"/>
  <c r="CV8" i="2"/>
  <c r="BJ8" i="4"/>
  <c r="AZ8" i="4"/>
  <c r="CH8" i="2"/>
  <c r="CC8" i="2"/>
  <c r="CN8" i="2"/>
  <c r="AW8" i="4"/>
  <c r="AY8" i="4"/>
  <c r="BH8" i="4"/>
  <c r="AQ8" i="4"/>
  <c r="CJ8" i="2"/>
  <c r="AV8" i="4"/>
  <c r="CT8" i="2"/>
  <c r="CX8" i="2"/>
  <c r="AS8" i="4"/>
  <c r="BD8" i="4"/>
  <c r="CA8" i="2"/>
  <c r="BM8" i="4"/>
  <c r="CL8" i="2"/>
  <c r="BG8" i="4"/>
  <c r="BC8" i="4"/>
  <c r="AP8" i="4"/>
  <c r="BL8" i="4"/>
  <c r="BE8" i="4"/>
  <c r="CD8" i="2"/>
  <c r="BZ8" i="2"/>
  <c r="AN8" i="4"/>
  <c r="CU8" i="2"/>
  <c r="AX8" i="4"/>
  <c r="CG8" i="2"/>
  <c r="BI8" i="4"/>
  <c r="CM8" i="2"/>
  <c r="CF8" i="2"/>
  <c r="CS8" i="2"/>
  <c r="AO8" i="4"/>
  <c r="CP7" i="2" l="1"/>
  <c r="BZ7" i="2"/>
  <c r="BG7" i="4"/>
  <c r="AX7" i="4"/>
  <c r="AW7" i="4"/>
  <c r="BK7" i="4"/>
  <c r="CZ7" i="2"/>
  <c r="CU7" i="2"/>
  <c r="CM7" i="2"/>
  <c r="BJ7" i="4"/>
  <c r="AZ7" i="4"/>
  <c r="BH7" i="4"/>
  <c r="CD7" i="2"/>
  <c r="BL7" i="4"/>
  <c r="CY7" i="2"/>
  <c r="DC7" i="2"/>
  <c r="AT7" i="4"/>
  <c r="CQ7" i="2"/>
  <c r="AQ7" i="4"/>
  <c r="CK7" i="2"/>
  <c r="CX7" i="2"/>
  <c r="CC7" i="2"/>
  <c r="CT7" i="2"/>
  <c r="BP7" i="4"/>
  <c r="CE7" i="2"/>
  <c r="CS7" i="2"/>
  <c r="BY7" i="2"/>
  <c r="CN7" i="2"/>
  <c r="BB7" i="4"/>
  <c r="BI7" i="4"/>
  <c r="CB7" i="2"/>
  <c r="CV7" i="2"/>
  <c r="CO7" i="2"/>
  <c r="AS7" i="4"/>
  <c r="CA7" i="2"/>
  <c r="AV7" i="4"/>
  <c r="BE7" i="4"/>
  <c r="BA7" i="4"/>
  <c r="BM7" i="4"/>
  <c r="BC7" i="4"/>
  <c r="CI7" i="2"/>
  <c r="AM7" i="4"/>
  <c r="CW7" i="2"/>
  <c r="AY7" i="4"/>
  <c r="AN7" i="4"/>
  <c r="AR7" i="4"/>
  <c r="CG7" i="2"/>
  <c r="BF7" i="4"/>
  <c r="CJ7" i="2"/>
  <c r="CF7" i="2"/>
  <c r="AU7" i="4"/>
  <c r="CR7" i="2"/>
  <c r="F7" i="9"/>
  <c r="F11" i="9"/>
  <c r="F15" i="9"/>
  <c r="F18" i="9"/>
  <c r="F8" i="9"/>
  <c r="F17" i="9"/>
  <c r="F16" i="9"/>
  <c r="F9" i="9"/>
  <c r="F13" i="9"/>
  <c r="F19" i="9"/>
  <c r="F14" i="9"/>
  <c r="F5" i="9"/>
  <c r="F10" i="9"/>
  <c r="F12" i="9"/>
  <c r="F6" i="9"/>
  <c r="AB10" i="3"/>
  <c r="B21" i="14"/>
  <c r="E4" i="9"/>
  <c r="M14" i="10"/>
  <c r="P15" i="10"/>
  <c r="O15" i="10"/>
  <c r="Q15" i="10"/>
  <c r="R15" i="10"/>
  <c r="N15" i="10"/>
  <c r="T15" i="10"/>
  <c r="S15" i="10"/>
  <c r="DA10" i="2"/>
  <c r="AM16" i="4"/>
  <c r="CO16" i="2"/>
  <c r="BK16" i="4"/>
  <c r="AP16" i="4"/>
  <c r="BJ16" i="4"/>
  <c r="AN16" i="4"/>
  <c r="BY16" i="2"/>
  <c r="CI16" i="2"/>
  <c r="CE16" i="2"/>
  <c r="CZ16" i="2"/>
  <c r="F18" i="3"/>
  <c r="BI16" i="4"/>
  <c r="CM16" i="2"/>
  <c r="CH16" i="2"/>
  <c r="AV16" i="4"/>
  <c r="CP16" i="2"/>
  <c r="CF16" i="2"/>
  <c r="BD16" i="4"/>
  <c r="AQ16" i="4"/>
  <c r="BP16" i="4"/>
  <c r="BF16" i="4"/>
  <c r="BE16" i="4"/>
  <c r="AO16" i="4"/>
  <c r="BN14" i="4"/>
  <c r="AZ16" i="4"/>
  <c r="CD16" i="2"/>
  <c r="CC16" i="2"/>
  <c r="CG16" i="2"/>
  <c r="BA16" i="4"/>
  <c r="CY16" i="2"/>
  <c r="BG16" i="4"/>
  <c r="AU16" i="4"/>
  <c r="CS16" i="2"/>
  <c r="AY16" i="4"/>
  <c r="BZ16" i="2"/>
  <c r="CN16" i="2"/>
  <c r="CA16" i="2"/>
  <c r="CX16" i="2"/>
  <c r="DC16" i="2"/>
  <c r="AL16" i="4"/>
  <c r="AW16" i="4"/>
  <c r="BB16" i="4"/>
  <c r="CQ16" i="2"/>
  <c r="BC16" i="4"/>
  <c r="CK16" i="2"/>
  <c r="AX16" i="4"/>
  <c r="CV16" i="2"/>
  <c r="BH16" i="4"/>
  <c r="AR16" i="4"/>
  <c r="C23" i="5"/>
  <c r="L10" i="8"/>
  <c r="F23" i="5"/>
  <c r="G23" i="5"/>
  <c r="F13" i="3"/>
  <c r="K13" i="3" s="1"/>
  <c r="U52" i="2"/>
  <c r="F19" i="3"/>
  <c r="CU16" i="2"/>
  <c r="CB16" i="2"/>
  <c r="CJ16" i="2"/>
  <c r="BM16" i="4"/>
  <c r="AS16" i="4"/>
  <c r="F11" i="3"/>
  <c r="K11" i="3" s="1"/>
  <c r="CR16" i="2"/>
  <c r="G30" i="5"/>
  <c r="F30" i="5"/>
  <c r="C30" i="5"/>
  <c r="DA5" i="2"/>
  <c r="A28" i="5"/>
  <c r="C28" i="5"/>
  <c r="F28" i="5"/>
  <c r="K11" i="8"/>
  <c r="W13" i="3"/>
  <c r="G25" i="5"/>
  <c r="C25" i="5"/>
  <c r="A25" i="5"/>
  <c r="BL16" i="4"/>
  <c r="AT16" i="4"/>
  <c r="CL16" i="2"/>
  <c r="CT16" i="2"/>
  <c r="K14" i="8"/>
  <c r="K18" i="8"/>
  <c r="A24" i="5"/>
  <c r="AB13" i="3"/>
  <c r="X13" i="3"/>
  <c r="F12" i="3"/>
  <c r="K12" i="3" s="1"/>
  <c r="F6" i="3"/>
  <c r="K6" i="3" s="1"/>
  <c r="C24" i="5"/>
  <c r="F24" i="5"/>
  <c r="L20" i="8"/>
  <c r="V14" i="3"/>
  <c r="L9" i="8"/>
  <c r="F7" i="3"/>
  <c r="K7" i="3" s="1"/>
  <c r="W15" i="3"/>
  <c r="W9" i="3"/>
  <c r="F10" i="3"/>
  <c r="K10" i="3" s="1"/>
  <c r="X15" i="3"/>
  <c r="L13" i="8"/>
  <c r="F17" i="3"/>
  <c r="L15" i="8"/>
  <c r="V7" i="3"/>
  <c r="L17" i="8"/>
  <c r="F9" i="3"/>
  <c r="K9" i="3" s="1"/>
  <c r="X9" i="3"/>
  <c r="V16" i="3"/>
  <c r="L12" i="8"/>
  <c r="F16" i="3"/>
  <c r="K16" i="3" s="1"/>
  <c r="V9" i="3"/>
  <c r="W16" i="3"/>
  <c r="X14" i="3"/>
  <c r="AB11" i="3"/>
  <c r="X7" i="3"/>
  <c r="F14" i="3"/>
  <c r="K14" i="3" s="1"/>
  <c r="P9" i="8"/>
  <c r="R9" i="8"/>
  <c r="Q9" i="8"/>
  <c r="E32" i="6"/>
  <c r="B32" i="6"/>
  <c r="C32" i="6"/>
  <c r="L12" i="6"/>
  <c r="K12" i="6"/>
  <c r="AQ11" i="6"/>
  <c r="AO11" i="6"/>
  <c r="I32" i="6"/>
  <c r="H32" i="6"/>
  <c r="F32" i="6"/>
  <c r="AP11" i="6"/>
  <c r="A32" i="6"/>
  <c r="G32" i="6"/>
  <c r="M12" i="6"/>
  <c r="D32" i="6"/>
  <c r="AN11" i="6"/>
  <c r="A27" i="6"/>
  <c r="C27" i="6"/>
  <c r="I27" i="6"/>
  <c r="F27" i="6"/>
  <c r="AP6" i="6"/>
  <c r="L7" i="6"/>
  <c r="K7" i="6"/>
  <c r="AQ6" i="6"/>
  <c r="B27" i="6"/>
  <c r="AO6" i="6"/>
  <c r="AN6" i="6"/>
  <c r="H27" i="6"/>
  <c r="D27" i="6"/>
  <c r="G27" i="6"/>
  <c r="M7" i="6"/>
  <c r="E27" i="6"/>
  <c r="F5" i="3"/>
  <c r="R23" i="8"/>
  <c r="Q23" i="8"/>
  <c r="P23" i="8"/>
  <c r="E35" i="6"/>
  <c r="M15" i="6"/>
  <c r="A35" i="6"/>
  <c r="D35" i="6"/>
  <c r="AO14" i="6"/>
  <c r="F35" i="6"/>
  <c r="AP14" i="6"/>
  <c r="C35" i="6"/>
  <c r="AN14" i="6"/>
  <c r="B35" i="6"/>
  <c r="L15" i="6"/>
  <c r="K15" i="6"/>
  <c r="I35" i="6"/>
  <c r="H35" i="6"/>
  <c r="AQ14" i="6"/>
  <c r="G35" i="6"/>
  <c r="A19" i="5"/>
  <c r="G19" i="5"/>
  <c r="F19" i="5"/>
  <c r="C19" i="5"/>
  <c r="E26" i="6"/>
  <c r="K6" i="6"/>
  <c r="A26" i="6"/>
  <c r="M6" i="6"/>
  <c r="I26" i="6"/>
  <c r="H26" i="6"/>
  <c r="G26" i="6"/>
  <c r="L6" i="6"/>
  <c r="B26" i="6"/>
  <c r="AO5" i="6"/>
  <c r="AN5" i="6"/>
  <c r="AQ5" i="6"/>
  <c r="F26" i="6"/>
  <c r="AP5" i="6"/>
  <c r="C26" i="6"/>
  <c r="D26" i="6"/>
  <c r="G17" i="5"/>
  <c r="F17" i="5"/>
  <c r="C17" i="5"/>
  <c r="A17" i="5"/>
  <c r="AB5" i="3"/>
  <c r="G8" i="3"/>
  <c r="U47" i="2" s="1"/>
  <c r="Q18" i="8"/>
  <c r="P18" i="8"/>
  <c r="R18" i="8"/>
  <c r="DA11" i="2"/>
  <c r="BN11" i="4"/>
  <c r="Q20" i="8"/>
  <c r="R20" i="8"/>
  <c r="P20" i="8"/>
  <c r="P14" i="8"/>
  <c r="R14" i="8"/>
  <c r="Q14" i="8"/>
  <c r="U51" i="2"/>
  <c r="R21" i="8"/>
  <c r="P21" i="8"/>
  <c r="Q21" i="8"/>
  <c r="C28" i="6"/>
  <c r="F28" i="6"/>
  <c r="M8" i="6"/>
  <c r="G28" i="6"/>
  <c r="AP7" i="6"/>
  <c r="E28" i="6"/>
  <c r="AO7" i="6"/>
  <c r="D28" i="6"/>
  <c r="AN7" i="6"/>
  <c r="B28" i="6"/>
  <c r="L8" i="6"/>
  <c r="A28" i="6"/>
  <c r="K8" i="6"/>
  <c r="AQ7" i="6"/>
  <c r="I28" i="6"/>
  <c r="H28" i="6"/>
  <c r="AE8" i="3"/>
  <c r="AE7" i="3"/>
  <c r="AE16" i="3"/>
  <c r="AE5" i="3"/>
  <c r="AE18" i="3"/>
  <c r="AE9" i="3"/>
  <c r="AE12" i="3"/>
  <c r="AE15" i="3"/>
  <c r="AE14" i="3"/>
  <c r="AE6" i="3"/>
  <c r="AE13" i="3"/>
  <c r="AE17" i="3"/>
  <c r="AE19" i="3"/>
  <c r="AE10" i="3"/>
  <c r="AE11" i="3"/>
  <c r="W6" i="3"/>
  <c r="U55" i="2"/>
  <c r="W8" i="3"/>
  <c r="A26" i="5"/>
  <c r="G26" i="5"/>
  <c r="F26" i="5"/>
  <c r="C26" i="5"/>
  <c r="W14" i="3"/>
  <c r="W11" i="3"/>
  <c r="G30" i="6"/>
  <c r="H30" i="6"/>
  <c r="F30" i="6"/>
  <c r="AQ9" i="6"/>
  <c r="C30" i="6"/>
  <c r="B30" i="6"/>
  <c r="A30" i="6"/>
  <c r="I30" i="6"/>
  <c r="E30" i="6"/>
  <c r="M10" i="6"/>
  <c r="K10" i="6"/>
  <c r="AN9" i="6"/>
  <c r="D30" i="6"/>
  <c r="L10" i="6"/>
  <c r="AP9" i="6"/>
  <c r="AO9" i="6"/>
  <c r="U46" i="2"/>
  <c r="B12" i="2"/>
  <c r="H12" i="2"/>
  <c r="F12" i="2"/>
  <c r="G15" i="3"/>
  <c r="U54" i="2" s="1"/>
  <c r="X6" i="3"/>
  <c r="Q15" i="8"/>
  <c r="R15" i="8"/>
  <c r="P15" i="8"/>
  <c r="X16" i="3"/>
  <c r="V10" i="3"/>
  <c r="A33" i="6"/>
  <c r="K13" i="6"/>
  <c r="H33" i="6"/>
  <c r="F33" i="6"/>
  <c r="I33" i="6"/>
  <c r="M13" i="6"/>
  <c r="G33" i="6"/>
  <c r="AQ12" i="6"/>
  <c r="E33" i="6"/>
  <c r="AP12" i="6"/>
  <c r="AO12" i="6"/>
  <c r="D33" i="6"/>
  <c r="AN12" i="6"/>
  <c r="C33" i="6"/>
  <c r="L13" i="6"/>
  <c r="B33" i="6"/>
  <c r="R19" i="8"/>
  <c r="Q19" i="8"/>
  <c r="P19" i="8"/>
  <c r="C22" i="5"/>
  <c r="F22" i="5"/>
  <c r="G22" i="5"/>
  <c r="A22" i="5"/>
  <c r="X11" i="3"/>
  <c r="G36" i="6"/>
  <c r="AO15" i="6"/>
  <c r="D36" i="6"/>
  <c r="E36" i="6"/>
  <c r="AN15" i="6"/>
  <c r="I36" i="6"/>
  <c r="A36" i="6"/>
  <c r="M16" i="6"/>
  <c r="H36" i="6"/>
  <c r="K16" i="6"/>
  <c r="B36" i="6"/>
  <c r="F36" i="6"/>
  <c r="C36" i="6"/>
  <c r="L16" i="6"/>
  <c r="AQ15" i="6"/>
  <c r="AP15" i="6"/>
  <c r="W7" i="3"/>
  <c r="V15" i="3"/>
  <c r="V8" i="3"/>
  <c r="C34" i="6"/>
  <c r="AQ13" i="6"/>
  <c r="K14" i="6"/>
  <c r="AP13" i="6"/>
  <c r="AO13" i="6"/>
  <c r="AN13" i="6"/>
  <c r="A34" i="6"/>
  <c r="I34" i="6"/>
  <c r="H34" i="6"/>
  <c r="F34" i="6"/>
  <c r="B34" i="6"/>
  <c r="G34" i="6"/>
  <c r="E34" i="6"/>
  <c r="M14" i="6"/>
  <c r="L14" i="6"/>
  <c r="D34" i="6"/>
  <c r="F14" i="2"/>
  <c r="H14" i="2"/>
  <c r="B14" i="2"/>
  <c r="F16" i="5"/>
  <c r="G16" i="5"/>
  <c r="C16" i="5"/>
  <c r="A16" i="5"/>
  <c r="E29" i="6"/>
  <c r="I29" i="6"/>
  <c r="C29" i="6"/>
  <c r="AO8" i="6"/>
  <c r="A29" i="6"/>
  <c r="D29" i="6"/>
  <c r="M9" i="6"/>
  <c r="L9" i="6"/>
  <c r="AQ8" i="6"/>
  <c r="F29" i="6"/>
  <c r="K9" i="6"/>
  <c r="AP8" i="6"/>
  <c r="G29" i="6"/>
  <c r="H29" i="6"/>
  <c r="B29" i="6"/>
  <c r="AN8" i="6"/>
  <c r="F15" i="3"/>
  <c r="K15" i="3" s="1"/>
  <c r="V5" i="3"/>
  <c r="P17" i="8"/>
  <c r="R17" i="8"/>
  <c r="Q17" i="8"/>
  <c r="X8" i="3"/>
  <c r="G9" i="3"/>
  <c r="U48" i="2" s="1"/>
  <c r="R16" i="8"/>
  <c r="P16" i="8"/>
  <c r="Q16" i="8"/>
  <c r="A29" i="5"/>
  <c r="G29" i="5"/>
  <c r="C29" i="5"/>
  <c r="F29" i="5"/>
  <c r="W10" i="3"/>
  <c r="AQ17" i="6"/>
  <c r="AN17" i="6"/>
  <c r="AP17" i="6"/>
  <c r="E38" i="6"/>
  <c r="H38" i="6"/>
  <c r="G38" i="6"/>
  <c r="F38" i="6"/>
  <c r="C38" i="6"/>
  <c r="M18" i="6"/>
  <c r="D38" i="6"/>
  <c r="I38" i="6"/>
  <c r="B38" i="6"/>
  <c r="K18" i="6"/>
  <c r="L18" i="6"/>
  <c r="A38" i="6"/>
  <c r="K38" i="6" s="1"/>
  <c r="AO17" i="6"/>
  <c r="L19" i="8"/>
  <c r="I37" i="6"/>
  <c r="G37" i="6"/>
  <c r="K17" i="6"/>
  <c r="L17" i="6"/>
  <c r="B37" i="6"/>
  <c r="A37" i="6"/>
  <c r="AO16" i="6"/>
  <c r="E37" i="6"/>
  <c r="D37" i="6"/>
  <c r="AP16" i="6"/>
  <c r="AQ16" i="6"/>
  <c r="AN16" i="6"/>
  <c r="F37" i="6"/>
  <c r="C37" i="6"/>
  <c r="M17" i="6"/>
  <c r="H37" i="6"/>
  <c r="W5" i="3"/>
  <c r="C18" i="5"/>
  <c r="G18" i="5"/>
  <c r="F18" i="5"/>
  <c r="A18" i="5"/>
  <c r="A20" i="5"/>
  <c r="C20" i="5"/>
  <c r="G20" i="5"/>
  <c r="F20" i="5"/>
  <c r="Q10" i="8"/>
  <c r="P10" i="8"/>
  <c r="R10" i="8"/>
  <c r="X10" i="3"/>
  <c r="V12" i="3"/>
  <c r="A39" i="6"/>
  <c r="K39" i="6" s="1"/>
  <c r="D39" i="6"/>
  <c r="AN18" i="6"/>
  <c r="G39" i="6"/>
  <c r="AQ18" i="6"/>
  <c r="F39" i="6"/>
  <c r="AP18" i="6"/>
  <c r="C39" i="6"/>
  <c r="H39" i="6"/>
  <c r="L19" i="6"/>
  <c r="E39" i="6"/>
  <c r="K19" i="6"/>
  <c r="B39" i="6"/>
  <c r="M19" i="6"/>
  <c r="AO18" i="6"/>
  <c r="I39" i="6"/>
  <c r="Q11" i="8"/>
  <c r="P11" i="8"/>
  <c r="R11" i="8"/>
  <c r="V11" i="3"/>
  <c r="W12" i="3"/>
  <c r="U50" i="2"/>
  <c r="C40" i="6"/>
  <c r="L20" i="6"/>
  <c r="D40" i="6"/>
  <c r="M20" i="6"/>
  <c r="H40" i="6"/>
  <c r="F40" i="6"/>
  <c r="E40" i="6"/>
  <c r="B40" i="6"/>
  <c r="I40" i="6"/>
  <c r="K20" i="6"/>
  <c r="AP19" i="6"/>
  <c r="AQ19" i="6"/>
  <c r="AO19" i="6"/>
  <c r="AN19" i="6"/>
  <c r="G40" i="6"/>
  <c r="A40" i="6"/>
  <c r="K40" i="6" s="1"/>
  <c r="U44" i="2"/>
  <c r="B10" i="2"/>
  <c r="H10" i="2"/>
  <c r="F10" i="2"/>
  <c r="G10" i="2"/>
  <c r="K5" i="3"/>
  <c r="V6" i="3"/>
  <c r="F21" i="5"/>
  <c r="C21" i="5"/>
  <c r="A21" i="5"/>
  <c r="G21" i="5"/>
  <c r="F8" i="3"/>
  <c r="K8" i="3" s="1"/>
  <c r="Q12" i="8"/>
  <c r="P12" i="8"/>
  <c r="R12" i="8"/>
  <c r="K16" i="8"/>
  <c r="R13" i="8"/>
  <c r="Q13" i="8"/>
  <c r="P13" i="8"/>
  <c r="G10" i="3"/>
  <c r="U49" i="2" s="1"/>
  <c r="U53" i="2"/>
  <c r="F13" i="2"/>
  <c r="H13" i="2"/>
  <c r="B13" i="2"/>
  <c r="P22" i="8"/>
  <c r="R22" i="8"/>
  <c r="Q22" i="8"/>
  <c r="X12" i="3"/>
  <c r="I31" i="6"/>
  <c r="B31" i="6"/>
  <c r="AQ10" i="6"/>
  <c r="H31" i="6"/>
  <c r="G31" i="6"/>
  <c r="M11" i="6"/>
  <c r="E31" i="6"/>
  <c r="AN10" i="6"/>
  <c r="L11" i="6"/>
  <c r="F31" i="6"/>
  <c r="AO10" i="6"/>
  <c r="D31" i="6"/>
  <c r="A31" i="6"/>
  <c r="AP10" i="6"/>
  <c r="C31" i="6"/>
  <c r="K11" i="6"/>
  <c r="H11" i="2"/>
  <c r="U45" i="2"/>
  <c r="B11" i="2"/>
  <c r="F11" i="2"/>
  <c r="A27" i="5"/>
  <c r="G27" i="5"/>
  <c r="F27" i="5"/>
  <c r="C27" i="5"/>
  <c r="Q14" i="10" l="1"/>
  <c r="N14" i="10"/>
  <c r="S14" i="10"/>
  <c r="R14" i="10"/>
  <c r="T14" i="10"/>
  <c r="O14" i="10"/>
  <c r="P14" i="10"/>
  <c r="E8" i="9"/>
  <c r="E7" i="9"/>
  <c r="E18" i="9"/>
  <c r="E15" i="9"/>
  <c r="E17" i="9"/>
  <c r="E11" i="9"/>
  <c r="E10" i="9"/>
  <c r="E16" i="9"/>
  <c r="E19" i="9"/>
  <c r="E6" i="9"/>
  <c r="E14" i="9"/>
  <c r="E9" i="9"/>
  <c r="E13" i="9"/>
  <c r="E12" i="9"/>
  <c r="E5" i="9"/>
  <c r="B20" i="14"/>
  <c r="M13" i="10"/>
  <c r="D4" i="9"/>
  <c r="G11" i="2"/>
  <c r="G14" i="2"/>
  <c r="AL2" i="3"/>
  <c r="G12" i="2"/>
  <c r="G13" i="2"/>
  <c r="K35" i="6"/>
  <c r="AG5" i="3"/>
  <c r="AH5" i="3"/>
  <c r="AF5" i="3"/>
  <c r="AJ5" i="3"/>
  <c r="AI5" i="3"/>
  <c r="AG11" i="3"/>
  <c r="AF11" i="3"/>
  <c r="AJ11" i="3"/>
  <c r="AI11" i="3"/>
  <c r="AH11" i="3"/>
  <c r="AJ16" i="3"/>
  <c r="AH16" i="3"/>
  <c r="AG16" i="3"/>
  <c r="AI16" i="3"/>
  <c r="AF16" i="3"/>
  <c r="AJ10" i="3"/>
  <c r="AI10" i="3"/>
  <c r="AH10" i="3"/>
  <c r="AG10" i="3"/>
  <c r="AF10" i="3"/>
  <c r="AF7" i="3"/>
  <c r="AH7" i="3"/>
  <c r="AG7" i="3"/>
  <c r="AJ7" i="3"/>
  <c r="AI7" i="3"/>
  <c r="K27" i="6"/>
  <c r="AG17" i="3"/>
  <c r="AJ17" i="3"/>
  <c r="AI17" i="3"/>
  <c r="AF17" i="3"/>
  <c r="AH17" i="3"/>
  <c r="K36" i="6"/>
  <c r="AG13" i="3"/>
  <c r="AH13" i="3"/>
  <c r="AJ13" i="3"/>
  <c r="AI13" i="3"/>
  <c r="AF13" i="3"/>
  <c r="AG6" i="3"/>
  <c r="AF6" i="3"/>
  <c r="AJ6" i="3"/>
  <c r="AI6" i="3"/>
  <c r="AH6" i="3"/>
  <c r="AJ8" i="3"/>
  <c r="AG8" i="3"/>
  <c r="AH8" i="3"/>
  <c r="AI8" i="3"/>
  <c r="AF8" i="3"/>
  <c r="AJ14" i="3"/>
  <c r="AI14" i="3"/>
  <c r="AF14" i="3"/>
  <c r="AH14" i="3"/>
  <c r="AG14" i="3"/>
  <c r="K26" i="6"/>
  <c r="K32" i="6"/>
  <c r="V56" i="2"/>
  <c r="V53" i="2"/>
  <c r="V50" i="2"/>
  <c r="V47" i="2"/>
  <c r="V44" i="2"/>
  <c r="V46" i="2"/>
  <c r="V45" i="2"/>
  <c r="V51" i="2"/>
  <c r="V52" i="2"/>
  <c r="V48" i="2"/>
  <c r="V57" i="2"/>
  <c r="V49" i="2"/>
  <c r="V55" i="2"/>
  <c r="V58" i="2"/>
  <c r="V54" i="2"/>
  <c r="AG15" i="3"/>
  <c r="AF15" i="3"/>
  <c r="AJ15" i="3"/>
  <c r="AI15" i="3"/>
  <c r="AH15" i="3"/>
  <c r="K28" i="6"/>
  <c r="K37" i="6"/>
  <c r="AJ12" i="3"/>
  <c r="AF12" i="3"/>
  <c r="AI12" i="3"/>
  <c r="AH12" i="3"/>
  <c r="AG12" i="3"/>
  <c r="AI19" i="3"/>
  <c r="AH19" i="3"/>
  <c r="AJ19" i="3"/>
  <c r="AG19" i="3"/>
  <c r="AF19" i="3"/>
  <c r="K30" i="6"/>
  <c r="K34" i="6"/>
  <c r="AG9" i="3"/>
  <c r="AF9" i="3"/>
  <c r="AJ9" i="3"/>
  <c r="AI9" i="3"/>
  <c r="AH9" i="3"/>
  <c r="K31" i="6"/>
  <c r="K29" i="6"/>
  <c r="K33" i="6"/>
  <c r="AJ18" i="3"/>
  <c r="AI18" i="3"/>
  <c r="AF18" i="3"/>
  <c r="AH18" i="3"/>
  <c r="AG18" i="3"/>
  <c r="D6" i="9" l="1"/>
  <c r="D5" i="9"/>
  <c r="D8" i="9"/>
  <c r="D11" i="9"/>
  <c r="D7" i="9"/>
  <c r="D15" i="9"/>
  <c r="D17" i="9"/>
  <c r="D18" i="9"/>
  <c r="D16" i="9"/>
  <c r="D13" i="9"/>
  <c r="D14" i="9"/>
  <c r="D12" i="9"/>
  <c r="D19" i="9"/>
  <c r="D10" i="9"/>
  <c r="D9" i="9"/>
  <c r="Q13" i="10"/>
  <c r="T13" i="10"/>
  <c r="S13" i="10"/>
  <c r="P13" i="10"/>
  <c r="O13" i="10"/>
  <c r="R13" i="10"/>
  <c r="N13" i="10"/>
  <c r="M12" i="10"/>
  <c r="C4" i="9"/>
  <c r="A46" i="2"/>
  <c r="D46" i="2"/>
  <c r="W46" i="2"/>
  <c r="E46" i="2" s="1"/>
  <c r="I46" i="2"/>
  <c r="I47" i="2"/>
  <c r="D47" i="2"/>
  <c r="A47" i="2"/>
  <c r="W47" i="2"/>
  <c r="E47" i="2" s="1"/>
  <c r="D50" i="2"/>
  <c r="A50" i="2"/>
  <c r="I50" i="2"/>
  <c r="W50" i="2"/>
  <c r="E50" i="2" s="1"/>
  <c r="I58" i="2"/>
  <c r="A58" i="2"/>
  <c r="W58" i="2"/>
  <c r="E58" i="2" s="1"/>
  <c r="D58" i="2"/>
  <c r="I49" i="2"/>
  <c r="D49" i="2"/>
  <c r="W49" i="2"/>
  <c r="E49" i="2" s="1"/>
  <c r="A49" i="2"/>
  <c r="A56" i="2"/>
  <c r="W56" i="2"/>
  <c r="E56" i="2" s="1"/>
  <c r="I56" i="2"/>
  <c r="D56" i="2"/>
  <c r="W44" i="2"/>
  <c r="E44" i="2" s="1"/>
  <c r="I44" i="2"/>
  <c r="D44" i="2"/>
  <c r="A44" i="2"/>
  <c r="A55" i="2"/>
  <c r="D55" i="2"/>
  <c r="W55" i="2"/>
  <c r="E55" i="2" s="1"/>
  <c r="I55" i="2"/>
  <c r="D57" i="2"/>
  <c r="W57" i="2"/>
  <c r="E57" i="2" s="1"/>
  <c r="A57" i="2"/>
  <c r="I57" i="2"/>
  <c r="D48" i="2"/>
  <c r="W48" i="2"/>
  <c r="E48" i="2" s="1"/>
  <c r="I48" i="2"/>
  <c r="A48" i="2"/>
  <c r="D54" i="2"/>
  <c r="I54" i="2"/>
  <c r="W54" i="2"/>
  <c r="E54" i="2" s="1"/>
  <c r="A54" i="2"/>
  <c r="D52" i="2"/>
  <c r="W52" i="2"/>
  <c r="E52" i="2" s="1"/>
  <c r="I52" i="2"/>
  <c r="A52" i="2"/>
  <c r="W53" i="2"/>
  <c r="E53" i="2" s="1"/>
  <c r="A53" i="2"/>
  <c r="I53" i="2"/>
  <c r="D53" i="2"/>
  <c r="D51" i="2"/>
  <c r="I51" i="2"/>
  <c r="W51" i="2"/>
  <c r="E51" i="2" s="1"/>
  <c r="A51" i="2"/>
  <c r="D45" i="2"/>
  <c r="I45" i="2"/>
  <c r="W45" i="2"/>
  <c r="E45" i="2" s="1"/>
  <c r="A45" i="2"/>
  <c r="C18" i="9" l="1"/>
  <c r="C7" i="9"/>
  <c r="C15" i="9"/>
  <c r="C6" i="9"/>
  <c r="C8" i="9"/>
  <c r="C11" i="9"/>
  <c r="C17" i="9"/>
  <c r="C9" i="9"/>
  <c r="C19" i="9"/>
  <c r="C10" i="9"/>
  <c r="C5" i="9"/>
  <c r="C12" i="9"/>
  <c r="C16" i="9"/>
  <c r="C14" i="9"/>
  <c r="C13" i="9"/>
  <c r="T12" i="10"/>
  <c r="S12" i="10"/>
  <c r="Q12" i="10"/>
  <c r="R12" i="10"/>
  <c r="P12" i="10"/>
  <c r="N12" i="10"/>
  <c r="O12" i="10"/>
</calcChain>
</file>

<file path=xl/sharedStrings.xml><?xml version="1.0" encoding="utf-8"?>
<sst xmlns="http://schemas.openxmlformats.org/spreadsheetml/2006/main" count="8333" uniqueCount="1365">
  <si>
    <r>
      <rPr>
        <b/>
        <sz val="10"/>
        <color rgb="FF1F4E79"/>
        <rFont val="Calibri"/>
      </rPr>
      <t>CICLO TRIMESTRALE — A1 valuta i rischi, A5 controlla la valutazione, il validatore la conferma o la rettifica.</t>
    </r>
    <r>
      <rPr>
        <sz val="10"/>
        <color rgb="FF262626"/>
        <rFont val="Calibri"/>
      </rPr>
      <t xml:space="preserve">
Come si legge: i cinque riquadri in alto dicono se il ciclo e' completo e validato; poi le priorita' per score, la gravita' (matrice) e l'urgenza (radar). A pagina 2 il commento di A1 (scritto prima della validazione: se dopo ci sono state rettifiche lo dice la riga "Dopo il commento" e valgono i numeri validati) e i rischi segnalati, con il perche' calcolato dal foglio. Metodo e scale: Metodologia; ogni dato: Dizionario.</t>
    </r>
  </si>
  <si>
    <t>Appoggio del grafico: non modificare</t>
  </si>
  <si>
    <t>vigilanza</t>
  </si>
  <si>
    <t>Rischi valutati</t>
  </si>
  <si>
    <t>Da affrontare subito</t>
  </si>
  <si>
    <t>Variati · nuovi</t>
  </si>
  <si>
    <t>KRI in rosso</t>
  </si>
  <si>
    <t>Validazione</t>
  </si>
  <si>
    <t>L1-01
Frode interna</t>
  </si>
  <si>
    <t>attenzione supervisore</t>
  </si>
  <si>
    <t>L1-02
Frode esterna</t>
  </si>
  <si>
    <t>AGIRE ORA: X + Y &gt; Z</t>
  </si>
  <si>
    <t>L1-03
Impiego e sicurezza</t>
  </si>
  <si>
    <t>Priorita' — primi cinque per score composito</t>
  </si>
  <si>
    <t>Gravita': Probabilita x Severity</t>
  </si>
  <si>
    <t>L1-04
Clientela e prodotti</t>
  </si>
  <si>
    <t>Area del cerchio = P x I</t>
  </si>
  <si>
    <t>#</t>
  </si>
  <si>
    <t>Rischio</t>
  </si>
  <si>
    <t>Score</t>
  </si>
  <si>
    <t>Variazione</t>
  </si>
  <si>
    <t>Urgenza</t>
  </si>
  <si>
    <t>P \ S</t>
  </si>
  <si>
    <t>L1-05
Danni a beni materiali</t>
  </si>
  <si>
    <t>4</t>
  </si>
  <si>
    <t>L1-06
Interruzione e sistemi</t>
  </si>
  <si>
    <t>12</t>
  </si>
  <si>
    <t>L1-07
Processi</t>
  </si>
  <si>
    <t>25</t>
  </si>
  <si>
    <t>Score 1-5, 5 = peggiore; barra su scala fissa 0-5. Variazione sul ciclo precedente.</t>
  </si>
  <si>
    <t>Numeri = NFR-nn. Verde P x I fino a 6, ambra 8-12, rosso da 15.</t>
  </si>
  <si>
    <t>Urgenza: radar di Mosca</t>
  </si>
  <si>
    <t>I rischi del ciclo</t>
  </si>
  <si>
    <t>Radar: piu' vicino al centro = agire prima; area del cerchio = P x I; bordo giallo = attenzione del supervisore. Numeri nel radar = NFR-nn.</t>
  </si>
  <si>
    <t>Il commento dell'analisi (agente A1, scritto prima della validazione)</t>
  </si>
  <si>
    <t>Messaggio chiave</t>
  </si>
  <si>
    <t>Decisioni richieste</t>
  </si>
  <si>
    <t>Controllo indipendente (A5)</t>
  </si>
  <si>
    <t>Dopo il commento</t>
  </si>
  <si>
    <t>Rischi segnalati e perche'</t>
  </si>
  <si>
    <t>Rischi fra i primi tre per score, da affrontare subito, variati o nuovi nel ciclo. Tutto calcolato dai dati validati del registro.</t>
  </si>
  <si>
    <t>Perche' lo segnaliamo</t>
  </si>
  <si>
    <t>Cosa e' cambiato, e su quale evidenza</t>
  </si>
  <si>
    <t>Limiti: Le valutazioni sono prodotte con il supporto di un modello linguistico ancorato alla rubrica della Banca e verificate da controlli deterministici e da un challenger indipendente. Non sono stime di perdita ne' probabilita'. Gli score cambiano solo nel ciclo trimestrale, su evidenza datata; le notizie settimanali producono segnali, non variazioni. Il controllo C4 (plausibilita' rispetto ai descrittori) e' solo di giudizio. La valutazione e' valida dopo l'approvazione indicata in Approvato_Da.</t>
  </si>
  <si>
    <t>Legenda — NFR-nn = codice del rischio; ◆ = tema all'attenzione del supervisore (BCE, EBA, Banca d'Italia), indicato dal validatore. P = Probabilita, S = Severity, P x I = Probabilita x Severity (impatto), da 1 a 25. X = anni per decidere e avviare la mitigazione (un trimestre); Y = anni per mitigare (azioni o adeguamento strutturale); Z = anni prima che il rischio possa manifestarsi (dalla Prossimita); AGIRE ORA = X + Y &gt; Z. KRI = indicatore di rischio (Key Risk Indicator). A1 = agente che valuta i rischi ogni trimestre; A5 = agente di controllo indipendente.</t>
  </si>
  <si>
    <t>A COSA SERVE</t>
  </si>
  <si>
    <t>Horizon Scan NFR: registro dei rischi non finanziari emergenti della Banca. Ogni trimestre gli agenti valutano i rischi, lo script controlla e scrive qui, il validatore decide; i fogli da Quadro a Metodologia sono il report al comitato, le schede dei rischi un file a parte. Ogni foglio ha in testa (riga 2) chi lo aggiorna, cosa contiene e come si legge; il foglio Dizionario spiega ogni dato.</t>
  </si>
  <si>
    <t>CHI AGGIORNA COSA E QUANDO</t>
  </si>
  <si>
    <t>Foglio</t>
  </si>
  <si>
    <t>Settimanale · lunedi', A3</t>
  </si>
  <si>
    <t>Trimestrale · A1, poi A5</t>
  </si>
  <si>
    <t>Validatore · dopo il trimestre</t>
  </si>
  <si>
    <t>A che cosa serve</t>
  </si>
  <si>
    <t>REPORT AL COMITATO</t>
  </si>
  <si>
    <t>Quadro</t>
  </si>
  <si>
    <t>commento di A1, sintesi di A5, numeri</t>
  </si>
  <si>
    <t>stato della validazione; avviso rettifiche</t>
  </si>
  <si>
    <t>prima pagina: il quadro e il perche'</t>
  </si>
  <si>
    <t>Classifica</t>
  </si>
  <si>
    <t>score e urgenza</t>
  </si>
  <si>
    <t>valori validati</t>
  </si>
  <si>
    <t>rischi per score; lente di Mosca</t>
  </si>
  <si>
    <t>Radar_Mosca</t>
  </si>
  <si>
    <t>score, azioni (Y)</t>
  </si>
  <si>
    <t>anni di adeguamento, attenzione del supervisore</t>
  </si>
  <si>
    <t>quanto presto agire, quanto e' grande</t>
  </si>
  <si>
    <t>Matrice</t>
  </si>
  <si>
    <t>Probabilita e Severity</t>
  </si>
  <si>
    <t>gravita' dei rischi</t>
  </si>
  <si>
    <t>Delta</t>
  </si>
  <si>
    <t>confronto con il ciclo prima</t>
  </si>
  <si>
    <t>che cosa e' cambiato e perche'</t>
  </si>
  <si>
    <t>Metodologia</t>
  </si>
  <si>
    <t>pesi e parametri (Parametri)</t>
  </si>
  <si>
    <t>come si leggono i numeri</t>
  </si>
  <si>
    <t>LAVORO</t>
  </si>
  <si>
    <t>Registro</t>
  </si>
  <si>
    <t>segnali netti (colonna S)</t>
  </si>
  <si>
    <t>dimensioni, score, urgenza, KRI</t>
  </si>
  <si>
    <t>righe 4-5</t>
  </si>
  <si>
    <t>il ciclo corrente, un rischio per riga</t>
  </si>
  <si>
    <t>Storico, Indicatori</t>
  </si>
  <si>
    <t>si aggiornano</t>
  </si>
  <si>
    <t>score negli ultimi cicli; KRI del ciclo e storia di uno</t>
  </si>
  <si>
    <t>Notizie</t>
  </si>
  <si>
    <t>si aggiorna</t>
  </si>
  <si>
    <t>pressione delle notizie, aree non presidiate</t>
  </si>
  <si>
    <t>Piano_azioni</t>
  </si>
  <si>
    <t>azioni proposte da A1</t>
  </si>
  <si>
    <t>decisione; Stato In corso/Completata (foglio Azioni)</t>
  </si>
  <si>
    <t>tutte le azioni e la loro scadenza</t>
  </si>
  <si>
    <t>righe delle notizie</t>
  </si>
  <si>
    <t>righe di rischi, KRI, azioni</t>
  </si>
  <si>
    <t>DECISIONI, a mano</t>
  </si>
  <si>
    <t>unico foglio da compilare</t>
  </si>
  <si>
    <t>Parametri</t>
  </si>
  <si>
    <t>settimana corrente</t>
  </si>
  <si>
    <t>ciclo corrente; anagrafica H-K</t>
  </si>
  <si>
    <t>celle gialle</t>
  </si>
  <si>
    <t>pesi, soglie, urgenza, anagrafica</t>
  </si>
  <si>
    <t>Dizionario</t>
  </si>
  <si>
    <t>ogni dato: chi lo scrive, come si calcola</t>
  </si>
  <si>
    <t>DATI (solo lo script)</t>
  </si>
  <si>
    <t>RiskRegister</t>
  </si>
  <si>
    <t>valutazioni di A1</t>
  </si>
  <si>
    <t>una riga per rischio per ciclo</t>
  </si>
  <si>
    <t>Azioni</t>
  </si>
  <si>
    <t>delibera; Stato In corso/Completata a mano</t>
  </si>
  <si>
    <t>una riga per azione</t>
  </si>
  <si>
    <t>KRI</t>
  </si>
  <si>
    <t>KRI e valori riletti da A1</t>
  </si>
  <si>
    <t>rettifiche, KRI respinti</t>
  </si>
  <si>
    <t>storico, una riga per KRI per ciclo</t>
  </si>
  <si>
    <t>NewsLog</t>
  </si>
  <si>
    <t>notizie valutate da A3</t>
  </si>
  <si>
    <t>rettifiche (facoltative)</t>
  </si>
  <si>
    <t>una riga per notizia</t>
  </si>
  <si>
    <t>Sintesi_Cicli</t>
  </si>
  <si>
    <t>commento di A1 e di A5</t>
  </si>
  <si>
    <t>una riga per ciclo</t>
  </si>
  <si>
    <t>FILE A PARTE</t>
  </si>
  <si>
    <t>Schede_&lt;ciclo&gt;.xlsx</t>
  </si>
  <si>
    <t>testi di A6 dopo la validazione</t>
  </si>
  <si>
    <t>dati validati</t>
  </si>
  <si>
    <t>una scheda per rischio (comando schede)</t>
  </si>
  <si>
    <t>Giornaliero: la raccolta delle notizie riempie la cartella News_Inbox, non questo file. A4 (pareri su richiesta, in qualsiasi momento) non scrive qui: se un parere suggerisce di rivedere un rischio, la via e' il ciclo trimestrale successivo.</t>
  </si>
  <si>
    <t>QUANDO SI LANCIANO A5 E A6</t>
  </si>
  <si>
    <t>A5 (challenger): ogni trimestre, subito dopo A1 e prima del comando trimestrale, allegando SOLO l'output di A1 e Baseline_corrente.json. Senza l'esito di A5 lo script non scrive il ciclo. Di nuovo ogni volta che A1 viene rifatto: l'approvazione vale solo per l'output esaminato. Non si lancia per le settimane, per A4 ne' dopo la validazione.</t>
  </si>
  <si>
    <t>A6 (schede): dopo la validazione del trimestre. Il comando schede-input prepara i dati validati; A6 scrive i testi; il comando schede li controlla e produce Schede_&lt;ciclo&gt;.xlsx. Senza A6 il comando schede produce comunque le schede con i testi del registro.</t>
  </si>
  <si>
    <t>DOVE SI SCRIVE A MANO (solo qui)</t>
  </si>
  <si>
    <t>Validazione: le decisioni sulle proposte degli agenti (istruzioni e criteri in testa al foglio), poi il comando valida.</t>
  </si>
  <si>
    <t>Parametri, celle gialle: pesi, soglie, urgenza (decisione della funzione di rischio); nell'anagrafica Owner, anni di adeguamento e attenzione del supervisore (decisi dal validatore, restano da un ciclo all'altro).</t>
  </si>
  <si>
    <t>Azioni, colonna Stato: avanzamento di un'azione approvata (In corso, Completata); il Piano_azioni si aggiorna da solo.</t>
  </si>
  <si>
    <t>Indicatori, cella N4: il KRI di cui guardare la storia.</t>
  </si>
  <si>
    <t>Tutto il resto lo scrive lo script o e' una formula: non modificarlo.</t>
  </si>
  <si>
    <t>REGOLE</t>
  </si>
  <si>
    <t>1. Score composito, urgenza e stato dei KRI li calcola il foglio. Nessun agente li fornisce.</t>
  </si>
  <si>
    <t>2. Solo il ciclo trimestrale cambia uno score, al massimo di un punto per dimensione e con un'evidenza datata.</t>
  </si>
  <si>
    <t>3. Prima di leggere i numeri guardare Registro righe 4 e 5: ciclo non validato o incompleto = numeri non definitivi.</t>
  </si>
  <si>
    <t>4. Il trimestre dopo non parte finche' quello prima non e' validato (lo script si ferma e lo dice).</t>
  </si>
  <si>
    <t>5. I grafici hanno scala fissa: cicli diversi si confrontano a colpo d'occhio.</t>
  </si>
  <si>
    <t>6. Un rischio si toglie solo con il comando dismetti, mai svuotando righe dell'anagrafica.</t>
  </si>
  <si>
    <t>PRIMO USO REALE</t>
  </si>
  <si>
    <t>Le righe su fondo grigio sono dati di ESEMPIO. Il registro vero lo crea il comando  python esegui_ciclo_locale.py inizializza --ciclo-precedente &lt;trimestre prima del primo da valutare&gt; --settimana &lt;lunedi'&gt;  che copia il template, toglie gli esempi e imposta ciclo e settimana. La guida completa e' 00_GUIDA_PASSO_PASSO.md.</t>
  </si>
  <si>
    <t>Generato da 03_Excel/genera_dashboard.py (versione della struttura 2026-09-25c). Per rifarlo a mano: 03_Excel/costruzione_manuale_template.md.</t>
  </si>
  <si>
    <r>
      <rPr>
        <b/>
        <sz val="10"/>
        <color rgb="FF1F4E79"/>
        <rFont val="Calibri"/>
      </rPr>
      <t>CICLO TRIMESTRALE — calcolato dal foglio sui valori del ciclo; nessun agente ordina o stima l'urgenza.</t>
    </r>
    <r>
      <rPr>
        <sz val="10"/>
        <color rgb="FF262626"/>
        <rFont val="Calibri"/>
      </rPr>
      <t xml:space="preserve">
Come si legge: un rischio per barra, dal piu' alto per score composito (1-5, 5 = peggiore). Colore = urgenza di Mosca: rosso agire ora, ambra entro l'anno, grigio c'e' margine. A destra la lente di Mosca spiega il colore: tempo necessario per decidere e mitigare (X + Y) contro tempo prima che il rischio possa manifestarsi (Z).</t>
    </r>
  </si>
  <si>
    <t>Lente di Mosca: chi e' in ritardo, e di quanto (anni)</t>
  </si>
  <si>
    <t>Pos.</t>
  </si>
  <si>
    <t>ID</t>
  </si>
  <si>
    <t>Nome</t>
  </si>
  <si>
    <t>Score composito</t>
  </si>
  <si>
    <t>Score ciclo prima</t>
  </si>
  <si>
    <t>Δ score</t>
  </si>
  <si>
    <t>Esito</t>
  </si>
  <si>
    <t>Urgenza (Mosca)</t>
  </si>
  <si>
    <t>Margine Z-(X+Y), anni</t>
  </si>
  <si>
    <t>Owner</t>
  </si>
  <si>
    <t>Etichetta del grafico</t>
  </si>
  <si>
    <t>Chiave d'ordine</t>
  </si>
  <si>
    <t>Posizione in anagrafica</t>
  </si>
  <si>
    <t>Barra: agire ora</t>
  </si>
  <si>
    <t>Barra: entro l'anno</t>
  </si>
  <si>
    <t>Barra: con margine</t>
  </si>
  <si>
    <t>X anni</t>
  </si>
  <si>
    <t>Y anni</t>
  </si>
  <si>
    <t>Z anni</t>
  </si>
  <si>
    <t>Chiave della lente</t>
  </si>
  <si>
    <t>Posizione nella lente</t>
  </si>
  <si>
    <t>Etichetta della lente</t>
  </si>
  <si>
    <t>X</t>
  </si>
  <si>
    <t>Y entro Z</t>
  </si>
  <si>
    <t>Y oltre Z</t>
  </si>
  <si>
    <t>Z</t>
  </si>
  <si>
    <t>Come si legge: a sinistra un rischio per barra, dal piu' alto per score composito; colore = urgenza, freccia = variazione sul ciclo prima. A destra la lente di Mosca, dal piu' in ritardo: colonna = tempo necessario X + Y, rombo = tempo disponibile Z; la parte rossa sfora (tra parentesi il margine).</t>
  </si>
  <si>
    <t>Legenda — X = anni per decidere e avviare la mitigazione (un trimestre); Y = anni per mitigare (azioni o adeguamento strutturale); Z = anni prima che il rischio possa manifestarsi (dalla Prossimita); AGIRE ORA = X + Y &gt; Z. Frecce: ▲ score in aumento, ▼ in diminuzione, ● invariato, ○ nuovo. NFR-nn = codice del rischio; ◆ = tema all'attenzione del supervisore (BCE, EBA, Banca d'Italia), indicato dal validatore.</t>
  </si>
  <si>
    <r>
      <rPr>
        <b/>
        <sz val="10"/>
        <color rgb="FF1F4E79"/>
        <rFont val="Calibri"/>
      </rPr>
      <t>CICLO TRIMESTRALE — calcolato dal foglio: Z dalla Prossimita', Y dalle azioni o dagli anni di adeguamento.</t>
    </r>
    <r>
      <rPr>
        <sz val="10"/>
        <color rgb="FF262626"/>
        <rFont val="Calibri"/>
      </rPr>
      <t xml:space="preserve">
Come si legge: piu' vicino al centro = agire prima. Dentro il cerchio rosso (X + Y &gt; Z) si e' gia' in ritardo anche se l'evento non e' imminente. Area del cerchio = Probabilita x Severity; bordo giallo = tema all'attenzione del supervisore; settore = event type. Parametri X, Y e Z: foglio Parametri, righe 47-55.</t>
    </r>
  </si>
  <si>
    <t>Event type</t>
  </si>
  <si>
    <t>Impatto (Severity)</t>
  </si>
  <si>
    <t>Probabilita</t>
  </si>
  <si>
    <t>P x I</t>
  </si>
  <si>
    <t>Prossimita</t>
  </si>
  <si>
    <t>Z anni alla manifestazione</t>
  </si>
  <si>
    <t>X anni per decidere</t>
  </si>
  <si>
    <t>Y anni per mitigare (azioni o adeguamento)</t>
  </si>
  <si>
    <t>Margine Z-(X+Y)</t>
  </si>
  <si>
    <t>Settore</t>
  </si>
  <si>
    <t>Posizione nel settore</t>
  </si>
  <si>
    <t>Rischi nel settore</t>
  </si>
  <si>
    <t>Angolo</t>
  </si>
  <si>
    <t>Raggio</t>
  </si>
  <si>
    <t>x</t>
  </si>
  <si>
    <t>y</t>
  </si>
  <si>
    <t>Attenzione del supervisore</t>
  </si>
  <si>
    <t>attenzione del supervisore</t>
  </si>
  <si>
    <t>dentro il cerchio rosso: AGIRE ORA (X + Y &gt; Z)</t>
  </si>
  <si>
    <t>Legenda — P = Probabilita, S = Severity, P x I = Probabilita x Severity (impatto), da 1 a 25. X = anni per decidere e avviare la mitigazione (un trimestre); Y = anni per mitigare (azioni o adeguamento strutturale); Z = anni prima che il rischio possa manifestarsi (dalla Prossimita); AGIRE ORA = X + Y &gt; Z. Cerchi grigi = 1 anno (tratteggiato), 2 e 3 anni di margine. L1-01..L1-07 = categorie di perdita di Basilea (event type). NFR-nn = codice del rischio; ◆ = tema all'attenzione del supervisore (BCE, EBA, Banca d'Italia), indicato dal validatore.</t>
  </si>
  <si>
    <r>
      <rPr>
        <b/>
        <sz val="10"/>
        <color rgb="FF1F4E79"/>
        <rFont val="Calibri"/>
      </rPr>
      <t>CICLO TRIMESTRALE — calcolata dal foglio sui valori validati di Probabilita e Severity.</t>
    </r>
    <r>
      <rPr>
        <sz val="10"/>
        <color rgb="FF262626"/>
        <rFont val="Calibri"/>
      </rPr>
      <t xml:space="preserve">
Come si legge: ogni rischio nella cella della sua Probabilita (righe) e Severity (colonne); colore = P x I (verde fino a 6, ambra 8-12, rosso da 15). Dice la gravita', non l'urgenza (quella e' nel radar). Sotto, i rischi dal piu' grave.</t>
    </r>
  </si>
  <si>
    <t>Quasi certa</t>
  </si>
  <si>
    <t>Probabile</t>
  </si>
  <si>
    <t>Possibile</t>
  </si>
  <si>
    <t>Improbabile</t>
  </si>
  <si>
    <t>Rara</t>
  </si>
  <si>
    <t>Trascurabile</t>
  </si>
  <si>
    <t>Contenuto</t>
  </si>
  <si>
    <t>Rilevante</t>
  </si>
  <si>
    <t>Grave</t>
  </si>
  <si>
    <t>Critico</t>
  </si>
  <si>
    <t>Severity</t>
  </si>
  <si>
    <t>I rischi, dal piu' grave</t>
  </si>
  <si>
    <t>P · S</t>
  </si>
  <si>
    <t>Legenda — P = Probabilita, S = Severity, P x I = Probabilita x Severity (impatto), da 1 a 25; verde fino a 6, ambra da 8 a 12, rosso da 15. NFR-nn = codice del rischio; ◆ = tema all'attenzione del supervisore (BCE, EBA, Banca d'Italia), indicato dal validatore.</t>
  </si>
  <si>
    <r>
      <rPr>
        <b/>
        <sz val="10"/>
        <color rgb="FF1F4E79"/>
        <rFont val="Calibri"/>
      </rPr>
      <t>CICLO TRIMESTRALE — solo formule: ciclo corrente contro il precedente.</t>
    </r>
    <r>
      <rPr>
        <sz val="10"/>
        <color rgb="FF262626"/>
        <rFont val="Calibri"/>
      </rPr>
      <t xml:space="preserve">
Come si legge: una barra per rischio, dalla variazione piu' alta dello score composito; rosso in aumento, blu in diminuzione, grigio invariato. A fianco, nello stesso ordine, il motivo con l'evidenza e la sua data; sotto, quanto vale un punto di ogni dimensione e il dettaglio per dimensione (la Nota segnala una violazione della regola del punto).</t>
    </r>
  </si>
  <si>
    <t>Perche' varia (o no), nello stesso ordine</t>
  </si>
  <si>
    <t>Δ Sev</t>
  </si>
  <si>
    <t>Δ Vel</t>
  </si>
  <si>
    <t>Δ Pross</t>
  </si>
  <si>
    <t>Δ Gap</t>
  </si>
  <si>
    <t>Δ Conf</t>
  </si>
  <si>
    <t>Δ Prob</t>
  </si>
  <si>
    <t>Δ Score</t>
  </si>
  <si>
    <t>Chiave</t>
  </si>
  <si>
    <t>Etichetta</t>
  </si>
  <si>
    <t>In aumento</t>
  </si>
  <si>
    <t>In diminuzione</t>
  </si>
  <si>
    <t>Invariato</t>
  </si>
  <si>
    <t>Δ</t>
  </si>
  <si>
    <t>Motivo, con l'evidenza</t>
  </si>
  <si>
    <t>Come si legge la scala: il Δ e' la variazione dello score composito sul ciclo precedente. Ogni dimensione puo' cambiare al massimo di un punto fra due cicli, quindi un solo punto vale il suo peso (Parametri): Severity ±0,30, Probabilita ±0,20, Gap_Controlli ±0,20, Velocity ±0,15, Prossimita ±0,15. +1,00 si ha solo se tutte e cinque le dimensioni peggiorano di un punto; -1,00 se migliorano tutte. Un Δ oltre la soglia di Parametri (0,40) va guardato.</t>
  </si>
  <si>
    <t>Dettaglio per dimensione</t>
  </si>
  <si>
    <t>Δ Severity</t>
  </si>
  <si>
    <t>Δ Velocity</t>
  </si>
  <si>
    <t>Δ Prossimita'</t>
  </si>
  <si>
    <t>Δ Gap_Controlli</t>
  </si>
  <si>
    <t>Δ Confidence</t>
  </si>
  <si>
    <t>Δ Probabilita</t>
  </si>
  <si>
    <t>Nota</t>
  </si>
  <si>
    <t>Legenda — Δ = variazione sul ciclo precedente; rosso = in aumento, blu = in diminuzione. NFR-nn = codice del rischio; ◆ = tema all'attenzione del supervisore (BCE, EBA, Banca d'Italia), indicato dal validatore.</t>
  </si>
  <si>
    <r>
      <rPr>
        <b/>
        <sz val="10"/>
        <color rgb="FF404040"/>
        <rFont val="Calibri"/>
      </rPr>
      <t>COME SI LEGGONO I NUMERI DEL REPORT — scale e regole dalla rubrica del pacchetto, pesi e parametri letti dal foglio Parametri: sono sempre quelli in vigore.</t>
    </r>
    <r>
      <rPr>
        <sz val="10"/>
        <color rgb="FF262626"/>
        <rFont val="Calibri"/>
      </rPr>
      <t xml:space="preserve">
Nessun punteggio composito, urgenza o stato di un KRI e' stimato da un agente: li calcola il foglio.</t>
    </r>
  </si>
  <si>
    <t>CHI PRODUCE I NUMERI</t>
  </si>
  <si>
    <t>Ciclo trimestrale</t>
  </si>
  <si>
    <t>A1 legge le fonti e valuta ogni rischio; A5, un secondo agente che vede solo la valutazione e la baseline, la controlla con nove controlli e puo' fermarla; lo script verifica le regole e scrive nel registro; il validatore accetta, rettifica o respinge ogni valore proposto.</t>
  </si>
  <si>
    <t>Ciclo settimanale</t>
  </si>
  <si>
    <t>A3 valuta le notizie della settimana. Le notizie non cambiano nessuno score: segnalano temi e direzioni da portare al trimestre successivo.</t>
  </si>
  <si>
    <t>Schede dei rischi</t>
  </si>
  <si>
    <t>Dopo la validazione, A6 scrive i testi estesi delle schede (descrizione, spiegazione di ogni punteggio, a cosa serve ogni fonte) sui dati validati; lo script controlla che non cambi numeri ne' fonti e produce il file delle schede.</t>
  </si>
  <si>
    <t>Calcoli del foglio</t>
  </si>
  <si>
    <t>Score composito, urgenza, classifica e stato dei KRI li calcola il foglio con i parametri qui sotto: nessun agente li stima. Ogni dato e' spiegato nel foglio Dizionario.</t>
  </si>
  <si>
    <t>FONTI ED EVIDENZE</t>
  </si>
  <si>
    <t>Da dove</t>
  </si>
  <si>
    <t>Analisi interne della Banca (audit, test, incidenti, report delle funzioni), notizie raccolte ogni giorno dalle fonti del catalogo approvato (codici FNT) e siti pubblici configurati. Ogni rischio cita le sue fonti con data e tipo, Interna o Esterna (file delle schede).</t>
  </si>
  <si>
    <t>Evidenza nuova</t>
  </si>
  <si>
    <t>Solo cio' che e' datato dopo la data di riferimento del ciclo precedente e non dopo quella del ciclo corrente. Senza evidenza nuova il punteggio resta quello del ciclo prima.</t>
  </si>
  <si>
    <t>Cosa non e' evidenza</t>
  </si>
  <si>
    <t>La copertura mediatica (dieci articoli sullo stesso fatto sono un fatto) e le frasi generiche. Un numero senza fonte e' una valutazione e il razionale lo dichiara.</t>
  </si>
  <si>
    <t>Solidita'</t>
  </si>
  <si>
    <t>La Confidence (scala sotto) dice quanto e' solida l'evidenza: numero di fonti, concordanza, presenza di dati interni recenti. Non entra nello score: non deve abbassare il rischio quando la conoscenza migliora.</t>
  </si>
  <si>
    <t>ANALISI PER DIMENSIONI</t>
  </si>
  <si>
    <t>Principio</t>
  </si>
  <si>
    <t>Ogni rischio e' valutato su cinque dimensioni indipendenti, intere da 1 a 5 (5 = peggiore): per ognuna si sceglie il descrittore piu' aderente all'evidenza, senza interpolare.</t>
  </si>
  <si>
    <t>Quanto danno, se il rischio si manifesta?</t>
  </si>
  <si>
    <t>Quanto spesso, con i controlli attuali?</t>
  </si>
  <si>
    <t>Gap_Controlli</t>
  </si>
  <si>
    <t>Quanto manca a un presidio adeguato?</t>
  </si>
  <si>
    <t>Velocity</t>
  </si>
  <si>
    <t>Quanto in fretta arriva il pieno impatto dopo l'innesco?</t>
  </si>
  <si>
    <t>Quando puo' manifestarsi? (da' anche la Z dell'urgenza)</t>
  </si>
  <si>
    <t>SCORE COMPOSITO</t>
  </si>
  <si>
    <t>Che cos'e'</t>
  </si>
  <si>
    <t>Media pesata delle cinque dimensioni, da 1 a 5, calcolata dal foglio. I pesi valgono per tutti i cicli, passati compresi: il trend resta confrontabile.</t>
  </si>
  <si>
    <t>Peso Severity</t>
  </si>
  <si>
    <t>Peso Probabilita</t>
  </si>
  <si>
    <t>Peso Gap_Controlli</t>
  </si>
  <si>
    <t>Peso Velocity</t>
  </si>
  <si>
    <t>Peso Prossimita</t>
  </si>
  <si>
    <t>Somma dei pesi</t>
  </si>
  <si>
    <t>SCALE (descrittori della rubrica)</t>
  </si>
  <si>
    <t>Severity — impatto se il rischio si manifesta</t>
  </si>
  <si>
    <t xml:space="preserve">  1</t>
  </si>
  <si>
    <t>Trascurabile: nessun cliente toccato, perdita entro la franchigia operativa.</t>
  </si>
  <si>
    <t xml:space="preserve">  2</t>
  </si>
  <si>
    <t>Contenuto: pochi clienti o un processo non critico.</t>
  </si>
  <si>
    <t xml:space="preserve">  3</t>
  </si>
  <si>
    <t>Rilevante: processo critico degradato o clientela ampia; segnalazione all'autorita' possibile.</t>
  </si>
  <si>
    <t xml:space="preserve">  4</t>
  </si>
  <si>
    <t>Grave: interruzione di una funzione essenziale, sanzione probabile, danno reputazionale nazionale.</t>
  </si>
  <si>
    <t xml:space="preserve">  5</t>
  </si>
  <si>
    <t>Critico: effetto sulla continuita' o sulla solvibilita' della Banca; intervento dell'autorita' certo.</t>
  </si>
  <si>
    <t>Velocity — tempo fra innesco e pieno impatto</t>
  </si>
  <si>
    <t>Oltre 12 mesi.</t>
  </si>
  <si>
    <t>Da 6 a 12 mesi.</t>
  </si>
  <si>
    <t>Da 1 a 6 mesi.</t>
  </si>
  <si>
    <t>Da 1 giorno a 1 mese.</t>
  </si>
  <si>
    <t>Entro 24 ore.</t>
  </si>
  <si>
    <t>Prossimita — quando il rischio puo' manifestarsi</t>
  </si>
  <si>
    <t>Oltre 3 anni, nessun precursore.</t>
  </si>
  <si>
    <t>2-3 anni, precursori solo in altri settori o paesi.</t>
  </si>
  <si>
    <t>1-2 anni, precursori nel settore bancario europeo.</t>
  </si>
  <si>
    <t>Entro 12 mesi: casi in banche comparabili o quasi-incidenti interni.</t>
  </si>
  <si>
    <t>In corso o imminente presso la Banca o la sua filiera.</t>
  </si>
  <si>
    <t>Gap_Controlli — distanza fra presidio attuale e adeguato</t>
  </si>
  <si>
    <t>Controlli testati con esito positivo nell'ultimo anno, nessun rilievo aperto.</t>
  </si>
  <si>
    <t>Controlli testati; rilievi minori aperti con piano in corso.</t>
  </si>
  <si>
    <t>Controlli disegnati ma non testati, o rilievi significativi aperti.</t>
  </si>
  <si>
    <t>Controlli parziali: coprono solo parte del meccanismo di perdita.</t>
  </si>
  <si>
    <t>Nessun controllo specifico, solo presidi generici.</t>
  </si>
  <si>
    <t>Probabilita — frequenza attesa con i controlli attuali</t>
  </si>
  <si>
    <t>Rara: meno di una volta in 10 anni.</t>
  </si>
  <si>
    <t>Improbabile: una volta in 5-10 anni.</t>
  </si>
  <si>
    <t>Possibile: una volta in 2-5 anni.</t>
  </si>
  <si>
    <t>Probabile: una volta in 1-2 anni.</t>
  </si>
  <si>
    <t>Quasi certa: piu' volte l'anno, o gia' in corso.</t>
  </si>
  <si>
    <t>Confidence — solidita' dell'evidenza (fuori dal composito)</t>
  </si>
  <si>
    <t>Giudizio senza fonti specifiche.</t>
  </si>
  <si>
    <t>Una sola fonte, esterna o non recente.</t>
  </si>
  <si>
    <t>Almeno due fonti, di cui una interna o degli ultimi 6 mesi.</t>
  </si>
  <si>
    <t>Almeno due fonti concordanti, di cui una interna recente (audit, test, incidente).</t>
  </si>
  <si>
    <t>Almeno tre fonti concordanti con dati interni quantitativi aggiornati.</t>
  </si>
  <si>
    <t>REGOLE DI VARIAZIONE FRA CICLI</t>
  </si>
  <si>
    <t>1. Senza evidenza nuova lo score resta quello del ciclo precedente (esito Confermato).</t>
  </si>
  <si>
    <t>2. Al massimo un punto per dimensione fra due cicli consecutivi.</t>
  </si>
  <si>
    <t>3. Ogni variazione cita un'evidenza specifica datata dopo la data di riferimento del ciclo precedente; frasi generiche non sono evidenza.</t>
  </si>
  <si>
    <t>4. Una riduzione ha lo stesso onere di un aumento: Gap_Controlli scende solo con un controllo testato, Severity solo se cambia l'impatto.</t>
  </si>
  <si>
    <t>5. Confermare = riprendere le fonti che giustificavano lo score; se non valgono piu', la confidence scende.</t>
  </si>
  <si>
    <t>6. La copertura mediatica non e' evidenza: dieci articoli sullo stesso fatto sono un fatto.</t>
  </si>
  <si>
    <t>7. Il razionale cita un dato numerico con la sua fonte, se esiste; un numero senza fonte (es. una frequenza stimata) e' una valutazione: dichiaralo.</t>
  </si>
  <si>
    <t>URGENZA: DISUGUAGLIANZA DI MOSCA</t>
  </si>
  <si>
    <t>Se il tempo necessario per decidere (X) e per mitigare (Y) supera il tempo prima che il rischio possa manifestarsi (Z), cioe' X + Y &gt; Z, si e' gia' in ritardo anche se l'evento non e' imminente (M. Mosca, 2015, per la migrazione alla crittografia post-quantistica).</t>
  </si>
  <si>
    <t>X: anni per decidere e avviare</t>
  </si>
  <si>
    <t>Y: anni per mitigare</t>
  </si>
  <si>
    <t>L'orizzonte piu' lungo delle azioni del ciclo non respinte (3, 6 o 12 mesi); se il rischio non ha azioni, la riserva qui sotto; se l'anagrafica indica anni di adeguamento strutturale (decisi dal validatore) e sono di piu', quelli.</t>
  </si>
  <si>
    <t>Y di riserva (anni)</t>
  </si>
  <si>
    <t>Z per Prossimita 1 (anni)</t>
  </si>
  <si>
    <t>Z per Prossimita 2 (anni)</t>
  </si>
  <si>
    <t>Z per Prossimita 3 (anni)</t>
  </si>
  <si>
    <t>Z per Prossimita 4 (anni)</t>
  </si>
  <si>
    <t>Z per Prossimita 5 (anni)</t>
  </si>
  <si>
    <t>Margine = Z - (X + Y). Sotto zero: AGIRE ORA. Da 0 a 1 anno: agire entro l'anno. Oltre: margine in anni.</t>
  </si>
  <si>
    <t>Limite</t>
  </si>
  <si>
    <t>Z ha cinque valori (quelli della Prossimita) e Y viene da orizzonti a scaglioni o da un input umano: l'urgenza e' una graduatoria ancorata, non una previsione.</t>
  </si>
  <si>
    <t>Verso e soglie</t>
  </si>
  <si>
    <t>Valori crescenti = peggio (un indicatore 'piu' alto e' meglio' si esprime come complemento, es. quota NON testata). Verde sotto la soglia di attenzione, Ambra fra attenzione e allerta, Rosso da allerta in su, Non rilevato se il valore manca: mai ricopiato dal ciclo prima.</t>
  </si>
  <si>
    <t>Fonte</t>
  </si>
  <si>
    <t>Ogni KRI ha una fonte dati interna identificabile; A1 ne rilegge il valore a ogni ciclo.</t>
  </si>
  <si>
    <t>COME SI LEGGONO I GRAFICI</t>
  </si>
  <si>
    <t>Una barra per rischio, dal piu' alto per score composito; colore = esito dell'urgenza; freccia = variazione sul ciclo prima.</t>
  </si>
  <si>
    <t>Lente di Mosca</t>
  </si>
  <si>
    <t>Colonna = X + Y (tempo necessario), rombo = Z (tempo disponibile), dal piu' in ritardo: la parte rossa della colonna sfora il tempo disponibile.</t>
  </si>
  <si>
    <t>Radar di Mosca</t>
  </si>
  <si>
    <t>Piu' vicino al centro = agire prima (dentro il cerchio rosso: X + Y &gt; Z). Area del cerchio = Probabilita x Severity (riferimenti 4, 12, 25 nel grafico); bordo giallo spesso = tema all'attenzione del supervisore (BCE, EBA, Banca d'Italia), indicato dal validatore. Settore = event type, con il nome.</t>
  </si>
  <si>
    <t>Ogni rischio nella cella della sua Probabilita e Severity; colore = P x I (verde fino a 6, ambra 8-12, rosso da 15). Dice la gravita', non l'urgenza.</t>
  </si>
  <si>
    <t>Variazione dello score composito sul ciclo precedente, scala fissa da -1 a +1: un punto di una sola dimensione vale il suo peso (0,30 Severity, 0,20 Probabilita e Gap, 0,15 Velocity e Prossimita); ±1 solo se cambiano tutte e cinque. A fianco il motivo, con l'evidenza.</t>
  </si>
  <si>
    <t>VALIDAZIONE</t>
  </si>
  <si>
    <t>Ogni valore proposto dagli agenti passa dal validatore: accettato, rettificato con motivazione o respinto. Il report mostra i valori validati; la proposta originale resta nel foglio Validazione del registro.</t>
  </si>
  <si>
    <r>
      <rPr>
        <b/>
        <sz val="10"/>
        <color rgb="FF262626"/>
        <rFont val="Calibri"/>
      </rPr>
      <t>CICLO TRIMESTRALE (dimensioni, score, urgenza, KRI) · CICLO SETTIMANALE (colonna S: segnali netti) · VALIDATORE (riga 4 e anagrafica).</t>
    </r>
    <r>
      <rPr>
        <sz val="10"/>
        <color rgb="FF262626"/>
        <rFont val="Calibri"/>
      </rPr>
      <t xml:space="preserve">
Come si legge: prima le righe 4 e 5 — se il ciclo non e' validato o e' incompleto i numeri non sono definitivi. Un rischio per riga, dal piu' alto per score. Punteggi 1-5, 5 = peggiore; #N/A = non valutato, non zero. Segnali netti = notizie peggiorative meno migliorative delle ultime 4 settimane (▲ ▼ oltre la soglia di Parametri): e' un allarme per il prossimo trimestre, non cambia lo score. L'andamento di un rischio e' nella sua scheda (file delle schede).</t>
    </r>
  </si>
  <si>
    <t>VALIDAZIONE DEL CICLO</t>
  </si>
  <si>
    <t>Decisioni da prendere</t>
  </si>
  <si>
    <t>Rettifiche applicate</t>
  </si>
  <si>
    <t>CONTROLLO DI COPERTURA</t>
  </si>
  <si>
    <t>Rischi in anagrafica</t>
  </si>
  <si>
    <t>Valutati nel ciclo</t>
  </si>
  <si>
    <t>Dimensioni 1-5 (A1, validate)</t>
  </si>
  <si>
    <t>Calcolati dal foglio</t>
  </si>
  <si>
    <t>Sup.</t>
  </si>
  <si>
    <t>KRI del ciclo</t>
  </si>
  <si>
    <t>Notizie · 4 settimane</t>
  </si>
  <si>
    <t>Anagrafica</t>
  </si>
  <si>
    <t>Sev</t>
  </si>
  <si>
    <t>Prob</t>
  </si>
  <si>
    <t>Gap</t>
  </si>
  <si>
    <t>Vel</t>
  </si>
  <si>
    <t>Pross</t>
  </si>
  <si>
    <t>Conf</t>
  </si>
  <si>
    <t>Δ ciclo prima</t>
  </si>
  <si>
    <t>Δ 6 mesi</t>
  </si>
  <si>
    <t>Margine (anni)</t>
  </si>
  <si>
    <t>◆</t>
  </si>
  <si>
    <t>R</t>
  </si>
  <si>
    <t>A</t>
  </si>
  <si>
    <t>V</t>
  </si>
  <si>
    <t>Segnali netti</t>
  </si>
  <si>
    <t>ScorePrec</t>
  </si>
  <si>
    <t>Score2</t>
  </si>
  <si>
    <t>Confidence</t>
  </si>
  <si>
    <t>Netti</t>
  </si>
  <si>
    <t>Badge</t>
  </si>
  <si>
    <t>Posizione del k-esimo</t>
  </si>
  <si>
    <t>Legenda — Sev = Severity (impatto); Prob = Probabilita; Gap = Gap_Controlli (quanto manca a un presidio adeguato); Vel = Velocity (quanto in fretta arriva il danno); Pross = Prossimita (quando puo' manifestarsi); Conf = Confidence (solidita' delle fonti, fuori dallo score); Δ = variazione dello score (ciclo prima, due cicli prima); Sup. / ◆ = tema all'attenzione del supervisore; R, A, V = KRI in rosso, ambra, verde; Segnali netti = notizie peggiorative meno migliorative nelle ultime 4 settimane (▲ ▼ oltre la soglia di Parametri). Event type L1-01..L1-07 = categorie di perdita di Basilea. X = anni per decidere e avviare la mitigazione (un trimestre); Y = anni per mitigare (azioni o adeguamento strutturale); Z = anni prima che il rischio possa manifestarsi (dalla Prossimita); AGIRE ORA = X + Y &gt; Z.</t>
  </si>
  <si>
    <r>
      <rPr>
        <b/>
        <sz val="10"/>
        <color rgb="FF1F4E79"/>
        <rFont val="Calibri"/>
      </rPr>
      <t>CICLO TRIMESTRALE — solo formule: score composito di ogni rischio negli ultimi otto cicli.</t>
    </r>
    <r>
      <rPr>
        <sz val="10"/>
        <color rgb="FF262626"/>
        <rFont val="Calibri"/>
      </rPr>
      <t xml:space="preserve">
Scala fissa 0-5. Un punto mancante = rischio non valutato in quel ciclo, non score zero. I cicli passati sono ricalcolati con i pesi in vigore: il trend resta confrontabile.</t>
    </r>
  </si>
  <si>
    <r>
      <rPr>
        <b/>
        <sz val="10"/>
        <color rgb="FF1F4E79"/>
        <rFont val="Calibri"/>
      </rPr>
      <t>CICLO TRIMESTRALE — solo formule: a sinistra i KRI in vigore nel ciclo corrente (A1 rilegge il valore a ogni ciclo); a destra la storia di un KRI, da scegliere in N4 (unica cella gialla; anche uno uscito di vigore).</t>
    </r>
    <r>
      <rPr>
        <sz val="10"/>
        <color rgb="FF262626"/>
        <rFont val="Calibri"/>
      </rPr>
      <t xml:space="preserve">
Stato: Verde sotto la soglia di attenzione, Ambra fino all'allerta, Rosso oltre, Non rilevato senza valore (mai zero). Tendenza sul ciclo prima: valori crescenti = peggio (▲ peggiora).</t>
    </r>
  </si>
  <si>
    <t>Verde</t>
  </si>
  <si>
    <t>Ambra</t>
  </si>
  <si>
    <t>Rosso</t>
  </si>
  <si>
    <t>Non rilevato</t>
  </si>
  <si>
    <t>KRI da guardare</t>
  </si>
  <si>
    <t>NFR-01-K1</t>
  </si>
  <si>
    <t>KRI_ID</t>
  </si>
  <si>
    <t>Unita'</t>
  </si>
  <si>
    <t>Soglia attenzione</t>
  </si>
  <si>
    <t>Soglia allerta</t>
  </si>
  <si>
    <t>Valore</t>
  </si>
  <si>
    <t>Data rilevazione</t>
  </si>
  <si>
    <t>Stato</t>
  </si>
  <si>
    <t>Valore ciclo precedente</t>
  </si>
  <si>
    <t>Tendenza</t>
  </si>
  <si>
    <t>Fonte dati</t>
  </si>
  <si>
    <t>Definito nel ciclo</t>
  </si>
  <si>
    <t>Ultima fotografia</t>
  </si>
  <si>
    <t>Ciclo</t>
  </si>
  <si>
    <t>Fonte rilevazione</t>
  </si>
  <si>
    <r>
      <rPr>
        <b/>
        <sz val="10"/>
        <color rgb="FF375623"/>
        <rFont val="Calibri"/>
      </rPr>
      <t>CICLO SETTIMANALE — solo formule sulle notizie delle ultime 4 settimane (foglio NewsLog, scritto dopo A3).</t>
    </r>
    <r>
      <rPr>
        <sz val="10"/>
        <color rgb="FF262626"/>
        <rFont val="Calibri"/>
      </rPr>
      <t xml:space="preserve">
Per event type quante notizie e quanto forti. AREA NON PRESIDIATA = notizie di intensita' 2 o piu' su un event type senza rischi in anagrafica: tema da portare al prossimo ciclo trimestrale. Le notizie non cambiano score. A4 (pareri su richiesta) non scrive nel workbook.</t>
    </r>
  </si>
  <si>
    <t>Codice</t>
  </si>
  <si>
    <t>Intensita' max 4 sett. (0-3)</t>
  </si>
  <si>
    <t>Notizie con intensita' &gt;= 2</t>
  </si>
  <si>
    <t>Presidio</t>
  </si>
  <si>
    <t>Intensita' 1: nesso indiretto</t>
  </si>
  <si>
    <t>Intensita' 2: nesso diretto</t>
  </si>
  <si>
    <t>Intensita' 3: diretto e immediato</t>
  </si>
  <si>
    <t>L1-01</t>
  </si>
  <si>
    <t>Frode interna</t>
  </si>
  <si>
    <t>L1-02</t>
  </si>
  <si>
    <t>Frode esterna</t>
  </si>
  <si>
    <t>L1-03</t>
  </si>
  <si>
    <t>Rapporti di impiego e sicurezza sul lavoro</t>
  </si>
  <si>
    <t>L1-04</t>
  </si>
  <si>
    <t>Clientela, prodotti e prassi professionali</t>
  </si>
  <si>
    <t>L1-05</t>
  </si>
  <si>
    <t>Danni a beni materiali</t>
  </si>
  <si>
    <t>L1-06</t>
  </si>
  <si>
    <t>Interruzione dell'operativita' e disfunzione dei sistemi</t>
  </si>
  <si>
    <t>L1-07</t>
  </si>
  <si>
    <t>Esecuzione, consegna e gestione dei processi</t>
  </si>
  <si>
    <t>Notizie non collegate a un rischio censito (4 settimane)</t>
  </si>
  <si>
    <t>Pressione settimanale (12 settimane)</t>
  </si>
  <si>
    <t>Settimana</t>
  </si>
  <si>
    <t>Peggiorativi</t>
  </si>
  <si>
    <t>Migliorativi</t>
  </si>
  <si>
    <t>Netto</t>
  </si>
  <si>
    <t>Grafici: notizie per event type (sopra) e segnali per settimana (sotto).</t>
  </si>
  <si>
    <r>
      <rPr>
        <b/>
        <sz val="10"/>
        <color rgb="FF7F6000"/>
        <rFont val="Calibri"/>
      </rPr>
      <t>CICLO TRIMESTRALE (A1 propone) · VALIDATORE (decide nel foglio Validazione; poi aggiorna lo Stato nel foglio Azioni).</t>
    </r>
    <r>
      <rPr>
        <sz val="10"/>
        <color rgb="FF262626"/>
        <rFont val="Calibri"/>
      </rPr>
      <t xml:space="preserve">
Tutte le azioni: prima le proposte da decidere, poi le altre. La validazione e' la delibera (Accettato o Rettificato = Approvata, Respinto = Respinta); In corso e Completata si scrivono a mano nella colonna Stato del foglio Azioni, quando l'owner lo comunica. Scadenza = data della decisione + orizzonte. Le azioni aperte passano ad A1 nel trimestre dopo.</t>
    </r>
  </si>
  <si>
    <t>La proposta (A1)</t>
  </si>
  <si>
    <t>La decisione (validazione) e l'avanzamento</t>
  </si>
  <si>
    <t>ID azione</t>
  </si>
  <si>
    <t>Azione</t>
  </si>
  <si>
    <t>Riduce</t>
  </si>
  <si>
    <t>Orizzonte</t>
  </si>
  <si>
    <t>Decisa il</t>
  </si>
  <si>
    <t>Scadenza</t>
  </si>
  <si>
    <t>Legenda — Riduce = dimensione del rischio che l'azione riduce; Orizzonte = tempo per completarla; Scadenza = data della decisione + orizzonte (per le azioni approvate o in corso). Stato: giallo = da decidere nella validazione; azzurro = approvata; verde = in corso o completata; grigio = respinta o annullata.</t>
  </si>
  <si>
    <r>
      <rPr>
        <b/>
        <sz val="10"/>
        <color rgb="FF7F6000"/>
        <rFont val="Calibri"/>
      </rPr>
      <t>VALIDATORE — dopo ogni ciclo trimestrale (obbligatorio: il ciclo dopo non parte finche' ci sono righe Da decidere) e, se si vuole, dopo ogni settimana per le notizie.</t>
    </r>
    <r>
      <rPr>
        <sz val="10"/>
        <color rgb="FF262626"/>
        <rFont val="Calibri"/>
      </rPr>
      <t xml:space="preserve">
Operazioni: 1) filtrare Stato = Da decidere e Periodo = il ciclo o il lunedi'; 2) per ogni riga compilare Decisione: Accettato, Rettificato (con Valore_Validato) o Respinto; con Rettificato o Respinto la Motivazione, almeno 10 caratteri; 3) salvare e CHIUDERE il file; 4) lanciare  python esegui_ciclo_locale.py valida --periodo &lt;ciclo o lunedi'&gt; --validatore "&lt;funzione&gt;"  (con --accetta-il-resto le righe vuote diventano Accettato). Il comando controlla tutte le decisioni prima di applicarne una. Stato e' a elenco per filtrare: lo scrive lo script e lo aggiorna il comando valida, non si cambia a mano.
Criteri — Rischio (si rettifica, non si respinge): il punteggio corrisponde al descrittore della rubrica, dati razionale e fonti (foglio Metodologia); un valore rettificato e' intero 1-5, al massimo un punto dal ciclo precedente, motivato con un'evidenza. KRI: respingere se la fonte dati non e' un sistema o report interno identificabile o se non misura il rischio; rettificare soglie (allerta &gt;= attenzione, crescente = peggio) o un valore rilevato errato. Azione: respingere se duplicata o se non riduce la dimensione indicata; rettificare Owner (una funzione, mai una persona) o Orizzonte (3, 6 o 12 mesi). Notizia: rettificare Rischio_ID o Segnale; respingere se non pertinente o gia' contata.
Prima di decidere leggere i rilievi di A5 e dei controlli (file Esito_controlli del ciclo; Osservazioni in Sintesi_Cicli). La proposta dell'agente non si cancella mai: le rettifiche motivate servono a migliorare gli agenti.
Colore delle intestazioni = chi scrive la colonna: azzurro l'agente del ciclo trimestrale (A1, A5), verde l'agente settimanale (A3), giallo la validazione, grigio lo script o una formula.</t>
    </r>
  </si>
  <si>
    <t>Script · alla scrittura</t>
  </si>
  <si>
    <t>Validatore · a mano, dopo il ciclo</t>
  </si>
  <si>
    <t>Script · Ciclo (AAAAQn) o lunedi' della settimana.</t>
  </si>
  <si>
    <t>Script · Rischio, KRI, Azione o Notizia.</t>
  </si>
  <si>
    <t>Script · Codice dell'oggetto.</t>
  </si>
  <si>
    <t>Script · Nome dell'oggetto, per riconoscerlo.</t>
  </si>
  <si>
    <t>Script · Valore proposto su cui decidere.</t>
  </si>
  <si>
    <t>Script · Valore proposto dall'agente. Non si cancella mai.</t>
  </si>
  <si>
    <t>Validatore · DA COMPILARE: Accettato, Rettificato o Respinto.</t>
  </si>
  <si>
    <t>Validatore · DA COMPILARE solo se Rettificato: il valore giusto.</t>
  </si>
  <si>
    <t>Validatore · DA COMPILARE se Rettificato o Respinto: almeno 10 caratteri, con l'evidenza.</t>
  </si>
  <si>
    <t>Script · Chi ha validato.</t>
  </si>
  <si>
    <t>Script · Giorno della validazione.</t>
  </si>
  <si>
    <t>Script · Da decidere, poi Applicata.</t>
  </si>
  <si>
    <t>Periodo</t>
  </si>
  <si>
    <t>Oggetto</t>
  </si>
  <si>
    <t>Campo</t>
  </si>
  <si>
    <t>Proposta_Agente</t>
  </si>
  <si>
    <t>Decisione</t>
  </si>
  <si>
    <t>Valore_Validato</t>
  </si>
  <si>
    <t>Motivazione</t>
  </si>
  <si>
    <t>Validato_Da</t>
  </si>
  <si>
    <t>Data_Validazione</t>
  </si>
  <si>
    <t>2026Q2</t>
  </si>
  <si>
    <t>NFR-01</t>
  </si>
  <si>
    <t>Frodi su pagamenti istantanei abilitate da AI generativa</t>
  </si>
  <si>
    <t>Accettato</t>
  </si>
  <si>
    <t>Comitato Rischi</t>
  </si>
  <si>
    <t>Applicata</t>
  </si>
  <si>
    <t>NFR-02</t>
  </si>
  <si>
    <t>Concentrazione su un fornitore cloud critico</t>
  </si>
  <si>
    <t>NFR-03</t>
  </si>
  <si>
    <t>Greenwashing nella commercializzazione di prodotti ESG</t>
  </si>
  <si>
    <t>NFR-04</t>
  </si>
  <si>
    <t>Eventi climatici estremi su sedi e data center</t>
  </si>
  <si>
    <t>NFR-05</t>
  </si>
  <si>
    <t>Errori di processo nella migrazione del core banking</t>
  </si>
  <si>
    <t>NFR-06</t>
  </si>
  <si>
    <t>Esfiltrazione di dati tramite strumenti di AI non autorizzati</t>
  </si>
  <si>
    <t>NFR-07</t>
  </si>
  <si>
    <t>Ransomware presso un fornitore di servizi di pagamento</t>
  </si>
  <si>
    <t>NFR-08</t>
  </si>
  <si>
    <t>Accessi impropri di dipendenti ai dati dei clienti</t>
  </si>
  <si>
    <t>NFR-09</t>
  </si>
  <si>
    <t>Violazione di sanzioni internazionali tramite triangolazioni</t>
  </si>
  <si>
    <t>NFR-10</t>
  </si>
  <si>
    <t>Informazioni errate ai clienti da assistenti di AI generativa</t>
  </si>
  <si>
    <t>Rettificato</t>
  </si>
  <si>
    <t>Chatbot in produzione da aprile: nessuna frequenza osservata che giustifichi 'probabile'.</t>
  </si>
  <si>
    <t>NFR-11</t>
  </si>
  <si>
    <t>Fine del supporto dei sistemi di pagamento legacy</t>
  </si>
  <si>
    <t>NFR-12</t>
  </si>
  <si>
    <t>Errori operativi nei pagamenti istantanei obbligatori</t>
  </si>
  <si>
    <t>Tentativi di frode APP per 10.000 bonifici istantanei</t>
  </si>
  <si>
    <t>Valore_Corrente</t>
  </si>
  <si>
    <t>Soglia_Attenzione</t>
  </si>
  <si>
    <t>Soglia_Allerta</t>
  </si>
  <si>
    <t>NFR-01-K2</t>
  </si>
  <si>
    <t>Quota di frodi con voce o video sintetici accertati</t>
  </si>
  <si>
    <t>NFR-01-K3</t>
  </si>
  <si>
    <t>Tempo medio di blocco di un beneficiario fraudolento</t>
  </si>
  <si>
    <t>NFR-02-K1</t>
  </si>
  <si>
    <t>Quota di servizi critici sul fornitore cloud principale</t>
  </si>
  <si>
    <t>NFR-02-K2</t>
  </si>
  <si>
    <t>Giorni dall'ultimo test di exit strategy</t>
  </si>
  <si>
    <t>NFR-02-K3</t>
  </si>
  <si>
    <t>Incidenti del fornitore con impatto sui servizi nel trimestre</t>
  </si>
  <si>
    <t>NFR-03-K1</t>
  </si>
  <si>
    <t>Reclami su prodotti ESG ogni 1.000 contratti</t>
  </si>
  <si>
    <t>NFR-03-K2</t>
  </si>
  <si>
    <t>Quota di prodotti ESG senza revisione dei claim nell'anno</t>
  </si>
  <si>
    <t>NFR-03-K3</t>
  </si>
  <si>
    <t>Rilievi di audit aperti sulla trasparenza ESG</t>
  </si>
  <si>
    <t>NFR-04-K1</t>
  </si>
  <si>
    <t>Sedi critiche in aree a rischio idrogeologico senza piano specifico</t>
  </si>
  <si>
    <t>NFR-04-K2</t>
  </si>
  <si>
    <t>Giorni di indisponibilita' di sedi per eventi climatici</t>
  </si>
  <si>
    <t>NFR-04-K3</t>
  </si>
  <si>
    <t>Scarto fra RTO dichiarato e testato del sito secondario</t>
  </si>
  <si>
    <t>NFR-05-K1</t>
  </si>
  <si>
    <t>Differenze di riconciliazione aperte oltre 5 giorni</t>
  </si>
  <si>
    <t>NFR-05-K2</t>
  </si>
  <si>
    <t>Incidenti di produzione legati alla migrazione</t>
  </si>
  <si>
    <t>NFR-05-K3</t>
  </si>
  <si>
    <t>Quota di controlli di processo non ridisegnati sul nuovo core</t>
  </si>
  <si>
    <t>NFR-06-K1</t>
  </si>
  <si>
    <t>Tentativi di caricamento di dati riservati su servizi AI non autorizzati</t>
  </si>
  <si>
    <t>NFR-06-K2</t>
  </si>
  <si>
    <t>Quota di dipendenti senza formazione sull'uso dell'AI</t>
  </si>
  <si>
    <t>Soglia allineata all'obiettivo formativo annuale approvato dalla funzione HR.</t>
  </si>
  <si>
    <t>NFR-06-K3</t>
  </si>
  <si>
    <t>Utenze privilegiate senza revisione degli accessi nel trimestre</t>
  </si>
  <si>
    <t>NFR-07-K1</t>
  </si>
  <si>
    <t>Fornitori di pagamento critici senza test di ripristino da ransomware</t>
  </si>
  <si>
    <t>NFR-07-K2</t>
  </si>
  <si>
    <t>Ore di indisponibilita' del gateway di pagamento nel trimestre</t>
  </si>
  <si>
    <t>NFR-07-K3</t>
  </si>
  <si>
    <t>Vulnerabilita' critiche aperte oltre 30 giorni presso il fornitore</t>
  </si>
  <si>
    <t>NFR-08-K1</t>
  </si>
  <si>
    <t>Accessi ai dati clienti senza pratica associata</t>
  </si>
  <si>
    <t>NFR-08-K2</t>
  </si>
  <si>
    <t>Utenze con profili di accesso non rivisti nell'anno</t>
  </si>
  <si>
    <t>NFR-08-K3</t>
  </si>
  <si>
    <t>Accessi impropri accertati nel trimestre</t>
  </si>
  <si>
    <t>NFR-09-K1</t>
  </si>
  <si>
    <t>Pagamenti bloccati dal filtro sanzioni ogni 10.000 verso paesi di transito</t>
  </si>
  <si>
    <t>NFR-09-K2</t>
  </si>
  <si>
    <t>Clienti corporate ad alto rischio senza due diligence rafforzata aggiornata</t>
  </si>
  <si>
    <t>NFR-09-K3</t>
  </si>
  <si>
    <t>Liste sanzioni recepite oltre 24 ore dalla pubblicazione</t>
  </si>
  <si>
    <t>NFR-10-K1</t>
  </si>
  <si>
    <t>Risposte del chatbot contestate ogni 1.000 conversazioni</t>
  </si>
  <si>
    <t>NFR-10-K2</t>
  </si>
  <si>
    <t>Reclami con rimborso originati da informazioni del chatbot</t>
  </si>
  <si>
    <t>NFR-10-K3</t>
  </si>
  <si>
    <t>Quota di risposte del chatbot non campionate dal controllo qualita'</t>
  </si>
  <si>
    <t>NFR-11-K1</t>
  </si>
  <si>
    <t>Componenti del sistema di pagamento fuori supporto</t>
  </si>
  <si>
    <t>NFR-11-K2</t>
  </si>
  <si>
    <t>Vulnerabilita' senza patch disponibile sui sistemi legacy</t>
  </si>
  <si>
    <t>NFR-11-K3</t>
  </si>
  <si>
    <t>Presidi della piattaforma legacy coperti da una sola persona</t>
  </si>
  <si>
    <t>NFR-12-K1</t>
  </si>
  <si>
    <t>Differenze di riconciliazione sui bonifici istantanei aperte oltre 1 giorno</t>
  </si>
  <si>
    <t>NFR-12-K2</t>
  </si>
  <si>
    <t>Rimborsi indebiti per errori di esecuzione nel trimestre</t>
  </si>
  <si>
    <t>NFR-12-K3</t>
  </si>
  <si>
    <t>Tempo medio di risoluzione delle eccezioni sui pagamenti istantanei</t>
  </si>
  <si>
    <t>2026Q2-NFR-01-A1</t>
  </si>
  <si>
    <t>Introdurre la verifica fuori banda per bonifici istantanei sopra soglia verso beneficiari nuovi.</t>
  </si>
  <si>
    <t>Funzione Antifrode</t>
  </si>
  <si>
    <t>6 mesi</t>
  </si>
  <si>
    <t>2026Q2-NFR-02-A1</t>
  </si>
  <si>
    <t>Eseguire il test completo di exit strategy sui due servizi critici non ancora coperti.</t>
  </si>
  <si>
    <t>Funzione ICT &amp; Security Risk</t>
  </si>
  <si>
    <t>12 mesi</t>
  </si>
  <si>
    <t>2026Q2-NFR-03-A1</t>
  </si>
  <si>
    <t>Revisione indipendente dei claim ambientali di tutti i prodotti ESG in catalogo.</t>
  </si>
  <si>
    <t>Funzione Compliance</t>
  </si>
  <si>
    <t>2026Q2-NFR-04-A1</t>
  </si>
  <si>
    <t>Redigere piani di continuita' specifici per le due sedi critiche in aree a rischio.</t>
  </si>
  <si>
    <t>Funzione Business Continuity</t>
  </si>
  <si>
    <t>2026Q2-NFR-05-A1</t>
  </si>
  <si>
    <t>Monitoraggio giornaliero degli incidenti post-migrazione con escalation entro 4 ore.</t>
  </si>
  <si>
    <t>Funzione Operations</t>
  </si>
  <si>
    <t>Respinto</t>
  </si>
  <si>
    <t>Gia' coperto dal presidio giornaliero del PMO: azione duplicata.</t>
  </si>
  <si>
    <t>3 mesi</t>
  </si>
  <si>
    <t>2026Q2-NFR-06-A1</t>
  </si>
  <si>
    <t>Estendere il DLP a tutti i servizi di AI generativa e bloccare quelli non autorizzati.</t>
  </si>
  <si>
    <t>Funzione Sicurezza delle Informazioni</t>
  </si>
  <si>
    <t>2026Q2-NFR-07-A1</t>
  </si>
  <si>
    <t>Test congiunto di ripristino da ransomware con il fornitore del gateway di pagamento.</t>
  </si>
  <si>
    <t>2026Q2-NFR-08-A1</t>
  </si>
  <si>
    <t>Revisione trimestrale automatica degli accessi ai dati clienti senza pratica associata.</t>
  </si>
  <si>
    <t>2026Q2-NFR-09-A1</t>
  </si>
  <si>
    <t>Estendere lo screening sanzioni alle controparti indirette dei pagamenti verso paesi di transito.</t>
  </si>
  <si>
    <t>2026Q2-NFR-10-A1</t>
  </si>
  <si>
    <t>Campionamento settimanale delle risposte del chatbot con verifica umana.</t>
  </si>
  <si>
    <t>Funzione Customer Experience</t>
  </si>
  <si>
    <t>2026Q2-NFR-11-A1</t>
  </si>
  <si>
    <t>Piano di sostituzione delle componenti fuori supporto del sistema di pagamento.</t>
  </si>
  <si>
    <t>Funzione IT Operations</t>
  </si>
  <si>
    <t>2026Q2-NFR-12-A1</t>
  </si>
  <si>
    <t>Controllo giornaliero automatico delle differenze di riconciliazione sui bonifici istantanei.</t>
  </si>
  <si>
    <t>2026-05-25</t>
  </si>
  <si>
    <t>Notizia</t>
  </si>
  <si>
    <t>N-20260520-01</t>
  </si>
  <si>
    <t>Guasto regionale del fornitore cloud per sei ore</t>
  </si>
  <si>
    <t>Rischio_ID</t>
  </si>
  <si>
    <t>Segnale</t>
  </si>
  <si>
    <t>Peggiorativo</t>
  </si>
  <si>
    <t>2026-06-15</t>
  </si>
  <si>
    <t>N-20260609-01</t>
  </si>
  <si>
    <t>Nuova ondata di frodi con voce clonata su bonifici istantanei</t>
  </si>
  <si>
    <t>N-20260610-01</t>
  </si>
  <si>
    <t>Stabilizzazione dei sistemi dopo la wave 1 in banche comparabili</t>
  </si>
  <si>
    <t>Migliorativo</t>
  </si>
  <si>
    <t>N-20260611-01</t>
  </si>
  <si>
    <t>Il fornitore cloud annuncia una nuova region in Italia</t>
  </si>
  <si>
    <t>2026-06-22</t>
  </si>
  <si>
    <t>N-20260616-01</t>
  </si>
  <si>
    <t>Frodi con deepfake video in una banca tedesca</t>
  </si>
  <si>
    <t>N-20260617-01</t>
  </si>
  <si>
    <t>Chiusi i rilievi di audit sulla migrazione presso un peer</t>
  </si>
  <si>
    <t>N-20260618-01</t>
  </si>
  <si>
    <t>Allerta caldo estremo nel Nord Italia</t>
  </si>
  <si>
    <t>Neutro</t>
  </si>
  <si>
    <t>2026-06-29</t>
  </si>
  <si>
    <t>N-20260623-01</t>
  </si>
  <si>
    <t>Il fornitore cloud pubblica il report di resilienza</t>
  </si>
  <si>
    <t>N-20260624-01</t>
  </si>
  <si>
    <t>Linee guida europee sul rimborso delle frodi APP</t>
  </si>
  <si>
    <t>N-20260625-01</t>
  </si>
  <si>
    <t>Wave 1 chiusa senza incidenti gravi nel trimestre</t>
  </si>
  <si>
    <r>
      <rPr>
        <b/>
        <sz val="10"/>
        <color rgb="FF7F6000"/>
        <rFont val="Calibri"/>
      </rPr>
      <t>CELLE GIALLE = INPUT, decisi dalla funzione di rischio e registrati in DECISIONI.md.</t>
    </r>
    <r>
      <rPr>
        <sz val="10"/>
        <color rgb="FF262626"/>
        <rFont val="Calibri"/>
      </rPr>
      <t xml:space="preserve">
Pesi, soglie e parametri dell'urgenza valgono per tutti i cicli, passati compresi. Ciclo e settimana correnti li scrive lo script. Nessuna costante e' nascosta nelle formule.</t>
    </r>
  </si>
  <si>
    <t>ANAGRAFICA DEI RISCHI ATTIVI — colonne H-K: lo script le scrive a ogni ciclo trimestrale dalla valutazione di A1. Colonne gialle L-N: le decide il validatore e restano da un ciclo all'altro. Un rischio si toglie solo con il comando 'dismetti': una riga vuota in mezzo toglierebbe dal radar l'ultimo rischio.</t>
  </si>
  <si>
    <t>Pesi dello Score_Composito (D-19)</t>
  </si>
  <si>
    <t>Tassonomia — event type L1</t>
  </si>
  <si>
    <t>Event_Type</t>
  </si>
  <si>
    <t>Driver</t>
  </si>
  <si>
    <t>Anni_Adeguamento</t>
  </si>
  <si>
    <t>Attenzione_Supervisore</t>
  </si>
  <si>
    <t>DRV-AI, DRV-CYB</t>
  </si>
  <si>
    <t>Sì</t>
  </si>
  <si>
    <t>DRV-TPR, DRV-CYB</t>
  </si>
  <si>
    <t>Prossimita'</t>
  </si>
  <si>
    <t>DRV-CON, DRV-CLI</t>
  </si>
  <si>
    <t>No</t>
  </si>
  <si>
    <t>DRV-CLI</t>
  </si>
  <si>
    <t>DRV-TEC</t>
  </si>
  <si>
    <t>DRV-AI, DRV-HUM</t>
  </si>
  <si>
    <t>Soglie</t>
  </si>
  <si>
    <t>DRV-CYB, DRV-TPR</t>
  </si>
  <si>
    <t>Soglia di direzione (segnali netti in 4 settimane)</t>
  </si>
  <si>
    <t>DRV-HUM, DRV-CON</t>
  </si>
  <si>
    <t>Soglia di evidenziazione del Delta composito</t>
  </si>
  <si>
    <t>Driver emergenti</t>
  </si>
  <si>
    <t>DRV-GEO</t>
  </si>
  <si>
    <t>DRV-CYB</t>
  </si>
  <si>
    <t>Cyber</t>
  </si>
  <si>
    <t>DRV-AI, DRV-CON</t>
  </si>
  <si>
    <t>Cicli del radar</t>
  </si>
  <si>
    <t>DRV-TPR</t>
  </si>
  <si>
    <t>Terze parti</t>
  </si>
  <si>
    <t>Ciclo corrente (scritto dalla scrittura A2)</t>
  </si>
  <si>
    <t>DRV-AI</t>
  </si>
  <si>
    <t>Intelligenza artificiale</t>
  </si>
  <si>
    <t>Ciclo precedente</t>
  </si>
  <si>
    <t>Clima e ambiente</t>
  </si>
  <si>
    <t>Due cicli prima</t>
  </si>
  <si>
    <t>DRV-CON</t>
  </si>
  <si>
    <t>Condotta</t>
  </si>
  <si>
    <t>Geopolitica</t>
  </si>
  <si>
    <t>Cicli del trend (dal piu' vecchio)</t>
  </si>
  <si>
    <t>Debito tecnologico</t>
  </si>
  <si>
    <t>T-7</t>
  </si>
  <si>
    <t>DRV-HUM</t>
  </si>
  <si>
    <t>Capitale umano</t>
  </si>
  <si>
    <t>T-6</t>
  </si>
  <si>
    <t>T-5</t>
  </si>
  <si>
    <t>T-4</t>
  </si>
  <si>
    <t>T-3</t>
  </si>
  <si>
    <t>T-2</t>
  </si>
  <si>
    <t>T-1</t>
  </si>
  <si>
    <t>T (corrente)</t>
  </si>
  <si>
    <t>Settimane</t>
  </si>
  <si>
    <t>Settimana corrente (lunedi', scritta dalla scrittura A3)</t>
  </si>
  <si>
    <t>Inizio finestra del badge (4 settimane)</t>
  </si>
  <si>
    <t>Finestra di 12 settimane (dal piu' vecchio)</t>
  </si>
  <si>
    <t>Urgenza — disuguaglianza di Mosca (X + Y &gt; Z = agire ora)</t>
  </si>
  <si>
    <t>X: anni per decidere e avviare la mitigazione</t>
  </si>
  <si>
    <t>Y di riserva: anni di mitigazione se il rischio non ha azioni</t>
  </si>
  <si>
    <t>Z: anni prima che il rischio possa manifestarsi, per Prossimita'</t>
  </si>
  <si>
    <t>Prossimita 1 — oltre 3 anni</t>
  </si>
  <si>
    <t>Prossimita 2 — 2-3 anni</t>
  </si>
  <si>
    <t>Prossimita 3 — 1-2 anni</t>
  </si>
  <si>
    <t>Prossimita 4 — entro 12 mesi</t>
  </si>
  <si>
    <t>Prossimita 5 — in corso o imminente</t>
  </si>
  <si>
    <t>Etichetta del ciclo (fascia del titolo)</t>
  </si>
  <si>
    <r>
      <rPr>
        <b/>
        <sz val="10"/>
        <color rgb="FF404040"/>
        <rFont val="Calibri"/>
      </rPr>
      <t>OGNI DATO DEL WORKBOOK — chi lo scrive e quando (colore del processo), che cosa significa, come si calcola, valori ammessi, un esempio.</t>
    </r>
    <r>
      <rPr>
        <sz val="10"/>
        <color rgb="FF262626"/>
        <rFont val="Calibri"/>
      </rPr>
      <t xml:space="preserve">
Le colonne delle tabelle dati vengono dalla mappa dei campi del pacchetto (01_Kernel/mappatura_campi.json): sono sempre quelle in uso.</t>
    </r>
  </si>
  <si>
    <t>Dato</t>
  </si>
  <si>
    <t>Dove</t>
  </si>
  <si>
    <t>Chi lo scrive, quando</t>
  </si>
  <si>
    <t>Che cosa significa</t>
  </si>
  <si>
    <t>Come si calcola / regola</t>
  </si>
  <si>
    <t>Valori</t>
  </si>
  <si>
    <t>Esempio (NFR-01, 2026Q2)</t>
  </si>
  <si>
    <t>RiskRegister — valutazioni dei rischi</t>
  </si>
  <si>
    <t>A1, ciclo trimestrale; validato</t>
  </si>
  <si>
    <t>Trimestre valutato (AAAAQn).</t>
  </si>
  <si>
    <t>Ciclo da valutare, dalla baseline.</t>
  </si>
  <si>
    <t>AAAAQn</t>
  </si>
  <si>
    <t>Data_Riferimento</t>
  </si>
  <si>
    <t>Data fino alla quale sono considerate le fonti (fine del trimestre).</t>
  </si>
  <si>
    <t>Fine del trimestre valutato, dalla baseline.</t>
  </si>
  <si>
    <t>data</t>
  </si>
  <si>
    <t>30/06/2026</t>
  </si>
  <si>
    <t>ID_Rischio</t>
  </si>
  <si>
    <t>Codice stabile del rischio (NFR-nn), uguale in tutti i cicli.</t>
  </si>
  <si>
    <t>Dal payload dell'agente, scritto dallo script.</t>
  </si>
  <si>
    <t>—</t>
  </si>
  <si>
    <t>Nome breve del rischio.</t>
  </si>
  <si>
    <t>Frodi su pagamenti istantanei abilit…</t>
  </si>
  <si>
    <t>Categoria di perdita L1-01..L1-07 (tassonomia di Basilea): il settore del radar.</t>
  </si>
  <si>
    <t>L1-01..L1-07</t>
  </si>
  <si>
    <t>Fattori emergenti che alimentano il rischio (DRV-...).</t>
  </si>
  <si>
    <t>1-5: impatto se il rischio si manifesta.</t>
  </si>
  <si>
    <t>Descrittore della rubrica piu' aderente all'evidenza; al massimo un punto di variazione fra cicli.</t>
  </si>
  <si>
    <t>1-5</t>
  </si>
  <si>
    <t>1-5: rapidita' fra innesco e pieno impatto (5 = entro 24 ore).</t>
  </si>
  <si>
    <t>1-5: quando puo' manifestarsi (5 = in corso); da' la Z di Mosca.</t>
  </si>
  <si>
    <t>1-5: distanza fra presidio attuale e adeguato (5 = nessun controllo specifico).</t>
  </si>
  <si>
    <t>Come Severity; scende solo con un controllo testato.</t>
  </si>
  <si>
    <t>3</t>
  </si>
  <si>
    <t>Score_Composito</t>
  </si>
  <si>
    <t>Formula del foglio</t>
  </si>
  <si>
    <t>Media pesata delle cinque dimensioni con i pesi di Parametri: 1-5, 5 = peggiore.</t>
  </si>
  <si>
    <t>0,30 Sev + 0,20 Prob + 0,20 Gap + 0,15 Vel + 0,15 Pross, pesi in Parametri; 2 decimali; vuoto se manca una dimensione.</t>
  </si>
  <si>
    <t>1,00-5,00</t>
  </si>
  <si>
    <t>3,80</t>
  </si>
  <si>
    <t>1-5: solidita' delle fonti, non gravita'. Fuori dallo score.</t>
  </si>
  <si>
    <t>4 richiede almeno 2 fonti, 5 almeno 3.</t>
  </si>
  <si>
    <t>1-5: frequenza attesa con i controlli attuali.</t>
  </si>
  <si>
    <t>Come Severity; un numero senza fonte e' dichiarato come valutazione.</t>
  </si>
  <si>
    <t>Confermato (nessun valore cambiato), Variato (almeno uno) o Nuovo.</t>
  </si>
  <si>
    <t>Confermato se nessun valore cambia; Variato se ne cambia almeno uno; Nuovo per un rischio nuovo. Ricalcolato dopo la validazione.</t>
  </si>
  <si>
    <t>Confermato, Variato, Nuovo</t>
  </si>
  <si>
    <t>Variato</t>
  </si>
  <si>
    <t>Descrizione</t>
  </si>
  <si>
    <t>Meccanismo di perdita: che cosa succede, a chi, con quale danno.</t>
  </si>
  <si>
    <t>Frodi a danno dei clienti tramite vo…</t>
  </si>
  <si>
    <t>Razionale</t>
  </si>
  <si>
    <t>Perche' ogni punteggio, con i fatti delle fonti.</t>
  </si>
  <si>
    <t>Severity 4 per importi medi in forte…</t>
  </si>
  <si>
    <t>Variazioni</t>
  </si>
  <si>
    <t>Per ogni valore cambiato: da, a, evidenza datata (leggibile nelle Schede).</t>
  </si>
  <si>
    <t>Per ogni valore cambiato: da, a, evidenza e sua data (dopo il ciclo precedente); al massimo un punto per dimensione.</t>
  </si>
  <si>
    <t>severity da 3 a 4: report frodi (202…</t>
  </si>
  <si>
    <t>Fonti</t>
  </si>
  <si>
    <t>Fonti citate, con data e tipo Interna/Esterna (leggibili nelle Schede).</t>
  </si>
  <si>
    <t>4 fonti, 2 interne</t>
  </si>
  <si>
    <t>Script, quando scrive il ciclo</t>
  </si>
  <si>
    <t>Funzione responsabile, presa dall'anagrafica (Parametri).</t>
  </si>
  <si>
    <t>Copiato dall'anagrafica (Parametri, colonna L) al momento della scrittura.</t>
  </si>
  <si>
    <t>Ciclo|ID: chiave di ricerca per le viste.</t>
  </si>
  <si>
    <t>Ciclo e ID uniti da "|": serve alle viste per trovare la riga.</t>
  </si>
  <si>
    <t>2026Q2|NFR-01</t>
  </si>
  <si>
    <t>Data_Scrittura</t>
  </si>
  <si>
    <t>Giorno in cui lo script ha scritto la riga.</t>
  </si>
  <si>
    <t>Data del giorno in cui lo script scrive la riga.</t>
  </si>
  <si>
    <t>Approvato_Da</t>
  </si>
  <si>
    <t>Comando valida, dalla decisione del validatore</t>
  </si>
  <si>
    <t>Chi ha validato il ciclo.</t>
  </si>
  <si>
    <t>Il nome passato al comando valida (--validatore).</t>
  </si>
  <si>
    <t>Da validare, poi Accettato o Rettificato.</t>
  </si>
  <si>
    <t>Da validare alla scrittura; il comando valida scrive Accettato, Rettificato o Respinto (un rischio non si respinge).</t>
  </si>
  <si>
    <t>Da validare, Accettato, Rettificato, Respinto</t>
  </si>
  <si>
    <t>Giorno della validazione.</t>
  </si>
  <si>
    <t>Giorno in cui si lancia il comando valida.</t>
  </si>
  <si>
    <t>15/07/2026</t>
  </si>
  <si>
    <t>Azioni — azioni di mitigazione</t>
  </si>
  <si>
    <t>Trimestre in cui l'azione e' stata proposta.</t>
  </si>
  <si>
    <t>Rischio a cui l'azione si riferisce.</t>
  </si>
  <si>
    <t>ID_Azione</t>
  </si>
  <si>
    <t>Codice &lt;ciclo&gt;-&lt;rischio&gt;-A&lt;n&gt;.</t>
  </si>
  <si>
    <t>&lt;ciclo&gt;-&lt;rischio&gt;-A&lt;n&gt;, n = posizione dell'azione nel rischio.</t>
  </si>
  <si>
    <t>Che cosa fare, in concreto.</t>
  </si>
  <si>
    <t>Introdurre la verifica fuori banda p…</t>
  </si>
  <si>
    <t>Funzione che la realizza, mai una persona.</t>
  </si>
  <si>
    <t>Dimensione</t>
  </si>
  <si>
    <t>Dimensione del rischio che l'azione riduce.</t>
  </si>
  <si>
    <t>gap_controlli</t>
  </si>
  <si>
    <t>Tempo per completarla: 3, 6 o 12 mesi.</t>
  </si>
  <si>
    <t>3, 6, 12 mesi</t>
  </si>
  <si>
    <t>Mesi_Orizzonte</t>
  </si>
  <si>
    <t>Orizzonte in mesi: il piu' lungo fra le azioni non respinte e' la Y di Mosca.</t>
  </si>
  <si>
    <t>Il numero di mesi dell'orizzonte (3, 6, 12); il piu' lungo fra le azioni non respinte e' la Y di Mosca.</t>
  </si>
  <si>
    <t>6</t>
  </si>
  <si>
    <t>Perche' l'azione riduce quella dimensione.</t>
  </si>
  <si>
    <t>Riduce il gap_controlli: oggi la ver…</t>
  </si>
  <si>
    <t>Proposta, poi Approvata o Respinta (validazione); In corso e Completata a mano; Annullata se il rischio esce.</t>
  </si>
  <si>
    <t>Proposta — da valutare; Approvata o Respinta con la validazione; In corso e Completata a mano; Annullata se il rischio esce.</t>
  </si>
  <si>
    <t>Approvata</t>
  </si>
  <si>
    <t>Data_Decisione</t>
  </si>
  <si>
    <t>Giorno della decisione sull'azione.</t>
  </si>
  <si>
    <t>Giorno del comando valida che ha deciso l'azione.</t>
  </si>
  <si>
    <t>Decisa_Da</t>
  </si>
  <si>
    <t>Chi ha deciso.</t>
  </si>
  <si>
    <t>Da validare, poi Accettato, Rettificato o Respinto.</t>
  </si>
  <si>
    <t>KRI — storico degli indicatori</t>
  </si>
  <si>
    <t>Ciclo della fotografia: ogni ciclo aggiunge una riga per KRI in vigore.</t>
  </si>
  <si>
    <t>Codice stabile NFR-nn-Kn: la stessa serie storica in tutti i cicli.</t>
  </si>
  <si>
    <t>Riuso del codice se il KRI resta; altrimenti primo progressivo libero del rischio (NFR-nn-Kn), mai riusato.</t>
  </si>
  <si>
    <t>Rischio che il KRI misura.</t>
  </si>
  <si>
    <t>Che cosa misura.</t>
  </si>
  <si>
    <t>Tentativi di frode APP per 10.000 bo…</t>
  </si>
  <si>
    <t>Unita</t>
  </si>
  <si>
    <t>Unita' di misura (n, %, ore, n/10k...).</t>
  </si>
  <si>
    <t>n/10k</t>
  </si>
  <si>
    <t>Fonte_Dati</t>
  </si>
  <si>
    <t>Sistema o report interno da cui si prende il valore.</t>
  </si>
  <si>
    <t>Sistema antifrode transazionale</t>
  </si>
  <si>
    <t>Da questo valore in su: Ambra.</t>
  </si>
  <si>
    <t>Da questo valore in su: Rosso. Mai sotto la soglia di attenzione.</t>
  </si>
  <si>
    <t>Valore rilevato per QUESTO ciclo; vuoto se non rilevato, mai ricopiato.</t>
  </si>
  <si>
    <t>Rilevato dalla fonte interna; vuoto se non rilevato, mai ricopiato dal ciclo prima.</t>
  </si>
  <si>
    <t>4,20</t>
  </si>
  <si>
    <t>Data_Rilevazione</t>
  </si>
  <si>
    <t>Data del valore rilevato.</t>
  </si>
  <si>
    <t>Data di riferimento del ciclo se c'e' un valore rilevato; vuota altrimenti.</t>
  </si>
  <si>
    <t>Fonte_Rilevazione</t>
  </si>
  <si>
    <t>Documento o estrazione da cui viene il valore.</t>
  </si>
  <si>
    <t>Nota_Rilevazione</t>
  </si>
  <si>
    <t>Commento alla rilevazione.</t>
  </si>
  <si>
    <t>Rilevazione di fine trimestre.</t>
  </si>
  <si>
    <t>Verde, Ambra o Rosso rispetto alle soglie; Non rilevato senza valore.</t>
  </si>
  <si>
    <t>Rosso se valore &gt;= allerta; Ambra se &gt;= attenzione; Verde sotto; Non rilevato senza valore; SOGLIE INVERTITE se allerta &lt; attenzione.</t>
  </si>
  <si>
    <t>In_Vigore</t>
  </si>
  <si>
    <t>Sì; No = il KRI esce in questo ciclo e la serie finisce.</t>
  </si>
  <si>
    <t>Sì per i KRI proposti nel ciclo; No nella riga del ciclo in cui un KRI non e' riproposto o e' respinto.</t>
  </si>
  <si>
    <t>Sì, No</t>
  </si>
  <si>
    <t>Ciclo_Definizione</t>
  </si>
  <si>
    <t>Ciclo in cui il KRI e' nato.</t>
  </si>
  <si>
    <t>Ciclo in cui il KRI e' nato; non cambia quando se ne aggiorna la definizione.</t>
  </si>
  <si>
    <t>2025Q4</t>
  </si>
  <si>
    <t>Ciclo_Aggiornamento</t>
  </si>
  <si>
    <t>Ultimo ciclo che ne ha scritto la definizione.</t>
  </si>
  <si>
    <t>Perche' il KRI misura il rischio.</t>
  </si>
  <si>
    <t>Misura una componente del rischio NF…</t>
  </si>
  <si>
    <t>Ciclo|KRI_ID: chiave di ricerca per le viste.</t>
  </si>
  <si>
    <t>NewsLog — notizie</t>
  </si>
  <si>
    <t>Data</t>
  </si>
  <si>
    <t>A3, ciclo settimanale</t>
  </si>
  <si>
    <t>Data della notizia.</t>
  </si>
  <si>
    <t>09/06/2026</t>
  </si>
  <si>
    <t>Lunedi' della settimana della notizia.</t>
  </si>
  <si>
    <t>Lunedi' della settimana della data della notizia.</t>
  </si>
  <si>
    <t>08/06/2026</t>
  </si>
  <si>
    <t>ID_Notizia</t>
  </si>
  <si>
    <t>Codice unico N-AAAAMMGG-nn.</t>
  </si>
  <si>
    <t>Titolo</t>
  </si>
  <si>
    <t>Titolo della notizia.</t>
  </si>
  <si>
    <t>Nuova ondata di frodi con voce clona…</t>
  </si>
  <si>
    <t>Testata o ente che la pubblica.</t>
  </si>
  <si>
    <t>CERT finanziario nazionale</t>
  </si>
  <si>
    <t>Codice_Fonte</t>
  </si>
  <si>
    <t>Codice del catalogo fonti (FNT-nn), MAN se raccolta a mano.</t>
  </si>
  <si>
    <t>FNT-34</t>
  </si>
  <si>
    <t>Rischio toccato; NON PRESIDIATO se nessun rischio censito.</t>
  </si>
  <si>
    <t>Rischio indicato da A3; NON PRESIDIATO se la notizia non tocca rischi censiti.</t>
  </si>
  <si>
    <t>Direzione per il rischio: Peggiorativo, Migliorativo, Neutro, Non rilevante.</t>
  </si>
  <si>
    <t>Peggiorativo, Migliorativo, Neutro, Non rilevante</t>
  </si>
  <si>
    <t>Imp_L1_01</t>
  </si>
  <si>
    <t>Intensita' 0-3 sull'event type L1-01 (0 = nessun nesso, 3 = diretto e immediato).</t>
  </si>
  <si>
    <t>0</t>
  </si>
  <si>
    <t>Imp_L1_02</t>
  </si>
  <si>
    <t>Intensita' 0-3 sull'event type L1-02 (0 = nessun nesso, 3 = diretto e immediato).</t>
  </si>
  <si>
    <t>Imp_L1_03</t>
  </si>
  <si>
    <t>Intensita' 0-3 sull'event type L1-03 (0 = nessun nesso, 3 = diretto e immediato).</t>
  </si>
  <si>
    <t>Imp_L1_04</t>
  </si>
  <si>
    <t>Intensita' 0-3 sull'event type L1-04 (0 = nessun nesso, 3 = diretto e immediato).</t>
  </si>
  <si>
    <t>1</t>
  </si>
  <si>
    <t>Imp_L1_05</t>
  </si>
  <si>
    <t>Intensita' 0-3 sull'event type L1-05 (0 = nessun nesso, 3 = diretto e immediato).</t>
  </si>
  <si>
    <t>Imp_L1_06</t>
  </si>
  <si>
    <t>Intensita' 0-3 sull'event type L1-06 (0 = nessun nesso, 3 = diretto e immediato).</t>
  </si>
  <si>
    <t>Imp_L1_07</t>
  </si>
  <si>
    <t>Intensita' 0-3 sull'event type L1-07 (0 = nessun nesso, 3 = diretto e immediato).</t>
  </si>
  <si>
    <t>Sintesi</t>
  </si>
  <si>
    <t>Che cosa dice la notizia, in breve.</t>
  </si>
  <si>
    <t>Allerta del CERT su campagne con voc…</t>
  </si>
  <si>
    <t>Sintesi_Cicli — commenti di A1 e A5</t>
  </si>
  <si>
    <t>Trimestre valutato.</t>
  </si>
  <si>
    <t>Data di riferimento del ciclo.</t>
  </si>
  <si>
    <t>Sintesi_A1</t>
  </si>
  <si>
    <t>Commento per il comitato nella forma MESSAGGIO: ... DECISIONI: ... (il Quadro lo divide in due righe).</t>
  </si>
  <si>
    <t>Scritta da A1 nella forma "MESSAGGIO: ... DECISIONI: ...": il Quadro d'insieme la divide in due righe.</t>
  </si>
  <si>
    <t>MESSAGGIO: ...</t>
  </si>
  <si>
    <t>Sintesi_A5</t>
  </si>
  <si>
    <t>A5, ciclo trimestrale</t>
  </si>
  <si>
    <t>Sintesi del controllo indipendente del challenger.</t>
  </si>
  <si>
    <t>Controlli superati...</t>
  </si>
  <si>
    <t>Osservazioni_Controlli</t>
  </si>
  <si>
    <t>Numero di rilievi non bloccanti (A5 e controlli dello script).</t>
  </si>
  <si>
    <t>Conteggio dei rilievi 'Osservazione' di A5 e dei controlli dello script.</t>
  </si>
  <si>
    <t>Validazione — decisioni del validatore</t>
  </si>
  <si>
    <t>Ciclo (AAAAQn) o lunedi' della settimana.</t>
  </si>
  <si>
    <t>Ciclo (per il trimestrale) o lunedi' della settimana (per il settimanale) della scrittura.</t>
  </si>
  <si>
    <t>Rischio, KRI, Azione o Notizia.</t>
  </si>
  <si>
    <t>Tipo della riga proposta dall'agente.</t>
  </si>
  <si>
    <t>Codice dell'oggetto.</t>
  </si>
  <si>
    <t>Codice dell'oggetto proposto (rischio, KRI, azione, notizia).</t>
  </si>
  <si>
    <t>Nome dell'oggetto, per riconoscerlo.</t>
  </si>
  <si>
    <t>Copiato dall'oggetto, per riconoscerlo senza cambiare foglio.</t>
  </si>
  <si>
    <t>Informazioni errate ai clienti da as…</t>
  </si>
  <si>
    <t>Valore proposto su cui decidere.</t>
  </si>
  <si>
    <t>Uno dei campi da validare: 6 per rischio, 3 per KRI, 2 per azione, 2 per notizia.</t>
  </si>
  <si>
    <t>Valore proposto dall'agente. Non si cancella mai.</t>
  </si>
  <si>
    <t>Valore scritto dall'agente, copiato qui alla scrittura; resta per sempre.</t>
  </si>
  <si>
    <t>Validatore, a mano</t>
  </si>
  <si>
    <t>DA COMPILARE: Accettato, Rettificato o Respinto.</t>
  </si>
  <si>
    <t>Scelta dall'elenco; lasciata vuota, con --accetta-il-resto diventa Accettato.</t>
  </si>
  <si>
    <t>Accettato, Rettificato, Respinto</t>
  </si>
  <si>
    <t>DA COMPILARE solo se Rettificato: il valore giusto.</t>
  </si>
  <si>
    <t>Rischio: intero 1-5 a non piu' di un punto dal ciclo prima; KRI: numero; azione: owner o 3/6/12 mesi.</t>
  </si>
  <si>
    <t>DA COMPILARE se Rettificato o Respinto: almeno 10 caratteri, con l'evidenza.</t>
  </si>
  <si>
    <t>Obbligatoria con Rettificato o Respinto: almeno 10 caratteri, con l'evidenza.</t>
  </si>
  <si>
    <t>Chatbot in produzione da aprile: nes…</t>
  </si>
  <si>
    <t>Chi ha validato.</t>
  </si>
  <si>
    <t>Da decidere, poi Applicata.</t>
  </si>
  <si>
    <t>Da decidere quando la scrive lo script; Applicata dopo il comando valida. Non si tocca a mano.</t>
  </si>
  <si>
    <t>Valori calcolati nelle viste</t>
  </si>
  <si>
    <t>Registro, Delta, Classifica</t>
  </si>
  <si>
    <t>Variazione dello score sul trimestre precedente.</t>
  </si>
  <si>
    <t>Score del ciclo meno score del ciclo prima, stessi pesi.</t>
  </si>
  <si>
    <t>-1..+1</t>
  </si>
  <si>
    <t>+0,30</t>
  </si>
  <si>
    <t>Variazione dello score su due trimestri.</t>
  </si>
  <si>
    <t>Score del ciclo meno score di due cicli prima; "nuovo" se allora il rischio non c'era.</t>
  </si>
  <si>
    <t>-2..+2</t>
  </si>
  <si>
    <t>+0,45</t>
  </si>
  <si>
    <t>Matrice, Radar_Mosca</t>
  </si>
  <si>
    <t>Gravita': probabilita' per impatto.</t>
  </si>
  <si>
    <t>Probabilita x Severity.</t>
  </si>
  <si>
    <t>1-25</t>
  </si>
  <si>
    <t>16</t>
  </si>
  <si>
    <t>Radar_Mosca, Registro</t>
  </si>
  <si>
    <t>Anni prima che il rischio possa manifestarsi.</t>
  </si>
  <si>
    <t>Dalla Prossimita: 5 → 0; 4 → 0,5; 3 → 1,5; 2 → 2,5; 1 → 4 (Parametri).</t>
  </si>
  <si>
    <t>anni</t>
  </si>
  <si>
    <t>0,5</t>
  </si>
  <si>
    <t>Parametro</t>
  </si>
  <si>
    <t>Anni per decidere e avviare.</t>
  </si>
  <si>
    <t>Costante in Parametri: un trimestre.</t>
  </si>
  <si>
    <t>0,25</t>
  </si>
  <si>
    <t>Y</t>
  </si>
  <si>
    <t>Anni per mitigare.</t>
  </si>
  <si>
    <t>Orizzonte piu' lungo delle azioni non respinte (1 anno se non ce ne sono); se maggiori, gli anni di adeguamento.</t>
  </si>
  <si>
    <t>Margine / Urgenza</t>
  </si>
  <si>
    <t>Radar_Mosca, Registro, Classifica, Quadro</t>
  </si>
  <si>
    <t>Quanto presto agire.</t>
  </si>
  <si>
    <t>Margine = Z - (X + Y). Sotto 0: AGIRE ORA; da 0 a 1: entro l'anno; oltre: margine in anni.</t>
  </si>
  <si>
    <t>-0,25 · AGIRE ORA</t>
  </si>
  <si>
    <t>KRI R, A, V</t>
  </si>
  <si>
    <t>Semaforo dei KRI del rischio.</t>
  </si>
  <si>
    <t>Conteggio dei KRI in vigore per Stato.</t>
  </si>
  <si>
    <t>interi</t>
  </si>
  <si>
    <t>0, 2, 1</t>
  </si>
  <si>
    <t>Formula del foglio, dopo il settimanale</t>
  </si>
  <si>
    <t>Direzione delle notizie sul rischio nelle ultime 4 settimane.</t>
  </si>
  <si>
    <t>Peggiorative meno migliorative; ▲ o ▼ oltre la soglia di Parametri (3). Non cambia lo score.</t>
  </si>
  <si>
    <t>intero</t>
  </si>
  <si>
    <t>▲ +3</t>
  </si>
  <si>
    <t>Posizione in classifica</t>
  </si>
  <si>
    <t>Classifica, Quadro</t>
  </si>
  <si>
    <t>Ordine per score composito.</t>
  </si>
  <si>
    <t>Dal piu' alto; a parita', ordine dell'anagrafica.</t>
  </si>
  <si>
    <t>1..n</t>
  </si>
  <si>
    <t>Motivo per cui un rischio e' fra i segnalati.</t>
  </si>
  <si>
    <t>Primi tre per score, AGIRE ORA, variati o nuovi; con urgenza, supervisore, KRI rossi, notizie.</t>
  </si>
  <si>
    <t>testo</t>
  </si>
  <si>
    <t>1° per score...</t>
  </si>
  <si>
    <t>Quando l'azione dovrebbe essere completata.</t>
  </si>
  <si>
    <t>Data della decisione + orizzonte, per le azioni approvate o in corso.</t>
  </si>
  <si>
    <t>15/01/2027</t>
  </si>
  <si>
    <t>Parametri e anagrafica (input)</t>
  </si>
  <si>
    <t>Pesi dello score</t>
  </si>
  <si>
    <t>Parametri B4:B8</t>
  </si>
  <si>
    <t>Funzione di rischio (DECISIONI D-19)</t>
  </si>
  <si>
    <t>Peso di ogni dimensione nello score.</t>
  </si>
  <si>
    <t>Somma controllata = 1.</t>
  </si>
  <si>
    <t>0-1</t>
  </si>
  <si>
    <t>0,30 / 0,20 / 0,20 / 0,15 / 0,15</t>
  </si>
  <si>
    <t>Soglia di direzione</t>
  </si>
  <si>
    <t>Parametri B11</t>
  </si>
  <si>
    <t>Funzione di rischio</t>
  </si>
  <si>
    <t>Segnali netti oltre cui c'e' una tendenza.</t>
  </si>
  <si>
    <t>Confronto con i segnali netti di 4 settimane.</t>
  </si>
  <si>
    <t>Soglia del Delta</t>
  </si>
  <si>
    <t>Parametri B12</t>
  </si>
  <si>
    <t>Variazione dello score da guardare.</t>
  </si>
  <si>
    <t>Evidenzia |Δ| &gt;= soglia.</t>
  </si>
  <si>
    <t>decimale</t>
  </si>
  <si>
    <t>0,40</t>
  </si>
  <si>
    <t>Anni per Prossimita (Z)</t>
  </si>
  <si>
    <t>Parametri B51:B55</t>
  </si>
  <si>
    <t>Tempo prima della manifestazione per livello.</t>
  </si>
  <si>
    <t>Letti da Z.</t>
  </si>
  <si>
    <t>4 / 2,5 / 1,5 / 0,5 / 0</t>
  </si>
  <si>
    <t>Parametri, anagrafica L</t>
  </si>
  <si>
    <t>Funzione responsabile del rischio.</t>
  </si>
  <si>
    <t>Resta da un ciclo all'altro; Da assegnare per un rischio nuovo.</t>
  </si>
  <si>
    <t>Parametri, anagrafica M</t>
  </si>
  <si>
    <t>Durata di un adeguamento strutturale.</t>
  </si>
  <si>
    <t>Diventa la Y minima di Mosca.</t>
  </si>
  <si>
    <t>anni o vuoto</t>
  </si>
  <si>
    <t>NFR-11: 3</t>
  </si>
  <si>
    <t>Parametri, anagrafica N</t>
  </si>
  <si>
    <t>Tema nelle priorita' di BCE, EBA o Banca d'Italia.</t>
  </si>
  <si>
    <t>Bordo giallo nel radar, ◆ nelle tabelle; non cambia score ne' urgenza.</t>
  </si>
  <si>
    <r>
      <rPr>
        <b/>
        <sz val="10"/>
        <color rgb="FF1F4E79"/>
        <rFont val="Calibri"/>
      </rPr>
      <t>CICLO TRIMESTRALE — lo script scrive la valutazione di A1 controllata da A5; il comando valida applica le decisioni del validatore. Si scrive solo con lo script: non modificare a mano (le viste e la baseline leggono queste righe).</t>
    </r>
    <r>
      <rPr>
        <sz val="10"/>
        <color rgb="FF262626"/>
        <rFont val="Calibri"/>
      </rPr>
      <t xml:space="preserve">
Cosa contiene: una riga per rischio per ciclo, solo in aggiunta: la storia di tutte le valutazioni, con i valori VALIDATI (la proposta dell'agente resta nel foglio Validazione).
Come si legge: cinque dimensioni intere 1-5 (5 = peggiore) con i descrittori del foglio Metodologia; Score_Composito = media pesata con i pesi di Parametri; Confidence = solidita' delle fonti, non gravita'. Fra due cicli ogni valore cambia al massimo di un punto e cita un'evidenza datata.
Colore delle intestazioni = chi scrive la colonna: azzurro l'agente del ciclo trimestrale (A1, A5), verde l'agente settimanale (A3), giallo la validazione, grigio lo script o una formula. Righe grigie = dati di esempio.</t>
    </r>
  </si>
  <si>
    <t>A1 · ciclo trimestrale, poi validato</t>
  </si>
  <si>
    <t>Formula · calcolata dal foglio</t>
  </si>
  <si>
    <t>Validazione · comando valida</t>
  </si>
  <si>
    <t>A1 · Trimestre valutato (AAAAQn).</t>
  </si>
  <si>
    <t>A1 · Data fino alla quale sono considerate le fonti (fine del trimestre).</t>
  </si>
  <si>
    <t>A1 · Codice stabile del rischio (NFR-nn), uguale in tutti i cicli.</t>
  </si>
  <si>
    <t>A1 · Nome breve del rischio.</t>
  </si>
  <si>
    <t>A1 · Categoria di perdita L1-01..L1-07 (tassonomia di Basilea): il settore del radar.</t>
  </si>
  <si>
    <t>A1 · Fattori emergenti che alimentano il rischio (DRV-...).</t>
  </si>
  <si>
    <t>A1 · 1-5: impatto se il rischio si manifesta.</t>
  </si>
  <si>
    <t>A1 · 1-5: rapidita' fra innesco e pieno impatto (5 = entro 24 ore).</t>
  </si>
  <si>
    <t>A1 · 1-5: quando puo' manifestarsi (5 = in corso); da' la Z di Mosca.</t>
  </si>
  <si>
    <t>A1 · 1-5: distanza fra presidio attuale e adeguato (5 = nessun controllo specifico).</t>
  </si>
  <si>
    <t>Formula · Media pesata delle cinque dimensioni con i pesi di Parametri: 1-5, 5 = peggiore.</t>
  </si>
  <si>
    <t>A1 · 1-5: solidita' delle fonti, non gravita'. Fuori dallo score.</t>
  </si>
  <si>
    <t>A1 · 1-5: frequenza attesa con i controlli attuali.</t>
  </si>
  <si>
    <t>A1 · Confermato (nessun valore cambiato), Variato (almeno uno) o Nuovo.</t>
  </si>
  <si>
    <t>A1 · Meccanismo di perdita: che cosa succede, a chi, con quale danno.</t>
  </si>
  <si>
    <t>A1 · Perche' ogni punteggio, con i fatti delle fonti.</t>
  </si>
  <si>
    <t>A1 · Per ogni valore cambiato: da, a, evidenza datata (leggibile nelle Schede).</t>
  </si>
  <si>
    <t>A1 · Fonti citate, con data e tipo Interna/Esterna (leggibili nelle Schede).</t>
  </si>
  <si>
    <t>Script · Funzione responsabile, presa dall'anagrafica (Parametri).</t>
  </si>
  <si>
    <t>Formula · Ciclo|ID: chiave di ricerca per le viste.</t>
  </si>
  <si>
    <t>Script · Giorno in cui lo script ha scritto la riga.</t>
  </si>
  <si>
    <t>Validazione · Chi ha validato il ciclo.</t>
  </si>
  <si>
    <t>Validazione · Da validare, poi Accettato o Rettificato.</t>
  </si>
  <si>
    <t>Validazione · Giorno della validazione.</t>
  </si>
  <si>
    <t>Confermato</t>
  </si>
  <si>
    <t>Frodi a danno dei clienti tramite voci o video sintetici che inducono bonifici istantanei irrevocabili verso conti di terzi.</t>
  </si>
  <si>
    <t>Severity 4 per importi medi in forte crescita su pagamenti irrevocabili; velocity 4 perche' il danno si produce in minuti; prossimita' 4 per casi gia' osservati in banche comparabili; gap 3 perche' la verifica fuori banda non copre ancora i bonifici istantanei.</t>
  </si>
  <si>
    <t>[]</t>
  </si>
  <si>
    <t>[{"riferimento": "Analisi interna sulle frodi da ingegneria sociale", "data": "2025-10-20", "tipo": "Interna"}]</t>
  </si>
  <si>
    <t>Indisponibilita' prolungata del fornitore cloud che ospita servizi critici, senza alternativa attivabile nei tempi di ripristino.</t>
  </si>
  <si>
    <t>Severity 4 per servizi critici ospitati su un solo fornitore; velocity 4 perche' un'interruzione e' immediata; prossimita' 3 senza incidenti gravi recenti; gap 4 finche' la exit strategy non e' testata su tutti i servizi.</t>
  </si>
  <si>
    <t>[{"riferimento": "Contratto e piano di uscita del fornitore cloud", "data": "2025-09-30", "tipo": "Interna"}]</t>
  </si>
  <si>
    <t>Claim ambientali non sostanziati nella documentazione di prodotti di investimento ESG, con rischio di sanzioni e rimborsi.</t>
  </si>
  <si>
    <t>Severity 3 per sanzioni e rimborsi possibili su una clientela ampia; velocity 2 perche' l'esposizione emerge con ispezioni o reclami; prossimita' 3 per orientamenti europei gia' in vigore; gap 3 per revisione dei claim non ancora completa.</t>
  </si>
  <si>
    <t>[{"riferimento": "Orientamenti dell'autorita' europea sui nomi dei fondi ESG", "data": "2025-11-14", "tipo": "Esterna"}]</t>
  </si>
  <si>
    <t>Alluvioni o ondate di calore che rendono inagibili sedi operative o degradano il data center secondario.</t>
  </si>
  <si>
    <t>Severity 3 per degrado di sedi e del sito secondario; velocity 2; prossimita' 3 dopo l'alluvione di maggio su filiali della Banca; gap 3 perche' due sedi critiche non hanno un piano specifico.</t>
  </si>
  <si>
    <t>[{"riferimento": "Mappa del rischio idrogeologico delle sedi — BCM", "data": "2025-10-30", "tipo": "Interna"}]</t>
  </si>
  <si>
    <t>Errori di conversione dati e controlli di processo non ridisegnati durante la migrazione a ondate del sistema core.</t>
  </si>
  <si>
    <t>Severity 3 per errori contabili e disservizi limitati nel tempo; velocity 3; prossimita' 3 perche' la wave 2 e' nel 2027; gap 3 dopo il test positivo dei controlli di riconciliazione ridisegnati.</t>
  </si>
  <si>
    <t>[{"riferimento": "Piano di migrazione del core banking — PMO", "data": "2025-09-15", "tipo": "Interna"}]</t>
  </si>
  <si>
    <t>Blocco prolungato dei pagamenti per un attacco ransomware al fornitore esterno che gestisce il gateway di pagamento della Banca.</t>
  </si>
  <si>
    <t>Severity 4 perche' i pagamenti si fermano; velocity 5 perche' il blocco e' immediato; prossimita' 3 per attacchi a processori europei; gap 3 perche' il ripristino non e' mai stato testato con il fornitore.</t>
  </si>
  <si>
    <t>[{"riferimento": "Registro DORA: fornitore del gateway di pagamento classificato critico", "data": "2025-10-15", "tipo": "Interna"}]</t>
  </si>
  <si>
    <t>Dipendenti che consultano o estraggono dati di clienti senza motivo di servizio, per curiosita' o a favore di terzi.</t>
  </si>
  <si>
    <t>Severity 3 per violazione di dati di clientela ampia; velocity 3; prossimita' 3 per casi sanzionati nel settore; gap 3 perche' la revisione degli accessi e' annuale e a campione.</t>
  </si>
  <si>
    <t>[{"riferimento": "Esiti del monitoraggio degli accessi ai dati clienti — SOC", "data": "2025-11-10", "tipo": "Interna"}]</t>
  </si>
  <si>
    <t>Componenti del sistema di pagamento fuori supporto del produttore, senza patch di sicurezza e con competenze interne in riduzione.</t>
  </si>
  <si>
    <t>Severity 3 per disservizi sui pagamenti; velocity 2; prossimita' 3 per fine supporto annunciata; gap 4 perche' mancano patch per le componenti fuori supporto.</t>
  </si>
  <si>
    <t>[{"riferimento": "Inventario delle componenti fuori supporto — IT", "data": "2025-09-30", "tipo": "Interna"}]</t>
  </si>
  <si>
    <t>Errori di riconciliazione e rimborsi indebiti dopo l'obbligo di offrire i bonifici istantanei a tutta la clientela.</t>
  </si>
  <si>
    <t>Severity 3 per rimborsi indebiti e disservizi; velocity 4 perche' gli errori si propagano in giornata; prossimita' 4 dopo i primi casi interni di maggio; gap 3 perche' la riconciliazione e' settimanale.</t>
  </si>
  <si>
    <t>[{"riferimento": "Piano di adeguamento al regolamento sui bonifici istantanei", "data": "2025-10-01", "tipo": "Interna"}]</t>
  </si>
  <si>
    <t>2026Q1</t>
  </si>
  <si>
    <t>[{"dimensione": "prossimita", "da": 3, "a": 4, "evidenza": "Primi casi di frode con voce sintetica presso due banche italiane comparabili, riportati dalla threat intelligence di settore.", "data_evidenza": "2026-02-12"}]</t>
  </si>
  <si>
    <t>[{"riferimento": "Contratto e piano di uscita del fornitore cloud", "data": "2025-09-30", "tipo": "Interna"}, {"riferimento": "Registro delle informazioni DORA — servizi ICT critici", "data": "2026-03-20", "tipo": "Interna"}]</t>
  </si>
  <si>
    <t>[{"riferimento": "Orientamenti dell'autorita' europea sui nomi dei fondi ESG", "data": "2025-11-14", "tipo": "Esterna"}, {"riferimento": "Verifica interna dei claim ambientali — Compliance", "data": "2026-02-18", "tipo": "Interna"}]</t>
  </si>
  <si>
    <t>Nuovo</t>
  </si>
  <si>
    <t>Dipendenti che trasferiscono intenzionalmente dati riservati su servizi di AI generativa esterni per uso personale o a favore di terzi.</t>
  </si>
  <si>
    <t>Severity 3 per possibile perdita di dati riservati; velocity 3; prossimita' 3 per tentativi rilevati dal DLP; gap 4 perche' il DLP non copre ancora tutti i servizi di AI generativa.</t>
  </si>
  <si>
    <t>[{"riferimento": "Log DLP: tentativi di caricamento verso servizi AI esterni", "data": "2026-03-15", "tipo": "Interna"}, {"riferimento": "Survey interna sull'uso di strumenti di AI generativa", "data": "2026-02-10", "tipo": "Interna"}]</t>
  </si>
  <si>
    <t>[{"riferimento": "Registro DORA: fornitore del gateway di pagamento classificato critico", "data": "2025-10-15", "tipo": "Interna"}, {"riferimento": "Attacco ransomware a un processore di pagamenti europeo", "data": "2026-02-20", "tipo": "Esterna"}]</t>
  </si>
  <si>
    <t>Pagamenti di clientela corporate verso controparti sanzionate interposte in paesi terzi, non intercettati dal filtro sanzioni.</t>
  </si>
  <si>
    <t>Severity 4 per sanzioni e danno reputazionale nazionale; velocity 3; prossimita' 2 per precursori solo in altri paesi; gap 3 perche' il filtro non vede le controparti indirette.</t>
  </si>
  <si>
    <t>[{"riferimento": "Nuovo pacchetto di sanzioni UE con obblighi di due diligence rafforzata", "data": "2026-02-24", "tipo": "Esterna"}, {"riferimento": "Analisi dei flussi verso paesi di transito — Compliance", "data": "2026-03-12", "tipo": "Interna"}]</t>
  </si>
  <si>
    <t>Chatbot di assistenza basati su AI generativa che danno ai clienti informazioni errate su condizioni, costi o diritti, con reclami e rimborsi.</t>
  </si>
  <si>
    <t>Severity 3 per reclami e rimborsi su clientela ampia; velocity 3; prossimita' 3 per casi nel settore europeo; gap 4 perche' le risposte del chatbot sono controllate solo a campione.</t>
  </si>
  <si>
    <t>[{"riferimento": "Piano di rilascio del chatbot di assistenza con AI generativa", "data": "2026-01-20", "tipo": "Interna"}, {"riferimento": "Sanzione a una compagnia aerea per risposte errate del proprio chatbot", "data": "2026-02-15", "tipo": "Esterna"}]</t>
  </si>
  <si>
    <t>[{"riferimento": "Inventario delle componenti fuori supporto — IT", "data": "2025-09-30", "tipo": "Interna"}, {"riferimento": "Comunicazione del produttore sulla fine del supporto esteso", "data": "2026-01-31", "tipo": "Esterna"}]</t>
  </si>
  <si>
    <t>[{"dimensione": "severity", "da": 3, "a": 4, "evidenza": "Il report trimestrale frodi documenta importi medi per caso triplicati sui bonifici istantanei rispetto al trimestre precedente.", "data_evidenza": "2026-06-10"}, {"dimensione": "confidence", "da": 3, "a": 4, "evidenza": "Aggiunta una fonte interna quantitativa recente (report trimestrale frodi) alle due fonti esterne.", "data_evidenza": "2026-06-10"}]</t>
  </si>
  <si>
    <t>[{"riferimento": "Analisi interna sulle frodi da ingegneria sociale", "data": "2025-10-20", "tipo": "Interna"}, {"riferimento": "Threat intelligence: campagne di frode con voce sintetica verso banche UE", "data": "2026-04-15", "tipo": "Esterna"}, {"riferimento": "Report trimestrale frodi — Funzione Antifrode", "data": "2026-06-10", "tipo": "Interna"}, {"riferimento": "Relazione annuale sui pagamenti al dettaglio dell'autorita' di vigilanza", "data": "2026-05-28", "tipo": "Esterna"}]</t>
  </si>
  <si>
    <t>[{"riferimento": "Contratto e piano di uscita del fornitore cloud", "data": "2025-09-30", "tipo": "Interna"}, {"riferimento": "Registro delle informazioni DORA — servizi ICT critici", "data": "2026-03-20", "tipo": "Interna"}, {"riferimento": "Esito del test di exit strategy sul fornitore cloud", "data": "2026-05-12", "tipo": "Interna"}]</t>
  </si>
  <si>
    <t>[{"dimensione": "prossimita", "da": 2, "a": 3, "evidenza": "Alluvione in Emilia-Romagna del maggio 2026 con chiusura di due filiali della Banca per tre giorni.", "data_evidenza": "2026-05-06"}, {"dimensione": "confidence", "da": 2, "a": 3, "evidenza": "Evento osservato direttamente su sedi della Banca, in aggiunta alla mappatura BCM.", "data_evidenza": "2026-05-06"}]</t>
  </si>
  <si>
    <t>[{"riferimento": "Mappa del rischio idrogeologico delle sedi — BCM", "data": "2025-10-30", "tipo": "Interna"}, {"riferimento": "Alluvione in Emilia-Romagna con chiusura di due filiali", "data": "2026-05-06", "tipo": "Esterna"}]</t>
  </si>
  <si>
    <t>[{"dimensione": "prossimita", "da": 4, "a": 3, "evidenza": "Wave 1 completata il 4 maggio 2026; la wave 2 e' pianificata per il 2027, quindi il prossimo punto di esposizione si allontana.", "data_evidenza": "2026-05-04"}, {"dimensione": "gap_controlli", "da": 4, "a": 3, "evidenza": "L'audit del 20 maggio 2026 ha testato con esito positivo i controlli di riconciliazione ridisegnati per la wave 1.", "data_evidenza": "2026-05-20"}, {"dimensione": "confidence", "da": 3, "a": 4, "evidenza": "Disponibile una relazione di audit interna con test dei controlli.", "data_evidenza": "2026-05-20"}]</t>
  </si>
  <si>
    <t>[{"riferimento": "Piano di migrazione del core banking — PMO", "data": "2025-09-15", "tipo": "Interna"}, {"riferimento": "Chiusura della wave 1 di migrazione — PMO", "data": "2026-05-04", "tipo": "Interna"}, {"riferimento": "Relazione di audit sui controlli di riconciliazione post-migrazione", "data": "2026-05-20", "tipo": "Interna"}]</t>
  </si>
  <si>
    <t>[{"riferimento": "Esiti del monitoraggio degli accessi ai dati clienti — SOC", "data": "2025-11-10", "tipo": "Interna"}, {"riferimento": "Provvedimento dell'autorita' privacy su accessi abusivi in una banca", "data": "2026-04-08", "tipo": "Esterna"}]</t>
  </si>
  <si>
    <t>[{"dimensione": "prossimita", "da": 3, "a": 4, "evidenza": "Il report operativo di maggio registra i primi rimborsi indebiti e differenze di riconciliazione sui bonifici istantanei presso la Banca.", "data_evidenza": "2026-05-15"}]</t>
  </si>
  <si>
    <t>[{"riferimento": "Piano di adeguamento al regolamento sui bonifici istantanei", "data": "2025-10-01", "tipo": "Interna"}, {"riferimento": "Report operativo dei pagamenti istantanei — maggio", "data": "2026-05-15", "tipo": "Interna"}]</t>
  </si>
  <si>
    <r>
      <rPr>
        <b/>
        <sz val="10"/>
        <color rgb="FF1F4E79"/>
        <rFont val="Calibri"/>
      </rPr>
      <t>CICLO TRIMESTRALE — A1 propone da 1 a 5 azioni per rischio; la validazione e' la delibera (Accettato o Rettificato = Approvata, Respinto = Respinta).</t>
    </r>
    <r>
      <rPr>
        <sz val="10"/>
        <color rgb="FF262626"/>
        <rFont val="Calibri"/>
      </rPr>
      <t xml:space="preserve">
Mesi_Orizzonte alimenta la Y di Mosca: l'orizzonte piu' lungo fra le azioni del ciclo non respinte. Le azioni non Completate, Respinte o Annullate passano ad A1 come aperte nel ciclo dopo. Vista d'insieme: Piano_azioni.
Unica modifica a mano: la colonna Stato di un'azione approvata (In corso, Completata), quando l'owner lo comunica. Il resto si scrive solo con lo script.
Colore delle intestazioni = chi scrive la colonna: azzurro l'agente del ciclo trimestrale (A1, A5), verde l'agente settimanale (A3), giallo la validazione, grigio lo script o una formula. Righe grigie = dati di esempio.</t>
    </r>
  </si>
  <si>
    <t>A1 · Trimestre in cui l'azione e' stata proposta.</t>
  </si>
  <si>
    <t>A1 · Rischio a cui l'azione si riferisce.</t>
  </si>
  <si>
    <t>Script · Codice &lt;ciclo&gt;-&lt;rischio&gt;-A&lt;n&gt;.</t>
  </si>
  <si>
    <t>A1 · Che cosa fare, in concreto.</t>
  </si>
  <si>
    <t>A1 · Funzione che la realizza, mai una persona.</t>
  </si>
  <si>
    <t>A1 · Dimensione del rischio che l'azione riduce.</t>
  </si>
  <si>
    <t>A1 · Tempo per completarla: 3, 6 o 12 mesi.</t>
  </si>
  <si>
    <t>Formula · Orizzonte in mesi: il piu' lungo fra le azioni non respinte e' la Y di Mosca.</t>
  </si>
  <si>
    <t>A1 · Perche' l'azione riduce quella dimensione.</t>
  </si>
  <si>
    <t>Validazione · Proposta, poi Approvata o Respinta (validazione); In corso e Completata a mano; Annullata se il rischio esce.</t>
  </si>
  <si>
    <t>Validazione · Giorno della decisione sull'azione.</t>
  </si>
  <si>
    <t>Validazione · Chi ha deciso.</t>
  </si>
  <si>
    <t>Validazione · Da validare, poi Accettato, Rettificato o Respinto.</t>
  </si>
  <si>
    <t>Riduce il gap_controlli: oggi la verifica fuori banda esclude i bonifici istantanei.</t>
  </si>
  <si>
    <t>Il gap_controlli resta 4 finche' la exit strategy non e' testata su tutti i servizi critici.</t>
  </si>
  <si>
    <t>Chiude il gap_controlli sulla sostanziazione dei claim.</t>
  </si>
  <si>
    <t>Il KRI NFR-04-K1 mostra due sedi senza piano: e' il gap_controlli principale.</t>
  </si>
  <si>
    <t>velocity</t>
  </si>
  <si>
    <t>Riduce l'effetto della velocity: intercetta gli errori prima che si propaghino alle scritture contabili.</t>
  </si>
  <si>
    <t>Respinta</t>
  </si>
  <si>
    <t>Il gap_controlli e' 4 perche' il DLP copre solo parte dei servizi.</t>
  </si>
  <si>
    <t>Il gap_controlli resta 3 finche' il ripristino non e' testato con il fornitore.</t>
  </si>
  <si>
    <t>Riduce il gap_controlli: oggi la revisione e' annuale e a campione.</t>
  </si>
  <si>
    <t>Chiude il gap_controlli sulle triangolazioni, oggi non coperte dal filtro.</t>
  </si>
  <si>
    <t>probabilita</t>
  </si>
  <si>
    <t>Riduce la probabilita' che informazioni errate raggiungano molti clienti.</t>
  </si>
  <si>
    <t>Riduce il gap_controlli: oggi non ci sono patch per le componenti fuori supporto.</t>
  </si>
  <si>
    <t>Il gap_controlli e' 3: la riconciliazione oggi e' settimanale.</t>
  </si>
  <si>
    <r>
      <rPr>
        <b/>
        <sz val="10"/>
        <color rgb="FF1F4E79"/>
        <rFont val="Calibri"/>
      </rPr>
      <t>CICLO TRIMESTRALE — A1 propone 3 KRI per rischio e rilegge il valore di quelli in vigore; la validazione puo' rettificare valori e soglie o respingere un KRI. Si scrive solo con lo script: non modificare a mano (le viste e la baseline leggono queste righe).</t>
    </r>
    <r>
      <rPr>
        <sz val="10"/>
        <color rgb="FF262626"/>
        <rFont val="Calibri"/>
      </rPr>
      <t xml:space="preserve">
Cosa contiene: lo STORICO, una riga per KRI per ciclo (la fotografia del ciclo). Valore_Corrente e' il valore rilevato in quel ciclo: vuoto se non rilevato, mai ricopiato. In_Vigore = No: il KRI esce in quel ciclo.
Come si legge: valori crescenti = peggio (un indicatore 'piu' alto e' meglio' si esprime come complemento). Stato: Verde sotto la soglia di attenzione, Ambra fino all'allerta, Rosso oltre; SOGLIE INVERTITE va rettificato. I KRI del ciclo e la storia di uno: foglio Indicatori.
Colore delle intestazioni = chi scrive la colonna: azzurro l'agente del ciclo trimestrale (A1, A5), verde l'agente settimanale (A3), giallo la validazione, grigio lo script o una formula. Righe grigie = dati di esempio.</t>
    </r>
  </si>
  <si>
    <t>A1 · Ciclo della fotografia: ogni ciclo aggiunge una riga per KRI in vigore.</t>
  </si>
  <si>
    <t>Script · Codice stabile NFR-nn-Kn: la stessa serie storica in tutti i cicli.</t>
  </si>
  <si>
    <t>A1 · Rischio che il KRI misura.</t>
  </si>
  <si>
    <t>A1 · Che cosa misura.</t>
  </si>
  <si>
    <t>A1 · Unita' di misura (n, %, ore, n/10k...).</t>
  </si>
  <si>
    <t>A1 · Sistema o report interno da cui si prende il valore.</t>
  </si>
  <si>
    <t>A1 · Da questo valore in su: Ambra.</t>
  </si>
  <si>
    <t>A1 · Da questo valore in su: Rosso. Mai sotto la soglia di attenzione.</t>
  </si>
  <si>
    <t>A1 · Valore rilevato per QUESTO ciclo; vuoto se non rilevato, mai ricopiato.</t>
  </si>
  <si>
    <t>Script · Data del valore rilevato.</t>
  </si>
  <si>
    <t>A1 · Documento o estrazione da cui viene il valore.</t>
  </si>
  <si>
    <t>A1 · Commento alla rilevazione.</t>
  </si>
  <si>
    <t>Formula · Verde, Ambra o Rosso rispetto alle soglie; Non rilevato senza valore.</t>
  </si>
  <si>
    <t>Script · Sì; No = il KRI esce in questo ciclo e la serie finisce.</t>
  </si>
  <si>
    <t>Script · Ciclo in cui il KRI e' nato.</t>
  </si>
  <si>
    <t>A1 · Ultimo ciclo che ne ha scritto la definizione.</t>
  </si>
  <si>
    <t>A1 · Perche' il KRI misura il rischio.</t>
  </si>
  <si>
    <t>Formula · Ciclo|KRI_ID: chiave di ricerca per le viste.</t>
  </si>
  <si>
    <t>Misura una componente del rischio NFR-01; valori crescenti indicano peggioramento.</t>
  </si>
  <si>
    <t>%</t>
  </si>
  <si>
    <t>Casistica frodi — Funzione Antifrode</t>
  </si>
  <si>
    <t>ore</t>
  </si>
  <si>
    <t>Log del sistema di pagamento</t>
  </si>
  <si>
    <t>Registro delle informazioni DORA</t>
  </si>
  <si>
    <t>Misura una componente del rischio NFR-02; valori crescenti indicano peggioramento.</t>
  </si>
  <si>
    <t>giorni</t>
  </si>
  <si>
    <t>Piano di test BCM</t>
  </si>
  <si>
    <t>n</t>
  </si>
  <si>
    <t>Incident management ICT</t>
  </si>
  <si>
    <t>n/1000</t>
  </si>
  <si>
    <t>Sistema di gestione reclami</t>
  </si>
  <si>
    <t>Misura una componente del rischio NFR-03; valori crescenti indicano peggioramento.</t>
  </si>
  <si>
    <t>Inventario prodotti — Compliance</t>
  </si>
  <si>
    <t>Sistema di follow-up audit</t>
  </si>
  <si>
    <t>Mappatura BCM delle sedi</t>
  </si>
  <si>
    <t>Misura una componente del rischio NFR-04; valori crescenti indicano peggioramento.</t>
  </si>
  <si>
    <t>Registro incidenti BCM</t>
  </si>
  <si>
    <t>Report dei test di disaster recovery</t>
  </si>
  <si>
    <t>Sistema di riconciliazione contabile</t>
  </si>
  <si>
    <t>Misura una componente del rischio NFR-05; valori crescenti indicano peggioramento.</t>
  </si>
  <si>
    <t>Incident management IT</t>
  </si>
  <si>
    <t>Piano di migrazione — PMO</t>
  </si>
  <si>
    <t>Misura una componente del rischio NFR-07; valori crescenti indicano peggioramento.</t>
  </si>
  <si>
    <t>Rapporti di sicurezza del fornitore</t>
  </si>
  <si>
    <t>n/mese</t>
  </si>
  <si>
    <t>Log applicativi e SOC</t>
  </si>
  <si>
    <t>Misura una componente del rischio NFR-08; valori crescenti indicano peggioramento.</t>
  </si>
  <si>
    <t>Sistema IAM</t>
  </si>
  <si>
    <t>Registro incidenti di sicurezza</t>
  </si>
  <si>
    <t>Inventario IT</t>
  </si>
  <si>
    <t>Misura una componente del rischio NFR-11; valori crescenti indicano peggioramento.</t>
  </si>
  <si>
    <t>Vulnerability management</t>
  </si>
  <si>
    <t>Piano delle competenze IT</t>
  </si>
  <si>
    <t>Sistema di riconciliazione</t>
  </si>
  <si>
    <t>Misura una componente del rischio NFR-12; valori crescenti indicano peggioramento.</t>
  </si>
  <si>
    <t>Contabilita' operativa</t>
  </si>
  <si>
    <t>Workflow delle eccezioni</t>
  </si>
  <si>
    <t>Dato non ancora prodotto dalla fonte.</t>
  </si>
  <si>
    <t>DLP e proxy web</t>
  </si>
  <si>
    <t>Misura una componente del rischio NFR-06; valori crescenti indicano peggioramento.</t>
  </si>
  <si>
    <t>Piattaforma di formazione</t>
  </si>
  <si>
    <t>Sistema di filtro sanzioni</t>
  </si>
  <si>
    <t>Misura una componente del rischio NFR-09; valori crescenti indicano peggioramento.</t>
  </si>
  <si>
    <t>Anagrafe clienti — Compliance</t>
  </si>
  <si>
    <t>Log del filtro sanzioni</t>
  </si>
  <si>
    <t>Piattaforma di assistenza</t>
  </si>
  <si>
    <t>Misura una componente del rischio NFR-10; valori crescenti indicano peggioramento.</t>
  </si>
  <si>
    <t>Controllo qualita' Customer Experience</t>
  </si>
  <si>
    <r>
      <rPr>
        <b/>
        <sz val="10"/>
        <color rgb="FF375623"/>
        <rFont val="Calibri"/>
      </rPr>
      <t>CICLO SETTIMANALE — le notizie raccolte ogni giorno le valuta A3 il lunedi'; lo script le aggiunge senza duplicati. Validazione delle notizie facoltativa. Si scrive solo con lo script: non modificare a mano (le viste e la baseline leggono queste righe).</t>
    </r>
    <r>
      <rPr>
        <sz val="10"/>
        <color rgb="FF262626"/>
        <rFont val="Calibri"/>
      </rPr>
      <t xml:space="preserve">
Come si legge: Segnale = direzione per il rischio collegato (quattro valori, contati per testo esatto); Imp_L1_0x = intensita' 0-3 sull'event type, senza segno. Le notizie non cambiano score: alimentano i segnali netti del Registro e il foglio Notizie. NON PRESIDIATO = tema senza rischio censito. Una notizia respinta diventa Non rilevante con impatti 0.
Colore delle intestazioni = chi scrive la colonna: azzurro l'agente del ciclo trimestrale (A1, A5), verde l'agente settimanale (A3), giallo la validazione, grigio lo script o una formula. Righe grigie = dati di esempio.</t>
    </r>
  </si>
  <si>
    <t>A3 · ciclo settimanale</t>
  </si>
  <si>
    <t>A3 · Data della notizia.</t>
  </si>
  <si>
    <t>Formula · Lunedi' della settimana della notizia.</t>
  </si>
  <si>
    <t>A3 · Codice unico N-AAAAMMGG-nn.</t>
  </si>
  <si>
    <t>A3 · Titolo della notizia.</t>
  </si>
  <si>
    <t>A3 · Testata o ente che la pubblica.</t>
  </si>
  <si>
    <t>A3 · Codice del catalogo fonti (FNT-nn), MAN se raccolta a mano.</t>
  </si>
  <si>
    <t>A3 · Rischio toccato; NON PRESIDIATO se nessun rischio censito.</t>
  </si>
  <si>
    <t>A3 · Direzione per il rischio: Peggiorativo, Migliorativo, Neutro, Non rilevante.</t>
  </si>
  <si>
    <t>A3 · Intensita' 0-3 sull'event type L1-01 (0 = nessun nesso, 3 = diretto e immediato).</t>
  </si>
  <si>
    <t>A3 · Intensita' 0-3 sull'event type L1-02 (0 = nessun nesso, 3 = diretto e immediato).</t>
  </si>
  <si>
    <t>A3 · Intensita' 0-3 sull'event type L1-03 (0 = nessun nesso, 3 = diretto e immediato).</t>
  </si>
  <si>
    <t>A3 · Intensita' 0-3 sull'event type L1-04 (0 = nessun nesso, 3 = diretto e immediato).</t>
  </si>
  <si>
    <t>A3 · Intensita' 0-3 sull'event type L1-05 (0 = nessun nesso, 3 = diretto e immediato).</t>
  </si>
  <si>
    <t>A3 · Intensita' 0-3 sull'event type L1-06 (0 = nessun nesso, 3 = diretto e immediato).</t>
  </si>
  <si>
    <t>A3 · Intensita' 0-3 sull'event type L1-07 (0 = nessun nesso, 3 = diretto e immediato).</t>
  </si>
  <si>
    <t>A3 · Che cosa dice la notizia, in breve.</t>
  </si>
  <si>
    <t>Agenzia di stampa</t>
  </si>
  <si>
    <t>FNT-17</t>
  </si>
  <si>
    <t>Interruzione di sei ore di una region europea del fornitore; fuori dalla finestra delle 4 settimane del badge.</t>
  </si>
  <si>
    <t>Allerta del CERT su campagne con voce clonata di dirigenti verso clienti corporate.</t>
  </si>
  <si>
    <t>Stampa specializzata</t>
  </si>
  <si>
    <t>MAN</t>
  </si>
  <si>
    <t>Le banche che hanno migrato con approccio a ondate riportano incidenti in calo.</t>
  </si>
  <si>
    <t>Comunicato stampa del fornitore cloud, sito del fornitore</t>
  </si>
  <si>
    <t>Una seconda region nazionale rende piu' semplice una strategia multi-region.</t>
  </si>
  <si>
    <t>Stampa economica</t>
  </si>
  <si>
    <t>FNT-18</t>
  </si>
  <si>
    <t>Videochiamata con deepfake del CFO: bonifico da 20 milioni verso conto estero.</t>
  </si>
  <si>
    <t>Relazione di vigilanza</t>
  </si>
  <si>
    <t>FNT-01</t>
  </si>
  <si>
    <t>L'autorita' chiude i rilievi su un'analoga migrazione di core banking.</t>
  </si>
  <si>
    <t>Protezione civile</t>
  </si>
  <si>
    <t>FNT-23</t>
  </si>
  <si>
    <t>Ondata di calore prevista; nessun impatto segnalato su infrastrutture critiche.</t>
  </si>
  <si>
    <t>Il report conferma tempi di ripristino superiori agli impegni contrattuali in due incidenti.</t>
  </si>
  <si>
    <t>Autorita' bancaria europea</t>
  </si>
  <si>
    <t>FNT-03</t>
  </si>
  <si>
    <t>Proposta di rimborso obbligatorio delle frodi APP a carico del prestatore di servizi di pagamento.</t>
  </si>
  <si>
    <t>Comunicazione interna PMO</t>
  </si>
  <si>
    <t>Il PMO conferma zero incidenti di severita' alta nelle ultime otto settimane.</t>
  </si>
  <si>
    <r>
      <rPr>
        <b/>
        <sz val="10"/>
        <color rgb="FF1F4E79"/>
        <rFont val="Calibri"/>
      </rPr>
      <t>CICLO TRIMESTRALE — lo script scrive una riga per ciclo con il commento di A1 per il comitato e la sintesi di A5. Si scrive solo con lo script: non modificare a mano (le viste e la baseline leggono queste righe).</t>
    </r>
    <r>
      <rPr>
        <sz val="10"/>
        <color rgb="FF262626"/>
        <rFont val="Calibri"/>
      </rPr>
      <t xml:space="preserve">
Il commento di A1 ha la forma "MESSAGGIO: ... DECISIONI: ...": il Quadro lo divide in due righe. E' scritto PRIMA della validazione: il Quadro avvisa se dopo sono state applicate rettifiche.
Colore delle intestazioni = chi scrive la colonna: azzurro l'agente del ciclo trimestrale (A1, A5), verde l'agente settimanale (A3), giallo la validazione, grigio lo script o una formula.</t>
    </r>
  </si>
  <si>
    <t>A5 · ciclo trimestrale</t>
  </si>
  <si>
    <t>A1 · Trimestre valutato.</t>
  </si>
  <si>
    <t>A1 · Data di riferimento del ciclo.</t>
  </si>
  <si>
    <t>A1 · Commento per il comitato nella forma MESSAGGIO: ... DECISIONI: ... (il Quadro lo divide in due righe).</t>
  </si>
  <si>
    <t>A5 · Sintesi del controllo indipendente del challenger.</t>
  </si>
  <si>
    <t>Script · Numero di rilievi non bloccanti (A5 e controlli dello script).</t>
  </si>
  <si>
    <t>Primo registro dei rischi emergenti: nove rischi su sei event type. Le priorita' sono la concentrazione sul fornitore cloud critico (NFR-02), il ransomware presso il fornitore del gateway di pagamento (NFR-07) e la migrazione del core banking (NFR-05), per servizi critici con controlli non ancora testati. Al comitato si chiede di assegnare gli owner e di approvare le azioni proposte.</t>
  </si>
  <si>
    <t>Controlli superati; due osservazioni sulla confidence di rischi con una sola fonte.</t>
  </si>
  <si>
    <t>Entrano tre rischi nuovi legati all'intelligenza artificiale e alle sanzioni (NFR-06, NFR-09, NFR-10). Sale la prossimita' delle frodi con voce sintetica (NFR-01) dopo i primi casi in banche comparabili. Priorita': NFR-02, NFR-07 e NFR-01. Decisione richiesta: estendere il DLP ai servizi di AI generativa.</t>
  </si>
  <si>
    <t>Controlli superati; un'osservazione sui KRI del rischio NFR-10, non ancora rilevabili.</t>
  </si>
  <si>
    <t>MESSAGGIO: trimestre con quattro rischi variati. Peggiorano le frodi su pagamenti istantanei (NFR-01, severity da 3 a 4 per importi medi triplicati) e gli errori operativi sui bonifici istantanei (NFR-12, primi casi interni); l'alluvione di maggio avvicina il rischio climatico sulle sedi (NFR-04). Migliora la migrazione del core banking (NFR-05) dopo il test positivo dei controlli. Priorita': NFR-01, NFR-07, NFR-02. DECISIONI: approvare la verifica fuori banda sui bonifici istantanei (NFR-01) e il test di ripristino con il fornitore del gateway (NFR-07).</t>
  </si>
  <si>
    <t>Controlli superati. Osservazione: la probabilita' proposta per NFR-10 non e' sostenuta da frequenze osservate.</t>
  </si>
  <si>
    <t>2026Q3</t>
  </si>
  <si>
    <t>In crescita rispetto al trimestre precedente (4,2).</t>
  </si>
  <si>
    <t>Misura la prossimita': frequenza dei tentativi sul canale piu' esposto.</t>
  </si>
  <si>
    <t>Stabile sopra la soglia di attenzione.</t>
  </si>
  <si>
    <t>Misura quanto il driver AI pesa sul fenomeno complessivo.</t>
  </si>
  <si>
    <t>Entro la soglia.</t>
  </si>
  <si>
    <t>Misura l'efficacia dei controlli: tempi crescenti indicano un gap in aumento.</t>
  </si>
  <si>
    <t>In calo dopo la migrazione di un servizio.</t>
  </si>
  <si>
    <t>Misura la concentrazione, cioe' la severity potenziale.</t>
  </si>
  <si>
    <t>Ultimo test il 28 agosto 2026.</t>
  </si>
  <si>
    <t>Nessun incidente con impatto nel trimestre.</t>
  </si>
  <si>
    <t>Misura la prossimita': incidenti reali sul fornitore.</t>
  </si>
  <si>
    <t>In aumento dopo la notizia della sanzione al concorrente.</t>
  </si>
  <si>
    <t>Segnale anticipato di contestazioni della clientela.</t>
  </si>
  <si>
    <t>Dato non ancora prodotto: la revisione e' in corso.</t>
  </si>
  <si>
    <t>Misura il gap_controlli residuo.</t>
  </si>
  <si>
    <t>Aperto un nuovo rilievo sui documenti precontrattuali.</t>
  </si>
  <si>
    <t>Misura il gap_controlli dal punto di vista della terza linea.</t>
  </si>
  <si>
    <t>Invariato: piani in redazione.</t>
  </si>
  <si>
    <t>Misura il gap_controlli sulle sedi.</t>
  </si>
  <si>
    <t>Nessuna chiusura di sedi nel trimestre.</t>
  </si>
  <si>
    <t>Misura la prossimita' osservata.</t>
  </si>
  <si>
    <t>Nessun nuovo test nel trimestre: valore dell'ultimo test di luglio.</t>
  </si>
  <si>
    <t>Misura la severity di un degrado del data center.</t>
  </si>
  <si>
    <t>In calo rispetto al trimestre precedente.</t>
  </si>
  <si>
    <t>Misura l'efficacia dei controlli di riconciliazione.</t>
  </si>
  <si>
    <t>In calo ma sopra la soglia di attenzione.</t>
  </si>
  <si>
    <t>Misura la prossimita' degli errori di processo.</t>
  </si>
  <si>
    <t>Ridisegno dei controlli in avanzamento.</t>
  </si>
  <si>
    <t>Misura il gap_controlli in vista della wave 2.</t>
  </si>
  <si>
    <t>In calo dopo l'estensione del DLP.</t>
  </si>
  <si>
    <t>Misura la prossimita' del comportamento.</t>
  </si>
  <si>
    <t>Formazione in corso.</t>
  </si>
  <si>
    <t>Misura il presidio sul capitale umano.</t>
  </si>
  <si>
    <t>Misura il gap_controlli sugli accessi piu' sensibili.</t>
  </si>
  <si>
    <t>Rilevazione di fine trimestre dal sistema indicato.</t>
  </si>
  <si>
    <t>NFR-02-K4</t>
  </si>
  <si>
    <t>Servizi critici senza piano di uscita testato negli ultimi 12 mesi</t>
  </si>
  <si>
    <t>Sostituisce i giorni dall'ultimo test: misura direttamente il gap_controlli residuo.</t>
  </si>
  <si>
    <t>Il report frodi del terzo trimestre conferma importi medi elevati e casi con voce sintetica in linea con il trimestre precedente: severity 4 (danno reputazionale nazionale possibile), velocity 4 (impatto in minuti), prossimita' 4 (casi in banche comparabili). Gap_Controlli resta 3: la verifica fuori banda e' approvata ma non ancora attiva sui bonifici istantanei.</t>
  </si>
  <si>
    <t>[{"riferimento": "Analisi interna sulle frodi da ingegneria sociale", "data": "2025-10-20", "tipo": "Interna"}, {"riferimento": "Threat intelligence: campagne di frode con voce sintetica verso banche UE", "data": "2026-04-15", "tipo": "Esterna"}, {"riferimento": "Report trimestrale frodi — Funzione Antifrode", "data": "2026-06-10", "tipo": "Interna"}, {"riferimento": "Relazione annuale sui pagamenti al dettaglio dell'autorita' di vigilanza", "data": "2026-05-28", "tipo": "Esterna"}, {"riferimento": "Report trimestrale frodi Q3 — Funzione Antifrode", "data": "2026-09-12", "tipo": "Interna"}]</t>
  </si>
  <si>
    <t>Gap_Controlli scende da 4 a 3 perche' la exit strategy e' ora testata su tutti i servizi critici (descrittore 3: controlli disegnati e testati di recente ma con rilievi aperti). Severity, velocity e prossimita' invariate: la concentrazione resta al 72% dei servizi critici e non ci sono incidenti gravi nel trimestre.</t>
  </si>
  <si>
    <t>[{"dimensione": "gap_controlli", "da": 4, "a": 3, "evidenza": "Il report del 28 agosto 2026 documenta il test completo della exit strategy sui due servizi critici residui, con esito positivo e rilievi minori.", "data_evidenza": "2026-08-28"}, {"dimensione": "confidence", "da": 3, "a": 4, "evidenza": "Aggiunta una fonte interna recente e concordante (report del test di exit strategy) alle fonti del registro DORA.", "data_evidenza": "2026-08-28"}]</t>
  </si>
  <si>
    <t>[{"riferimento": "Contratto e piano di uscita del fornitore cloud", "data": "2025-09-30", "tipo": "Interna"}, {"riferimento": "Registro delle informazioni DORA — servizi ICT critici", "data": "2026-03-20", "tipo": "Interna"}, {"riferimento": "Esito del test di exit strategy sul fornitore cloud", "data": "2026-05-12", "tipo": "Interna"}, {"riferimento": "Report del test completo di exit strategy sui servizi critici", "data": "2026-08-28", "tipo": "Interna"}]</t>
  </si>
  <si>
    <t>Prossimita' sale a 4: la sanzione a una banca comparabile e' un caso nel settore entro 12 mesi (descrittore 4). Severity resta 3 perche' l'impatto potenziale non cambia; Gap_Controlli resta 3 perche' la revisione dei claim non e' ancora completata.</t>
  </si>
  <si>
    <t>[{"dimensione": "prossimita", "da": 3, "a": 4, "evidenza": "Il 22 luglio 2026 l'autorita' ha sanzionato una banca italiana comparabile per claim ambientali non sostanziati su fondi ESG distribuiti alla clientela retail.", "data_evidenza": "2026-07-22"}]</t>
  </si>
  <si>
    <t>[{"riferimento": "Orientamenti dell'autorita' europea sui nomi dei fondi ESG", "data": "2025-11-14", "tipo": "Esterna"}, {"riferimento": "Verifica interna dei claim ambientali — Compliance", "data": "2026-02-18", "tipo": "Interna"}, {"riferimento": "Provvedimento sanzionatorio su claim ESG di una banca comparabile", "data": "2026-07-22", "tipo": "Esterna"}]</t>
  </si>
  <si>
    <t>Nessun evento nuovo sulle sedi nel trimestre e i piani specifici per le due sedi critiche non sono ancora redatti: si confermano severity 3, velocity 2, prossimita' 3 e gap 3 con le fonti del ciclo precedente.</t>
  </si>
  <si>
    <t>La wave 2 resta pianificata per il 2027 e i controlli di riconciliazione testati a maggio restano efficaci: si confermano tutte le dimensioni. Gli incidenti di produzione scendono ma restano sopra la soglia di attenzione.</t>
  </si>
  <si>
    <t>Gap_Controlli scende a 3 perche' il DLP ora copre tutti i servizi, ma l'estensione e' recente e non ancora verificata dall'audit (descrittore 3). Severity, velocity e prossimita' invariate: i tentativi rilevati dal DLP calano ma non si azzerano.</t>
  </si>
  <si>
    <t>[{"riferimento": "Log DLP: tentativi di caricamento verso servizi AI esterni", "data": "2026-03-15", "tipo": "Interna"}, {"riferimento": "Survey interna sull'uso di strumenti di AI generativa", "data": "2026-02-10", "tipo": "Interna"}, {"riferimento": "Verbale del test di blocco DLP sui servizi di AI generativa", "data": "2026-09-05", "tipo": "Interna"}]</t>
  </si>
  <si>
    <t>Nessuna evidenza nuova nel trimestre: si confermano severity 4, velocity 5, prossimita' 3, gap 3 e probabilita' 3 con le fonti del ciclo precedente.</t>
  </si>
  <si>
    <t>Nessuna evidenza nuova nel trimestre: si confermano severity 3, velocity 3, prossimita' 3, gap 3 e probabilita' 2 con le fonti del ciclo precedente.</t>
  </si>
  <si>
    <t>Nessuna evidenza nuova nel trimestre: si confermano severity 4, velocity 3, prossimita' 2, gap 3 e probabilita' 2 con le fonti del ciclo precedente.</t>
  </si>
  <si>
    <t>Nessuna evidenza nuova nel trimestre: si confermano severity 3, velocity 3, prossimita' 3, gap 4 e probabilita' 3 con le fonti del ciclo precedente.</t>
  </si>
  <si>
    <t>Nessuna evidenza nuova nel trimestre: si confermano severity 3, velocity 2, prossimita' 3, gap 4 e probabilita' 3 con le fonti del ciclo precedente.</t>
  </si>
  <si>
    <t>Nessuna evidenza nuova nel trimestre: si confermano severity 3, velocity 4, prossimita' 4, gap 3 e probabilita' 4 con le fonti del ciclo precedente.</t>
  </si>
  <si>
    <t>2026Q3-NFR-01-A1</t>
  </si>
  <si>
    <t>Attivare la verifica fuori banda per bonifici istantanei sopra soglia verso beneficiari nuovi.</t>
  </si>
  <si>
    <t>Chiude il gap_controlli principale: la verifica approvata non e' ancora in produzione.</t>
  </si>
  <si>
    <t>2026Q3-NFR-01-A2</t>
  </si>
  <si>
    <t>Campagna di sensibilizzazione dei clienti corporate sulle frodi con voce clonata.</t>
  </si>
  <si>
    <t>Direzione Marketing e Comunicazione</t>
  </si>
  <si>
    <t>severity</t>
  </si>
  <si>
    <t>Riduce la severity attesa limitando gli importi disposti su richiesta telefonica.</t>
  </si>
  <si>
    <t>2026Q3-NFR-02-A1</t>
  </si>
  <si>
    <t>Chiudere i rilievi minori emersi dal test di exit strategy entro il prossimo trimestre.</t>
  </si>
  <si>
    <t>Porta il gap_controlli verso il descrittore 2.</t>
  </si>
  <si>
    <t>2026Q3-NFR-02-A2</t>
  </si>
  <si>
    <t>Valutare lo spostamento di un servizio critico sulla nuova region nazionale del fornitore.</t>
  </si>
  <si>
    <t>Direzione Sistemi Informativi</t>
  </si>
  <si>
    <t>Riduce la severity di un'interruzione di una singola region.</t>
  </si>
  <si>
    <t>2026Q3-NFR-03-A1</t>
  </si>
  <si>
    <t>Completare la revisione indipendente dei claim ambientali di tutti i prodotti ESG in catalogo.</t>
  </si>
  <si>
    <t>Chiude il gap_controlli sulla sostanziazione dei claim, reso piu' urgente dalla prossimita' in aumento.</t>
  </si>
  <si>
    <t>2026Q3-NFR-04-A1</t>
  </si>
  <si>
    <t>2026Q3-NFR-05-A1</t>
  </si>
  <si>
    <t>Riduce l'effetto della velocity intercettando gli errori prima che si propaghino.</t>
  </si>
  <si>
    <t>2026Q3-NFR-06-A1</t>
  </si>
  <si>
    <t>Completare la formazione obbligatoria sull'uso dell'AI per tutto il personale.</t>
  </si>
  <si>
    <t>Direzione Risorse Umane</t>
  </si>
  <si>
    <t>prossimita</t>
  </si>
  <si>
    <t>Riduce la prossimita': meno comportamenti a rischio per inconsapevolezza.</t>
  </si>
  <si>
    <t>2026Q3-NFR-06-A2</t>
  </si>
  <si>
    <t>Chiedere all'audit interno la verifica dell'estensione del DLP.</t>
  </si>
  <si>
    <t>Serve un test indipendente per portare il gap_controlli al descrittore 2.</t>
  </si>
  <si>
    <t>2026Q3-NFR-07-A1</t>
  </si>
  <si>
    <t>2026Q3-NFR-08-A1</t>
  </si>
  <si>
    <t>2026Q3-NFR-09-A1</t>
  </si>
  <si>
    <t>2026Q3-NFR-10-A1</t>
  </si>
  <si>
    <t>2026Q3-NFR-11-A1</t>
  </si>
  <si>
    <t>2026Q3-NFR-12-A1</t>
  </si>
  <si>
    <t>MESSAGGIO: nel terzo trimestre 2026 il profilo complessivo resta stabile. Due rischi migliorano per effetto di controlli testati: la exit strategy dal fornitore cloud critico e' ora testata su tutti i servizi (NFR-02) e il DLP copre tutti i servizi di AI generativa (NFR-06). Peggiora la prossimita' del rischio di greenwashing (NFR-03) dopo la sanzione a una banca comparabile. Gli altri nove rischi sono confermati con le fonti del ciclo precedente, integrate dai dati del trimestre. DECISIONI: prendere atto della chiusura dei gap su NFR-02 e NFR-06 e chiedere alla Funzione Compliance la revisione dei claim ESG (NFR-03).</t>
  </si>
  <si>
    <t>Valutazione sostenuta dalle fonti citate. Le due riduzioni di Gap_Controlli poggiano su test documentati; l'aumento di prossimita' di NFR-03 su un caso nel settore. Un'osservazione di giudizio su NFR-06.</t>
  </si>
  <si>
    <t>L'estensione del DLP e' di settembre e non e' ancora verificata dall'audit: una sola fonte interna non basta per confidence 3.</t>
  </si>
  <si>
    <t>Dato definitivo del report antifrode di ottobre: 5,3 (il 5,1 era la stima provvisoria).</t>
  </si>
  <si>
    <t>Gia' prevista dal piano IAM approvato a luglio: azione duplicata.</t>
  </si>
  <si>
    <t>[{"dimensione": "gap_controlli", "da": 4, "a": 3, "evidenza": "Dal 5 settembre 2026 il DLP copre tutti i servizi di AI generativa; il test di blocco eseguito dalla Sicurezza delle Informazioni ha dato esito positivo.", "data_evidenza": "2026-09-05"}]</t>
  </si>
  <si>
    <t>Accettato in blocco (--accetta-il-resto)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</si>
</sst>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;\-0;;@"/>
    <numFmt numFmtId="165" formatCode="&quot;▲ &quot;\+0.00;&quot;▼ &quot;\-0.00;&quot;● &quot;0.00"/>
    <numFmt numFmtId="166" formatCode="\+0.00;\-0.00;0.00"/>
    <numFmt numFmtId="167" formatCode="\+0.00;\-0.00;;"/>
    <numFmt numFmtId="168" formatCode="0.00;\-0.00;;"/>
  </numFmts>
  <fonts count="4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1F4E79"/>
      <name val="Calibri"/>
    </font>
    <font>
      <b/>
      <sz val="11"/>
      <color rgb="FF7F6000"/>
      <name val="Calibri"/>
    </font>
    <font>
      <i/>
      <sz val="8"/>
      <color rgb="FF404040"/>
      <name val="Calibri"/>
    </font>
    <font>
      <b/>
      <sz val="11"/>
      <color rgb="FF404040"/>
      <name val="Calibri"/>
    </font>
    <font>
      <b/>
      <sz val="9"/>
      <color rgb="FF1F4E79"/>
      <name val="Calibri"/>
    </font>
    <font>
      <b/>
      <sz val="9"/>
      <color rgb="FF404040"/>
      <name val="Calibri"/>
    </font>
    <font>
      <b/>
      <sz val="9"/>
      <color rgb="FF7F6000"/>
      <name val="Calibri"/>
    </font>
    <font>
      <b/>
      <sz val="11"/>
      <color rgb="FF375623"/>
      <name val="Calibri"/>
    </font>
    <font>
      <b/>
      <sz val="9"/>
      <color rgb="FF375623"/>
      <name val="Calibri"/>
    </font>
    <font>
      <b/>
      <sz val="9"/>
      <name val="Calibri"/>
    </font>
    <font>
      <b/>
      <sz val="9"/>
      <color rgb="FFBF8F00"/>
      <name val="Calibri"/>
    </font>
    <font>
      <i/>
      <sz val="8"/>
      <color rgb="FF595959"/>
      <name val="Calibri"/>
    </font>
    <font>
      <b/>
      <sz val="12"/>
      <color rgb="FF1F3864"/>
      <name val="Calibri"/>
    </font>
    <font>
      <b/>
      <sz val="9"/>
      <color rgb="FFFFFFFF"/>
      <name val="Calibri"/>
    </font>
    <font>
      <b/>
      <sz val="8.5"/>
      <color rgb="FF1F3864"/>
      <name val="Calibri"/>
    </font>
    <font>
      <sz val="8"/>
      <name val="Calibri"/>
    </font>
    <font>
      <sz val="9"/>
      <name val="Calibri"/>
    </font>
    <font>
      <i/>
      <sz val="11"/>
      <color rgb="FF595959"/>
      <name val="Calibri"/>
    </font>
    <font>
      <b/>
      <sz val="11"/>
      <color rgb="FF1F3864"/>
      <name val="Calibri"/>
    </font>
    <font>
      <sz val="9"/>
      <color rgb="FF595959"/>
      <name val="Calibri"/>
    </font>
    <font>
      <b/>
      <sz val="10"/>
      <name val="Calibri"/>
    </font>
    <font>
      <b/>
      <sz val="9"/>
      <color rgb="FF1F3864"/>
      <name val="Calibri"/>
    </font>
    <font>
      <b/>
      <sz val="9"/>
      <color rgb="FF595959"/>
      <name val="Calibri"/>
    </font>
    <font>
      <b/>
      <sz val="26"/>
      <color rgb="FF1F3864"/>
      <name val="Calibri"/>
    </font>
    <font>
      <b/>
      <sz val="26"/>
      <color rgb="FFC00000"/>
      <name val="Calibri"/>
    </font>
    <font>
      <b/>
      <sz val="26"/>
      <color rgb="FF375623"/>
      <name val="Calibri"/>
    </font>
    <font>
      <b/>
      <sz val="8"/>
      <color rgb="FF595959"/>
      <name val="Calibri"/>
    </font>
    <font>
      <b/>
      <sz val="7"/>
      <name val="Calibri"/>
    </font>
    <font>
      <b/>
      <sz val="8"/>
      <color rgb="FF1F3864"/>
      <name val="Calibri"/>
    </font>
    <font>
      <b/>
      <sz val="10"/>
      <color rgb="FF1F3864"/>
      <name val="Calibri"/>
    </font>
    <font>
      <sz val="10"/>
      <name val="Calibri"/>
    </font>
    <font>
      <b/>
      <sz val="11"/>
      <color rgb="FFFFFFFF"/>
      <name val="Calibri"/>
    </font>
    <font>
      <b/>
      <sz val="11"/>
      <color rgb="FF262626"/>
      <name val="Calibri"/>
    </font>
    <font>
      <b/>
      <i/>
      <sz val="11"/>
      <color rgb="FF595959"/>
      <name val="Calibri"/>
    </font>
    <font>
      <b/>
      <sz val="10"/>
      <color rgb="FF1F4E79"/>
      <name val="Calibri"/>
    </font>
    <font>
      <sz val="10"/>
      <color rgb="FF262626"/>
      <name val="Calibri"/>
    </font>
    <font>
      <b/>
      <sz val="10"/>
      <color rgb="FF404040"/>
      <name val="Calibri"/>
    </font>
    <font>
      <b/>
      <sz val="10"/>
      <color rgb="FF262626"/>
      <name val="Calibri"/>
    </font>
    <font>
      <b/>
      <sz val="10"/>
      <color rgb="FF375623"/>
      <name val="Calibri"/>
    </font>
    <font>
      <b/>
      <sz val="10"/>
      <color rgb="FF7F6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FBE5E5"/>
        <bgColor rgb="FFFBE5E5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/>
      <bottom style="thin">
        <color rgb="FFD9D9D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ck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35" fillId="17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0" fillId="7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36" fillId="0" borderId="0" xfId="0" applyFont="1"/>
    <xf numFmtId="0" fontId="2" fillId="0" borderId="0" xfId="0" applyFont="1" applyAlignment="1">
      <alignment vertical="top" wrapText="1"/>
    </xf>
    <xf numFmtId="0" fontId="0" fillId="4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25" fillId="0" borderId="0" xfId="0" applyFont="1"/>
    <xf numFmtId="0" fontId="29" fillId="0" borderId="0" xfId="0" applyFont="1"/>
    <xf numFmtId="0" fontId="29" fillId="0" borderId="0" xfId="0" applyFont="1" applyAlignment="1">
      <alignment horizontal="center"/>
    </xf>
    <xf numFmtId="0" fontId="21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shrinkToFit="1"/>
    </xf>
    <xf numFmtId="0" fontId="29" fillId="0" borderId="0" xfId="0" applyFont="1" applyAlignment="1">
      <alignment horizontal="center" vertical="center"/>
    </xf>
    <xf numFmtId="0" fontId="30" fillId="11" borderId="5" xfId="0" applyFont="1" applyFill="1" applyBorder="1" applyAlignment="1">
      <alignment horizontal="center" vertical="center" wrapText="1"/>
    </xf>
    <xf numFmtId="0" fontId="30" fillId="10" borderId="5" xfId="0" applyFont="1" applyFill="1" applyBorder="1" applyAlignment="1">
      <alignment horizontal="center" vertical="center" wrapText="1"/>
    </xf>
    <xf numFmtId="0" fontId="30" fillId="15" borderId="5" xfId="0" applyFont="1" applyFill="1" applyBorder="1" applyAlignment="1">
      <alignment horizontal="center" vertical="center" wrapText="1"/>
    </xf>
    <xf numFmtId="0" fontId="14" fillId="0" borderId="0" xfId="0" applyFont="1"/>
    <xf numFmtId="0" fontId="31" fillId="0" borderId="0" xfId="0" applyFont="1"/>
    <xf numFmtId="0" fontId="34" fillId="12" borderId="0" xfId="0" applyFont="1" applyFill="1"/>
    <xf numFmtId="0" fontId="0" fillId="0" borderId="0" xfId="0" applyAlignment="1">
      <alignment horizontal="center" vertical="top" wrapText="1"/>
    </xf>
    <xf numFmtId="0" fontId="12" fillId="0" borderId="0" xfId="0" applyFont="1" applyAlignment="1">
      <alignment vertical="top" wrapText="1"/>
    </xf>
    <xf numFmtId="2" fontId="0" fillId="0" borderId="0" xfId="0" applyNumberFormat="1"/>
    <xf numFmtId="165" fontId="0" fillId="0" borderId="0" xfId="0" applyNumberFormat="1"/>
    <xf numFmtId="168" fontId="0" fillId="0" borderId="0" xfId="0" applyNumberFormat="1"/>
    <xf numFmtId="0" fontId="21" fillId="0" borderId="0" xfId="0" applyFont="1"/>
    <xf numFmtId="0" fontId="22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3" fillId="11" borderId="3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5" borderId="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6" fillId="12" borderId="0" xfId="0" applyFont="1" applyFill="1"/>
    <xf numFmtId="0" fontId="0" fillId="0" borderId="2" xfId="0" applyBorder="1" applyAlignment="1">
      <alignment horizontal="center"/>
    </xf>
    <xf numFmtId="167" fontId="0" fillId="0" borderId="0" xfId="0" applyNumberFormat="1"/>
    <xf numFmtId="0" fontId="17" fillId="0" borderId="0" xfId="0" applyFont="1" applyAlignment="1">
      <alignment vertical="top" wrapText="1"/>
    </xf>
    <xf numFmtId="166" fontId="12" fillId="0" borderId="0" xfId="0" applyNumberFormat="1" applyFont="1" applyAlignment="1">
      <alignment vertical="top" wrapText="1"/>
    </xf>
    <xf numFmtId="0" fontId="12" fillId="0" borderId="1" xfId="0" applyFont="1" applyBorder="1" applyAlignment="1">
      <alignment wrapText="1"/>
    </xf>
    <xf numFmtId="166" fontId="0" fillId="0" borderId="0" xfId="0" applyNumberFormat="1"/>
    <xf numFmtId="0" fontId="3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6" borderId="0" xfId="0" applyFont="1" applyFill="1" applyAlignment="1">
      <alignment vertical="top" wrapText="1"/>
    </xf>
    <xf numFmtId="0" fontId="6" fillId="6" borderId="0" xfId="0" applyFont="1" applyFill="1" applyAlignment="1">
      <alignment horizontal="left" vertical="top" wrapText="1"/>
    </xf>
    <xf numFmtId="2" fontId="0" fillId="0" borderId="0" xfId="0" applyNumberFormat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4" fillId="3" borderId="0" xfId="0" applyFont="1" applyFill="1"/>
    <xf numFmtId="0" fontId="2" fillId="0" borderId="0" xfId="0" applyFont="1"/>
    <xf numFmtId="0" fontId="6" fillId="6" borderId="0" xfId="0" applyFont="1" applyFill="1"/>
    <xf numFmtId="0" fontId="9" fillId="10" borderId="0" xfId="0" applyFont="1" applyFill="1" applyAlignment="1">
      <alignment horizontal="center" wrapText="1"/>
    </xf>
    <xf numFmtId="0" fontId="11" fillId="11" borderId="0" xfId="0" applyFont="1" applyFill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3" borderId="0" xfId="0" applyFill="1"/>
    <xf numFmtId="0" fontId="16" fillId="14" borderId="0" xfId="0" applyFont="1" applyFill="1" applyAlignment="1">
      <alignment vertical="top" wrapText="1"/>
    </xf>
    <xf numFmtId="14" fontId="0" fillId="0" borderId="0" xfId="0" applyNumberFormat="1"/>
    <xf numFmtId="0" fontId="20" fillId="0" borderId="0" xfId="0" applyFont="1"/>
    <xf numFmtId="0" fontId="9" fillId="10" borderId="0" xfId="0" applyFont="1" applyFill="1"/>
    <xf numFmtId="0" fontId="16" fillId="14" borderId="0" xfId="0" applyFont="1" applyFill="1"/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14" fontId="0" fillId="0" borderId="2" xfId="0" applyNumberFormat="1" applyBorder="1" applyAlignment="1">
      <alignment vertical="top"/>
    </xf>
    <xf numFmtId="0" fontId="8" fillId="6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5" fillId="0" borderId="0" xfId="0" applyFont="1" applyAlignment="1">
      <alignment vertical="top" wrapText="1"/>
    </xf>
    <xf numFmtId="0" fontId="0" fillId="5" borderId="0" xfId="0" applyFill="1"/>
    <xf numFmtId="0" fontId="0" fillId="5" borderId="0" xfId="0" applyFill="1" applyAlignment="1">
      <alignment vertical="top" wrapText="1"/>
    </xf>
    <xf numFmtId="14" fontId="0" fillId="5" borderId="0" xfId="0" applyNumberFormat="1" applyFill="1"/>
    <xf numFmtId="2" fontId="0" fillId="3" borderId="0" xfId="0" applyNumberFormat="1" applyFill="1"/>
    <xf numFmtId="14" fontId="0" fillId="3" borderId="0" xfId="0" applyNumberFormat="1" applyFill="1"/>
    <xf numFmtId="0" fontId="34" fillId="14" borderId="0" xfId="0" applyFont="1" applyFill="1"/>
    <xf numFmtId="0" fontId="12" fillId="0" borderId="2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9" borderId="2" xfId="0" applyFont="1" applyFill="1" applyBorder="1" applyAlignment="1">
      <alignment horizontal="left" vertical="top" wrapText="1"/>
    </xf>
    <xf numFmtId="0" fontId="19" fillId="8" borderId="2" xfId="0" applyFont="1" applyFill="1" applyBorder="1" applyAlignment="1">
      <alignment horizontal="left" vertical="top" wrapText="1"/>
    </xf>
    <xf numFmtId="0" fontId="19" fillId="10" borderId="2" xfId="0" applyFont="1" applyFill="1" applyBorder="1" applyAlignment="1">
      <alignment horizontal="left" vertical="top" wrapText="1"/>
    </xf>
    <xf numFmtId="0" fontId="19" fillId="11" borderId="2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left" vertical="center"/>
    </xf>
    <xf numFmtId="0" fontId="3" fillId="4" borderId="0" xfId="0" applyFont="1" applyFill="1"/>
    <xf numFmtId="2" fontId="0" fillId="5" borderId="0" xfId="0" applyNumberFormat="1" applyFill="1"/>
    <xf numFmtId="0" fontId="11" fillId="7" borderId="0" xfId="0" applyFont="1" applyFill="1" applyAlignment="1">
      <alignment horizontal="left" vertical="center"/>
    </xf>
    <xf numFmtId="0" fontId="10" fillId="7" borderId="0" xfId="0" applyFont="1" applyFill="1"/>
    <xf numFmtId="14" fontId="0" fillId="5" borderId="0" xfId="0" applyNumberFormat="1" applyFill="1" applyAlignment="1">
      <alignment vertical="top" wrapText="1"/>
    </xf>
    <xf numFmtId="0" fontId="0" fillId="5" borderId="0" xfId="0" quotePrefix="1" applyFill="1"/>
    <xf numFmtId="0" fontId="0" fillId="5" borderId="0" xfId="0" quotePrefix="1" applyFill="1" applyAlignment="1">
      <alignment vertical="top" wrapText="1"/>
    </xf>
    <xf numFmtId="0" fontId="0" fillId="3" borderId="0" xfId="0" quotePrefix="1" applyFill="1"/>
    <xf numFmtId="0" fontId="33" fillId="0" borderId="0" xfId="0" applyFont="1" applyAlignment="1">
      <alignment vertical="top" wrapText="1"/>
    </xf>
    <xf numFmtId="0" fontId="0" fillId="0" borderId="0" xfId="0"/>
    <xf numFmtId="0" fontId="18" fillId="0" borderId="0" xfId="0" applyFont="1"/>
    <xf numFmtId="0" fontId="19" fillId="0" borderId="0" xfId="0" applyFont="1" applyAlignment="1">
      <alignment vertical="top" wrapText="1"/>
    </xf>
    <xf numFmtId="0" fontId="34" fillId="12" borderId="0" xfId="0" applyFont="1" applyFill="1"/>
    <xf numFmtId="0" fontId="0" fillId="12" borderId="0" xfId="0" applyFill="1"/>
    <xf numFmtId="0" fontId="24" fillId="0" borderId="0" xfId="0" applyFont="1" applyAlignment="1">
      <alignment vertical="top" wrapText="1"/>
    </xf>
    <xf numFmtId="0" fontId="22" fillId="11" borderId="0" xfId="0" applyFont="1" applyFill="1" applyAlignment="1">
      <alignment horizontal="center" vertical="center" wrapText="1"/>
    </xf>
    <xf numFmtId="0" fontId="0" fillId="11" borderId="0" xfId="0" applyFill="1"/>
    <xf numFmtId="0" fontId="0" fillId="11" borderId="4" xfId="0" applyFill="1" applyBorder="1"/>
    <xf numFmtId="0" fontId="19" fillId="0" borderId="2" xfId="0" applyFont="1" applyBorder="1" applyAlignment="1">
      <alignment vertical="center" wrapText="1"/>
    </xf>
    <xf numFmtId="0" fontId="0" fillId="0" borderId="2" xfId="0" applyBorder="1"/>
    <xf numFmtId="0" fontId="15" fillId="0" borderId="1" xfId="0" applyFont="1" applyBorder="1"/>
    <xf numFmtId="0" fontId="0" fillId="0" borderId="1" xfId="0" applyBorder="1"/>
    <xf numFmtId="0" fontId="32" fillId="0" borderId="0" xfId="0" applyFont="1" applyAlignment="1">
      <alignment vertical="top"/>
    </xf>
    <xf numFmtId="0" fontId="0" fillId="4" borderId="0" xfId="0" applyFill="1" applyAlignment="1">
      <alignment horizontal="left" vertical="top" wrapText="1"/>
    </xf>
    <xf numFmtId="0" fontId="26" fillId="13" borderId="0" xfId="0" applyFont="1" applyFill="1" applyAlignment="1">
      <alignment horizontal="center" vertical="center" wrapText="1"/>
    </xf>
    <xf numFmtId="0" fontId="0" fillId="13" borderId="0" xfId="0" applyFill="1"/>
    <xf numFmtId="0" fontId="0" fillId="13" borderId="4" xfId="0" applyFill="1" applyBorder="1"/>
    <xf numFmtId="0" fontId="25" fillId="13" borderId="0" xfId="0" applyFont="1" applyFill="1" applyAlignment="1">
      <alignment horizontal="center" vertical="center" wrapText="1"/>
    </xf>
    <xf numFmtId="0" fontId="27" fillId="15" borderId="0" xfId="0" applyFont="1" applyFill="1" applyAlignment="1">
      <alignment horizontal="center" vertical="center" wrapText="1"/>
    </xf>
    <xf numFmtId="0" fontId="0" fillId="15" borderId="0" xfId="0" applyFill="1"/>
    <xf numFmtId="0" fontId="0" fillId="15" borderId="4" xfId="0" applyFill="1" applyBorder="1"/>
    <xf numFmtId="0" fontId="25" fillId="11" borderId="0" xfId="0" applyFont="1" applyFill="1" applyAlignment="1">
      <alignment horizontal="center" vertical="center" wrapText="1"/>
    </xf>
    <xf numFmtId="0" fontId="22" fillId="13" borderId="0" xfId="0" applyFont="1" applyFill="1" applyAlignment="1">
      <alignment horizontal="center" vertical="center" wrapText="1"/>
    </xf>
    <xf numFmtId="0" fontId="28" fillId="11" borderId="0" xfId="0" applyFont="1" applyFill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22" fillId="15" borderId="0" xfId="0" applyFont="1" applyFill="1" applyAlignment="1">
      <alignment horizontal="center" vertical="center" wrapText="1"/>
    </xf>
    <xf numFmtId="0" fontId="25" fillId="1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indent="1"/>
    </xf>
    <xf numFmtId="0" fontId="0" fillId="2" borderId="0" xfId="0" applyFill="1"/>
    <xf numFmtId="0" fontId="25" fillId="0" borderId="0" xfId="0" applyFont="1"/>
    <xf numFmtId="0" fontId="0" fillId="0" borderId="0" xfId="0" applyAlignment="1">
      <alignment vertical="top" wrapText="1"/>
    </xf>
    <xf numFmtId="0" fontId="35" fillId="17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20" fillId="0" borderId="0" xfId="0" applyFont="1" applyAlignment="1">
      <alignment vertical="top" wrapText="1"/>
    </xf>
    <xf numFmtId="0" fontId="24" fillId="0" borderId="2" xfId="0" applyFont="1" applyBorder="1"/>
    <xf numFmtId="0" fontId="16" fillId="12" borderId="0" xfId="0" applyFont="1" applyFill="1"/>
    <xf numFmtId="0" fontId="19" fillId="0" borderId="2" xfId="0" applyFont="1" applyBorder="1"/>
    <xf numFmtId="0" fontId="18" fillId="0" borderId="0" xfId="0" applyFont="1" applyAlignment="1">
      <alignment vertical="top" wrapText="1"/>
    </xf>
    <xf numFmtId="0" fontId="19" fillId="13" borderId="0" xfId="0" applyFont="1" applyFill="1" applyAlignment="1">
      <alignment vertical="top" wrapText="1"/>
    </xf>
    <xf numFmtId="0" fontId="0" fillId="6" borderId="0" xfId="0" applyFill="1" applyAlignment="1">
      <alignment horizontal="left" vertical="top" wrapText="1"/>
    </xf>
    <xf numFmtId="0" fontId="0" fillId="17" borderId="0" xfId="0" applyFill="1" applyAlignment="1">
      <alignment horizontal="left" vertical="top" wrapText="1"/>
    </xf>
    <xf numFmtId="0" fontId="8" fillId="8" borderId="0" xfId="0" applyFont="1" applyFill="1" applyAlignment="1">
      <alignment horizontal="center" wrapText="1"/>
    </xf>
    <xf numFmtId="0" fontId="0" fillId="8" borderId="0" xfId="0" applyFill="1"/>
    <xf numFmtId="0" fontId="7" fillId="9" borderId="0" xfId="0" applyFont="1" applyFill="1" applyAlignment="1">
      <alignment horizontal="center" wrapText="1"/>
    </xf>
    <xf numFmtId="0" fontId="0" fillId="9" borderId="0" xfId="0" applyFill="1"/>
    <xf numFmtId="0" fontId="2" fillId="0" borderId="0" xfId="0" applyFont="1"/>
    <xf numFmtId="0" fontId="0" fillId="7" borderId="0" xfId="0" applyFill="1" applyAlignment="1">
      <alignment horizontal="left" vertical="top" wrapText="1"/>
    </xf>
    <xf numFmtId="0" fontId="9" fillId="10" borderId="0" xfId="0" applyFont="1" applyFill="1"/>
    <xf numFmtId="0" fontId="0" fillId="10" borderId="0" xfId="0" applyFill="1"/>
    <xf numFmtId="0" fontId="0" fillId="3" borderId="0" xfId="0" applyFill="1" applyAlignment="1">
      <alignment horizontal="left" vertical="top" wrapText="1"/>
    </xf>
    <xf numFmtId="0" fontId="7" fillId="9" borderId="0" xfId="0" applyFont="1" applyFill="1"/>
    <xf numFmtId="0" fontId="9" fillId="3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3" fillId="0" borderId="0" xfId="0" applyFont="1" applyAlignment="1">
      <alignment vertical="top" wrapText="1"/>
    </xf>
    <xf numFmtId="0" fontId="21" fillId="16" borderId="0" xfId="0" applyFont="1" applyFill="1"/>
    <xf numFmtId="0" fontId="7" fillId="4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/>
    </xf>
  </cellXfs>
  <cellStyles count="1">
    <cellStyle name="Normale" xfId="0" builtinId="0"/>
  </cellStyles>
  <dxfs count="81"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595959"/>
      </font>
      <fill>
        <patternFill patternType="solid">
          <fgColor rgb="FFF2F2F2"/>
          <bgColor rgb="FFF2F2F2"/>
        </patternFill>
      </fill>
    </dxf>
    <dxf>
      <font>
        <b/>
        <color rgb="FF595959"/>
      </font>
      <fill>
        <patternFill patternType="solid">
          <fgColor rgb="FFF2F2F2"/>
          <bgColor rgb="FFF2F2F2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375623"/>
      </font>
      <fill>
        <patternFill patternType="solid">
          <fgColor rgb="FFE2EFDA"/>
          <bgColor rgb="FFE2EFDA"/>
        </patternFill>
      </fill>
    </dxf>
    <dxf>
      <font>
        <b/>
        <color rgb="FF1F3864"/>
      </font>
      <fill>
        <patternFill patternType="solid">
          <fgColor rgb="FFDEEAF6"/>
          <bgColor rgb="FFDEEAF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8CBAD"/>
          <bgColor rgb="FFF8CBAD"/>
        </patternFill>
      </fill>
    </dxf>
    <dxf>
      <font>
        <color rgb="FFBFBFBF"/>
      </font>
    </dxf>
    <dxf>
      <font>
        <b/>
        <color rgb="FF2E75B6"/>
      </font>
    </dxf>
    <dxf>
      <font>
        <b/>
        <color rgb="FFC00000"/>
      </font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8CBAD"/>
          <bgColor rgb="FFF8CBAD"/>
        </patternFill>
      </fill>
    </dxf>
    <dxf>
      <font>
        <color rgb="FFBFBFBF"/>
      </font>
    </dxf>
    <dxf>
      <font>
        <b/>
        <color rgb="FF2E75B6"/>
      </font>
    </dxf>
    <dxf>
      <font>
        <b/>
        <color rgb="FFC00000"/>
      </font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262626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b/>
      </font>
      <fill>
        <patternFill patternType="solid">
          <fgColor rgb="FFD9D9D9"/>
          <bgColor rgb="FFD9D9D9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color rgb="FF2E75B6"/>
      </font>
    </dxf>
    <dxf>
      <font>
        <color rgb="FFC00000"/>
      </font>
    </dxf>
    <dxf>
      <font>
        <b/>
        <color rgb="FFFFFFFF"/>
      </font>
      <fill>
        <patternFill patternType="solid">
          <fgColor rgb="FF2E75B6"/>
          <bgColor rgb="FF2E75B6"/>
        </patternFill>
      </fill>
    </dxf>
    <dxf>
      <font>
        <b/>
        <color rgb="FF262626"/>
      </font>
      <fill>
        <patternFill patternType="solid">
          <fgColor rgb="FF9DC3E6"/>
          <bgColor rgb="FF9DC3E6"/>
        </patternFill>
      </fill>
    </dxf>
    <dxf>
      <font>
        <b/>
        <color rgb="FF262626"/>
      </font>
      <fill>
        <patternFill patternType="solid">
          <fgColor rgb="FFBDD7EE"/>
          <bgColor rgb="FFBDD7EE"/>
        </patternFill>
      </fill>
    </dxf>
    <dxf>
      <font>
        <b/>
        <color rgb="FF262626"/>
      </font>
      <fill>
        <patternFill patternType="solid">
          <fgColor rgb="FFDEEBF7"/>
          <bgColor rgb="FFDEEBF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BFBFBF"/>
      </font>
    </dxf>
    <dxf>
      <font>
        <b/>
        <color rgb="FF262626"/>
      </font>
      <fill>
        <patternFill patternType="solid">
          <fgColor rgb="FFF2F2F2"/>
          <bgColor rgb="FFF2F2F2"/>
        </patternFill>
      </fill>
    </dxf>
    <dxf>
      <font>
        <b/>
        <color rgb="FFFFFFFF"/>
      </font>
      <fill>
        <patternFill patternType="solid">
          <fgColor rgb="FFC55A11"/>
          <bgColor rgb="FFC55A11"/>
        </patternFill>
      </fill>
    </dxf>
    <dxf>
      <font>
        <b/>
        <color rgb="FF262626"/>
      </font>
      <fill>
        <patternFill patternType="solid">
          <fgColor rgb="FFF4B183"/>
          <bgColor rgb="FFF4B183"/>
        </patternFill>
      </fill>
    </dxf>
    <dxf>
      <font>
        <b/>
        <color rgb="FF262626"/>
      </font>
      <fill>
        <patternFill patternType="solid">
          <fgColor rgb="FFF8CBAD"/>
          <bgColor rgb="FFF8CBAD"/>
        </patternFill>
      </fill>
    </dxf>
    <dxf>
      <font>
        <b/>
        <color rgb="FF262626"/>
      </font>
      <fill>
        <patternFill patternType="solid">
          <fgColor rgb="FFFCE4D6"/>
          <bgColor rgb="FFFCE4D6"/>
        </patternFill>
      </fill>
    </dxf>
    <dxf>
      <font>
        <color rgb="FF2E75B6"/>
      </font>
    </dxf>
    <dxf>
      <font>
        <color rgb="FFC00000"/>
      </font>
    </dxf>
    <dxf>
      <border>
        <bottom style="thin">
          <color rgb="FFD9D9D9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8CBAD"/>
          <bgColor rgb="FFF8CBAD"/>
        </patternFill>
      </fill>
    </dxf>
    <dxf>
      <font>
        <color rgb="FFBFBFBF"/>
      </font>
    </dxf>
    <dxf>
      <font>
        <b/>
      </font>
      <fill>
        <patternFill patternType="solid">
          <fgColor rgb="FFE2EFDA"/>
          <bgColor rgb="FFE2EFDA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b/>
      </font>
      <fill>
        <patternFill patternType="solid">
          <fgColor rgb="FFFBE5E5"/>
          <bgColor rgb="FFFBE5E5"/>
        </patternFill>
      </fill>
    </dxf>
    <dxf>
      <font>
        <b/>
      </font>
      <fill>
        <patternFill patternType="solid">
          <fgColor rgb="FFD9D9D9"/>
          <bgColor rgb="FFD9D9D9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color rgb="FFBFBFBF"/>
      </font>
    </dxf>
    <dxf>
      <font>
        <b/>
      </font>
      <fill>
        <patternFill patternType="solid">
          <fgColor rgb="FFD9D9D9"/>
          <bgColor rgb="FFD9D9D9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color rgb="FF2E75B6"/>
      </font>
    </dxf>
    <dxf>
      <font>
        <color rgb="FFC00000"/>
      </font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2F2F2"/>
          <bgColor rgb="FFF2F2F2"/>
        </patternFill>
      </fill>
    </dxf>
    <dxf>
      <font>
        <b/>
      </font>
      <fill>
        <patternFill patternType="solid">
          <fgColor rgb="FFD9D9D9"/>
          <bgColor rgb="FFD9D9D9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color rgb="FF2E75B6"/>
      </font>
    </dxf>
    <dxf>
      <font>
        <color rgb="FFC00000"/>
      </font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2F2F2"/>
          <bgColor rgb="FFF2F2F2"/>
        </patternFill>
      </fill>
    </dxf>
    <dxf>
      <font>
        <b/>
      </font>
      <fill>
        <patternFill patternType="solid">
          <fgColor rgb="FFD9D9D9"/>
          <bgColor rgb="FFD9D9D9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border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Mosca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none"/>
          </c:marker>
          <c:dLbls>
            <c:dLbl>
              <c:idx val="21"/>
              <c:spPr/>
              <c:txPr>
                <a:bodyPr/>
                <a:lstStyle/>
                <a:p>
                  <a:pPr>
                    <a:defRPr sz="650" b="1">
                      <a:solidFill>
                        <a:srgbClr val="C00000"/>
                      </a:solidFill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C1-4B3C-82DE-622549E509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C00000"/>
                    </a:solidFill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Quadro!$BI$5:$BI$77</c:f>
              <c:numCache>
                <c:formatCode>General</c:formatCode>
                <c:ptCount val="73"/>
                <c:pt idx="0">
                  <c:v>0</c:v>
                </c:pt>
                <c:pt idx="1">
                  <c:v>0.17431148549531633</c:v>
                </c:pt>
                <c:pt idx="2">
                  <c:v>0.34729635533386066</c:v>
                </c:pt>
                <c:pt idx="3">
                  <c:v>0.51763809020504148</c:v>
                </c:pt>
                <c:pt idx="4">
                  <c:v>0.68404028665133743</c:v>
                </c:pt>
                <c:pt idx="5">
                  <c:v>0.84523652348139888</c:v>
                </c:pt>
                <c:pt idx="6">
                  <c:v>0.99999999999999989</c:v>
                </c:pt>
                <c:pt idx="7">
                  <c:v>1.1471528727020921</c:v>
                </c:pt>
                <c:pt idx="8">
                  <c:v>1.2855752193730785</c:v>
                </c:pt>
                <c:pt idx="9">
                  <c:v>1.4142135623730949</c:v>
                </c:pt>
                <c:pt idx="10">
                  <c:v>1.532088886237956</c:v>
                </c:pt>
                <c:pt idx="11">
                  <c:v>1.6383040885779834</c:v>
                </c:pt>
                <c:pt idx="12">
                  <c:v>1.7320508075688772</c:v>
                </c:pt>
                <c:pt idx="13">
                  <c:v>1.8126155740732999</c:v>
                </c:pt>
                <c:pt idx="14">
                  <c:v>1.8793852415718166</c:v>
                </c:pt>
                <c:pt idx="15">
                  <c:v>1.9318516525781364</c:v>
                </c:pt>
                <c:pt idx="16">
                  <c:v>1.969615506024416</c:v>
                </c:pt>
                <c:pt idx="17">
                  <c:v>1.9923893961834911</c:v>
                </c:pt>
                <c:pt idx="18">
                  <c:v>2</c:v>
                </c:pt>
                <c:pt idx="19">
                  <c:v>1.9923893961834911</c:v>
                </c:pt>
                <c:pt idx="20">
                  <c:v>1.969615506024416</c:v>
                </c:pt>
                <c:pt idx="21">
                  <c:v>1.9318516525781366</c:v>
                </c:pt>
                <c:pt idx="22">
                  <c:v>1.8793852415718169</c:v>
                </c:pt>
                <c:pt idx="23">
                  <c:v>1.8126155740733001</c:v>
                </c:pt>
                <c:pt idx="24">
                  <c:v>1.7320508075688774</c:v>
                </c:pt>
                <c:pt idx="25">
                  <c:v>1.6383040885779834</c:v>
                </c:pt>
                <c:pt idx="26">
                  <c:v>1.532088886237956</c:v>
                </c:pt>
                <c:pt idx="27">
                  <c:v>1.4142135623730951</c:v>
                </c:pt>
                <c:pt idx="28">
                  <c:v>1.2855752193730789</c:v>
                </c:pt>
                <c:pt idx="29">
                  <c:v>1.1471528727020919</c:v>
                </c:pt>
                <c:pt idx="30">
                  <c:v>1.0000000000000007</c:v>
                </c:pt>
                <c:pt idx="31">
                  <c:v>0.84523652348139899</c:v>
                </c:pt>
                <c:pt idx="32">
                  <c:v>0.68404028665133776</c:v>
                </c:pt>
                <c:pt idx="33">
                  <c:v>0.51763809020504115</c:v>
                </c:pt>
                <c:pt idx="34">
                  <c:v>0.34729635533386055</c:v>
                </c:pt>
                <c:pt idx="35">
                  <c:v>0.17431148549531639</c:v>
                </c:pt>
                <c:pt idx="36">
                  <c:v>2.45029690981724E-16</c:v>
                </c:pt>
                <c:pt idx="37">
                  <c:v>-0.17431148549531589</c:v>
                </c:pt>
                <c:pt idx="38">
                  <c:v>-0.34729635533386005</c:v>
                </c:pt>
                <c:pt idx="39">
                  <c:v>-0.5176380902050407</c:v>
                </c:pt>
                <c:pt idx="40">
                  <c:v>-0.68404028665133731</c:v>
                </c:pt>
                <c:pt idx="41">
                  <c:v>-0.84523652348139777</c:v>
                </c:pt>
                <c:pt idx="42">
                  <c:v>-1.0000000000000002</c:v>
                </c:pt>
                <c:pt idx="43">
                  <c:v>-1.1471528727020917</c:v>
                </c:pt>
                <c:pt idx="44">
                  <c:v>-1.2855752193730778</c:v>
                </c:pt>
                <c:pt idx="45">
                  <c:v>-1.4142135623730949</c:v>
                </c:pt>
                <c:pt idx="46">
                  <c:v>-1.5320888862379558</c:v>
                </c:pt>
                <c:pt idx="47">
                  <c:v>-1.6383040885779843</c:v>
                </c:pt>
                <c:pt idx="48">
                  <c:v>-1.7320508075688767</c:v>
                </c:pt>
                <c:pt idx="49">
                  <c:v>-1.8126155740732994</c:v>
                </c:pt>
                <c:pt idx="50">
                  <c:v>-1.8793852415718169</c:v>
                </c:pt>
                <c:pt idx="51">
                  <c:v>-1.9318516525781366</c:v>
                </c:pt>
                <c:pt idx="52">
                  <c:v>-1.969615506024416</c:v>
                </c:pt>
                <c:pt idx="53">
                  <c:v>-1.9923893961834911</c:v>
                </c:pt>
                <c:pt idx="54">
                  <c:v>-2</c:v>
                </c:pt>
                <c:pt idx="55">
                  <c:v>-1.9923893961834911</c:v>
                </c:pt>
                <c:pt idx="56">
                  <c:v>-1.9696155060244163</c:v>
                </c:pt>
                <c:pt idx="57">
                  <c:v>-1.9318516525781368</c:v>
                </c:pt>
                <c:pt idx="58">
                  <c:v>-1.8793852415718166</c:v>
                </c:pt>
                <c:pt idx="59">
                  <c:v>-1.8126155740733005</c:v>
                </c:pt>
                <c:pt idx="60">
                  <c:v>-1.7320508075688781</c:v>
                </c:pt>
                <c:pt idx="61">
                  <c:v>-1.6383040885779836</c:v>
                </c:pt>
                <c:pt idx="62">
                  <c:v>-1.5320888862379562</c:v>
                </c:pt>
                <c:pt idx="63">
                  <c:v>-1.4142135623730954</c:v>
                </c:pt>
                <c:pt idx="64">
                  <c:v>-1.2855752193730792</c:v>
                </c:pt>
                <c:pt idx="65">
                  <c:v>-1.147152872702093</c:v>
                </c:pt>
                <c:pt idx="66">
                  <c:v>-0.99999999999999933</c:v>
                </c:pt>
                <c:pt idx="67">
                  <c:v>-0.84523652348139999</c:v>
                </c:pt>
                <c:pt idx="68">
                  <c:v>-0.6840402866513372</c:v>
                </c:pt>
                <c:pt idx="69">
                  <c:v>-0.51763809020504137</c:v>
                </c:pt>
                <c:pt idx="70">
                  <c:v>-0.34729635533386077</c:v>
                </c:pt>
                <c:pt idx="71">
                  <c:v>-0.17431148549531664</c:v>
                </c:pt>
                <c:pt idx="72">
                  <c:v>-4.90059381963448E-16</c:v>
                </c:pt>
              </c:numCache>
            </c:numRef>
          </c:xVal>
          <c:yVal>
            <c:numRef>
              <c:f>Quadro!$BJ$5:$BJ$77</c:f>
              <c:numCache>
                <c:formatCode>General</c:formatCode>
                <c:ptCount val="73"/>
                <c:pt idx="0">
                  <c:v>2</c:v>
                </c:pt>
                <c:pt idx="1">
                  <c:v>1.9923893961834911</c:v>
                </c:pt>
                <c:pt idx="2">
                  <c:v>1.969615506024416</c:v>
                </c:pt>
                <c:pt idx="3">
                  <c:v>1.9318516525781366</c:v>
                </c:pt>
                <c:pt idx="4">
                  <c:v>1.8793852415718169</c:v>
                </c:pt>
                <c:pt idx="5">
                  <c:v>1.8126155740732999</c:v>
                </c:pt>
                <c:pt idx="6">
                  <c:v>1.7320508075688774</c:v>
                </c:pt>
                <c:pt idx="7">
                  <c:v>1.6383040885779836</c:v>
                </c:pt>
                <c:pt idx="8">
                  <c:v>1.532088886237956</c:v>
                </c:pt>
                <c:pt idx="9">
                  <c:v>1.4142135623730951</c:v>
                </c:pt>
                <c:pt idx="10">
                  <c:v>1.2855752193730787</c:v>
                </c:pt>
                <c:pt idx="11">
                  <c:v>1.1471528727020923</c:v>
                </c:pt>
                <c:pt idx="12">
                  <c:v>1.0000000000000002</c:v>
                </c:pt>
                <c:pt idx="13">
                  <c:v>0.84523652348139888</c:v>
                </c:pt>
                <c:pt idx="14">
                  <c:v>0.68404028665133765</c:v>
                </c:pt>
                <c:pt idx="15">
                  <c:v>0.51763809020504192</c:v>
                </c:pt>
                <c:pt idx="16">
                  <c:v>0.34729635533386083</c:v>
                </c:pt>
                <c:pt idx="17">
                  <c:v>0.17431148549531628</c:v>
                </c:pt>
                <c:pt idx="18">
                  <c:v>1.22514845490862E-16</c:v>
                </c:pt>
                <c:pt idx="19">
                  <c:v>-0.17431148549531603</c:v>
                </c:pt>
                <c:pt idx="20">
                  <c:v>-0.34729635533386061</c:v>
                </c:pt>
                <c:pt idx="21">
                  <c:v>-0.5176380902050417</c:v>
                </c:pt>
                <c:pt idx="22">
                  <c:v>-0.68404028665133698</c:v>
                </c:pt>
                <c:pt idx="23">
                  <c:v>-0.84523652348139866</c:v>
                </c:pt>
                <c:pt idx="24">
                  <c:v>-0.99999999999999956</c:v>
                </c:pt>
                <c:pt idx="25">
                  <c:v>-1.1471528727020923</c:v>
                </c:pt>
                <c:pt idx="26">
                  <c:v>-1.2855752193730787</c:v>
                </c:pt>
                <c:pt idx="27">
                  <c:v>-1.4142135623730949</c:v>
                </c:pt>
                <c:pt idx="28">
                  <c:v>-1.5320888862379558</c:v>
                </c:pt>
                <c:pt idx="29">
                  <c:v>-1.6383040885779838</c:v>
                </c:pt>
                <c:pt idx="30">
                  <c:v>-1.732050807568877</c:v>
                </c:pt>
                <c:pt idx="31">
                  <c:v>-1.8126155740732999</c:v>
                </c:pt>
                <c:pt idx="32">
                  <c:v>-1.8793852415718166</c:v>
                </c:pt>
                <c:pt idx="33">
                  <c:v>-1.9318516525781366</c:v>
                </c:pt>
                <c:pt idx="34">
                  <c:v>-1.969615506024416</c:v>
                </c:pt>
                <c:pt idx="35">
                  <c:v>-1.9923893961834911</c:v>
                </c:pt>
                <c:pt idx="36">
                  <c:v>-2</c:v>
                </c:pt>
                <c:pt idx="37">
                  <c:v>-1.9923893961834911</c:v>
                </c:pt>
                <c:pt idx="38">
                  <c:v>-1.9696155060244163</c:v>
                </c:pt>
                <c:pt idx="39">
                  <c:v>-1.9318516525781368</c:v>
                </c:pt>
                <c:pt idx="40">
                  <c:v>-1.8793852415718169</c:v>
                </c:pt>
                <c:pt idx="41">
                  <c:v>-1.8126155740733005</c:v>
                </c:pt>
                <c:pt idx="42">
                  <c:v>-1.7320508075688772</c:v>
                </c:pt>
                <c:pt idx="43">
                  <c:v>-1.638304088577984</c:v>
                </c:pt>
                <c:pt idx="44">
                  <c:v>-1.5320888862379567</c:v>
                </c:pt>
                <c:pt idx="45">
                  <c:v>-1.4142135623730954</c:v>
                </c:pt>
                <c:pt idx="46">
                  <c:v>-1.2855752193730789</c:v>
                </c:pt>
                <c:pt idx="47">
                  <c:v>-1.1471528727020914</c:v>
                </c:pt>
                <c:pt idx="48">
                  <c:v>-1.0000000000000009</c:v>
                </c:pt>
                <c:pt idx="49">
                  <c:v>-0.84523652348139988</c:v>
                </c:pt>
                <c:pt idx="50">
                  <c:v>-0.68404028665133709</c:v>
                </c:pt>
                <c:pt idx="51">
                  <c:v>-0.51763809020504126</c:v>
                </c:pt>
                <c:pt idx="52">
                  <c:v>-0.34729635533386066</c:v>
                </c:pt>
                <c:pt idx="53">
                  <c:v>-0.1743114854953165</c:v>
                </c:pt>
                <c:pt idx="54">
                  <c:v>-3.67544536472586E-16</c:v>
                </c:pt>
                <c:pt idx="55">
                  <c:v>0.17431148549531578</c:v>
                </c:pt>
                <c:pt idx="56">
                  <c:v>0.34729635533385994</c:v>
                </c:pt>
                <c:pt idx="57">
                  <c:v>0.51763809020504059</c:v>
                </c:pt>
                <c:pt idx="58">
                  <c:v>0.68404028665133798</c:v>
                </c:pt>
                <c:pt idx="59">
                  <c:v>0.84523652348139766</c:v>
                </c:pt>
                <c:pt idx="60">
                  <c:v>0.99999999999999867</c:v>
                </c:pt>
                <c:pt idx="61">
                  <c:v>1.1471528727020921</c:v>
                </c:pt>
                <c:pt idx="62">
                  <c:v>1.2855752193730785</c:v>
                </c:pt>
                <c:pt idx="63">
                  <c:v>1.4142135623730947</c:v>
                </c:pt>
                <c:pt idx="64">
                  <c:v>1.5320888862379556</c:v>
                </c:pt>
                <c:pt idx="65">
                  <c:v>1.6383040885779832</c:v>
                </c:pt>
                <c:pt idx="66">
                  <c:v>1.7320508075688776</c:v>
                </c:pt>
                <c:pt idx="67">
                  <c:v>1.8126155740732994</c:v>
                </c:pt>
                <c:pt idx="68">
                  <c:v>1.8793852415718169</c:v>
                </c:pt>
                <c:pt idx="69">
                  <c:v>1.9318516525781366</c:v>
                </c:pt>
                <c:pt idx="70">
                  <c:v>1.969615506024416</c:v>
                </c:pt>
                <c:pt idx="71">
                  <c:v>1.9923893961834911</c:v>
                </c:pt>
                <c:pt idx="7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C1-4B3C-82DE-622549E5090E}"/>
            </c:ext>
          </c:extLst>
        </c:ser>
        <c:ser>
          <c:idx val="1"/>
          <c:order val="1"/>
          <c:tx>
            <c:v>1 anno</c:v>
          </c:tx>
          <c:spPr>
            <a:ln w="12700">
              <a:solidFill>
                <a:srgbClr val="8C8C8C"/>
              </a:solidFill>
              <a:prstDash val="dash"/>
            </a:ln>
          </c:spPr>
          <c:marker>
            <c:symbol val="none"/>
          </c:marker>
          <c:xVal>
            <c:numRef>
              <c:f>Quadro!$BK$5:$BK$77</c:f>
              <c:numCache>
                <c:formatCode>General</c:formatCode>
                <c:ptCount val="73"/>
                <c:pt idx="0">
                  <c:v>0</c:v>
                </c:pt>
                <c:pt idx="1">
                  <c:v>0.26146722824297453</c:v>
                </c:pt>
                <c:pt idx="2">
                  <c:v>0.52094453300079102</c:v>
                </c:pt>
                <c:pt idx="3">
                  <c:v>0.77645713530756222</c:v>
                </c:pt>
                <c:pt idx="4">
                  <c:v>1.0260604299770062</c:v>
                </c:pt>
                <c:pt idx="5">
                  <c:v>1.2678547852220983</c:v>
                </c:pt>
                <c:pt idx="6">
                  <c:v>1.4999999999999998</c:v>
                </c:pt>
                <c:pt idx="7">
                  <c:v>1.7207293090531381</c:v>
                </c:pt>
                <c:pt idx="8">
                  <c:v>1.9283628290596178</c:v>
                </c:pt>
                <c:pt idx="9">
                  <c:v>2.1213203435596424</c:v>
                </c:pt>
                <c:pt idx="10">
                  <c:v>2.2981333293569342</c:v>
                </c:pt>
                <c:pt idx="11">
                  <c:v>2.4574561328669748</c:v>
                </c:pt>
                <c:pt idx="12">
                  <c:v>2.598076211353316</c:v>
                </c:pt>
                <c:pt idx="13">
                  <c:v>2.7189233611099497</c:v>
                </c:pt>
                <c:pt idx="14">
                  <c:v>2.8190778623577248</c:v>
                </c:pt>
                <c:pt idx="15">
                  <c:v>2.8977774788672046</c:v>
                </c:pt>
                <c:pt idx="16">
                  <c:v>2.9544232590366239</c:v>
                </c:pt>
                <c:pt idx="17">
                  <c:v>2.9885840942752369</c:v>
                </c:pt>
                <c:pt idx="18">
                  <c:v>3</c:v>
                </c:pt>
                <c:pt idx="19">
                  <c:v>2.9885840942752369</c:v>
                </c:pt>
                <c:pt idx="20">
                  <c:v>2.9544232590366239</c:v>
                </c:pt>
                <c:pt idx="21">
                  <c:v>2.897777478867205</c:v>
                </c:pt>
                <c:pt idx="22">
                  <c:v>2.8190778623577253</c:v>
                </c:pt>
                <c:pt idx="23">
                  <c:v>2.7189233611099501</c:v>
                </c:pt>
                <c:pt idx="24">
                  <c:v>2.598076211353316</c:v>
                </c:pt>
                <c:pt idx="25">
                  <c:v>2.4574561328669748</c:v>
                </c:pt>
                <c:pt idx="26">
                  <c:v>2.2981333293569342</c:v>
                </c:pt>
                <c:pt idx="27">
                  <c:v>2.1213203435596428</c:v>
                </c:pt>
                <c:pt idx="28">
                  <c:v>1.9283628290596184</c:v>
                </c:pt>
                <c:pt idx="29">
                  <c:v>1.7207293090531377</c:v>
                </c:pt>
                <c:pt idx="30">
                  <c:v>1.5000000000000009</c:v>
                </c:pt>
                <c:pt idx="31">
                  <c:v>1.2678547852220985</c:v>
                </c:pt>
                <c:pt idx="32">
                  <c:v>1.0260604299770066</c:v>
                </c:pt>
                <c:pt idx="33">
                  <c:v>0.77645713530756177</c:v>
                </c:pt>
                <c:pt idx="34">
                  <c:v>0.5209445330007908</c:v>
                </c:pt>
                <c:pt idx="35">
                  <c:v>0.26146722824297458</c:v>
                </c:pt>
                <c:pt idx="36">
                  <c:v>3.67544536472586E-16</c:v>
                </c:pt>
                <c:pt idx="37">
                  <c:v>-0.26146722824297386</c:v>
                </c:pt>
                <c:pt idx="38">
                  <c:v>-0.52094453300079002</c:v>
                </c:pt>
                <c:pt idx="39">
                  <c:v>-0.77645713530756111</c:v>
                </c:pt>
                <c:pt idx="40">
                  <c:v>-1.026060429977006</c:v>
                </c:pt>
                <c:pt idx="41">
                  <c:v>-1.2678547852220967</c:v>
                </c:pt>
                <c:pt idx="42">
                  <c:v>-1.5000000000000004</c:v>
                </c:pt>
                <c:pt idx="43">
                  <c:v>-1.7207293090531375</c:v>
                </c:pt>
                <c:pt idx="44">
                  <c:v>-1.9283628290596169</c:v>
                </c:pt>
                <c:pt idx="45">
                  <c:v>-2.1213203435596424</c:v>
                </c:pt>
                <c:pt idx="46">
                  <c:v>-2.2981333293569337</c:v>
                </c:pt>
                <c:pt idx="47">
                  <c:v>-2.4574561328669766</c:v>
                </c:pt>
                <c:pt idx="48">
                  <c:v>-2.5980762113533151</c:v>
                </c:pt>
                <c:pt idx="49">
                  <c:v>-2.7189233611099493</c:v>
                </c:pt>
                <c:pt idx="50">
                  <c:v>-2.8190778623577253</c:v>
                </c:pt>
                <c:pt idx="51">
                  <c:v>-2.897777478867205</c:v>
                </c:pt>
                <c:pt idx="52">
                  <c:v>-2.9544232590366239</c:v>
                </c:pt>
                <c:pt idx="53">
                  <c:v>-2.9885840942752369</c:v>
                </c:pt>
                <c:pt idx="54">
                  <c:v>-3</c:v>
                </c:pt>
                <c:pt idx="55">
                  <c:v>-2.9885840942752369</c:v>
                </c:pt>
                <c:pt idx="56">
                  <c:v>-2.9544232590366244</c:v>
                </c:pt>
                <c:pt idx="57">
                  <c:v>-2.897777478867205</c:v>
                </c:pt>
                <c:pt idx="58">
                  <c:v>-2.8190778623577248</c:v>
                </c:pt>
                <c:pt idx="59">
                  <c:v>-2.718923361109951</c:v>
                </c:pt>
                <c:pt idx="60">
                  <c:v>-2.5980762113533169</c:v>
                </c:pt>
                <c:pt idx="61">
                  <c:v>-2.4574561328669753</c:v>
                </c:pt>
                <c:pt idx="62">
                  <c:v>-2.2981333293569346</c:v>
                </c:pt>
                <c:pt idx="63">
                  <c:v>-2.1213203435596428</c:v>
                </c:pt>
                <c:pt idx="64">
                  <c:v>-1.9283628290596186</c:v>
                </c:pt>
                <c:pt idx="65">
                  <c:v>-1.7207293090531395</c:v>
                </c:pt>
                <c:pt idx="66">
                  <c:v>-1.4999999999999991</c:v>
                </c:pt>
                <c:pt idx="67">
                  <c:v>-1.2678547852221</c:v>
                </c:pt>
                <c:pt idx="68">
                  <c:v>-1.0260604299770058</c:v>
                </c:pt>
                <c:pt idx="69">
                  <c:v>-0.776457135307562</c:v>
                </c:pt>
                <c:pt idx="70">
                  <c:v>-0.52094453300079113</c:v>
                </c:pt>
                <c:pt idx="71">
                  <c:v>-0.26146722824297497</c:v>
                </c:pt>
                <c:pt idx="72">
                  <c:v>-7.3508907294517201E-16</c:v>
                </c:pt>
              </c:numCache>
            </c:numRef>
          </c:xVal>
          <c:yVal>
            <c:numRef>
              <c:f>Quadro!$BL$5:$BL$77</c:f>
              <c:numCache>
                <c:formatCode>General</c:formatCode>
                <c:ptCount val="73"/>
                <c:pt idx="0">
                  <c:v>3</c:v>
                </c:pt>
                <c:pt idx="1">
                  <c:v>2.9885840942752369</c:v>
                </c:pt>
                <c:pt idx="2">
                  <c:v>2.9544232590366239</c:v>
                </c:pt>
                <c:pt idx="3">
                  <c:v>2.897777478867205</c:v>
                </c:pt>
                <c:pt idx="4">
                  <c:v>2.8190778623577253</c:v>
                </c:pt>
                <c:pt idx="5">
                  <c:v>2.7189233611099497</c:v>
                </c:pt>
                <c:pt idx="6">
                  <c:v>2.598076211353316</c:v>
                </c:pt>
                <c:pt idx="7">
                  <c:v>2.4574561328669753</c:v>
                </c:pt>
                <c:pt idx="8">
                  <c:v>2.2981333293569342</c:v>
                </c:pt>
                <c:pt idx="9">
                  <c:v>2.1213203435596428</c:v>
                </c:pt>
                <c:pt idx="10">
                  <c:v>1.9283628290596182</c:v>
                </c:pt>
                <c:pt idx="11">
                  <c:v>1.7207293090531386</c:v>
                </c:pt>
                <c:pt idx="12">
                  <c:v>1.5000000000000004</c:v>
                </c:pt>
                <c:pt idx="13">
                  <c:v>1.2678547852220983</c:v>
                </c:pt>
                <c:pt idx="14">
                  <c:v>1.0260604299770064</c:v>
                </c:pt>
                <c:pt idx="15">
                  <c:v>0.77645713530756288</c:v>
                </c:pt>
                <c:pt idx="16">
                  <c:v>0.52094453300079124</c:v>
                </c:pt>
                <c:pt idx="17">
                  <c:v>0.26146722824297441</c:v>
                </c:pt>
                <c:pt idx="18">
                  <c:v>1.83772268236293E-16</c:v>
                </c:pt>
                <c:pt idx="19">
                  <c:v>-0.26146722824297403</c:v>
                </c:pt>
                <c:pt idx="20">
                  <c:v>-0.52094453300079091</c:v>
                </c:pt>
                <c:pt idx="21">
                  <c:v>-0.77645713530756255</c:v>
                </c:pt>
                <c:pt idx="22">
                  <c:v>-1.0260604299770055</c:v>
                </c:pt>
                <c:pt idx="23">
                  <c:v>-1.267854785222098</c:v>
                </c:pt>
                <c:pt idx="24">
                  <c:v>-1.4999999999999993</c:v>
                </c:pt>
                <c:pt idx="25">
                  <c:v>-1.7207293090531386</c:v>
                </c:pt>
                <c:pt idx="26">
                  <c:v>-1.9283628290596182</c:v>
                </c:pt>
                <c:pt idx="27">
                  <c:v>-2.1213203435596424</c:v>
                </c:pt>
                <c:pt idx="28">
                  <c:v>-2.2981333293569337</c:v>
                </c:pt>
                <c:pt idx="29">
                  <c:v>-2.4574561328669757</c:v>
                </c:pt>
                <c:pt idx="30">
                  <c:v>-2.5980762113533156</c:v>
                </c:pt>
                <c:pt idx="31">
                  <c:v>-2.7189233611099497</c:v>
                </c:pt>
                <c:pt idx="32">
                  <c:v>-2.8190778623577248</c:v>
                </c:pt>
                <c:pt idx="33">
                  <c:v>-2.897777478867205</c:v>
                </c:pt>
                <c:pt idx="34">
                  <c:v>-2.9544232590366239</c:v>
                </c:pt>
                <c:pt idx="35">
                  <c:v>-2.9885840942752369</c:v>
                </c:pt>
                <c:pt idx="36">
                  <c:v>-3</c:v>
                </c:pt>
                <c:pt idx="37">
                  <c:v>-2.9885840942752369</c:v>
                </c:pt>
                <c:pt idx="38">
                  <c:v>-2.9544232590366244</c:v>
                </c:pt>
                <c:pt idx="39">
                  <c:v>-2.897777478867205</c:v>
                </c:pt>
                <c:pt idx="40">
                  <c:v>-2.8190778623577253</c:v>
                </c:pt>
                <c:pt idx="41">
                  <c:v>-2.718923361109951</c:v>
                </c:pt>
                <c:pt idx="42">
                  <c:v>-2.598076211353316</c:v>
                </c:pt>
                <c:pt idx="43">
                  <c:v>-2.4574561328669762</c:v>
                </c:pt>
                <c:pt idx="44">
                  <c:v>-2.298133329356935</c:v>
                </c:pt>
                <c:pt idx="45">
                  <c:v>-2.1213203435596428</c:v>
                </c:pt>
                <c:pt idx="46">
                  <c:v>-1.9283628290596184</c:v>
                </c:pt>
                <c:pt idx="47">
                  <c:v>-1.7207293090531373</c:v>
                </c:pt>
                <c:pt idx="48">
                  <c:v>-1.5000000000000013</c:v>
                </c:pt>
                <c:pt idx="49">
                  <c:v>-1.2678547852220998</c:v>
                </c:pt>
                <c:pt idx="50">
                  <c:v>-1.0260604299770058</c:v>
                </c:pt>
                <c:pt idx="51">
                  <c:v>-0.77645713530756189</c:v>
                </c:pt>
                <c:pt idx="52">
                  <c:v>-0.52094453300079102</c:v>
                </c:pt>
                <c:pt idx="53">
                  <c:v>-0.26146722824297475</c:v>
                </c:pt>
                <c:pt idx="54">
                  <c:v>-5.51316804708879E-16</c:v>
                </c:pt>
                <c:pt idx="55">
                  <c:v>0.26146722824297364</c:v>
                </c:pt>
                <c:pt idx="56">
                  <c:v>0.52094453300078991</c:v>
                </c:pt>
                <c:pt idx="57">
                  <c:v>0.77645713530756089</c:v>
                </c:pt>
                <c:pt idx="58">
                  <c:v>1.0260604299770071</c:v>
                </c:pt>
                <c:pt idx="59">
                  <c:v>1.2678547852220965</c:v>
                </c:pt>
                <c:pt idx="60">
                  <c:v>1.499999999999998</c:v>
                </c:pt>
                <c:pt idx="61">
                  <c:v>1.7207293090531381</c:v>
                </c:pt>
                <c:pt idx="62">
                  <c:v>1.9283628290596178</c:v>
                </c:pt>
                <c:pt idx="63">
                  <c:v>2.1213203435596419</c:v>
                </c:pt>
                <c:pt idx="64">
                  <c:v>2.2981333293569333</c:v>
                </c:pt>
                <c:pt idx="65">
                  <c:v>2.4574561328669748</c:v>
                </c:pt>
                <c:pt idx="66">
                  <c:v>2.5980762113533165</c:v>
                </c:pt>
                <c:pt idx="67">
                  <c:v>2.7189233611099493</c:v>
                </c:pt>
                <c:pt idx="68">
                  <c:v>2.8190778623577253</c:v>
                </c:pt>
                <c:pt idx="69">
                  <c:v>2.897777478867205</c:v>
                </c:pt>
                <c:pt idx="70">
                  <c:v>2.9544232590366239</c:v>
                </c:pt>
                <c:pt idx="71">
                  <c:v>2.9885840942752369</c:v>
                </c:pt>
                <c:pt idx="7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C1-4B3C-82DE-622549E5090E}"/>
            </c:ext>
          </c:extLst>
        </c:ser>
        <c:ser>
          <c:idx val="2"/>
          <c:order val="2"/>
          <c:tx>
            <c:v>2 anni</c:v>
          </c:tx>
          <c:spPr>
            <a:ln w="9525">
              <a:solidFill>
                <a:srgbClr val="BFBFBF"/>
              </a:solidFill>
              <a:prstDash val="solid"/>
            </a:ln>
          </c:spPr>
          <c:marker>
            <c:symbol val="none"/>
          </c:marker>
          <c:xVal>
            <c:numRef>
              <c:f>Quadro!$BM$5:$BM$77</c:f>
              <c:numCache>
                <c:formatCode>General</c:formatCode>
                <c:ptCount val="73"/>
                <c:pt idx="0">
                  <c:v>0</c:v>
                </c:pt>
                <c:pt idx="1">
                  <c:v>0.34862297099063266</c:v>
                </c:pt>
                <c:pt idx="2">
                  <c:v>0.69459271066772132</c:v>
                </c:pt>
                <c:pt idx="3">
                  <c:v>1.035276180410083</c:v>
                </c:pt>
                <c:pt idx="4">
                  <c:v>1.3680805733026749</c:v>
                </c:pt>
                <c:pt idx="5">
                  <c:v>1.6904730469627978</c:v>
                </c:pt>
                <c:pt idx="6">
                  <c:v>1.9999999999999998</c:v>
                </c:pt>
                <c:pt idx="7">
                  <c:v>2.2943057454041842</c:v>
                </c:pt>
                <c:pt idx="8">
                  <c:v>2.571150438746157</c:v>
                </c:pt>
                <c:pt idx="9">
                  <c:v>2.8284271247461898</c:v>
                </c:pt>
                <c:pt idx="10">
                  <c:v>3.0641777724759121</c:v>
                </c:pt>
                <c:pt idx="11">
                  <c:v>3.2766081771559668</c:v>
                </c:pt>
                <c:pt idx="12">
                  <c:v>3.4641016151377544</c:v>
                </c:pt>
                <c:pt idx="13">
                  <c:v>3.6252311481465997</c:v>
                </c:pt>
                <c:pt idx="14">
                  <c:v>3.7587704831436333</c:v>
                </c:pt>
                <c:pt idx="15">
                  <c:v>3.8637033051562728</c:v>
                </c:pt>
                <c:pt idx="16">
                  <c:v>3.9392310120488321</c:v>
                </c:pt>
                <c:pt idx="17">
                  <c:v>3.9847787923669822</c:v>
                </c:pt>
                <c:pt idx="18">
                  <c:v>4</c:v>
                </c:pt>
                <c:pt idx="19">
                  <c:v>3.9847787923669822</c:v>
                </c:pt>
                <c:pt idx="20">
                  <c:v>3.9392310120488321</c:v>
                </c:pt>
                <c:pt idx="21">
                  <c:v>3.8637033051562732</c:v>
                </c:pt>
                <c:pt idx="22">
                  <c:v>3.7587704831436337</c:v>
                </c:pt>
                <c:pt idx="23">
                  <c:v>3.6252311481466002</c:v>
                </c:pt>
                <c:pt idx="24">
                  <c:v>3.4641016151377548</c:v>
                </c:pt>
                <c:pt idx="25">
                  <c:v>3.2766081771559668</c:v>
                </c:pt>
                <c:pt idx="26">
                  <c:v>3.0641777724759121</c:v>
                </c:pt>
                <c:pt idx="27">
                  <c:v>2.8284271247461903</c:v>
                </c:pt>
                <c:pt idx="28">
                  <c:v>2.5711504387461579</c:v>
                </c:pt>
                <c:pt idx="29">
                  <c:v>2.2943057454041837</c:v>
                </c:pt>
                <c:pt idx="30">
                  <c:v>2.0000000000000013</c:v>
                </c:pt>
                <c:pt idx="31">
                  <c:v>1.690473046962798</c:v>
                </c:pt>
                <c:pt idx="32">
                  <c:v>1.3680805733026755</c:v>
                </c:pt>
                <c:pt idx="33">
                  <c:v>1.0352761804100823</c:v>
                </c:pt>
                <c:pt idx="34">
                  <c:v>0.6945927106677211</c:v>
                </c:pt>
                <c:pt idx="35">
                  <c:v>0.34862297099063277</c:v>
                </c:pt>
                <c:pt idx="36">
                  <c:v>4.90059381963448E-16</c:v>
                </c:pt>
                <c:pt idx="37">
                  <c:v>-0.34862297099063178</c:v>
                </c:pt>
                <c:pt idx="38">
                  <c:v>-0.6945927106677201</c:v>
                </c:pt>
                <c:pt idx="39">
                  <c:v>-1.0352761804100814</c:v>
                </c:pt>
                <c:pt idx="40">
                  <c:v>-1.3680805733026746</c:v>
                </c:pt>
                <c:pt idx="41">
                  <c:v>-1.6904730469627955</c:v>
                </c:pt>
                <c:pt idx="42">
                  <c:v>-2.0000000000000004</c:v>
                </c:pt>
                <c:pt idx="43">
                  <c:v>-2.2943057454041833</c:v>
                </c:pt>
                <c:pt idx="44">
                  <c:v>-2.5711504387461557</c:v>
                </c:pt>
                <c:pt idx="45">
                  <c:v>-2.8284271247461898</c:v>
                </c:pt>
                <c:pt idx="46">
                  <c:v>-3.0641777724759116</c:v>
                </c:pt>
                <c:pt idx="47">
                  <c:v>-3.2766081771559685</c:v>
                </c:pt>
                <c:pt idx="48">
                  <c:v>-3.4641016151377535</c:v>
                </c:pt>
                <c:pt idx="49">
                  <c:v>-3.6252311481465989</c:v>
                </c:pt>
                <c:pt idx="50">
                  <c:v>-3.7587704831436337</c:v>
                </c:pt>
                <c:pt idx="51">
                  <c:v>-3.8637033051562732</c:v>
                </c:pt>
                <c:pt idx="52">
                  <c:v>-3.9392310120488321</c:v>
                </c:pt>
                <c:pt idx="53">
                  <c:v>-3.9847787923669822</c:v>
                </c:pt>
                <c:pt idx="54">
                  <c:v>-4</c:v>
                </c:pt>
                <c:pt idx="55">
                  <c:v>-3.9847787923669822</c:v>
                </c:pt>
                <c:pt idx="56">
                  <c:v>-3.9392310120488325</c:v>
                </c:pt>
                <c:pt idx="57">
                  <c:v>-3.8637033051562737</c:v>
                </c:pt>
                <c:pt idx="58">
                  <c:v>-3.7587704831436333</c:v>
                </c:pt>
                <c:pt idx="59">
                  <c:v>-3.6252311481466011</c:v>
                </c:pt>
                <c:pt idx="60">
                  <c:v>-3.4641016151377562</c:v>
                </c:pt>
                <c:pt idx="61">
                  <c:v>-3.2766081771559672</c:v>
                </c:pt>
                <c:pt idx="62">
                  <c:v>-3.0641777724759125</c:v>
                </c:pt>
                <c:pt idx="63">
                  <c:v>-2.8284271247461907</c:v>
                </c:pt>
                <c:pt idx="64">
                  <c:v>-2.5711504387461583</c:v>
                </c:pt>
                <c:pt idx="65">
                  <c:v>-2.294305745404186</c:v>
                </c:pt>
                <c:pt idx="66">
                  <c:v>-1.9999999999999987</c:v>
                </c:pt>
                <c:pt idx="67">
                  <c:v>-1.6904730469628</c:v>
                </c:pt>
                <c:pt idx="68">
                  <c:v>-1.3680805733026744</c:v>
                </c:pt>
                <c:pt idx="69">
                  <c:v>-1.0352761804100827</c:v>
                </c:pt>
                <c:pt idx="70">
                  <c:v>-0.69459271066772155</c:v>
                </c:pt>
                <c:pt idx="71">
                  <c:v>-0.34862297099063327</c:v>
                </c:pt>
                <c:pt idx="72">
                  <c:v>-9.8011876392689601E-16</c:v>
                </c:pt>
              </c:numCache>
            </c:numRef>
          </c:xVal>
          <c:yVal>
            <c:numRef>
              <c:f>Quadro!$BN$5:$BN$77</c:f>
              <c:numCache>
                <c:formatCode>General</c:formatCode>
                <c:ptCount val="73"/>
                <c:pt idx="0">
                  <c:v>4</c:v>
                </c:pt>
                <c:pt idx="1">
                  <c:v>3.9847787923669822</c:v>
                </c:pt>
                <c:pt idx="2">
                  <c:v>3.9392310120488321</c:v>
                </c:pt>
                <c:pt idx="3">
                  <c:v>3.8637033051562732</c:v>
                </c:pt>
                <c:pt idx="4">
                  <c:v>3.7587704831436337</c:v>
                </c:pt>
                <c:pt idx="5">
                  <c:v>3.6252311481465997</c:v>
                </c:pt>
                <c:pt idx="6">
                  <c:v>3.4641016151377548</c:v>
                </c:pt>
                <c:pt idx="7">
                  <c:v>3.2766081771559672</c:v>
                </c:pt>
                <c:pt idx="8">
                  <c:v>3.0641777724759121</c:v>
                </c:pt>
                <c:pt idx="9">
                  <c:v>2.8284271247461903</c:v>
                </c:pt>
                <c:pt idx="10">
                  <c:v>2.5711504387461575</c:v>
                </c:pt>
                <c:pt idx="11">
                  <c:v>2.2943057454041846</c:v>
                </c:pt>
                <c:pt idx="12">
                  <c:v>2.0000000000000004</c:v>
                </c:pt>
                <c:pt idx="13">
                  <c:v>1.6904730469627978</c:v>
                </c:pt>
                <c:pt idx="14">
                  <c:v>1.3680805733026753</c:v>
                </c:pt>
                <c:pt idx="15">
                  <c:v>1.0352761804100838</c:v>
                </c:pt>
                <c:pt idx="16">
                  <c:v>0.69459271066772166</c:v>
                </c:pt>
                <c:pt idx="17">
                  <c:v>0.34862297099063255</c:v>
                </c:pt>
                <c:pt idx="18">
                  <c:v>2.45029690981724E-16</c:v>
                </c:pt>
                <c:pt idx="19">
                  <c:v>-0.34862297099063205</c:v>
                </c:pt>
                <c:pt idx="20">
                  <c:v>-0.69459271066772121</c:v>
                </c:pt>
                <c:pt idx="21">
                  <c:v>-1.0352761804100834</c:v>
                </c:pt>
                <c:pt idx="22">
                  <c:v>-1.368080573302674</c:v>
                </c:pt>
                <c:pt idx="23">
                  <c:v>-1.6904730469627973</c:v>
                </c:pt>
                <c:pt idx="24">
                  <c:v>-1.9999999999999991</c:v>
                </c:pt>
                <c:pt idx="25">
                  <c:v>-2.2943057454041846</c:v>
                </c:pt>
                <c:pt idx="26">
                  <c:v>-2.5711504387461575</c:v>
                </c:pt>
                <c:pt idx="27">
                  <c:v>-2.8284271247461898</c:v>
                </c:pt>
                <c:pt idx="28">
                  <c:v>-3.0641777724759116</c:v>
                </c:pt>
                <c:pt idx="29">
                  <c:v>-3.2766081771559676</c:v>
                </c:pt>
                <c:pt idx="30">
                  <c:v>-3.4641016151377539</c:v>
                </c:pt>
                <c:pt idx="31">
                  <c:v>-3.6252311481465997</c:v>
                </c:pt>
                <c:pt idx="32">
                  <c:v>-3.7587704831436333</c:v>
                </c:pt>
                <c:pt idx="33">
                  <c:v>-3.8637033051562732</c:v>
                </c:pt>
                <c:pt idx="34">
                  <c:v>-3.9392310120488321</c:v>
                </c:pt>
                <c:pt idx="35">
                  <c:v>-3.9847787923669822</c:v>
                </c:pt>
                <c:pt idx="36">
                  <c:v>-4</c:v>
                </c:pt>
                <c:pt idx="37">
                  <c:v>-3.9847787923669822</c:v>
                </c:pt>
                <c:pt idx="38">
                  <c:v>-3.9392310120488325</c:v>
                </c:pt>
                <c:pt idx="39">
                  <c:v>-3.8637033051562737</c:v>
                </c:pt>
                <c:pt idx="40">
                  <c:v>-3.7587704831436337</c:v>
                </c:pt>
                <c:pt idx="41">
                  <c:v>-3.6252311481466011</c:v>
                </c:pt>
                <c:pt idx="42">
                  <c:v>-3.4641016151377544</c:v>
                </c:pt>
                <c:pt idx="43">
                  <c:v>-3.2766081771559681</c:v>
                </c:pt>
                <c:pt idx="44">
                  <c:v>-3.0641777724759134</c:v>
                </c:pt>
                <c:pt idx="45">
                  <c:v>-2.8284271247461907</c:v>
                </c:pt>
                <c:pt idx="46">
                  <c:v>-2.5711504387461579</c:v>
                </c:pt>
                <c:pt idx="47">
                  <c:v>-2.2943057454041829</c:v>
                </c:pt>
                <c:pt idx="48">
                  <c:v>-2.0000000000000018</c:v>
                </c:pt>
                <c:pt idx="49">
                  <c:v>-1.6904730469627998</c:v>
                </c:pt>
                <c:pt idx="50">
                  <c:v>-1.3680805733026742</c:v>
                </c:pt>
                <c:pt idx="51">
                  <c:v>-1.0352761804100825</c:v>
                </c:pt>
                <c:pt idx="52">
                  <c:v>-0.69459271066772132</c:v>
                </c:pt>
                <c:pt idx="53">
                  <c:v>-0.348622970990633</c:v>
                </c:pt>
                <c:pt idx="54">
                  <c:v>-7.3508907294517201E-16</c:v>
                </c:pt>
                <c:pt idx="55">
                  <c:v>0.34862297099063155</c:v>
                </c:pt>
                <c:pt idx="56">
                  <c:v>0.69459271066771988</c:v>
                </c:pt>
                <c:pt idx="57">
                  <c:v>1.0352761804100812</c:v>
                </c:pt>
                <c:pt idx="58">
                  <c:v>1.368080573302676</c:v>
                </c:pt>
                <c:pt idx="59">
                  <c:v>1.6904730469627953</c:v>
                </c:pt>
                <c:pt idx="60">
                  <c:v>1.9999999999999973</c:v>
                </c:pt>
                <c:pt idx="61">
                  <c:v>2.2943057454041842</c:v>
                </c:pt>
                <c:pt idx="62">
                  <c:v>2.571150438746157</c:v>
                </c:pt>
                <c:pt idx="63">
                  <c:v>2.8284271247461894</c:v>
                </c:pt>
                <c:pt idx="64">
                  <c:v>3.0641777724759112</c:v>
                </c:pt>
                <c:pt idx="65">
                  <c:v>3.2766081771559663</c:v>
                </c:pt>
                <c:pt idx="66">
                  <c:v>3.4641016151377553</c:v>
                </c:pt>
                <c:pt idx="67">
                  <c:v>3.6252311481465989</c:v>
                </c:pt>
                <c:pt idx="68">
                  <c:v>3.7587704831436337</c:v>
                </c:pt>
                <c:pt idx="69">
                  <c:v>3.8637033051562732</c:v>
                </c:pt>
                <c:pt idx="70">
                  <c:v>3.9392310120488321</c:v>
                </c:pt>
                <c:pt idx="71">
                  <c:v>3.9847787923669822</c:v>
                </c:pt>
                <c:pt idx="72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C1-4B3C-82DE-622549E5090E}"/>
            </c:ext>
          </c:extLst>
        </c:ser>
        <c:ser>
          <c:idx val="3"/>
          <c:order val="3"/>
          <c:tx>
            <c:v>3 anni</c:v>
          </c:tx>
          <c:spPr>
            <a:ln w="9525">
              <a:solidFill>
                <a:srgbClr val="BFBFBF"/>
              </a:solidFill>
              <a:prstDash val="solid"/>
            </a:ln>
          </c:spPr>
          <c:marker>
            <c:symbol val="none"/>
          </c:marker>
          <c:xVal>
            <c:numRef>
              <c:f>Quadro!$BO$5:$BO$77</c:f>
              <c:numCache>
                <c:formatCode>General</c:formatCode>
                <c:ptCount val="73"/>
                <c:pt idx="0">
                  <c:v>0</c:v>
                </c:pt>
                <c:pt idx="1">
                  <c:v>0.4357787137382908</c:v>
                </c:pt>
                <c:pt idx="2">
                  <c:v>0.86824088833465163</c:v>
                </c:pt>
                <c:pt idx="3">
                  <c:v>1.2940952255126037</c:v>
                </c:pt>
                <c:pt idx="4">
                  <c:v>1.7101007166283435</c:v>
                </c:pt>
                <c:pt idx="5">
                  <c:v>2.1130913087034973</c:v>
                </c:pt>
                <c:pt idx="6">
                  <c:v>2.4999999999999996</c:v>
                </c:pt>
                <c:pt idx="7">
                  <c:v>2.8678821817552302</c:v>
                </c:pt>
                <c:pt idx="8">
                  <c:v>3.2139380484326963</c:v>
                </c:pt>
                <c:pt idx="9">
                  <c:v>3.5355339059327373</c:v>
                </c:pt>
                <c:pt idx="10">
                  <c:v>3.83022221559489</c:v>
                </c:pt>
                <c:pt idx="11">
                  <c:v>4.0957602214449587</c:v>
                </c:pt>
                <c:pt idx="12">
                  <c:v>4.3301270189221928</c:v>
                </c:pt>
                <c:pt idx="13">
                  <c:v>4.5315389351832494</c:v>
                </c:pt>
                <c:pt idx="14">
                  <c:v>4.6984631039295417</c:v>
                </c:pt>
                <c:pt idx="15">
                  <c:v>4.8296291314453406</c:v>
                </c:pt>
                <c:pt idx="16">
                  <c:v>4.9240387650610398</c:v>
                </c:pt>
                <c:pt idx="17">
                  <c:v>4.9809734904587275</c:v>
                </c:pt>
                <c:pt idx="18">
                  <c:v>5</c:v>
                </c:pt>
                <c:pt idx="19">
                  <c:v>4.9809734904587275</c:v>
                </c:pt>
                <c:pt idx="20">
                  <c:v>4.9240387650610398</c:v>
                </c:pt>
                <c:pt idx="21">
                  <c:v>4.8296291314453415</c:v>
                </c:pt>
                <c:pt idx="22">
                  <c:v>4.6984631039295426</c:v>
                </c:pt>
                <c:pt idx="23">
                  <c:v>4.5315389351832502</c:v>
                </c:pt>
                <c:pt idx="24">
                  <c:v>4.3301270189221936</c:v>
                </c:pt>
                <c:pt idx="25">
                  <c:v>4.0957602214449587</c:v>
                </c:pt>
                <c:pt idx="26">
                  <c:v>3.83022221559489</c:v>
                </c:pt>
                <c:pt idx="27">
                  <c:v>3.5355339059327378</c:v>
                </c:pt>
                <c:pt idx="28">
                  <c:v>3.2139380484326976</c:v>
                </c:pt>
                <c:pt idx="29">
                  <c:v>2.8678821817552298</c:v>
                </c:pt>
                <c:pt idx="30">
                  <c:v>2.5000000000000018</c:v>
                </c:pt>
                <c:pt idx="31">
                  <c:v>2.1130913087034973</c:v>
                </c:pt>
                <c:pt idx="32">
                  <c:v>1.7101007166283444</c:v>
                </c:pt>
                <c:pt idx="33">
                  <c:v>1.2940952255126028</c:v>
                </c:pt>
                <c:pt idx="34">
                  <c:v>0.86824088833465141</c:v>
                </c:pt>
                <c:pt idx="35">
                  <c:v>0.43577871373829097</c:v>
                </c:pt>
                <c:pt idx="36">
                  <c:v>6.1257422745431001E-16</c:v>
                </c:pt>
                <c:pt idx="37">
                  <c:v>-0.43577871373828969</c:v>
                </c:pt>
                <c:pt idx="38">
                  <c:v>-0.86824088833465018</c:v>
                </c:pt>
                <c:pt idx="39">
                  <c:v>-1.2940952255126017</c:v>
                </c:pt>
                <c:pt idx="40">
                  <c:v>-1.7101007166283433</c:v>
                </c:pt>
                <c:pt idx="41">
                  <c:v>-2.1130913087034946</c:v>
                </c:pt>
                <c:pt idx="42">
                  <c:v>-2.5000000000000004</c:v>
                </c:pt>
                <c:pt idx="43">
                  <c:v>-2.8678821817552294</c:v>
                </c:pt>
                <c:pt idx="44">
                  <c:v>-3.2139380484326945</c:v>
                </c:pt>
                <c:pt idx="45">
                  <c:v>-3.5355339059327373</c:v>
                </c:pt>
                <c:pt idx="46">
                  <c:v>-3.8302222155948895</c:v>
                </c:pt>
                <c:pt idx="47">
                  <c:v>-4.0957602214449604</c:v>
                </c:pt>
                <c:pt idx="48">
                  <c:v>-4.3301270189221919</c:v>
                </c:pt>
                <c:pt idx="49">
                  <c:v>-4.5315389351832485</c:v>
                </c:pt>
                <c:pt idx="50">
                  <c:v>-4.6984631039295426</c:v>
                </c:pt>
                <c:pt idx="51">
                  <c:v>-4.8296291314453415</c:v>
                </c:pt>
                <c:pt idx="52">
                  <c:v>-4.9240387650610398</c:v>
                </c:pt>
                <c:pt idx="53">
                  <c:v>-4.9809734904587275</c:v>
                </c:pt>
                <c:pt idx="54">
                  <c:v>-5</c:v>
                </c:pt>
                <c:pt idx="55">
                  <c:v>-4.9809734904587275</c:v>
                </c:pt>
                <c:pt idx="56">
                  <c:v>-4.9240387650610407</c:v>
                </c:pt>
                <c:pt idx="57">
                  <c:v>-4.8296291314453423</c:v>
                </c:pt>
                <c:pt idx="58">
                  <c:v>-4.6984631039295417</c:v>
                </c:pt>
                <c:pt idx="59">
                  <c:v>-4.5315389351832511</c:v>
                </c:pt>
                <c:pt idx="60">
                  <c:v>-4.3301270189221954</c:v>
                </c:pt>
                <c:pt idx="61">
                  <c:v>-4.0957602214449587</c:v>
                </c:pt>
                <c:pt idx="62">
                  <c:v>-3.8302222155948904</c:v>
                </c:pt>
                <c:pt idx="63">
                  <c:v>-3.5355339059327386</c:v>
                </c:pt>
                <c:pt idx="64">
                  <c:v>-3.213938048432698</c:v>
                </c:pt>
                <c:pt idx="65">
                  <c:v>-2.8678821817552325</c:v>
                </c:pt>
                <c:pt idx="66">
                  <c:v>-2.4999999999999982</c:v>
                </c:pt>
                <c:pt idx="67">
                  <c:v>-2.1130913087034999</c:v>
                </c:pt>
                <c:pt idx="68">
                  <c:v>-1.7101007166283431</c:v>
                </c:pt>
                <c:pt idx="69">
                  <c:v>-1.2940952255126035</c:v>
                </c:pt>
                <c:pt idx="70">
                  <c:v>-0.86824088833465196</c:v>
                </c:pt>
                <c:pt idx="71">
                  <c:v>-0.43577871373829158</c:v>
                </c:pt>
                <c:pt idx="72">
                  <c:v>-1.22514845490862E-15</c:v>
                </c:pt>
              </c:numCache>
            </c:numRef>
          </c:xVal>
          <c:yVal>
            <c:numRef>
              <c:f>Quadro!$BP$5:$BP$77</c:f>
              <c:numCache>
                <c:formatCode>General</c:formatCode>
                <c:ptCount val="73"/>
                <c:pt idx="0">
                  <c:v>5</c:v>
                </c:pt>
                <c:pt idx="1">
                  <c:v>4.9809734904587275</c:v>
                </c:pt>
                <c:pt idx="2">
                  <c:v>4.9240387650610398</c:v>
                </c:pt>
                <c:pt idx="3">
                  <c:v>4.8296291314453415</c:v>
                </c:pt>
                <c:pt idx="4">
                  <c:v>4.6984631039295426</c:v>
                </c:pt>
                <c:pt idx="5">
                  <c:v>4.5315389351832494</c:v>
                </c:pt>
                <c:pt idx="6">
                  <c:v>4.3301270189221936</c:v>
                </c:pt>
                <c:pt idx="7">
                  <c:v>4.0957602214449587</c:v>
                </c:pt>
                <c:pt idx="8">
                  <c:v>3.83022221559489</c:v>
                </c:pt>
                <c:pt idx="9">
                  <c:v>3.5355339059327378</c:v>
                </c:pt>
                <c:pt idx="10">
                  <c:v>3.2139380484326967</c:v>
                </c:pt>
                <c:pt idx="11">
                  <c:v>2.8678821817552307</c:v>
                </c:pt>
                <c:pt idx="12">
                  <c:v>2.5000000000000004</c:v>
                </c:pt>
                <c:pt idx="13">
                  <c:v>2.1130913087034973</c:v>
                </c:pt>
                <c:pt idx="14">
                  <c:v>1.7101007166283442</c:v>
                </c:pt>
                <c:pt idx="15">
                  <c:v>1.2940952255126048</c:v>
                </c:pt>
                <c:pt idx="16">
                  <c:v>0.86824088833465207</c:v>
                </c:pt>
                <c:pt idx="17">
                  <c:v>0.43577871373829069</c:v>
                </c:pt>
                <c:pt idx="18">
                  <c:v>3.06287113727155E-16</c:v>
                </c:pt>
                <c:pt idx="19">
                  <c:v>-0.43577871373829008</c:v>
                </c:pt>
                <c:pt idx="20">
                  <c:v>-0.86824088833465152</c:v>
                </c:pt>
                <c:pt idx="21">
                  <c:v>-1.2940952255126041</c:v>
                </c:pt>
                <c:pt idx="22">
                  <c:v>-1.7101007166283424</c:v>
                </c:pt>
                <c:pt idx="23">
                  <c:v>-2.1130913087034968</c:v>
                </c:pt>
                <c:pt idx="24">
                  <c:v>-2.4999999999999991</c:v>
                </c:pt>
                <c:pt idx="25">
                  <c:v>-2.8678821817552307</c:v>
                </c:pt>
                <c:pt idx="26">
                  <c:v>-3.2139380484326967</c:v>
                </c:pt>
                <c:pt idx="27">
                  <c:v>-3.5355339059327373</c:v>
                </c:pt>
                <c:pt idx="28">
                  <c:v>-3.8302222155948895</c:v>
                </c:pt>
                <c:pt idx="29">
                  <c:v>-4.0957602214449595</c:v>
                </c:pt>
                <c:pt idx="30">
                  <c:v>-4.3301270189221928</c:v>
                </c:pt>
                <c:pt idx="31">
                  <c:v>-4.5315389351832494</c:v>
                </c:pt>
                <c:pt idx="32">
                  <c:v>-4.6984631039295417</c:v>
                </c:pt>
                <c:pt idx="33">
                  <c:v>-4.8296291314453415</c:v>
                </c:pt>
                <c:pt idx="34">
                  <c:v>-4.9240387650610398</c:v>
                </c:pt>
                <c:pt idx="35">
                  <c:v>-4.9809734904587275</c:v>
                </c:pt>
                <c:pt idx="36">
                  <c:v>-5</c:v>
                </c:pt>
                <c:pt idx="37">
                  <c:v>-4.9809734904587275</c:v>
                </c:pt>
                <c:pt idx="38">
                  <c:v>-4.9240387650610407</c:v>
                </c:pt>
                <c:pt idx="39">
                  <c:v>-4.8296291314453423</c:v>
                </c:pt>
                <c:pt idx="40">
                  <c:v>-4.6984631039295426</c:v>
                </c:pt>
                <c:pt idx="41">
                  <c:v>-4.5315389351832511</c:v>
                </c:pt>
                <c:pt idx="42">
                  <c:v>-4.3301270189221928</c:v>
                </c:pt>
                <c:pt idx="43">
                  <c:v>-4.0957602214449604</c:v>
                </c:pt>
                <c:pt idx="44">
                  <c:v>-3.8302222155948917</c:v>
                </c:pt>
                <c:pt idx="45">
                  <c:v>-3.5355339059327386</c:v>
                </c:pt>
                <c:pt idx="46">
                  <c:v>-3.2139380484326976</c:v>
                </c:pt>
                <c:pt idx="47">
                  <c:v>-2.8678821817552285</c:v>
                </c:pt>
                <c:pt idx="48">
                  <c:v>-2.5000000000000022</c:v>
                </c:pt>
                <c:pt idx="49">
                  <c:v>-2.1130913087034999</c:v>
                </c:pt>
                <c:pt idx="50">
                  <c:v>-1.7101007166283426</c:v>
                </c:pt>
                <c:pt idx="51">
                  <c:v>-1.2940952255126033</c:v>
                </c:pt>
                <c:pt idx="52">
                  <c:v>-0.86824088833465163</c:v>
                </c:pt>
                <c:pt idx="53">
                  <c:v>-0.43577871373829125</c:v>
                </c:pt>
                <c:pt idx="54">
                  <c:v>-9.1886134118146501E-16</c:v>
                </c:pt>
                <c:pt idx="55">
                  <c:v>0.43577871373828947</c:v>
                </c:pt>
                <c:pt idx="56">
                  <c:v>0.86824088833464985</c:v>
                </c:pt>
                <c:pt idx="57">
                  <c:v>1.2940952255126015</c:v>
                </c:pt>
                <c:pt idx="58">
                  <c:v>1.7101007166283448</c:v>
                </c:pt>
                <c:pt idx="59">
                  <c:v>2.1130913087034942</c:v>
                </c:pt>
                <c:pt idx="60">
                  <c:v>2.4999999999999964</c:v>
                </c:pt>
                <c:pt idx="61">
                  <c:v>2.8678821817552302</c:v>
                </c:pt>
                <c:pt idx="62">
                  <c:v>3.2139380484326963</c:v>
                </c:pt>
                <c:pt idx="63">
                  <c:v>3.5355339059327369</c:v>
                </c:pt>
                <c:pt idx="64">
                  <c:v>3.8302222155948891</c:v>
                </c:pt>
                <c:pt idx="65">
                  <c:v>4.0957602214449578</c:v>
                </c:pt>
                <c:pt idx="66">
                  <c:v>4.3301270189221945</c:v>
                </c:pt>
                <c:pt idx="67">
                  <c:v>4.5315389351832485</c:v>
                </c:pt>
                <c:pt idx="68">
                  <c:v>4.6984631039295426</c:v>
                </c:pt>
                <c:pt idx="69">
                  <c:v>4.8296291314453415</c:v>
                </c:pt>
                <c:pt idx="70">
                  <c:v>4.9240387650610398</c:v>
                </c:pt>
                <c:pt idx="71">
                  <c:v>4.9809734904587275</c:v>
                </c:pt>
                <c:pt idx="72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C1-4B3C-82DE-622549E5090E}"/>
            </c:ext>
          </c:extLst>
        </c:ser>
        <c:ser>
          <c:idx val="4"/>
          <c:order val="4"/>
          <c:tx>
            <c:v>Settore 1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Quadro!$BR$5:$BR$6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Quadro!$BS$5:$BS$6</c:f>
              <c:numCache>
                <c:formatCode>General</c:formatCode>
                <c:ptCount val="2"/>
                <c:pt idx="0">
                  <c:v>0</c:v>
                </c:pt>
                <c:pt idx="1">
                  <c:v>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EC1-4B3C-82DE-622549E5090E}"/>
            </c:ext>
          </c:extLst>
        </c:ser>
        <c:ser>
          <c:idx val="5"/>
          <c:order val="5"/>
          <c:tx>
            <c:v>Settore 2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Quadro!$BR$7:$BR$8</c:f>
              <c:numCache>
                <c:formatCode>General</c:formatCode>
                <c:ptCount val="2"/>
                <c:pt idx="0">
                  <c:v>0</c:v>
                </c:pt>
                <c:pt idx="1">
                  <c:v>4.9255383395485879</c:v>
                </c:pt>
              </c:numCache>
            </c:numRef>
          </c:xVal>
          <c:yVal>
            <c:numRef>
              <c:f>Quadro!$BS$7:$BS$8</c:f>
              <c:numCache>
                <c:formatCode>General</c:formatCode>
                <c:ptCount val="2"/>
                <c:pt idx="0">
                  <c:v>0</c:v>
                </c:pt>
                <c:pt idx="1">
                  <c:v>3.9279857517100214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EC1-4B3C-82DE-622549E5090E}"/>
            </c:ext>
          </c:extLst>
        </c:ser>
        <c:ser>
          <c:idx val="6"/>
          <c:order val="6"/>
          <c:tx>
            <c:v>Settore 3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Quadro!$BR$9:$BR$10</c:f>
              <c:numCache>
                <c:formatCode>General</c:formatCode>
                <c:ptCount val="2"/>
                <c:pt idx="0">
                  <c:v>0</c:v>
                </c:pt>
                <c:pt idx="1">
                  <c:v>6.1420458467454884</c:v>
                </c:pt>
              </c:numCache>
            </c:numRef>
          </c:xVal>
          <c:yVal>
            <c:numRef>
              <c:f>Quadro!$BS$9:$BS$10</c:f>
              <c:numCache>
                <c:formatCode>General</c:formatCode>
                <c:ptCount val="2"/>
                <c:pt idx="0">
                  <c:v>0</c:v>
                </c:pt>
                <c:pt idx="1">
                  <c:v>-1.4018818839247802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EC1-4B3C-82DE-622549E5090E}"/>
            </c:ext>
          </c:extLst>
        </c:ser>
        <c:ser>
          <c:idx val="7"/>
          <c:order val="7"/>
          <c:tx>
            <c:v>Settore 4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Quadro!$BR$11:$BR$12</c:f>
              <c:numCache>
                <c:formatCode>General</c:formatCode>
                <c:ptCount val="2"/>
                <c:pt idx="0">
                  <c:v>0</c:v>
                </c:pt>
                <c:pt idx="1">
                  <c:v>2.7334675564406168</c:v>
                </c:pt>
              </c:numCache>
            </c:numRef>
          </c:xVal>
          <c:yVal>
            <c:numRef>
              <c:f>Quadro!$BS$11:$BS$12</c:f>
              <c:numCache>
                <c:formatCode>General</c:formatCode>
                <c:ptCount val="2"/>
                <c:pt idx="0">
                  <c:v>0</c:v>
                </c:pt>
                <c:pt idx="1">
                  <c:v>-5.6761038677852396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EC1-4B3C-82DE-622549E5090E}"/>
            </c:ext>
          </c:extLst>
        </c:ser>
        <c:ser>
          <c:idx val="8"/>
          <c:order val="8"/>
          <c:tx>
            <c:v>Settore 5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Quadro!$BR$13:$BR$14</c:f>
              <c:numCache>
                <c:formatCode>General</c:formatCode>
                <c:ptCount val="2"/>
                <c:pt idx="0">
                  <c:v>0</c:v>
                </c:pt>
                <c:pt idx="1">
                  <c:v>-2.7334675564406155</c:v>
                </c:pt>
              </c:numCache>
            </c:numRef>
          </c:xVal>
          <c:yVal>
            <c:numRef>
              <c:f>Quadro!$BS$13:$BS$14</c:f>
              <c:numCache>
                <c:formatCode>General</c:formatCode>
                <c:ptCount val="2"/>
                <c:pt idx="0">
                  <c:v>0</c:v>
                </c:pt>
                <c:pt idx="1">
                  <c:v>-5.6761038677852405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EC1-4B3C-82DE-622549E5090E}"/>
            </c:ext>
          </c:extLst>
        </c:ser>
        <c:ser>
          <c:idx val="9"/>
          <c:order val="9"/>
          <c:tx>
            <c:v>Settore 6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Quadro!$BR$15:$BR$16</c:f>
              <c:numCache>
                <c:formatCode>General</c:formatCode>
                <c:ptCount val="2"/>
                <c:pt idx="0">
                  <c:v>0</c:v>
                </c:pt>
                <c:pt idx="1">
                  <c:v>-6.1420458467454884</c:v>
                </c:pt>
              </c:numCache>
            </c:numRef>
          </c:xVal>
          <c:yVal>
            <c:numRef>
              <c:f>Quadro!$BS$15:$BS$16</c:f>
              <c:numCache>
                <c:formatCode>General</c:formatCode>
                <c:ptCount val="2"/>
                <c:pt idx="0">
                  <c:v>0</c:v>
                </c:pt>
                <c:pt idx="1">
                  <c:v>-1.401881883924782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EC1-4B3C-82DE-622549E5090E}"/>
            </c:ext>
          </c:extLst>
        </c:ser>
        <c:ser>
          <c:idx val="10"/>
          <c:order val="10"/>
          <c:tx>
            <c:v>Settore 7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Quadro!$BR$17:$BR$18</c:f>
              <c:numCache>
                <c:formatCode>General</c:formatCode>
                <c:ptCount val="2"/>
                <c:pt idx="0">
                  <c:v>0</c:v>
                </c:pt>
                <c:pt idx="1">
                  <c:v>-4.9255383395485879</c:v>
                </c:pt>
              </c:numCache>
            </c:numRef>
          </c:xVal>
          <c:yVal>
            <c:numRef>
              <c:f>Quadro!$BS$17:$BS$18</c:f>
              <c:numCache>
                <c:formatCode>General</c:formatCode>
                <c:ptCount val="2"/>
                <c:pt idx="0">
                  <c:v>0</c:v>
                </c:pt>
                <c:pt idx="1">
                  <c:v>3.9279857517100201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EC1-4B3C-82DE-622549E5090E}"/>
            </c:ext>
          </c:extLst>
        </c:ser>
        <c:ser>
          <c:idx val="11"/>
          <c:order val="11"/>
          <c:tx>
            <c:strRef>
              <c:f>Quadro!$BU$5</c:f>
              <c:strCache>
                <c:ptCount val="1"/>
                <c:pt idx="0">
                  <c:v>L1-01
Frode interna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Quadro!$BV$5</c:f>
              <c:numCache>
                <c:formatCode>General</c:formatCode>
                <c:ptCount val="1"/>
                <c:pt idx="0">
                  <c:v>3.0154919868670289</c:v>
                </c:pt>
              </c:numCache>
            </c:numRef>
          </c:xVal>
          <c:yVal>
            <c:numRef>
              <c:f>Quadro!$BW$5</c:f>
              <c:numCache>
                <c:formatCode>General</c:formatCode>
                <c:ptCount val="1"/>
                <c:pt idx="0">
                  <c:v>6.2617336319218131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EC1-4B3C-82DE-622549E5090E}"/>
            </c:ext>
          </c:extLst>
        </c:ser>
        <c:ser>
          <c:idx val="12"/>
          <c:order val="12"/>
          <c:tx>
            <c:strRef>
              <c:f>Quadro!$BU$6</c:f>
              <c:strCache>
                <c:ptCount val="1"/>
                <c:pt idx="0">
                  <c:v>L1-02
Frode esterna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Quadro!$BV$6</c:f>
              <c:numCache>
                <c:formatCode>General</c:formatCode>
                <c:ptCount val="1"/>
                <c:pt idx="0">
                  <c:v>6.7757489896636747</c:v>
                </c:pt>
              </c:numCache>
            </c:numRef>
          </c:xVal>
          <c:yVal>
            <c:numRef>
              <c:f>Quadro!$BW$6</c:f>
              <c:numCache>
                <c:formatCode>General</c:formatCode>
                <c:ptCount val="1"/>
                <c:pt idx="0">
                  <c:v>1.5465204909963854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EC1-4B3C-82DE-622549E5090E}"/>
            </c:ext>
          </c:extLst>
        </c:ser>
        <c:ser>
          <c:idx val="13"/>
          <c:order val="13"/>
          <c:tx>
            <c:strRef>
              <c:f>Quadro!$BU$7</c:f>
              <c:strCache>
                <c:ptCount val="1"/>
                <c:pt idx="0">
                  <c:v>L1-03
Impiego e sicurezza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Quadro!$BV$7</c:f>
              <c:numCache>
                <c:formatCode>General</c:formatCode>
                <c:ptCount val="1"/>
                <c:pt idx="0">
                  <c:v>5.4337288031528077</c:v>
                </c:pt>
              </c:numCache>
            </c:numRef>
          </c:xVal>
          <c:yVal>
            <c:numRef>
              <c:f>Quadro!$BW$7</c:f>
              <c:numCache>
                <c:formatCode>General</c:formatCode>
                <c:ptCount val="1"/>
                <c:pt idx="0">
                  <c:v>-4.3332541229181976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EC1-4B3C-82DE-622549E5090E}"/>
            </c:ext>
          </c:extLst>
        </c:ser>
        <c:ser>
          <c:idx val="14"/>
          <c:order val="14"/>
          <c:tx>
            <c:strRef>
              <c:f>Quadro!$BU$8</c:f>
              <c:strCache>
                <c:ptCount val="1"/>
                <c:pt idx="0">
                  <c:v>L1-04
Clientela e prodotti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Quadro!$BV$8</c:f>
              <c:numCache>
                <c:formatCode>General</c:formatCode>
                <c:ptCount val="1"/>
                <c:pt idx="0">
                  <c:v>8.5147817616149091E-16</c:v>
                </c:pt>
              </c:numCache>
            </c:numRef>
          </c:xVal>
          <c:yVal>
            <c:numRef>
              <c:f>Quadro!$BW$8</c:f>
              <c:numCache>
                <c:formatCode>General</c:formatCode>
                <c:ptCount val="1"/>
                <c:pt idx="0">
                  <c:v>-6.95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EC1-4B3C-82DE-622549E5090E}"/>
            </c:ext>
          </c:extLst>
        </c:ser>
        <c:ser>
          <c:idx val="15"/>
          <c:order val="15"/>
          <c:tx>
            <c:strRef>
              <c:f>Quadro!$BU$9</c:f>
              <c:strCache>
                <c:ptCount val="1"/>
                <c:pt idx="0">
                  <c:v>L1-05
Danni a beni materiali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Quadro!$BV$9</c:f>
              <c:numCache>
                <c:formatCode>General</c:formatCode>
                <c:ptCount val="1"/>
                <c:pt idx="0">
                  <c:v>-5.4337288031528068</c:v>
                </c:pt>
              </c:numCache>
            </c:numRef>
          </c:xVal>
          <c:yVal>
            <c:numRef>
              <c:f>Quadro!$BW$9</c:f>
              <c:numCache>
                <c:formatCode>General</c:formatCode>
                <c:ptCount val="1"/>
                <c:pt idx="0">
                  <c:v>-4.3332541229181993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EC1-4B3C-82DE-622549E5090E}"/>
            </c:ext>
          </c:extLst>
        </c:ser>
        <c:ser>
          <c:idx val="16"/>
          <c:order val="16"/>
          <c:tx>
            <c:strRef>
              <c:f>Quadro!$BU$10</c:f>
              <c:strCache>
                <c:ptCount val="1"/>
                <c:pt idx="0">
                  <c:v>L1-06
Interruzione e sistemi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Quadro!$BV$10</c:f>
              <c:numCache>
                <c:formatCode>General</c:formatCode>
                <c:ptCount val="1"/>
                <c:pt idx="0">
                  <c:v>-6.7757489896636756</c:v>
                </c:pt>
              </c:numCache>
            </c:numRef>
          </c:xVal>
          <c:yVal>
            <c:numRef>
              <c:f>Quadro!$BW$10</c:f>
              <c:numCache>
                <c:formatCode>General</c:formatCode>
                <c:ptCount val="1"/>
                <c:pt idx="0">
                  <c:v>1.5465204909963777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EC1-4B3C-82DE-622549E5090E}"/>
            </c:ext>
          </c:extLst>
        </c:ser>
        <c:ser>
          <c:idx val="17"/>
          <c:order val="17"/>
          <c:tx>
            <c:strRef>
              <c:f>Quadro!$BU$11</c:f>
              <c:strCache>
                <c:ptCount val="1"/>
                <c:pt idx="0">
                  <c:v>L1-07
Processi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Quadro!$BV$11</c:f>
              <c:numCache>
                <c:formatCode>General</c:formatCode>
                <c:ptCount val="1"/>
                <c:pt idx="0">
                  <c:v>-3.0154919868670249</c:v>
                </c:pt>
              </c:numCache>
            </c:numRef>
          </c:xVal>
          <c:yVal>
            <c:numRef>
              <c:f>Quadro!$BW$11</c:f>
              <c:numCache>
                <c:formatCode>General</c:formatCode>
                <c:ptCount val="1"/>
                <c:pt idx="0">
                  <c:v>6.2617336319218149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EC1-4B3C-82DE-622549E5090E}"/>
            </c:ext>
          </c:extLst>
        </c:ser>
        <c:ser>
          <c:idx val="18"/>
          <c:order val="18"/>
          <c:tx>
            <c:v>P x I = 1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Quadro!$BY$5:$BY$19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EC1-4B3C-82DE-622549E5090E}"/>
            </c:ext>
          </c:extLst>
        </c:ser>
        <c:ser>
          <c:idx val="19"/>
          <c:order val="19"/>
          <c:tx>
            <c:v>P x I = 2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Quadro!$BZ$5:$BZ$19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1EC1-4B3C-82DE-622549E5090E}"/>
            </c:ext>
          </c:extLst>
        </c:ser>
        <c:ser>
          <c:idx val="20"/>
          <c:order val="20"/>
          <c:tx>
            <c:v>P x I = 3</c:v>
          </c:tx>
          <c:spPr>
            <a:ln>
              <a:noFill/>
              <a:prstDash val="solid"/>
            </a:ln>
          </c:spPr>
          <c:marker>
            <c:symbol val="circle"/>
            <c:size val="11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Quadro!$CA$5:$CA$19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1EC1-4B3C-82DE-622549E5090E}"/>
            </c:ext>
          </c:extLst>
        </c:ser>
        <c:ser>
          <c:idx val="21"/>
          <c:order val="21"/>
          <c:tx>
            <c:v>P x I = 4</c:v>
          </c:tx>
          <c:spPr>
            <a:ln>
              <a:noFill/>
              <a:prstDash val="solid"/>
            </a:ln>
          </c:spPr>
          <c:marker>
            <c:symbol val="circle"/>
            <c:size val="12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Quadro!$CB$5:$CB$19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1EC1-4B3C-82DE-622549E5090E}"/>
            </c:ext>
          </c:extLst>
        </c:ser>
        <c:ser>
          <c:idx val="22"/>
          <c:order val="22"/>
          <c:tx>
            <c:v>P x I = 5</c:v>
          </c:tx>
          <c:spPr>
            <a:ln>
              <a:noFill/>
              <a:prstDash val="solid"/>
            </a:ln>
          </c:spPr>
          <c:marker>
            <c:symbol val="circle"/>
            <c:size val="14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Quadro!$CC$5:$CC$19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1EC1-4B3C-82DE-622549E5090E}"/>
            </c:ext>
          </c:extLst>
        </c:ser>
        <c:ser>
          <c:idx val="23"/>
          <c:order val="23"/>
          <c:tx>
            <c:v>P x I = 6</c:v>
          </c:tx>
          <c:spPr>
            <a:ln>
              <a:noFill/>
              <a:prstDash val="solid"/>
            </a:ln>
          </c:spPr>
          <c:marker>
            <c:symbol val="circle"/>
            <c:size val="15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Quadro!$CD$5:$CD$19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1.759120835553067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1EC1-4B3C-82DE-622549E5090E}"/>
            </c:ext>
          </c:extLst>
        </c:ser>
        <c:ser>
          <c:idx val="24"/>
          <c:order val="24"/>
          <c:tx>
            <c:v>P x I = 8</c:v>
          </c:tx>
          <c:spPr>
            <a:ln>
              <a:noFill/>
              <a:prstDash val="solid"/>
            </a:ln>
          </c:spPr>
          <c:marker>
            <c:symbol val="circle"/>
            <c:size val="18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Quadro!$CE$5:$CE$19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1EC1-4B3C-82DE-622549E5090E}"/>
            </c:ext>
          </c:extLst>
        </c:ser>
        <c:ser>
          <c:idx val="25"/>
          <c:order val="25"/>
          <c:tx>
            <c:v>P x I = 9</c:v>
          </c:tx>
          <c:spPr>
            <a:ln>
              <a:noFill/>
              <a:prstDash val="solid"/>
            </a:ln>
          </c:spPr>
          <c:marker>
            <c:symbol val="circle"/>
            <c:size val="19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Quadro!$CF$5:$CF$19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-1.9111456115722811</c:v>
                </c:pt>
                <c:pt idx="3">
                  <c:v>-1.7145969551115177</c:v>
                </c:pt>
                <c:pt idx="4">
                  <c:v>2.3454944474040893</c:v>
                </c:pt>
                <c:pt idx="5">
                  <c:v>2.6810517585000149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-2.8667184173584221</c:v>
                </c:pt>
                <c:pt idx="10">
                  <c:v>0.30000000000000004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1EC1-4B3C-82DE-622549E5090E}"/>
            </c:ext>
          </c:extLst>
        </c:ser>
        <c:ser>
          <c:idx val="26"/>
          <c:order val="26"/>
          <c:tx>
            <c:v>P x I = 10</c:v>
          </c:tx>
          <c:spPr>
            <a:ln>
              <a:noFill/>
              <a:prstDash val="solid"/>
            </a:ln>
          </c:spPr>
          <c:marker>
            <c:symbol val="circle"/>
            <c:size val="2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Quadro!$CG$5:$CG$19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1EC1-4B3C-82DE-622549E5090E}"/>
            </c:ext>
          </c:extLst>
        </c:ser>
        <c:ser>
          <c:idx val="27"/>
          <c:order val="27"/>
          <c:tx>
            <c:v>P x I = 12</c:v>
          </c:tx>
          <c:spPr>
            <a:ln>
              <a:noFill/>
              <a:prstDash val="solid"/>
            </a:ln>
          </c:spPr>
          <c:marker>
            <c:symbol val="circle"/>
            <c:size val="21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Quadro!$CH$5:$CH$19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1.949855824363647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1EC1-4B3C-82DE-622549E5090E}"/>
            </c:ext>
          </c:extLst>
        </c:ser>
        <c:ser>
          <c:idx val="28"/>
          <c:order val="28"/>
          <c:tx>
            <c:v>P x I = 15</c:v>
          </c:tx>
          <c:spPr>
            <a:ln>
              <a:noFill/>
              <a:prstDash val="solid"/>
            </a:ln>
          </c:spPr>
          <c:marker>
            <c:symbol val="circle"/>
            <c:size val="24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Quadro!$CI$5:$CI$19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1EC1-4B3C-82DE-622549E5090E}"/>
            </c:ext>
          </c:extLst>
        </c:ser>
        <c:ser>
          <c:idx val="29"/>
          <c:order val="29"/>
          <c:tx>
            <c:v>P x I = 16</c:v>
          </c:tx>
          <c:spPr>
            <a:ln>
              <a:noFill/>
              <a:prstDash val="solid"/>
            </a:ln>
          </c:spPr>
          <c:marker>
            <c:symbol val="circle"/>
            <c:size val="25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Quadro!$CJ$5:$CJ$19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1EC1-4B3C-82DE-622549E5090E}"/>
            </c:ext>
          </c:extLst>
        </c:ser>
        <c:ser>
          <c:idx val="30"/>
          <c:order val="30"/>
          <c:tx>
            <c:v>P x I = 20</c:v>
          </c:tx>
          <c:spPr>
            <a:ln>
              <a:noFill/>
              <a:prstDash val="solid"/>
            </a:ln>
          </c:spPr>
          <c:marker>
            <c:symbol val="circle"/>
            <c:size val="28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Quadro!$CK$5:$CK$19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1EC1-4B3C-82DE-622549E5090E}"/>
            </c:ext>
          </c:extLst>
        </c:ser>
        <c:ser>
          <c:idx val="31"/>
          <c:order val="31"/>
          <c:tx>
            <c:v>P x I = 25</c:v>
          </c:tx>
          <c:spPr>
            <a:ln>
              <a:noFill/>
              <a:prstDash val="solid"/>
            </a:ln>
          </c:spPr>
          <c:marker>
            <c:symbol val="circle"/>
            <c:size val="31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Quadro!$CL$5:$CL$19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1EC1-4B3C-82DE-622549E5090E}"/>
            </c:ext>
          </c:extLst>
        </c:ser>
        <c:ser>
          <c:idx val="32"/>
          <c:order val="32"/>
          <c:tx>
            <c:v>P x I = 1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Quadro!$CM$5:$CM$19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1EC1-4B3C-82DE-622549E5090E}"/>
            </c:ext>
          </c:extLst>
        </c:ser>
        <c:ser>
          <c:idx val="33"/>
          <c:order val="33"/>
          <c:tx>
            <c:v>P x I = 2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Quadro!$CN$5:$CN$19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1EC1-4B3C-82DE-622549E5090E}"/>
            </c:ext>
          </c:extLst>
        </c:ser>
        <c:ser>
          <c:idx val="34"/>
          <c:order val="34"/>
          <c:tx>
            <c:v>P x I = 3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11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Quadro!$CO$5:$CO$19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1EC1-4B3C-82DE-622549E5090E}"/>
            </c:ext>
          </c:extLst>
        </c:ser>
        <c:ser>
          <c:idx val="35"/>
          <c:order val="35"/>
          <c:tx>
            <c:v>P x I = 4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12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Quadro!$CP$5:$CP$19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1EC1-4B3C-82DE-622549E5090E}"/>
            </c:ext>
          </c:extLst>
        </c:ser>
        <c:ser>
          <c:idx val="36"/>
          <c:order val="36"/>
          <c:tx>
            <c:v>P x I = 5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14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Quadro!$CQ$5:$CQ$19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1EC1-4B3C-82DE-622549E5090E}"/>
            </c:ext>
          </c:extLst>
        </c:ser>
        <c:ser>
          <c:idx val="37"/>
          <c:order val="37"/>
          <c:tx>
            <c:v>P x I = 6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15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Quadro!$CR$5:$CR$19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1EC1-4B3C-82DE-622549E5090E}"/>
            </c:ext>
          </c:extLst>
        </c:ser>
        <c:ser>
          <c:idx val="38"/>
          <c:order val="38"/>
          <c:tx>
            <c:v>P x I = 8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18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Quadro!$CS$5:$CS$19</c:f>
              <c:numCache>
                <c:formatCode>General</c:formatCode>
                <c:ptCount val="15"/>
                <c:pt idx="0">
                  <c:v>#N/A</c:v>
                </c:pt>
                <c:pt idx="1">
                  <c:v>-0.16814271056945562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-3.25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1EC1-4B3C-82DE-622549E5090E}"/>
            </c:ext>
          </c:extLst>
        </c:ser>
        <c:ser>
          <c:idx val="39"/>
          <c:order val="39"/>
          <c:tx>
            <c:v>P x I = 9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19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Quadro!$CT$5:$CT$19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1EC1-4B3C-82DE-622549E5090E}"/>
            </c:ext>
          </c:extLst>
        </c:ser>
        <c:ser>
          <c:idx val="40"/>
          <c:order val="40"/>
          <c:tx>
            <c:v>P x I = 10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20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Quadro!$CU$5:$CU$19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1EC1-4B3C-82DE-622549E5090E}"/>
            </c:ext>
          </c:extLst>
        </c:ser>
        <c:ser>
          <c:idx val="41"/>
          <c:order val="41"/>
          <c:tx>
            <c:v>P x I = 12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21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Quadro!$CV$5:$CV$19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0.61193256837986165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1EC1-4B3C-82DE-622549E5090E}"/>
            </c:ext>
          </c:extLst>
        </c:ser>
        <c:ser>
          <c:idx val="42"/>
          <c:order val="42"/>
          <c:tx>
            <c:v>P x I = 15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24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Quadro!$CW$5:$CW$19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1EC1-4B3C-82DE-622549E5090E}"/>
            </c:ext>
          </c:extLst>
        </c:ser>
        <c:ser>
          <c:idx val="43"/>
          <c:order val="43"/>
          <c:tx>
            <c:v>P x I = 16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25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Quadro!$CX$5:$CX$19</c:f>
              <c:numCache>
                <c:formatCode>General</c:formatCode>
                <c:ptCount val="15"/>
                <c:pt idx="0">
                  <c:v>0.38941163442355031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1EC1-4B3C-82DE-622549E5090E}"/>
            </c:ext>
          </c:extLst>
        </c:ser>
        <c:ser>
          <c:idx val="44"/>
          <c:order val="44"/>
          <c:tx>
            <c:v>P x I = 20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28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Quadro!$CY$5:$CY$19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1EC1-4B3C-82DE-622549E5090E}"/>
            </c:ext>
          </c:extLst>
        </c:ser>
        <c:ser>
          <c:idx val="45"/>
          <c:order val="45"/>
          <c:tx>
            <c:v>P x I = 25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31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Quadro!$DA$5:$DA$19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Quadro!$CZ$5:$CZ$19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1EC1-4B3C-82DE-622549E5090E}"/>
            </c:ext>
          </c:extLst>
        </c:ser>
        <c:ser>
          <c:idx val="46"/>
          <c:order val="46"/>
          <c:tx>
            <c:strRef>
              <c:f>Quadro!$DB$5</c:f>
              <c:strCache>
                <c:ptCount val="1"/>
                <c:pt idx="0">
                  <c:v>01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Quadro!$DA$5</c:f>
              <c:numCache>
                <c:formatCode>General</c:formatCode>
                <c:ptCount val="1"/>
                <c:pt idx="0">
                  <c:v>1.7061238463181914</c:v>
                </c:pt>
              </c:numCache>
            </c:numRef>
          </c:xVal>
          <c:yVal>
            <c:numRef>
              <c:f>Quadro!$DC$5</c:f>
              <c:numCache>
                <c:formatCode>General</c:formatCode>
                <c:ptCount val="1"/>
                <c:pt idx="0">
                  <c:v>0.38941163442355031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1EC1-4B3C-82DE-622549E5090E}"/>
            </c:ext>
          </c:extLst>
        </c:ser>
        <c:ser>
          <c:idx val="47"/>
          <c:order val="47"/>
          <c:tx>
            <c:strRef>
              <c:f>Quadro!$DB$6</c:f>
              <c:strCache>
                <c:ptCount val="1"/>
                <c:pt idx="0">
                  <c:v>02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Quadro!$DA$6</c:f>
              <c:numCache>
                <c:formatCode>General</c:formatCode>
                <c:ptCount val="1"/>
                <c:pt idx="0">
                  <c:v>-2.2437085436576552</c:v>
                </c:pt>
              </c:numCache>
            </c:numRef>
          </c:xVal>
          <c:yVal>
            <c:numRef>
              <c:f>Quadro!$DC$6</c:f>
              <c:numCache>
                <c:formatCode>General</c:formatCode>
                <c:ptCount val="1"/>
                <c:pt idx="0">
                  <c:v>-0.16814271056945562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1EC1-4B3C-82DE-622549E5090E}"/>
            </c:ext>
          </c:extLst>
        </c:ser>
        <c:ser>
          <c:idx val="48"/>
          <c:order val="48"/>
          <c:tx>
            <c:strRef>
              <c:f>Quadro!$DB$7</c:f>
              <c:strCache>
                <c:ptCount val="1"/>
                <c:pt idx="0">
                  <c:v>03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Quadro!$DA$7</c:f>
              <c:numCache>
                <c:formatCode>General</c:formatCode>
                <c:ptCount val="1"/>
                <c:pt idx="0">
                  <c:v>0.58951034882180919</c:v>
                </c:pt>
              </c:numCache>
            </c:numRef>
          </c:xVal>
          <c:yVal>
            <c:numRef>
              <c:f>Quadro!$DC$7</c:f>
              <c:numCache>
                <c:formatCode>General</c:formatCode>
                <c:ptCount val="1"/>
                <c:pt idx="0">
                  <c:v>-1.9111456115722811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1EC1-4B3C-82DE-622549E5090E}"/>
            </c:ext>
          </c:extLst>
        </c:ser>
        <c:ser>
          <c:idx val="49"/>
          <c:order val="49"/>
          <c:tx>
            <c:strRef>
              <c:f>Quadro!$DB$8</c:f>
              <c:strCache>
                <c:ptCount val="1"/>
                <c:pt idx="0">
                  <c:v>04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Quadro!$DA$8</c:f>
              <c:numCache>
                <c:formatCode>General</c:formatCode>
                <c:ptCount val="1"/>
                <c:pt idx="0">
                  <c:v>-2.1500365767870817</c:v>
                </c:pt>
              </c:numCache>
            </c:numRef>
          </c:xVal>
          <c:yVal>
            <c:numRef>
              <c:f>Quadro!$DC$8</c:f>
              <c:numCache>
                <c:formatCode>General</c:formatCode>
                <c:ptCount val="1"/>
                <c:pt idx="0">
                  <c:v>-1.7145969551115177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1EC1-4B3C-82DE-622549E5090E}"/>
            </c:ext>
          </c:extLst>
        </c:ser>
        <c:ser>
          <c:idx val="50"/>
          <c:order val="50"/>
          <c:tx>
            <c:strRef>
              <c:f>Quadro!$DB$9</c:f>
              <c:strCache>
                <c:ptCount val="1"/>
                <c:pt idx="0">
                  <c:v>05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Quadro!$DA$9</c:f>
              <c:numCache>
                <c:formatCode>General</c:formatCode>
                <c:ptCount val="1"/>
                <c:pt idx="0">
                  <c:v>-1.870469405576201</c:v>
                </c:pt>
              </c:numCache>
            </c:numRef>
          </c:xVal>
          <c:yVal>
            <c:numRef>
              <c:f>Quadro!$DC$9</c:f>
              <c:numCache>
                <c:formatCode>General</c:formatCode>
                <c:ptCount val="1"/>
                <c:pt idx="0">
                  <c:v>2.3454944474040893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1EC1-4B3C-82DE-622549E5090E}"/>
            </c:ext>
          </c:extLst>
        </c:ser>
        <c:ser>
          <c:idx val="51"/>
          <c:order val="51"/>
          <c:tx>
            <c:strRef>
              <c:f>Quadro!$DB$10</c:f>
              <c:strCache>
                <c:ptCount val="1"/>
                <c:pt idx="0">
                  <c:v>06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Quadro!$DA$10</c:f>
              <c:numCache>
                <c:formatCode>General</c:formatCode>
                <c:ptCount val="1"/>
                <c:pt idx="0">
                  <c:v>0.61193256837986454</c:v>
                </c:pt>
              </c:numCache>
            </c:numRef>
          </c:xVal>
          <c:yVal>
            <c:numRef>
              <c:f>Quadro!$DC$10</c:f>
              <c:numCache>
                <c:formatCode>General</c:formatCode>
                <c:ptCount val="1"/>
                <c:pt idx="0">
                  <c:v>2.6810517585000149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1EC1-4B3C-82DE-622549E5090E}"/>
            </c:ext>
          </c:extLst>
        </c:ser>
        <c:ser>
          <c:idx val="52"/>
          <c:order val="52"/>
          <c:tx>
            <c:strRef>
              <c:f>Quadro!$DB$11</c:f>
              <c:strCache>
                <c:ptCount val="1"/>
                <c:pt idx="0">
                  <c:v>07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Quadro!$DA$11</c:f>
              <c:numCache>
                <c:formatCode>General</c:formatCode>
                <c:ptCount val="1"/>
                <c:pt idx="0">
                  <c:v>-2.6810517585000158</c:v>
                </c:pt>
              </c:numCache>
            </c:numRef>
          </c:xVal>
          <c:yVal>
            <c:numRef>
              <c:f>Quadro!$DC$11</c:f>
              <c:numCache>
                <c:formatCode>General</c:formatCode>
                <c:ptCount val="1"/>
                <c:pt idx="0">
                  <c:v>0.61193256837986165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1EC1-4B3C-82DE-622549E5090E}"/>
            </c:ext>
          </c:extLst>
        </c:ser>
        <c:ser>
          <c:idx val="53"/>
          <c:order val="53"/>
          <c:tx>
            <c:strRef>
              <c:f>Quadro!$DB$12</c:f>
              <c:strCache>
                <c:ptCount val="1"/>
                <c:pt idx="0">
                  <c:v>08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Quadro!$DA$12</c:f>
              <c:numCache>
                <c:formatCode>General</c:formatCode>
                <c:ptCount val="1"/>
                <c:pt idx="0">
                  <c:v>1.4028520541821503</c:v>
                </c:pt>
              </c:numCache>
            </c:numRef>
          </c:xVal>
          <c:yVal>
            <c:numRef>
              <c:f>Quadro!$DC$12</c:f>
              <c:numCache>
                <c:formatCode>General</c:formatCode>
                <c:ptCount val="1"/>
                <c:pt idx="0">
                  <c:v>1.759120835553067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1EC1-4B3C-82DE-622549E5090E}"/>
            </c:ext>
          </c:extLst>
        </c:ser>
        <c:ser>
          <c:idx val="54"/>
          <c:order val="54"/>
          <c:tx>
            <c:strRef>
              <c:f>Quadro!$DB$13</c:f>
              <c:strCache>
                <c:ptCount val="1"/>
                <c:pt idx="0">
                  <c:v>09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Quadro!$DA$13</c:f>
              <c:numCache>
                <c:formatCode>General</c:formatCode>
                <c:ptCount val="1"/>
                <c:pt idx="0">
                  <c:v>3.981732478453015E-16</c:v>
                </c:pt>
              </c:numCache>
            </c:numRef>
          </c:xVal>
          <c:yVal>
            <c:numRef>
              <c:f>Quadro!$DC$13</c:f>
              <c:numCache>
                <c:formatCode>General</c:formatCode>
                <c:ptCount val="1"/>
                <c:pt idx="0">
                  <c:v>-3.25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1EC1-4B3C-82DE-622549E5090E}"/>
            </c:ext>
          </c:extLst>
        </c:ser>
        <c:ser>
          <c:idx val="55"/>
          <c:order val="55"/>
          <c:tx>
            <c:strRef>
              <c:f>Quadro!$DB$14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Quadro!$DA$14</c:f>
              <c:numCache>
                <c:formatCode>General</c:formatCode>
                <c:ptCount val="1"/>
                <c:pt idx="0">
                  <c:v>-0.88426552323271312</c:v>
                </c:pt>
              </c:numCache>
            </c:numRef>
          </c:xVal>
          <c:yVal>
            <c:numRef>
              <c:f>Quadro!$DC$14</c:f>
              <c:numCache>
                <c:formatCode>General</c:formatCode>
                <c:ptCount val="1"/>
                <c:pt idx="0">
                  <c:v>-2.8667184173584221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1EC1-4B3C-82DE-622549E5090E}"/>
            </c:ext>
          </c:extLst>
        </c:ser>
        <c:ser>
          <c:idx val="56"/>
          <c:order val="56"/>
          <c:tx>
            <c:strRef>
              <c:f>Quadro!$DB$15</c:f>
              <c:strCache>
                <c:ptCount val="1"/>
                <c:pt idx="0">
                  <c:v>11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Quadro!$DA$15</c:f>
              <c:numCache>
                <c:formatCode>General</c:formatCode>
                <c:ptCount val="1"/>
                <c:pt idx="0">
                  <c:v>-0.51961524227066314</c:v>
                </c:pt>
              </c:numCache>
            </c:numRef>
          </c:xVal>
          <c:yVal>
            <c:numRef>
              <c:f>Quadro!$DC$15</c:f>
              <c:numCache>
                <c:formatCode>General</c:formatCode>
                <c:ptCount val="1"/>
                <c:pt idx="0">
                  <c:v>0.30000000000000004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1EC1-4B3C-82DE-622549E5090E}"/>
            </c:ext>
          </c:extLst>
        </c:ser>
        <c:ser>
          <c:idx val="57"/>
          <c:order val="57"/>
          <c:tx>
            <c:strRef>
              <c:f>Quadro!$DB$16</c:f>
              <c:strCache>
                <c:ptCount val="1"/>
                <c:pt idx="0">
                  <c:v>12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Quadro!$DA$16</c:f>
              <c:numCache>
                <c:formatCode>General</c:formatCode>
                <c:ptCount val="1"/>
                <c:pt idx="0">
                  <c:v>-0.44504186791262929</c:v>
                </c:pt>
              </c:numCache>
            </c:numRef>
          </c:xVal>
          <c:yVal>
            <c:numRef>
              <c:f>Quadro!$DC$16</c:f>
              <c:numCache>
                <c:formatCode>General</c:formatCode>
                <c:ptCount val="1"/>
                <c:pt idx="0">
                  <c:v>1.949855824363647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1EC1-4B3C-82DE-622549E5090E}"/>
            </c:ext>
          </c:extLst>
        </c:ser>
        <c:ser>
          <c:idx val="58"/>
          <c:order val="58"/>
          <c:tx>
            <c:strRef>
              <c:f>Quadro!$DB$17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Quadro!$DA$17</c:f>
              <c:numCache>
                <c:formatCode>General</c:formatCode>
                <c:ptCount val="1"/>
                <c:pt idx="0">
                  <c:v>#N/A</c:v>
                </c:pt>
              </c:numCache>
            </c:numRef>
          </c:xVal>
          <c:yVal>
            <c:numRef>
              <c:f>Quadro!$DC$17</c:f>
              <c:numCache>
                <c:formatCode>General</c:formatCode>
                <c:ptCount val="1"/>
                <c:pt idx="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1EC1-4B3C-82DE-622549E5090E}"/>
            </c:ext>
          </c:extLst>
        </c:ser>
        <c:ser>
          <c:idx val="59"/>
          <c:order val="59"/>
          <c:tx>
            <c:strRef>
              <c:f>Quadro!$DB$18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Quadro!$DA$18</c:f>
              <c:numCache>
                <c:formatCode>General</c:formatCode>
                <c:ptCount val="1"/>
                <c:pt idx="0">
                  <c:v>#N/A</c:v>
                </c:pt>
              </c:numCache>
            </c:numRef>
          </c:xVal>
          <c:yVal>
            <c:numRef>
              <c:f>Quadro!$DC$18</c:f>
              <c:numCache>
                <c:formatCode>General</c:formatCode>
                <c:ptCount val="1"/>
                <c:pt idx="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1EC1-4B3C-82DE-622549E5090E}"/>
            </c:ext>
          </c:extLst>
        </c:ser>
        <c:ser>
          <c:idx val="60"/>
          <c:order val="60"/>
          <c:tx>
            <c:strRef>
              <c:f>Quadro!$DB$19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Quadro!$DA$19</c:f>
              <c:numCache>
                <c:formatCode>General</c:formatCode>
                <c:ptCount val="1"/>
                <c:pt idx="0">
                  <c:v>#N/A</c:v>
                </c:pt>
              </c:numCache>
            </c:numRef>
          </c:xVal>
          <c:yVal>
            <c:numRef>
              <c:f>Quadro!$DC$19</c:f>
              <c:numCache>
                <c:formatCode>General</c:formatCode>
                <c:ptCount val="1"/>
                <c:pt idx="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1EC1-4B3C-82DE-622549E5090E}"/>
            </c:ext>
          </c:extLst>
        </c:ser>
        <c:ser>
          <c:idx val="61"/>
          <c:order val="61"/>
          <c:tx>
            <c:strRef>
              <c:f>Quadro!$DD$5</c:f>
              <c:strCache>
                <c:ptCount val="1"/>
                <c:pt idx="0">
                  <c:v>attenzione supervisore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15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7F6000"/>
                    </a:solidFill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Quadro!$DE$5</c:f>
              <c:numCache>
                <c:formatCode>General</c:formatCode>
                <c:ptCount val="1"/>
                <c:pt idx="0">
                  <c:v>-6.9</c:v>
                </c:pt>
              </c:numCache>
            </c:numRef>
          </c:xVal>
          <c:yVal>
            <c:numRef>
              <c:f>Quadro!$DF$5</c:f>
              <c:numCache>
                <c:formatCode>General</c:formatCode>
                <c:ptCount val="1"/>
                <c:pt idx="0">
                  <c:v>-6.35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1EC1-4B3C-82DE-622549E5090E}"/>
            </c:ext>
          </c:extLst>
        </c:ser>
        <c:ser>
          <c:idx val="62"/>
          <c:order val="62"/>
          <c:tx>
            <c:strRef>
              <c:f>Quadro!$DD$6</c:f>
              <c:strCache>
                <c:ptCount val="1"/>
                <c:pt idx="0">
                  <c:v>AGIRE ORA: X + Y &gt; Z</c:v>
                </c:pt>
              </c:strCache>
            </c:strRef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650" b="1">
                      <a:solidFill>
                        <a:srgbClr val="C00000"/>
                      </a:solidFill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1EC1-4B3C-82DE-622549E509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1">
                    <a:solidFill>
                      <a:srgbClr val="C00000"/>
                    </a:solidFill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Quadro!$DE$6:$DE$7</c:f>
              <c:numCache>
                <c:formatCode>General</c:formatCode>
                <c:ptCount val="2"/>
                <c:pt idx="0">
                  <c:v>-7.35</c:v>
                </c:pt>
                <c:pt idx="1">
                  <c:v>-6.45</c:v>
                </c:pt>
              </c:numCache>
            </c:numRef>
          </c:xVal>
          <c:yVal>
            <c:numRef>
              <c:f>Quadro!$DF$6:$DF$7</c:f>
              <c:numCache>
                <c:formatCode>General</c:formatCode>
                <c:ptCount val="2"/>
                <c:pt idx="0">
                  <c:v>-7.35</c:v>
                </c:pt>
                <c:pt idx="1">
                  <c:v>-7.35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0-1EC1-4B3C-82DE-622549E50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.6"/>
          <c:min val="-7.6"/>
        </c:scaling>
        <c:delete val="1"/>
        <c:axPos val="b"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7.6"/>
          <c:min val="-7.6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0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strRef>
          <c:f>Classifica!$AL$2</c:f>
          <c:strCache>
            <c:ptCount val="1"/>
            <c:pt idx="0">
              <c:v>2 da affrontare subito: NFR-01, NFR-11</c:v>
            </c:pt>
          </c:strCache>
        </c:strRef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Agire ora (X + Y &gt; Z)</c:v>
          </c:tx>
          <c:spPr>
            <a:solidFill>
              <a:srgbClr val="C0000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[0]!classificaEtichette</c:f>
              <c:strCache>
                <c:ptCount val="12"/>
                <c:pt idx="0">
                  <c:v>NFR-01 ●  Frodi su pagamenti istantanei abil…</c:v>
                </c:pt>
                <c:pt idx="1">
                  <c:v>NFR-07 ●  Ransomware presso un fornitore di …</c:v>
                </c:pt>
                <c:pt idx="2">
                  <c:v>NFR-12 ●  Errori operativi nei pagamenti ist…</c:v>
                </c:pt>
                <c:pt idx="3">
                  <c:v>NFR-02 ▼  Concentrazione su un fornitore clo…</c:v>
                </c:pt>
                <c:pt idx="4">
                  <c:v>NFR-10 ●  Informazioni errate ai clienti da …</c:v>
                </c:pt>
                <c:pt idx="5">
                  <c:v>NFR-11 ●  Fine del supporto dei sistemi di p…</c:v>
                </c:pt>
                <c:pt idx="6">
                  <c:v>NFR-03 ▲  Greenwashing nella commercializzaz…</c:v>
                </c:pt>
                <c:pt idx="7">
                  <c:v>NFR-05 ●  Errori di processo nella migrazion…</c:v>
                </c:pt>
                <c:pt idx="8">
                  <c:v>NFR-06 ▼  Esfiltrazione di dati tramite stru…</c:v>
                </c:pt>
                <c:pt idx="9">
                  <c:v>NFR-09 ●  Violazione di sanzioni internazion…</c:v>
                </c:pt>
                <c:pt idx="10">
                  <c:v>NFR-04 ●  Eventi climatici estremi su sedi e…</c:v>
                </c:pt>
                <c:pt idx="11">
                  <c:v>NFR-08 ●  Accessi impropri di dipendenti ai …</c:v>
                </c:pt>
              </c:strCache>
            </c:strRef>
          </c:cat>
          <c:val>
            <c:numRef>
              <c:f>[0]!classificaAgire</c:f>
              <c:numCache>
                <c:formatCode>0.00;\-0.00;;</c:formatCode>
                <c:ptCount val="12"/>
                <c:pt idx="0">
                  <c:v>3.8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05-4FED-B350-C7EE7DFE63ED}"/>
            </c:ext>
          </c:extLst>
        </c:ser>
        <c:ser>
          <c:idx val="1"/>
          <c:order val="1"/>
          <c:tx>
            <c:v>Agire entro l'anno</c:v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[0]!classificaEtichette</c:f>
              <c:strCache>
                <c:ptCount val="12"/>
                <c:pt idx="0">
                  <c:v>NFR-01 ●  Frodi su pagamenti istantanei abil…</c:v>
                </c:pt>
                <c:pt idx="1">
                  <c:v>NFR-07 ●  Ransomware presso un fornitore di …</c:v>
                </c:pt>
                <c:pt idx="2">
                  <c:v>NFR-12 ●  Errori operativi nei pagamenti ist…</c:v>
                </c:pt>
                <c:pt idx="3">
                  <c:v>NFR-02 ▼  Concentrazione su un fornitore clo…</c:v>
                </c:pt>
                <c:pt idx="4">
                  <c:v>NFR-10 ●  Informazioni errate ai clienti da …</c:v>
                </c:pt>
                <c:pt idx="5">
                  <c:v>NFR-11 ●  Fine del supporto dei sistemi di p…</c:v>
                </c:pt>
                <c:pt idx="6">
                  <c:v>NFR-03 ▲  Greenwashing nella commercializzaz…</c:v>
                </c:pt>
                <c:pt idx="7">
                  <c:v>NFR-05 ●  Errori di processo nella migrazion…</c:v>
                </c:pt>
                <c:pt idx="8">
                  <c:v>NFR-06 ▼  Esfiltrazione di dati tramite stru…</c:v>
                </c:pt>
                <c:pt idx="9">
                  <c:v>NFR-09 ●  Violazione di sanzioni internazion…</c:v>
                </c:pt>
                <c:pt idx="10">
                  <c:v>NFR-04 ●  Eventi climatici estremi su sedi e…</c:v>
                </c:pt>
                <c:pt idx="11">
                  <c:v>NFR-08 ●  Accessi impropri di dipendenti ai …</c:v>
                </c:pt>
              </c:strCache>
            </c:strRef>
          </c:cat>
          <c:val>
            <c:numRef>
              <c:f>[0]!classificaEntro</c:f>
              <c:numCache>
                <c:formatCode>0.00;\-0.00;;</c:formatCode>
                <c:ptCount val="12"/>
                <c:pt idx="0">
                  <c:v>0</c:v>
                </c:pt>
                <c:pt idx="1">
                  <c:v>3.6</c:v>
                </c:pt>
                <c:pt idx="2">
                  <c:v>3.5</c:v>
                </c:pt>
                <c:pt idx="3">
                  <c:v>3.25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2.85</c:v>
                </c:pt>
                <c:pt idx="11">
                  <c:v>2.8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A05-4FED-B350-C7EE7DFE63ED}"/>
            </c:ext>
          </c:extLst>
        </c:ser>
        <c:ser>
          <c:idx val="2"/>
          <c:order val="2"/>
          <c:tx>
            <c:v>Con margine</c:v>
          </c:tx>
          <c:spPr>
            <a:solidFill>
              <a:srgbClr val="A6A6A6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[0]!classificaEtichette</c:f>
              <c:strCache>
                <c:ptCount val="12"/>
                <c:pt idx="0">
                  <c:v>NFR-01 ●  Frodi su pagamenti istantanei abil…</c:v>
                </c:pt>
                <c:pt idx="1">
                  <c:v>NFR-07 ●  Ransomware presso un fornitore di …</c:v>
                </c:pt>
                <c:pt idx="2">
                  <c:v>NFR-12 ●  Errori operativi nei pagamenti ist…</c:v>
                </c:pt>
                <c:pt idx="3">
                  <c:v>NFR-02 ▼  Concentrazione su un fornitore clo…</c:v>
                </c:pt>
                <c:pt idx="4">
                  <c:v>NFR-10 ●  Informazioni errate ai clienti da …</c:v>
                </c:pt>
                <c:pt idx="5">
                  <c:v>NFR-11 ●  Fine del supporto dei sistemi di p…</c:v>
                </c:pt>
                <c:pt idx="6">
                  <c:v>NFR-03 ▲  Greenwashing nella commercializzaz…</c:v>
                </c:pt>
                <c:pt idx="7">
                  <c:v>NFR-05 ●  Errori di processo nella migrazion…</c:v>
                </c:pt>
                <c:pt idx="8">
                  <c:v>NFR-06 ▼  Esfiltrazione di dati tramite stru…</c:v>
                </c:pt>
                <c:pt idx="9">
                  <c:v>NFR-09 ●  Violazione di sanzioni internazion…</c:v>
                </c:pt>
                <c:pt idx="10">
                  <c:v>NFR-04 ●  Eventi climatici estremi su sedi e…</c:v>
                </c:pt>
                <c:pt idx="11">
                  <c:v>NFR-08 ●  Accessi impropri di dipendenti ai …</c:v>
                </c:pt>
              </c:strCache>
            </c:strRef>
          </c:cat>
          <c:val>
            <c:numRef>
              <c:f>[0]!classificaMargine</c:f>
              <c:numCache>
                <c:formatCode>0.00;\-0.00;;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2.95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A05-4FED-B350-C7EE7DFE6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0"/>
        <c:axPos val="t"/>
        <c:majorGridlines>
          <c:spPr>
            <a:ln>
              <a:solidFill>
                <a:srgbClr val="EDEDED"/>
              </a:solidFill>
              <a:prstDash val="solid"/>
            </a:ln>
          </c:spPr>
        </c:majorGridlines>
        <c:numFmt formatCode="0.00;\-0.00;;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95959"/>
              </a:solidFill>
            </a:defRPr>
          </a:pPr>
          <a:endParaRPr lang="it-IT"/>
        </a:p>
      </c:txPr>
    </c:legend>
    <c:plotVisOnly val="0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strRef>
          <c:f>Classifica!$AL$3</c:f>
          <c:strCache>
            <c:ptCount val="1"/>
            <c:pt idx="0">
              <c:v>Lente di Mosca: chi e' in ritardo, e di quanto (anni)</c:v>
            </c:pt>
          </c:strCache>
        </c:strRef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X: decidere e avviare</c:v>
          </c:tx>
          <c:spPr>
            <a:solidFill>
              <a:srgbClr val="BFBFBF"/>
            </a:solidFill>
            <a:ln>
              <a:noFill/>
              <a:prstDash val="solid"/>
            </a:ln>
          </c:spPr>
          <c:invertIfNegative val="1"/>
          <c:cat>
            <c:strRef>
              <c:f>[0]!lenteEtichette</c:f>
              <c:strCache>
                <c:ptCount val="12"/>
                <c:pt idx="0">
                  <c:v>NFR-11 (−1,75)</c:v>
                </c:pt>
                <c:pt idx="1">
                  <c:v>NFR-01 (−0,25)</c:v>
                </c:pt>
                <c:pt idx="2">
                  <c:v>NFR-12 (+0,00)</c:v>
                </c:pt>
                <c:pt idx="3">
                  <c:v>NFR-03 (+0,00)</c:v>
                </c:pt>
                <c:pt idx="4">
                  <c:v>NFR-02 (+0,25)</c:v>
                </c:pt>
                <c:pt idx="5">
                  <c:v>NFR-08 (+0,25)</c:v>
                </c:pt>
                <c:pt idx="6">
                  <c:v>NFR-07 (+0,75)</c:v>
                </c:pt>
                <c:pt idx="7">
                  <c:v>NFR-06 (+0,75)</c:v>
                </c:pt>
                <c:pt idx="8">
                  <c:v>NFR-04 (+0,75)</c:v>
                </c:pt>
                <c:pt idx="9">
                  <c:v>NFR-10 (+1,00)</c:v>
                </c:pt>
                <c:pt idx="10">
                  <c:v>NFR-05 (+1,00)</c:v>
                </c:pt>
                <c:pt idx="11">
                  <c:v>NFR-09 (+1,25)</c:v>
                </c:pt>
              </c:strCache>
            </c:strRef>
          </c:cat>
          <c:val>
            <c:numRef>
              <c:f>[0]!lenteX</c:f>
              <c:numCache>
                <c:formatCode>General</c:formatCode>
                <c:ptCount val="12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4B4-4533-A489-B4391E351AB4}"/>
            </c:ext>
          </c:extLst>
        </c:ser>
        <c:ser>
          <c:idx val="1"/>
          <c:order val="1"/>
          <c:tx>
            <c:v>Y: mitigare, entro Z</c:v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1"/>
          <c:cat>
            <c:strRef>
              <c:f>[0]!lenteEtichette</c:f>
              <c:strCache>
                <c:ptCount val="12"/>
                <c:pt idx="0">
                  <c:v>NFR-11 (−1,75)</c:v>
                </c:pt>
                <c:pt idx="1">
                  <c:v>NFR-01 (−0,25)</c:v>
                </c:pt>
                <c:pt idx="2">
                  <c:v>NFR-12 (+0,00)</c:v>
                </c:pt>
                <c:pt idx="3">
                  <c:v>NFR-03 (+0,00)</c:v>
                </c:pt>
                <c:pt idx="4">
                  <c:v>NFR-02 (+0,25)</c:v>
                </c:pt>
                <c:pt idx="5">
                  <c:v>NFR-08 (+0,25)</c:v>
                </c:pt>
                <c:pt idx="6">
                  <c:v>NFR-07 (+0,75)</c:v>
                </c:pt>
                <c:pt idx="7">
                  <c:v>NFR-06 (+0,75)</c:v>
                </c:pt>
                <c:pt idx="8">
                  <c:v>NFR-04 (+0,75)</c:v>
                </c:pt>
                <c:pt idx="9">
                  <c:v>NFR-10 (+1,00)</c:v>
                </c:pt>
                <c:pt idx="10">
                  <c:v>NFR-05 (+1,00)</c:v>
                </c:pt>
                <c:pt idx="11">
                  <c:v>NFR-09 (+1,25)</c:v>
                </c:pt>
              </c:strCache>
            </c:strRef>
          </c:cat>
          <c:val>
            <c:numRef>
              <c:f>[0]!lenteY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0.25</c:v>
                </c:pt>
                <c:pt idx="3">
                  <c:v>0.25</c:v>
                </c:pt>
                <c:pt idx="4">
                  <c:v>1</c:v>
                </c:pt>
                <c:pt idx="5">
                  <c:v>1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0.25</c:v>
                </c:pt>
                <c:pt idx="10">
                  <c:v>0.25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4B4-4533-A489-B4391E351AB4}"/>
            </c:ext>
          </c:extLst>
        </c:ser>
        <c:ser>
          <c:idx val="2"/>
          <c:order val="2"/>
          <c:tx>
            <c:v>Y: mitigare, OLTRE Z</c:v>
          </c:tx>
          <c:spPr>
            <a:solidFill>
              <a:srgbClr val="C00000"/>
            </a:solidFill>
            <a:ln>
              <a:noFill/>
              <a:prstDash val="solid"/>
            </a:ln>
          </c:spPr>
          <c:invertIfNegative val="1"/>
          <c:cat>
            <c:strRef>
              <c:f>[0]!lenteEtichette</c:f>
              <c:strCache>
                <c:ptCount val="12"/>
                <c:pt idx="0">
                  <c:v>NFR-11 (−1,75)</c:v>
                </c:pt>
                <c:pt idx="1">
                  <c:v>NFR-01 (−0,25)</c:v>
                </c:pt>
                <c:pt idx="2">
                  <c:v>NFR-12 (+0,00)</c:v>
                </c:pt>
                <c:pt idx="3">
                  <c:v>NFR-03 (+0,00)</c:v>
                </c:pt>
                <c:pt idx="4">
                  <c:v>NFR-02 (+0,25)</c:v>
                </c:pt>
                <c:pt idx="5">
                  <c:v>NFR-08 (+0,25)</c:v>
                </c:pt>
                <c:pt idx="6">
                  <c:v>NFR-07 (+0,75)</c:v>
                </c:pt>
                <c:pt idx="7">
                  <c:v>NFR-06 (+0,75)</c:v>
                </c:pt>
                <c:pt idx="8">
                  <c:v>NFR-04 (+0,75)</c:v>
                </c:pt>
                <c:pt idx="9">
                  <c:v>NFR-10 (+1,00)</c:v>
                </c:pt>
                <c:pt idx="10">
                  <c:v>NFR-05 (+1,00)</c:v>
                </c:pt>
                <c:pt idx="11">
                  <c:v>NFR-09 (+1,25)</c:v>
                </c:pt>
              </c:strCache>
            </c:strRef>
          </c:cat>
          <c:val>
            <c:numRef>
              <c:f>[0]!lenteYOltre</c:f>
              <c:numCache>
                <c:formatCode>General</c:formatCode>
                <c:ptCount val="12"/>
                <c:pt idx="0">
                  <c:v>3</c:v>
                </c:pt>
                <c:pt idx="1">
                  <c:v>0.5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4B4-4533-A489-B4391E351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lineChart>
        <c:grouping val="standard"/>
        <c:varyColors val="1"/>
        <c:ser>
          <c:idx val="3"/>
          <c:order val="3"/>
          <c:tx>
            <c:v>Z: tempo disponibile</c:v>
          </c:tx>
          <c:spPr>
            <a:ln>
              <a:noFill/>
              <a:prstDash val="solid"/>
            </a:ln>
          </c:spPr>
          <c:marker>
            <c:symbol val="diamond"/>
            <c:size val="10"/>
            <c: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c:spPr>
          </c:marker>
          <c:cat>
            <c:strRef>
              <c:f>[0]!lenteEtichette</c:f>
              <c:strCache>
                <c:ptCount val="12"/>
                <c:pt idx="0">
                  <c:v>NFR-11 (−1,75)</c:v>
                </c:pt>
                <c:pt idx="1">
                  <c:v>NFR-01 (−0,25)</c:v>
                </c:pt>
                <c:pt idx="2">
                  <c:v>NFR-12 (+0,00)</c:v>
                </c:pt>
                <c:pt idx="3">
                  <c:v>NFR-03 (+0,00)</c:v>
                </c:pt>
                <c:pt idx="4">
                  <c:v>NFR-02 (+0,25)</c:v>
                </c:pt>
                <c:pt idx="5">
                  <c:v>NFR-08 (+0,25)</c:v>
                </c:pt>
                <c:pt idx="6">
                  <c:v>NFR-07 (+0,75)</c:v>
                </c:pt>
                <c:pt idx="7">
                  <c:v>NFR-06 (+0,75)</c:v>
                </c:pt>
                <c:pt idx="8">
                  <c:v>NFR-04 (+0,75)</c:v>
                </c:pt>
                <c:pt idx="9">
                  <c:v>NFR-10 (+1,00)</c:v>
                </c:pt>
                <c:pt idx="10">
                  <c:v>NFR-05 (+1,00)</c:v>
                </c:pt>
                <c:pt idx="11">
                  <c:v>NFR-09 (+1,25)</c:v>
                </c:pt>
              </c:strCache>
            </c:strRef>
          </c:cat>
          <c:val>
            <c:numRef>
              <c:f>[0]!lenteZ</c:f>
              <c:numCache>
                <c:formatCode>General</c:formatCode>
                <c:ptCount val="12"/>
                <c:pt idx="0">
                  <c:v>1.5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B4-4533-A489-B4391E351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DED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anni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95959"/>
              </a:solidFill>
            </a:defRPr>
          </a:pPr>
          <a:endParaRPr lang="it-IT"/>
        </a:p>
      </c:txPr>
    </c:legend>
    <c:plotVisOnly val="0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Mosca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none"/>
          </c:marker>
          <c:dLbls>
            <c:dLbl>
              <c:idx val="21"/>
              <c:spPr/>
              <c:txPr>
                <a:bodyPr/>
                <a:lstStyle/>
                <a:p>
                  <a:pPr>
                    <a:defRPr sz="800" b="1">
                      <a:solidFill>
                        <a:srgbClr val="C00000"/>
                      </a:solidFill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E4-4672-8A6C-C9EA88426F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C00000"/>
                    </a:solidFill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Radar_Mosca!$V$5:$V$77</c:f>
              <c:numCache>
                <c:formatCode>General</c:formatCode>
                <c:ptCount val="73"/>
                <c:pt idx="0">
                  <c:v>0</c:v>
                </c:pt>
                <c:pt idx="1">
                  <c:v>0.17431148549531633</c:v>
                </c:pt>
                <c:pt idx="2">
                  <c:v>0.34729635533386066</c:v>
                </c:pt>
                <c:pt idx="3">
                  <c:v>0.51763809020504148</c:v>
                </c:pt>
                <c:pt idx="4">
                  <c:v>0.68404028665133743</c:v>
                </c:pt>
                <c:pt idx="5">
                  <c:v>0.84523652348139888</c:v>
                </c:pt>
                <c:pt idx="6">
                  <c:v>0.99999999999999989</c:v>
                </c:pt>
                <c:pt idx="7">
                  <c:v>1.1471528727020921</c:v>
                </c:pt>
                <c:pt idx="8">
                  <c:v>1.2855752193730785</c:v>
                </c:pt>
                <c:pt idx="9">
                  <c:v>1.4142135623730949</c:v>
                </c:pt>
                <c:pt idx="10">
                  <c:v>1.532088886237956</c:v>
                </c:pt>
                <c:pt idx="11">
                  <c:v>1.6383040885779834</c:v>
                </c:pt>
                <c:pt idx="12">
                  <c:v>1.7320508075688772</c:v>
                </c:pt>
                <c:pt idx="13">
                  <c:v>1.8126155740732999</c:v>
                </c:pt>
                <c:pt idx="14">
                  <c:v>1.8793852415718166</c:v>
                </c:pt>
                <c:pt idx="15">
                  <c:v>1.9318516525781364</c:v>
                </c:pt>
                <c:pt idx="16">
                  <c:v>1.969615506024416</c:v>
                </c:pt>
                <c:pt idx="17">
                  <c:v>1.9923893961834911</c:v>
                </c:pt>
                <c:pt idx="18">
                  <c:v>2</c:v>
                </c:pt>
                <c:pt idx="19">
                  <c:v>1.9923893961834911</c:v>
                </c:pt>
                <c:pt idx="20">
                  <c:v>1.969615506024416</c:v>
                </c:pt>
                <c:pt idx="21">
                  <c:v>1.9318516525781366</c:v>
                </c:pt>
                <c:pt idx="22">
                  <c:v>1.8793852415718169</c:v>
                </c:pt>
                <c:pt idx="23">
                  <c:v>1.8126155740733001</c:v>
                </c:pt>
                <c:pt idx="24">
                  <c:v>1.7320508075688774</c:v>
                </c:pt>
                <c:pt idx="25">
                  <c:v>1.6383040885779834</c:v>
                </c:pt>
                <c:pt idx="26">
                  <c:v>1.532088886237956</c:v>
                </c:pt>
                <c:pt idx="27">
                  <c:v>1.4142135623730951</c:v>
                </c:pt>
                <c:pt idx="28">
                  <c:v>1.2855752193730789</c:v>
                </c:pt>
                <c:pt idx="29">
                  <c:v>1.1471528727020919</c:v>
                </c:pt>
                <c:pt idx="30">
                  <c:v>1.0000000000000007</c:v>
                </c:pt>
                <c:pt idx="31">
                  <c:v>0.84523652348139899</c:v>
                </c:pt>
                <c:pt idx="32">
                  <c:v>0.68404028665133776</c:v>
                </c:pt>
                <c:pt idx="33">
                  <c:v>0.51763809020504115</c:v>
                </c:pt>
                <c:pt idx="34">
                  <c:v>0.34729635533386055</c:v>
                </c:pt>
                <c:pt idx="35">
                  <c:v>0.17431148549531639</c:v>
                </c:pt>
                <c:pt idx="36">
                  <c:v>2.45029690981724E-16</c:v>
                </c:pt>
                <c:pt idx="37">
                  <c:v>-0.17431148549531589</c:v>
                </c:pt>
                <c:pt idx="38">
                  <c:v>-0.34729635533386005</c:v>
                </c:pt>
                <c:pt idx="39">
                  <c:v>-0.5176380902050407</c:v>
                </c:pt>
                <c:pt idx="40">
                  <c:v>-0.68404028665133731</c:v>
                </c:pt>
                <c:pt idx="41">
                  <c:v>-0.84523652348139777</c:v>
                </c:pt>
                <c:pt idx="42">
                  <c:v>-1.0000000000000002</c:v>
                </c:pt>
                <c:pt idx="43">
                  <c:v>-1.1471528727020917</c:v>
                </c:pt>
                <c:pt idx="44">
                  <c:v>-1.2855752193730778</c:v>
                </c:pt>
                <c:pt idx="45">
                  <c:v>-1.4142135623730949</c:v>
                </c:pt>
                <c:pt idx="46">
                  <c:v>-1.5320888862379558</c:v>
                </c:pt>
                <c:pt idx="47">
                  <c:v>-1.6383040885779843</c:v>
                </c:pt>
                <c:pt idx="48">
                  <c:v>-1.7320508075688767</c:v>
                </c:pt>
                <c:pt idx="49">
                  <c:v>-1.8126155740732994</c:v>
                </c:pt>
                <c:pt idx="50">
                  <c:v>-1.8793852415718169</c:v>
                </c:pt>
                <c:pt idx="51">
                  <c:v>-1.9318516525781366</c:v>
                </c:pt>
                <c:pt idx="52">
                  <c:v>-1.969615506024416</c:v>
                </c:pt>
                <c:pt idx="53">
                  <c:v>-1.9923893961834911</c:v>
                </c:pt>
                <c:pt idx="54">
                  <c:v>-2</c:v>
                </c:pt>
                <c:pt idx="55">
                  <c:v>-1.9923893961834911</c:v>
                </c:pt>
                <c:pt idx="56">
                  <c:v>-1.9696155060244163</c:v>
                </c:pt>
                <c:pt idx="57">
                  <c:v>-1.9318516525781368</c:v>
                </c:pt>
                <c:pt idx="58">
                  <c:v>-1.8793852415718166</c:v>
                </c:pt>
                <c:pt idx="59">
                  <c:v>-1.8126155740733005</c:v>
                </c:pt>
                <c:pt idx="60">
                  <c:v>-1.7320508075688781</c:v>
                </c:pt>
                <c:pt idx="61">
                  <c:v>-1.6383040885779836</c:v>
                </c:pt>
                <c:pt idx="62">
                  <c:v>-1.5320888862379562</c:v>
                </c:pt>
                <c:pt idx="63">
                  <c:v>-1.4142135623730954</c:v>
                </c:pt>
                <c:pt idx="64">
                  <c:v>-1.2855752193730792</c:v>
                </c:pt>
                <c:pt idx="65">
                  <c:v>-1.147152872702093</c:v>
                </c:pt>
                <c:pt idx="66">
                  <c:v>-0.99999999999999933</c:v>
                </c:pt>
                <c:pt idx="67">
                  <c:v>-0.84523652348139999</c:v>
                </c:pt>
                <c:pt idx="68">
                  <c:v>-0.6840402866513372</c:v>
                </c:pt>
                <c:pt idx="69">
                  <c:v>-0.51763809020504137</c:v>
                </c:pt>
                <c:pt idx="70">
                  <c:v>-0.34729635533386077</c:v>
                </c:pt>
                <c:pt idx="71">
                  <c:v>-0.17431148549531664</c:v>
                </c:pt>
                <c:pt idx="72">
                  <c:v>-4.90059381963448E-16</c:v>
                </c:pt>
              </c:numCache>
            </c:numRef>
          </c:xVal>
          <c:yVal>
            <c:numRef>
              <c:f>Radar_Mosca!$W$5:$W$77</c:f>
              <c:numCache>
                <c:formatCode>General</c:formatCode>
                <c:ptCount val="73"/>
                <c:pt idx="0">
                  <c:v>2</c:v>
                </c:pt>
                <c:pt idx="1">
                  <c:v>1.9923893961834911</c:v>
                </c:pt>
                <c:pt idx="2">
                  <c:v>1.969615506024416</c:v>
                </c:pt>
                <c:pt idx="3">
                  <c:v>1.9318516525781366</c:v>
                </c:pt>
                <c:pt idx="4">
                  <c:v>1.8793852415718169</c:v>
                </c:pt>
                <c:pt idx="5">
                  <c:v>1.8126155740732999</c:v>
                </c:pt>
                <c:pt idx="6">
                  <c:v>1.7320508075688774</c:v>
                </c:pt>
                <c:pt idx="7">
                  <c:v>1.6383040885779836</c:v>
                </c:pt>
                <c:pt idx="8">
                  <c:v>1.532088886237956</c:v>
                </c:pt>
                <c:pt idx="9">
                  <c:v>1.4142135623730951</c:v>
                </c:pt>
                <c:pt idx="10">
                  <c:v>1.2855752193730787</c:v>
                </c:pt>
                <c:pt idx="11">
                  <c:v>1.1471528727020923</c:v>
                </c:pt>
                <c:pt idx="12">
                  <c:v>1.0000000000000002</c:v>
                </c:pt>
                <c:pt idx="13">
                  <c:v>0.84523652348139888</c:v>
                </c:pt>
                <c:pt idx="14">
                  <c:v>0.68404028665133765</c:v>
                </c:pt>
                <c:pt idx="15">
                  <c:v>0.51763809020504192</c:v>
                </c:pt>
                <c:pt idx="16">
                  <c:v>0.34729635533386083</c:v>
                </c:pt>
                <c:pt idx="17">
                  <c:v>0.17431148549531628</c:v>
                </c:pt>
                <c:pt idx="18">
                  <c:v>1.22514845490862E-16</c:v>
                </c:pt>
                <c:pt idx="19">
                  <c:v>-0.17431148549531603</c:v>
                </c:pt>
                <c:pt idx="20">
                  <c:v>-0.34729635533386061</c:v>
                </c:pt>
                <c:pt idx="21">
                  <c:v>-0.5176380902050417</c:v>
                </c:pt>
                <c:pt idx="22">
                  <c:v>-0.68404028665133698</c:v>
                </c:pt>
                <c:pt idx="23">
                  <c:v>-0.84523652348139866</c:v>
                </c:pt>
                <c:pt idx="24">
                  <c:v>-0.99999999999999956</c:v>
                </c:pt>
                <c:pt idx="25">
                  <c:v>-1.1471528727020923</c:v>
                </c:pt>
                <c:pt idx="26">
                  <c:v>-1.2855752193730787</c:v>
                </c:pt>
                <c:pt idx="27">
                  <c:v>-1.4142135623730949</c:v>
                </c:pt>
                <c:pt idx="28">
                  <c:v>-1.5320888862379558</c:v>
                </c:pt>
                <c:pt idx="29">
                  <c:v>-1.6383040885779838</c:v>
                </c:pt>
                <c:pt idx="30">
                  <c:v>-1.732050807568877</c:v>
                </c:pt>
                <c:pt idx="31">
                  <c:v>-1.8126155740732999</c:v>
                </c:pt>
                <c:pt idx="32">
                  <c:v>-1.8793852415718166</c:v>
                </c:pt>
                <c:pt idx="33">
                  <c:v>-1.9318516525781366</c:v>
                </c:pt>
                <c:pt idx="34">
                  <c:v>-1.969615506024416</c:v>
                </c:pt>
                <c:pt idx="35">
                  <c:v>-1.9923893961834911</c:v>
                </c:pt>
                <c:pt idx="36">
                  <c:v>-2</c:v>
                </c:pt>
                <c:pt idx="37">
                  <c:v>-1.9923893961834911</c:v>
                </c:pt>
                <c:pt idx="38">
                  <c:v>-1.9696155060244163</c:v>
                </c:pt>
                <c:pt idx="39">
                  <c:v>-1.9318516525781368</c:v>
                </c:pt>
                <c:pt idx="40">
                  <c:v>-1.8793852415718169</c:v>
                </c:pt>
                <c:pt idx="41">
                  <c:v>-1.8126155740733005</c:v>
                </c:pt>
                <c:pt idx="42">
                  <c:v>-1.7320508075688772</c:v>
                </c:pt>
                <c:pt idx="43">
                  <c:v>-1.638304088577984</c:v>
                </c:pt>
                <c:pt idx="44">
                  <c:v>-1.5320888862379567</c:v>
                </c:pt>
                <c:pt idx="45">
                  <c:v>-1.4142135623730954</c:v>
                </c:pt>
                <c:pt idx="46">
                  <c:v>-1.2855752193730789</c:v>
                </c:pt>
                <c:pt idx="47">
                  <c:v>-1.1471528727020914</c:v>
                </c:pt>
                <c:pt idx="48">
                  <c:v>-1.0000000000000009</c:v>
                </c:pt>
                <c:pt idx="49">
                  <c:v>-0.84523652348139988</c:v>
                </c:pt>
                <c:pt idx="50">
                  <c:v>-0.68404028665133709</c:v>
                </c:pt>
                <c:pt idx="51">
                  <c:v>-0.51763809020504126</c:v>
                </c:pt>
                <c:pt idx="52">
                  <c:v>-0.34729635533386066</c:v>
                </c:pt>
                <c:pt idx="53">
                  <c:v>-0.1743114854953165</c:v>
                </c:pt>
                <c:pt idx="54">
                  <c:v>-3.67544536472586E-16</c:v>
                </c:pt>
                <c:pt idx="55">
                  <c:v>0.17431148549531578</c:v>
                </c:pt>
                <c:pt idx="56">
                  <c:v>0.34729635533385994</c:v>
                </c:pt>
                <c:pt idx="57">
                  <c:v>0.51763809020504059</c:v>
                </c:pt>
                <c:pt idx="58">
                  <c:v>0.68404028665133798</c:v>
                </c:pt>
                <c:pt idx="59">
                  <c:v>0.84523652348139766</c:v>
                </c:pt>
                <c:pt idx="60">
                  <c:v>0.99999999999999867</c:v>
                </c:pt>
                <c:pt idx="61">
                  <c:v>1.1471528727020921</c:v>
                </c:pt>
                <c:pt idx="62">
                  <c:v>1.2855752193730785</c:v>
                </c:pt>
                <c:pt idx="63">
                  <c:v>1.4142135623730947</c:v>
                </c:pt>
                <c:pt idx="64">
                  <c:v>1.5320888862379556</c:v>
                </c:pt>
                <c:pt idx="65">
                  <c:v>1.6383040885779832</c:v>
                </c:pt>
                <c:pt idx="66">
                  <c:v>1.7320508075688776</c:v>
                </c:pt>
                <c:pt idx="67">
                  <c:v>1.8126155740732994</c:v>
                </c:pt>
                <c:pt idx="68">
                  <c:v>1.8793852415718169</c:v>
                </c:pt>
                <c:pt idx="69">
                  <c:v>1.9318516525781366</c:v>
                </c:pt>
                <c:pt idx="70">
                  <c:v>1.969615506024416</c:v>
                </c:pt>
                <c:pt idx="71">
                  <c:v>1.9923893961834911</c:v>
                </c:pt>
                <c:pt idx="7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E4-4672-8A6C-C9EA88426F6D}"/>
            </c:ext>
          </c:extLst>
        </c:ser>
        <c:ser>
          <c:idx val="1"/>
          <c:order val="1"/>
          <c:tx>
            <c:v>1 anno</c:v>
          </c:tx>
          <c:spPr>
            <a:ln w="12700">
              <a:solidFill>
                <a:srgbClr val="8C8C8C"/>
              </a:solidFill>
              <a:prstDash val="dash"/>
            </a:ln>
          </c:spPr>
          <c:marker>
            <c:symbol val="none"/>
          </c:marker>
          <c:dLbls>
            <c:dLbl>
              <c:idx val="2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E4-4672-8A6C-C9EA88426F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595959"/>
                    </a:solidFill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Radar_Mosca!$X$5:$X$77</c:f>
              <c:numCache>
                <c:formatCode>General</c:formatCode>
                <c:ptCount val="73"/>
                <c:pt idx="0">
                  <c:v>0</c:v>
                </c:pt>
                <c:pt idx="1">
                  <c:v>0.26146722824297453</c:v>
                </c:pt>
                <c:pt idx="2">
                  <c:v>0.52094453300079102</c:v>
                </c:pt>
                <c:pt idx="3">
                  <c:v>0.77645713530756222</c:v>
                </c:pt>
                <c:pt idx="4">
                  <c:v>1.0260604299770062</c:v>
                </c:pt>
                <c:pt idx="5">
                  <c:v>1.2678547852220983</c:v>
                </c:pt>
                <c:pt idx="6">
                  <c:v>1.4999999999999998</c:v>
                </c:pt>
                <c:pt idx="7">
                  <c:v>1.7207293090531381</c:v>
                </c:pt>
                <c:pt idx="8">
                  <c:v>1.9283628290596178</c:v>
                </c:pt>
                <c:pt idx="9">
                  <c:v>2.1213203435596424</c:v>
                </c:pt>
                <c:pt idx="10">
                  <c:v>2.2981333293569342</c:v>
                </c:pt>
                <c:pt idx="11">
                  <c:v>2.4574561328669748</c:v>
                </c:pt>
                <c:pt idx="12">
                  <c:v>2.598076211353316</c:v>
                </c:pt>
                <c:pt idx="13">
                  <c:v>2.7189233611099497</c:v>
                </c:pt>
                <c:pt idx="14">
                  <c:v>2.8190778623577248</c:v>
                </c:pt>
                <c:pt idx="15">
                  <c:v>2.8977774788672046</c:v>
                </c:pt>
                <c:pt idx="16">
                  <c:v>2.9544232590366239</c:v>
                </c:pt>
                <c:pt idx="17">
                  <c:v>2.9885840942752369</c:v>
                </c:pt>
                <c:pt idx="18">
                  <c:v>3</c:v>
                </c:pt>
                <c:pt idx="19">
                  <c:v>2.9885840942752369</c:v>
                </c:pt>
                <c:pt idx="20">
                  <c:v>2.9544232590366239</c:v>
                </c:pt>
                <c:pt idx="21">
                  <c:v>2.897777478867205</c:v>
                </c:pt>
                <c:pt idx="22">
                  <c:v>2.8190778623577253</c:v>
                </c:pt>
                <c:pt idx="23">
                  <c:v>2.7189233611099501</c:v>
                </c:pt>
                <c:pt idx="24">
                  <c:v>2.598076211353316</c:v>
                </c:pt>
                <c:pt idx="25">
                  <c:v>2.4574561328669748</c:v>
                </c:pt>
                <c:pt idx="26">
                  <c:v>2.2981333293569342</c:v>
                </c:pt>
                <c:pt idx="27">
                  <c:v>2.1213203435596428</c:v>
                </c:pt>
                <c:pt idx="28">
                  <c:v>1.9283628290596184</c:v>
                </c:pt>
                <c:pt idx="29">
                  <c:v>1.7207293090531377</c:v>
                </c:pt>
                <c:pt idx="30">
                  <c:v>1.5000000000000009</c:v>
                </c:pt>
                <c:pt idx="31">
                  <c:v>1.2678547852220985</c:v>
                </c:pt>
                <c:pt idx="32">
                  <c:v>1.0260604299770066</c:v>
                </c:pt>
                <c:pt idx="33">
                  <c:v>0.77645713530756177</c:v>
                </c:pt>
                <c:pt idx="34">
                  <c:v>0.5209445330007908</c:v>
                </c:pt>
                <c:pt idx="35">
                  <c:v>0.26146722824297458</c:v>
                </c:pt>
                <c:pt idx="36">
                  <c:v>3.67544536472586E-16</c:v>
                </c:pt>
                <c:pt idx="37">
                  <c:v>-0.26146722824297386</c:v>
                </c:pt>
                <c:pt idx="38">
                  <c:v>-0.52094453300079002</c:v>
                </c:pt>
                <c:pt idx="39">
                  <c:v>-0.77645713530756111</c:v>
                </c:pt>
                <c:pt idx="40">
                  <c:v>-1.026060429977006</c:v>
                </c:pt>
                <c:pt idx="41">
                  <c:v>-1.2678547852220967</c:v>
                </c:pt>
                <c:pt idx="42">
                  <c:v>-1.5000000000000004</c:v>
                </c:pt>
                <c:pt idx="43">
                  <c:v>-1.7207293090531375</c:v>
                </c:pt>
                <c:pt idx="44">
                  <c:v>-1.9283628290596169</c:v>
                </c:pt>
                <c:pt idx="45">
                  <c:v>-2.1213203435596424</c:v>
                </c:pt>
                <c:pt idx="46">
                  <c:v>-2.2981333293569337</c:v>
                </c:pt>
                <c:pt idx="47">
                  <c:v>-2.4574561328669766</c:v>
                </c:pt>
                <c:pt idx="48">
                  <c:v>-2.5980762113533151</c:v>
                </c:pt>
                <c:pt idx="49">
                  <c:v>-2.7189233611099493</c:v>
                </c:pt>
                <c:pt idx="50">
                  <c:v>-2.8190778623577253</c:v>
                </c:pt>
                <c:pt idx="51">
                  <c:v>-2.897777478867205</c:v>
                </c:pt>
                <c:pt idx="52">
                  <c:v>-2.9544232590366239</c:v>
                </c:pt>
                <c:pt idx="53">
                  <c:v>-2.9885840942752369</c:v>
                </c:pt>
                <c:pt idx="54">
                  <c:v>-3</c:v>
                </c:pt>
                <c:pt idx="55">
                  <c:v>-2.9885840942752369</c:v>
                </c:pt>
                <c:pt idx="56">
                  <c:v>-2.9544232590366244</c:v>
                </c:pt>
                <c:pt idx="57">
                  <c:v>-2.897777478867205</c:v>
                </c:pt>
                <c:pt idx="58">
                  <c:v>-2.8190778623577248</c:v>
                </c:pt>
                <c:pt idx="59">
                  <c:v>-2.718923361109951</c:v>
                </c:pt>
                <c:pt idx="60">
                  <c:v>-2.5980762113533169</c:v>
                </c:pt>
                <c:pt idx="61">
                  <c:v>-2.4574561328669753</c:v>
                </c:pt>
                <c:pt idx="62">
                  <c:v>-2.2981333293569346</c:v>
                </c:pt>
                <c:pt idx="63">
                  <c:v>-2.1213203435596428</c:v>
                </c:pt>
                <c:pt idx="64">
                  <c:v>-1.9283628290596186</c:v>
                </c:pt>
                <c:pt idx="65">
                  <c:v>-1.7207293090531395</c:v>
                </c:pt>
                <c:pt idx="66">
                  <c:v>-1.4999999999999991</c:v>
                </c:pt>
                <c:pt idx="67">
                  <c:v>-1.2678547852221</c:v>
                </c:pt>
                <c:pt idx="68">
                  <c:v>-1.0260604299770058</c:v>
                </c:pt>
                <c:pt idx="69">
                  <c:v>-0.776457135307562</c:v>
                </c:pt>
                <c:pt idx="70">
                  <c:v>-0.52094453300079113</c:v>
                </c:pt>
                <c:pt idx="71">
                  <c:v>-0.26146722824297497</c:v>
                </c:pt>
                <c:pt idx="72">
                  <c:v>-7.3508907294517201E-16</c:v>
                </c:pt>
              </c:numCache>
            </c:numRef>
          </c:xVal>
          <c:yVal>
            <c:numRef>
              <c:f>Radar_Mosca!$Y$5:$Y$77</c:f>
              <c:numCache>
                <c:formatCode>General</c:formatCode>
                <c:ptCount val="73"/>
                <c:pt idx="0">
                  <c:v>3</c:v>
                </c:pt>
                <c:pt idx="1">
                  <c:v>2.9885840942752369</c:v>
                </c:pt>
                <c:pt idx="2">
                  <c:v>2.9544232590366239</c:v>
                </c:pt>
                <c:pt idx="3">
                  <c:v>2.897777478867205</c:v>
                </c:pt>
                <c:pt idx="4">
                  <c:v>2.8190778623577253</c:v>
                </c:pt>
                <c:pt idx="5">
                  <c:v>2.7189233611099497</c:v>
                </c:pt>
                <c:pt idx="6">
                  <c:v>2.598076211353316</c:v>
                </c:pt>
                <c:pt idx="7">
                  <c:v>2.4574561328669753</c:v>
                </c:pt>
                <c:pt idx="8">
                  <c:v>2.2981333293569342</c:v>
                </c:pt>
                <c:pt idx="9">
                  <c:v>2.1213203435596428</c:v>
                </c:pt>
                <c:pt idx="10">
                  <c:v>1.9283628290596182</c:v>
                </c:pt>
                <c:pt idx="11">
                  <c:v>1.7207293090531386</c:v>
                </c:pt>
                <c:pt idx="12">
                  <c:v>1.5000000000000004</c:v>
                </c:pt>
                <c:pt idx="13">
                  <c:v>1.2678547852220983</c:v>
                </c:pt>
                <c:pt idx="14">
                  <c:v>1.0260604299770064</c:v>
                </c:pt>
                <c:pt idx="15">
                  <c:v>0.77645713530756288</c:v>
                </c:pt>
                <c:pt idx="16">
                  <c:v>0.52094453300079124</c:v>
                </c:pt>
                <c:pt idx="17">
                  <c:v>0.26146722824297441</c:v>
                </c:pt>
                <c:pt idx="18">
                  <c:v>1.83772268236293E-16</c:v>
                </c:pt>
                <c:pt idx="19">
                  <c:v>-0.26146722824297403</c:v>
                </c:pt>
                <c:pt idx="20">
                  <c:v>-0.52094453300079091</c:v>
                </c:pt>
                <c:pt idx="21">
                  <c:v>-0.77645713530756255</c:v>
                </c:pt>
                <c:pt idx="22">
                  <c:v>-1.0260604299770055</c:v>
                </c:pt>
                <c:pt idx="23">
                  <c:v>-1.267854785222098</c:v>
                </c:pt>
                <c:pt idx="24">
                  <c:v>-1.4999999999999993</c:v>
                </c:pt>
                <c:pt idx="25">
                  <c:v>-1.7207293090531386</c:v>
                </c:pt>
                <c:pt idx="26">
                  <c:v>-1.9283628290596182</c:v>
                </c:pt>
                <c:pt idx="27">
                  <c:v>-2.1213203435596424</c:v>
                </c:pt>
                <c:pt idx="28">
                  <c:v>-2.2981333293569337</c:v>
                </c:pt>
                <c:pt idx="29">
                  <c:v>-2.4574561328669757</c:v>
                </c:pt>
                <c:pt idx="30">
                  <c:v>-2.5980762113533156</c:v>
                </c:pt>
                <c:pt idx="31">
                  <c:v>-2.7189233611099497</c:v>
                </c:pt>
                <c:pt idx="32">
                  <c:v>-2.8190778623577248</c:v>
                </c:pt>
                <c:pt idx="33">
                  <c:v>-2.897777478867205</c:v>
                </c:pt>
                <c:pt idx="34">
                  <c:v>-2.9544232590366239</c:v>
                </c:pt>
                <c:pt idx="35">
                  <c:v>-2.9885840942752369</c:v>
                </c:pt>
                <c:pt idx="36">
                  <c:v>-3</c:v>
                </c:pt>
                <c:pt idx="37">
                  <c:v>-2.9885840942752369</c:v>
                </c:pt>
                <c:pt idx="38">
                  <c:v>-2.9544232590366244</c:v>
                </c:pt>
                <c:pt idx="39">
                  <c:v>-2.897777478867205</c:v>
                </c:pt>
                <c:pt idx="40">
                  <c:v>-2.8190778623577253</c:v>
                </c:pt>
                <c:pt idx="41">
                  <c:v>-2.718923361109951</c:v>
                </c:pt>
                <c:pt idx="42">
                  <c:v>-2.598076211353316</c:v>
                </c:pt>
                <c:pt idx="43">
                  <c:v>-2.4574561328669762</c:v>
                </c:pt>
                <c:pt idx="44">
                  <c:v>-2.298133329356935</c:v>
                </c:pt>
                <c:pt idx="45">
                  <c:v>-2.1213203435596428</c:v>
                </c:pt>
                <c:pt idx="46">
                  <c:v>-1.9283628290596184</c:v>
                </c:pt>
                <c:pt idx="47">
                  <c:v>-1.7207293090531373</c:v>
                </c:pt>
                <c:pt idx="48">
                  <c:v>-1.5000000000000013</c:v>
                </c:pt>
                <c:pt idx="49">
                  <c:v>-1.2678547852220998</c:v>
                </c:pt>
                <c:pt idx="50">
                  <c:v>-1.0260604299770058</c:v>
                </c:pt>
                <c:pt idx="51">
                  <c:v>-0.77645713530756189</c:v>
                </c:pt>
                <c:pt idx="52">
                  <c:v>-0.52094453300079102</c:v>
                </c:pt>
                <c:pt idx="53">
                  <c:v>-0.26146722824297475</c:v>
                </c:pt>
                <c:pt idx="54">
                  <c:v>-5.51316804708879E-16</c:v>
                </c:pt>
                <c:pt idx="55">
                  <c:v>0.26146722824297364</c:v>
                </c:pt>
                <c:pt idx="56">
                  <c:v>0.52094453300078991</c:v>
                </c:pt>
                <c:pt idx="57">
                  <c:v>0.77645713530756089</c:v>
                </c:pt>
                <c:pt idx="58">
                  <c:v>1.0260604299770071</c:v>
                </c:pt>
                <c:pt idx="59">
                  <c:v>1.2678547852220965</c:v>
                </c:pt>
                <c:pt idx="60">
                  <c:v>1.499999999999998</c:v>
                </c:pt>
                <c:pt idx="61">
                  <c:v>1.7207293090531381</c:v>
                </c:pt>
                <c:pt idx="62">
                  <c:v>1.9283628290596178</c:v>
                </c:pt>
                <c:pt idx="63">
                  <c:v>2.1213203435596419</c:v>
                </c:pt>
                <c:pt idx="64">
                  <c:v>2.2981333293569333</c:v>
                </c:pt>
                <c:pt idx="65">
                  <c:v>2.4574561328669748</c:v>
                </c:pt>
                <c:pt idx="66">
                  <c:v>2.5980762113533165</c:v>
                </c:pt>
                <c:pt idx="67">
                  <c:v>2.7189233611099493</c:v>
                </c:pt>
                <c:pt idx="68">
                  <c:v>2.8190778623577253</c:v>
                </c:pt>
                <c:pt idx="69">
                  <c:v>2.897777478867205</c:v>
                </c:pt>
                <c:pt idx="70">
                  <c:v>2.9544232590366239</c:v>
                </c:pt>
                <c:pt idx="71">
                  <c:v>2.9885840942752369</c:v>
                </c:pt>
                <c:pt idx="7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E4-4672-8A6C-C9EA88426F6D}"/>
            </c:ext>
          </c:extLst>
        </c:ser>
        <c:ser>
          <c:idx val="2"/>
          <c:order val="2"/>
          <c:tx>
            <c:v>2 anni</c:v>
          </c:tx>
          <c:spPr>
            <a:ln w="9525">
              <a:solidFill>
                <a:srgbClr val="BFBFBF"/>
              </a:solidFill>
              <a:prstDash val="solid"/>
            </a:ln>
          </c:spPr>
          <c:marker>
            <c:symbol val="none"/>
          </c:marker>
          <c:dLbls>
            <c:dLbl>
              <c:idx val="2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E4-4672-8A6C-C9EA88426F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595959"/>
                    </a:solidFill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Radar_Mosca!$Z$5:$Z$77</c:f>
              <c:numCache>
                <c:formatCode>General</c:formatCode>
                <c:ptCount val="73"/>
                <c:pt idx="0">
                  <c:v>0</c:v>
                </c:pt>
                <c:pt idx="1">
                  <c:v>0.34862297099063266</c:v>
                </c:pt>
                <c:pt idx="2">
                  <c:v>0.69459271066772132</c:v>
                </c:pt>
                <c:pt idx="3">
                  <c:v>1.035276180410083</c:v>
                </c:pt>
                <c:pt idx="4">
                  <c:v>1.3680805733026749</c:v>
                </c:pt>
                <c:pt idx="5">
                  <c:v>1.6904730469627978</c:v>
                </c:pt>
                <c:pt idx="6">
                  <c:v>1.9999999999999998</c:v>
                </c:pt>
                <c:pt idx="7">
                  <c:v>2.2943057454041842</c:v>
                </c:pt>
                <c:pt idx="8">
                  <c:v>2.571150438746157</c:v>
                </c:pt>
                <c:pt idx="9">
                  <c:v>2.8284271247461898</c:v>
                </c:pt>
                <c:pt idx="10">
                  <c:v>3.0641777724759121</c:v>
                </c:pt>
                <c:pt idx="11">
                  <c:v>3.2766081771559668</c:v>
                </c:pt>
                <c:pt idx="12">
                  <c:v>3.4641016151377544</c:v>
                </c:pt>
                <c:pt idx="13">
                  <c:v>3.6252311481465997</c:v>
                </c:pt>
                <c:pt idx="14">
                  <c:v>3.7587704831436333</c:v>
                </c:pt>
                <c:pt idx="15">
                  <c:v>3.8637033051562728</c:v>
                </c:pt>
                <c:pt idx="16">
                  <c:v>3.9392310120488321</c:v>
                </c:pt>
                <c:pt idx="17">
                  <c:v>3.9847787923669822</c:v>
                </c:pt>
                <c:pt idx="18">
                  <c:v>4</c:v>
                </c:pt>
                <c:pt idx="19">
                  <c:v>3.9847787923669822</c:v>
                </c:pt>
                <c:pt idx="20">
                  <c:v>3.9392310120488321</c:v>
                </c:pt>
                <c:pt idx="21">
                  <c:v>3.8637033051562732</c:v>
                </c:pt>
                <c:pt idx="22">
                  <c:v>3.7587704831436337</c:v>
                </c:pt>
                <c:pt idx="23">
                  <c:v>3.6252311481466002</c:v>
                </c:pt>
                <c:pt idx="24">
                  <c:v>3.4641016151377548</c:v>
                </c:pt>
                <c:pt idx="25">
                  <c:v>3.2766081771559668</c:v>
                </c:pt>
                <c:pt idx="26">
                  <c:v>3.0641777724759121</c:v>
                </c:pt>
                <c:pt idx="27">
                  <c:v>2.8284271247461903</c:v>
                </c:pt>
                <c:pt idx="28">
                  <c:v>2.5711504387461579</c:v>
                </c:pt>
                <c:pt idx="29">
                  <c:v>2.2943057454041837</c:v>
                </c:pt>
                <c:pt idx="30">
                  <c:v>2.0000000000000013</c:v>
                </c:pt>
                <c:pt idx="31">
                  <c:v>1.690473046962798</c:v>
                </c:pt>
                <c:pt idx="32">
                  <c:v>1.3680805733026755</c:v>
                </c:pt>
                <c:pt idx="33">
                  <c:v>1.0352761804100823</c:v>
                </c:pt>
                <c:pt idx="34">
                  <c:v>0.6945927106677211</c:v>
                </c:pt>
                <c:pt idx="35">
                  <c:v>0.34862297099063277</c:v>
                </c:pt>
                <c:pt idx="36">
                  <c:v>4.90059381963448E-16</c:v>
                </c:pt>
                <c:pt idx="37">
                  <c:v>-0.34862297099063178</c:v>
                </c:pt>
                <c:pt idx="38">
                  <c:v>-0.6945927106677201</c:v>
                </c:pt>
                <c:pt idx="39">
                  <c:v>-1.0352761804100814</c:v>
                </c:pt>
                <c:pt idx="40">
                  <c:v>-1.3680805733026746</c:v>
                </c:pt>
                <c:pt idx="41">
                  <c:v>-1.6904730469627955</c:v>
                </c:pt>
                <c:pt idx="42">
                  <c:v>-2.0000000000000004</c:v>
                </c:pt>
                <c:pt idx="43">
                  <c:v>-2.2943057454041833</c:v>
                </c:pt>
                <c:pt idx="44">
                  <c:v>-2.5711504387461557</c:v>
                </c:pt>
                <c:pt idx="45">
                  <c:v>-2.8284271247461898</c:v>
                </c:pt>
                <c:pt idx="46">
                  <c:v>-3.0641777724759116</c:v>
                </c:pt>
                <c:pt idx="47">
                  <c:v>-3.2766081771559685</c:v>
                </c:pt>
                <c:pt idx="48">
                  <c:v>-3.4641016151377535</c:v>
                </c:pt>
                <c:pt idx="49">
                  <c:v>-3.6252311481465989</c:v>
                </c:pt>
                <c:pt idx="50">
                  <c:v>-3.7587704831436337</c:v>
                </c:pt>
                <c:pt idx="51">
                  <c:v>-3.8637033051562732</c:v>
                </c:pt>
                <c:pt idx="52">
                  <c:v>-3.9392310120488321</c:v>
                </c:pt>
                <c:pt idx="53">
                  <c:v>-3.9847787923669822</c:v>
                </c:pt>
                <c:pt idx="54">
                  <c:v>-4</c:v>
                </c:pt>
                <c:pt idx="55">
                  <c:v>-3.9847787923669822</c:v>
                </c:pt>
                <c:pt idx="56">
                  <c:v>-3.9392310120488325</c:v>
                </c:pt>
                <c:pt idx="57">
                  <c:v>-3.8637033051562737</c:v>
                </c:pt>
                <c:pt idx="58">
                  <c:v>-3.7587704831436333</c:v>
                </c:pt>
                <c:pt idx="59">
                  <c:v>-3.6252311481466011</c:v>
                </c:pt>
                <c:pt idx="60">
                  <c:v>-3.4641016151377562</c:v>
                </c:pt>
                <c:pt idx="61">
                  <c:v>-3.2766081771559672</c:v>
                </c:pt>
                <c:pt idx="62">
                  <c:v>-3.0641777724759125</c:v>
                </c:pt>
                <c:pt idx="63">
                  <c:v>-2.8284271247461907</c:v>
                </c:pt>
                <c:pt idx="64">
                  <c:v>-2.5711504387461583</c:v>
                </c:pt>
                <c:pt idx="65">
                  <c:v>-2.294305745404186</c:v>
                </c:pt>
                <c:pt idx="66">
                  <c:v>-1.9999999999999987</c:v>
                </c:pt>
                <c:pt idx="67">
                  <c:v>-1.6904730469628</c:v>
                </c:pt>
                <c:pt idx="68">
                  <c:v>-1.3680805733026744</c:v>
                </c:pt>
                <c:pt idx="69">
                  <c:v>-1.0352761804100827</c:v>
                </c:pt>
                <c:pt idx="70">
                  <c:v>-0.69459271066772155</c:v>
                </c:pt>
                <c:pt idx="71">
                  <c:v>-0.34862297099063327</c:v>
                </c:pt>
                <c:pt idx="72">
                  <c:v>-9.8011876392689601E-16</c:v>
                </c:pt>
              </c:numCache>
            </c:numRef>
          </c:xVal>
          <c:yVal>
            <c:numRef>
              <c:f>Radar_Mosca!$AA$5:$AA$77</c:f>
              <c:numCache>
                <c:formatCode>General</c:formatCode>
                <c:ptCount val="73"/>
                <c:pt idx="0">
                  <c:v>4</c:v>
                </c:pt>
                <c:pt idx="1">
                  <c:v>3.9847787923669822</c:v>
                </c:pt>
                <c:pt idx="2">
                  <c:v>3.9392310120488321</c:v>
                </c:pt>
                <c:pt idx="3">
                  <c:v>3.8637033051562732</c:v>
                </c:pt>
                <c:pt idx="4">
                  <c:v>3.7587704831436337</c:v>
                </c:pt>
                <c:pt idx="5">
                  <c:v>3.6252311481465997</c:v>
                </c:pt>
                <c:pt idx="6">
                  <c:v>3.4641016151377548</c:v>
                </c:pt>
                <c:pt idx="7">
                  <c:v>3.2766081771559672</c:v>
                </c:pt>
                <c:pt idx="8">
                  <c:v>3.0641777724759121</c:v>
                </c:pt>
                <c:pt idx="9">
                  <c:v>2.8284271247461903</c:v>
                </c:pt>
                <c:pt idx="10">
                  <c:v>2.5711504387461575</c:v>
                </c:pt>
                <c:pt idx="11">
                  <c:v>2.2943057454041846</c:v>
                </c:pt>
                <c:pt idx="12">
                  <c:v>2.0000000000000004</c:v>
                </c:pt>
                <c:pt idx="13">
                  <c:v>1.6904730469627978</c:v>
                </c:pt>
                <c:pt idx="14">
                  <c:v>1.3680805733026753</c:v>
                </c:pt>
                <c:pt idx="15">
                  <c:v>1.0352761804100838</c:v>
                </c:pt>
                <c:pt idx="16">
                  <c:v>0.69459271066772166</c:v>
                </c:pt>
                <c:pt idx="17">
                  <c:v>0.34862297099063255</c:v>
                </c:pt>
                <c:pt idx="18">
                  <c:v>2.45029690981724E-16</c:v>
                </c:pt>
                <c:pt idx="19">
                  <c:v>-0.34862297099063205</c:v>
                </c:pt>
                <c:pt idx="20">
                  <c:v>-0.69459271066772121</c:v>
                </c:pt>
                <c:pt idx="21">
                  <c:v>-1.0352761804100834</c:v>
                </c:pt>
                <c:pt idx="22">
                  <c:v>-1.368080573302674</c:v>
                </c:pt>
                <c:pt idx="23">
                  <c:v>-1.6904730469627973</c:v>
                </c:pt>
                <c:pt idx="24">
                  <c:v>-1.9999999999999991</c:v>
                </c:pt>
                <c:pt idx="25">
                  <c:v>-2.2943057454041846</c:v>
                </c:pt>
                <c:pt idx="26">
                  <c:v>-2.5711504387461575</c:v>
                </c:pt>
                <c:pt idx="27">
                  <c:v>-2.8284271247461898</c:v>
                </c:pt>
                <c:pt idx="28">
                  <c:v>-3.0641777724759116</c:v>
                </c:pt>
                <c:pt idx="29">
                  <c:v>-3.2766081771559676</c:v>
                </c:pt>
                <c:pt idx="30">
                  <c:v>-3.4641016151377539</c:v>
                </c:pt>
                <c:pt idx="31">
                  <c:v>-3.6252311481465997</c:v>
                </c:pt>
                <c:pt idx="32">
                  <c:v>-3.7587704831436333</c:v>
                </c:pt>
                <c:pt idx="33">
                  <c:v>-3.8637033051562732</c:v>
                </c:pt>
                <c:pt idx="34">
                  <c:v>-3.9392310120488321</c:v>
                </c:pt>
                <c:pt idx="35">
                  <c:v>-3.9847787923669822</c:v>
                </c:pt>
                <c:pt idx="36">
                  <c:v>-4</c:v>
                </c:pt>
                <c:pt idx="37">
                  <c:v>-3.9847787923669822</c:v>
                </c:pt>
                <c:pt idx="38">
                  <c:v>-3.9392310120488325</c:v>
                </c:pt>
                <c:pt idx="39">
                  <c:v>-3.8637033051562737</c:v>
                </c:pt>
                <c:pt idx="40">
                  <c:v>-3.7587704831436337</c:v>
                </c:pt>
                <c:pt idx="41">
                  <c:v>-3.6252311481466011</c:v>
                </c:pt>
                <c:pt idx="42">
                  <c:v>-3.4641016151377544</c:v>
                </c:pt>
                <c:pt idx="43">
                  <c:v>-3.2766081771559681</c:v>
                </c:pt>
                <c:pt idx="44">
                  <c:v>-3.0641777724759134</c:v>
                </c:pt>
                <c:pt idx="45">
                  <c:v>-2.8284271247461907</c:v>
                </c:pt>
                <c:pt idx="46">
                  <c:v>-2.5711504387461579</c:v>
                </c:pt>
                <c:pt idx="47">
                  <c:v>-2.2943057454041829</c:v>
                </c:pt>
                <c:pt idx="48">
                  <c:v>-2.0000000000000018</c:v>
                </c:pt>
                <c:pt idx="49">
                  <c:v>-1.6904730469627998</c:v>
                </c:pt>
                <c:pt idx="50">
                  <c:v>-1.3680805733026742</c:v>
                </c:pt>
                <c:pt idx="51">
                  <c:v>-1.0352761804100825</c:v>
                </c:pt>
                <c:pt idx="52">
                  <c:v>-0.69459271066772132</c:v>
                </c:pt>
                <c:pt idx="53">
                  <c:v>-0.348622970990633</c:v>
                </c:pt>
                <c:pt idx="54">
                  <c:v>-7.3508907294517201E-16</c:v>
                </c:pt>
                <c:pt idx="55">
                  <c:v>0.34862297099063155</c:v>
                </c:pt>
                <c:pt idx="56">
                  <c:v>0.69459271066771988</c:v>
                </c:pt>
                <c:pt idx="57">
                  <c:v>1.0352761804100812</c:v>
                </c:pt>
                <c:pt idx="58">
                  <c:v>1.368080573302676</c:v>
                </c:pt>
                <c:pt idx="59">
                  <c:v>1.6904730469627953</c:v>
                </c:pt>
                <c:pt idx="60">
                  <c:v>1.9999999999999973</c:v>
                </c:pt>
                <c:pt idx="61">
                  <c:v>2.2943057454041842</c:v>
                </c:pt>
                <c:pt idx="62">
                  <c:v>2.571150438746157</c:v>
                </c:pt>
                <c:pt idx="63">
                  <c:v>2.8284271247461894</c:v>
                </c:pt>
                <c:pt idx="64">
                  <c:v>3.0641777724759112</c:v>
                </c:pt>
                <c:pt idx="65">
                  <c:v>3.2766081771559663</c:v>
                </c:pt>
                <c:pt idx="66">
                  <c:v>3.4641016151377553</c:v>
                </c:pt>
                <c:pt idx="67">
                  <c:v>3.6252311481465989</c:v>
                </c:pt>
                <c:pt idx="68">
                  <c:v>3.7587704831436337</c:v>
                </c:pt>
                <c:pt idx="69">
                  <c:v>3.8637033051562732</c:v>
                </c:pt>
                <c:pt idx="70">
                  <c:v>3.9392310120488321</c:v>
                </c:pt>
                <c:pt idx="71">
                  <c:v>3.9847787923669822</c:v>
                </c:pt>
                <c:pt idx="72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E4-4672-8A6C-C9EA88426F6D}"/>
            </c:ext>
          </c:extLst>
        </c:ser>
        <c:ser>
          <c:idx val="3"/>
          <c:order val="3"/>
          <c:tx>
            <c:v>3 anni</c:v>
          </c:tx>
          <c:spPr>
            <a:ln w="9525">
              <a:solidFill>
                <a:srgbClr val="BFBFBF"/>
              </a:solidFill>
              <a:prstDash val="solid"/>
            </a:ln>
          </c:spPr>
          <c:marker>
            <c:symbol val="none"/>
          </c:marker>
          <c:dLbls>
            <c:dLbl>
              <c:idx val="2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595959"/>
                      </a:solidFill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E4-4672-8A6C-C9EA88426F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595959"/>
                    </a:solidFill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Radar_Mosca!$AB$5:$AB$77</c:f>
              <c:numCache>
                <c:formatCode>General</c:formatCode>
                <c:ptCount val="73"/>
                <c:pt idx="0">
                  <c:v>0</c:v>
                </c:pt>
                <c:pt idx="1">
                  <c:v>0.4357787137382908</c:v>
                </c:pt>
                <c:pt idx="2">
                  <c:v>0.86824088833465163</c:v>
                </c:pt>
                <c:pt idx="3">
                  <c:v>1.2940952255126037</c:v>
                </c:pt>
                <c:pt idx="4">
                  <c:v>1.7101007166283435</c:v>
                </c:pt>
                <c:pt idx="5">
                  <c:v>2.1130913087034973</c:v>
                </c:pt>
                <c:pt idx="6">
                  <c:v>2.4999999999999996</c:v>
                </c:pt>
                <c:pt idx="7">
                  <c:v>2.8678821817552302</c:v>
                </c:pt>
                <c:pt idx="8">
                  <c:v>3.2139380484326963</c:v>
                </c:pt>
                <c:pt idx="9">
                  <c:v>3.5355339059327373</c:v>
                </c:pt>
                <c:pt idx="10">
                  <c:v>3.83022221559489</c:v>
                </c:pt>
                <c:pt idx="11">
                  <c:v>4.0957602214449587</c:v>
                </c:pt>
                <c:pt idx="12">
                  <c:v>4.3301270189221928</c:v>
                </c:pt>
                <c:pt idx="13">
                  <c:v>4.5315389351832494</c:v>
                </c:pt>
                <c:pt idx="14">
                  <c:v>4.6984631039295417</c:v>
                </c:pt>
                <c:pt idx="15">
                  <c:v>4.8296291314453406</c:v>
                </c:pt>
                <c:pt idx="16">
                  <c:v>4.9240387650610398</c:v>
                </c:pt>
                <c:pt idx="17">
                  <c:v>4.9809734904587275</c:v>
                </c:pt>
                <c:pt idx="18">
                  <c:v>5</c:v>
                </c:pt>
                <c:pt idx="19">
                  <c:v>4.9809734904587275</c:v>
                </c:pt>
                <c:pt idx="20">
                  <c:v>4.9240387650610398</c:v>
                </c:pt>
                <c:pt idx="21">
                  <c:v>4.8296291314453415</c:v>
                </c:pt>
                <c:pt idx="22">
                  <c:v>4.6984631039295426</c:v>
                </c:pt>
                <c:pt idx="23">
                  <c:v>4.5315389351832502</c:v>
                </c:pt>
                <c:pt idx="24">
                  <c:v>4.3301270189221936</c:v>
                </c:pt>
                <c:pt idx="25">
                  <c:v>4.0957602214449587</c:v>
                </c:pt>
                <c:pt idx="26">
                  <c:v>3.83022221559489</c:v>
                </c:pt>
                <c:pt idx="27">
                  <c:v>3.5355339059327378</c:v>
                </c:pt>
                <c:pt idx="28">
                  <c:v>3.2139380484326976</c:v>
                </c:pt>
                <c:pt idx="29">
                  <c:v>2.8678821817552298</c:v>
                </c:pt>
                <c:pt idx="30">
                  <c:v>2.5000000000000018</c:v>
                </c:pt>
                <c:pt idx="31">
                  <c:v>2.1130913087034973</c:v>
                </c:pt>
                <c:pt idx="32">
                  <c:v>1.7101007166283444</c:v>
                </c:pt>
                <c:pt idx="33">
                  <c:v>1.2940952255126028</c:v>
                </c:pt>
                <c:pt idx="34">
                  <c:v>0.86824088833465141</c:v>
                </c:pt>
                <c:pt idx="35">
                  <c:v>0.43577871373829097</c:v>
                </c:pt>
                <c:pt idx="36">
                  <c:v>6.1257422745431001E-16</c:v>
                </c:pt>
                <c:pt idx="37">
                  <c:v>-0.43577871373828969</c:v>
                </c:pt>
                <c:pt idx="38">
                  <c:v>-0.86824088833465018</c:v>
                </c:pt>
                <c:pt idx="39">
                  <c:v>-1.2940952255126017</c:v>
                </c:pt>
                <c:pt idx="40">
                  <c:v>-1.7101007166283433</c:v>
                </c:pt>
                <c:pt idx="41">
                  <c:v>-2.1130913087034946</c:v>
                </c:pt>
                <c:pt idx="42">
                  <c:v>-2.5000000000000004</c:v>
                </c:pt>
                <c:pt idx="43">
                  <c:v>-2.8678821817552294</c:v>
                </c:pt>
                <c:pt idx="44">
                  <c:v>-3.2139380484326945</c:v>
                </c:pt>
                <c:pt idx="45">
                  <c:v>-3.5355339059327373</c:v>
                </c:pt>
                <c:pt idx="46">
                  <c:v>-3.8302222155948895</c:v>
                </c:pt>
                <c:pt idx="47">
                  <c:v>-4.0957602214449604</c:v>
                </c:pt>
                <c:pt idx="48">
                  <c:v>-4.3301270189221919</c:v>
                </c:pt>
                <c:pt idx="49">
                  <c:v>-4.5315389351832485</c:v>
                </c:pt>
                <c:pt idx="50">
                  <c:v>-4.6984631039295426</c:v>
                </c:pt>
                <c:pt idx="51">
                  <c:v>-4.8296291314453415</c:v>
                </c:pt>
                <c:pt idx="52">
                  <c:v>-4.9240387650610398</c:v>
                </c:pt>
                <c:pt idx="53">
                  <c:v>-4.9809734904587275</c:v>
                </c:pt>
                <c:pt idx="54">
                  <c:v>-5</c:v>
                </c:pt>
                <c:pt idx="55">
                  <c:v>-4.9809734904587275</c:v>
                </c:pt>
                <c:pt idx="56">
                  <c:v>-4.9240387650610407</c:v>
                </c:pt>
                <c:pt idx="57">
                  <c:v>-4.8296291314453423</c:v>
                </c:pt>
                <c:pt idx="58">
                  <c:v>-4.6984631039295417</c:v>
                </c:pt>
                <c:pt idx="59">
                  <c:v>-4.5315389351832511</c:v>
                </c:pt>
                <c:pt idx="60">
                  <c:v>-4.3301270189221954</c:v>
                </c:pt>
                <c:pt idx="61">
                  <c:v>-4.0957602214449587</c:v>
                </c:pt>
                <c:pt idx="62">
                  <c:v>-3.8302222155948904</c:v>
                </c:pt>
                <c:pt idx="63">
                  <c:v>-3.5355339059327386</c:v>
                </c:pt>
                <c:pt idx="64">
                  <c:v>-3.213938048432698</c:v>
                </c:pt>
                <c:pt idx="65">
                  <c:v>-2.8678821817552325</c:v>
                </c:pt>
                <c:pt idx="66">
                  <c:v>-2.4999999999999982</c:v>
                </c:pt>
                <c:pt idx="67">
                  <c:v>-2.1130913087034999</c:v>
                </c:pt>
                <c:pt idx="68">
                  <c:v>-1.7101007166283431</c:v>
                </c:pt>
                <c:pt idx="69">
                  <c:v>-1.2940952255126035</c:v>
                </c:pt>
                <c:pt idx="70">
                  <c:v>-0.86824088833465196</c:v>
                </c:pt>
                <c:pt idx="71">
                  <c:v>-0.43577871373829158</c:v>
                </c:pt>
                <c:pt idx="72">
                  <c:v>-1.22514845490862E-15</c:v>
                </c:pt>
              </c:numCache>
            </c:numRef>
          </c:xVal>
          <c:yVal>
            <c:numRef>
              <c:f>Radar_Mosca!$AC$5:$AC$77</c:f>
              <c:numCache>
                <c:formatCode>General</c:formatCode>
                <c:ptCount val="73"/>
                <c:pt idx="0">
                  <c:v>5</c:v>
                </c:pt>
                <c:pt idx="1">
                  <c:v>4.9809734904587275</c:v>
                </c:pt>
                <c:pt idx="2">
                  <c:v>4.9240387650610398</c:v>
                </c:pt>
                <c:pt idx="3">
                  <c:v>4.8296291314453415</c:v>
                </c:pt>
                <c:pt idx="4">
                  <c:v>4.6984631039295426</c:v>
                </c:pt>
                <c:pt idx="5">
                  <c:v>4.5315389351832494</c:v>
                </c:pt>
                <c:pt idx="6">
                  <c:v>4.3301270189221936</c:v>
                </c:pt>
                <c:pt idx="7">
                  <c:v>4.0957602214449587</c:v>
                </c:pt>
                <c:pt idx="8">
                  <c:v>3.83022221559489</c:v>
                </c:pt>
                <c:pt idx="9">
                  <c:v>3.5355339059327378</c:v>
                </c:pt>
                <c:pt idx="10">
                  <c:v>3.2139380484326967</c:v>
                </c:pt>
                <c:pt idx="11">
                  <c:v>2.8678821817552307</c:v>
                </c:pt>
                <c:pt idx="12">
                  <c:v>2.5000000000000004</c:v>
                </c:pt>
                <c:pt idx="13">
                  <c:v>2.1130913087034973</c:v>
                </c:pt>
                <c:pt idx="14">
                  <c:v>1.7101007166283442</c:v>
                </c:pt>
                <c:pt idx="15">
                  <c:v>1.2940952255126048</c:v>
                </c:pt>
                <c:pt idx="16">
                  <c:v>0.86824088833465207</c:v>
                </c:pt>
                <c:pt idx="17">
                  <c:v>0.43577871373829069</c:v>
                </c:pt>
                <c:pt idx="18">
                  <c:v>3.06287113727155E-16</c:v>
                </c:pt>
                <c:pt idx="19">
                  <c:v>-0.43577871373829008</c:v>
                </c:pt>
                <c:pt idx="20">
                  <c:v>-0.86824088833465152</c:v>
                </c:pt>
                <c:pt idx="21">
                  <c:v>-1.2940952255126041</c:v>
                </c:pt>
                <c:pt idx="22">
                  <c:v>-1.7101007166283424</c:v>
                </c:pt>
                <c:pt idx="23">
                  <c:v>-2.1130913087034968</c:v>
                </c:pt>
                <c:pt idx="24">
                  <c:v>-2.4999999999999991</c:v>
                </c:pt>
                <c:pt idx="25">
                  <c:v>-2.8678821817552307</c:v>
                </c:pt>
                <c:pt idx="26">
                  <c:v>-3.2139380484326967</c:v>
                </c:pt>
                <c:pt idx="27">
                  <c:v>-3.5355339059327373</c:v>
                </c:pt>
                <c:pt idx="28">
                  <c:v>-3.8302222155948895</c:v>
                </c:pt>
                <c:pt idx="29">
                  <c:v>-4.0957602214449595</c:v>
                </c:pt>
                <c:pt idx="30">
                  <c:v>-4.3301270189221928</c:v>
                </c:pt>
                <c:pt idx="31">
                  <c:v>-4.5315389351832494</c:v>
                </c:pt>
                <c:pt idx="32">
                  <c:v>-4.6984631039295417</c:v>
                </c:pt>
                <c:pt idx="33">
                  <c:v>-4.8296291314453415</c:v>
                </c:pt>
                <c:pt idx="34">
                  <c:v>-4.9240387650610398</c:v>
                </c:pt>
                <c:pt idx="35">
                  <c:v>-4.9809734904587275</c:v>
                </c:pt>
                <c:pt idx="36">
                  <c:v>-5</c:v>
                </c:pt>
                <c:pt idx="37">
                  <c:v>-4.9809734904587275</c:v>
                </c:pt>
                <c:pt idx="38">
                  <c:v>-4.9240387650610407</c:v>
                </c:pt>
                <c:pt idx="39">
                  <c:v>-4.8296291314453423</c:v>
                </c:pt>
                <c:pt idx="40">
                  <c:v>-4.6984631039295426</c:v>
                </c:pt>
                <c:pt idx="41">
                  <c:v>-4.5315389351832511</c:v>
                </c:pt>
                <c:pt idx="42">
                  <c:v>-4.3301270189221928</c:v>
                </c:pt>
                <c:pt idx="43">
                  <c:v>-4.0957602214449604</c:v>
                </c:pt>
                <c:pt idx="44">
                  <c:v>-3.8302222155948917</c:v>
                </c:pt>
                <c:pt idx="45">
                  <c:v>-3.5355339059327386</c:v>
                </c:pt>
                <c:pt idx="46">
                  <c:v>-3.2139380484326976</c:v>
                </c:pt>
                <c:pt idx="47">
                  <c:v>-2.8678821817552285</c:v>
                </c:pt>
                <c:pt idx="48">
                  <c:v>-2.5000000000000022</c:v>
                </c:pt>
                <c:pt idx="49">
                  <c:v>-2.1130913087034999</c:v>
                </c:pt>
                <c:pt idx="50">
                  <c:v>-1.7101007166283426</c:v>
                </c:pt>
                <c:pt idx="51">
                  <c:v>-1.2940952255126033</c:v>
                </c:pt>
                <c:pt idx="52">
                  <c:v>-0.86824088833465163</c:v>
                </c:pt>
                <c:pt idx="53">
                  <c:v>-0.43577871373829125</c:v>
                </c:pt>
                <c:pt idx="54">
                  <c:v>-9.1886134118146501E-16</c:v>
                </c:pt>
                <c:pt idx="55">
                  <c:v>0.43577871373828947</c:v>
                </c:pt>
                <c:pt idx="56">
                  <c:v>0.86824088833464985</c:v>
                </c:pt>
                <c:pt idx="57">
                  <c:v>1.2940952255126015</c:v>
                </c:pt>
                <c:pt idx="58">
                  <c:v>1.7101007166283448</c:v>
                </c:pt>
                <c:pt idx="59">
                  <c:v>2.1130913087034942</c:v>
                </c:pt>
                <c:pt idx="60">
                  <c:v>2.4999999999999964</c:v>
                </c:pt>
                <c:pt idx="61">
                  <c:v>2.8678821817552302</c:v>
                </c:pt>
                <c:pt idx="62">
                  <c:v>3.2139380484326963</c:v>
                </c:pt>
                <c:pt idx="63">
                  <c:v>3.5355339059327369</c:v>
                </c:pt>
                <c:pt idx="64">
                  <c:v>3.8302222155948891</c:v>
                </c:pt>
                <c:pt idx="65">
                  <c:v>4.0957602214449578</c:v>
                </c:pt>
                <c:pt idx="66">
                  <c:v>4.3301270189221945</c:v>
                </c:pt>
                <c:pt idx="67">
                  <c:v>4.5315389351832485</c:v>
                </c:pt>
                <c:pt idx="68">
                  <c:v>4.6984631039295426</c:v>
                </c:pt>
                <c:pt idx="69">
                  <c:v>4.8296291314453415</c:v>
                </c:pt>
                <c:pt idx="70">
                  <c:v>4.9240387650610398</c:v>
                </c:pt>
                <c:pt idx="71">
                  <c:v>4.9809734904587275</c:v>
                </c:pt>
                <c:pt idx="72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E4-4672-8A6C-C9EA88426F6D}"/>
            </c:ext>
          </c:extLst>
        </c:ser>
        <c:ser>
          <c:idx val="4"/>
          <c:order val="4"/>
          <c:tx>
            <c:v>Settore 1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Radar_Mosca!$AE$5:$AE$6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Radar_Mosca!$AF$5:$AF$6</c:f>
              <c:numCache>
                <c:formatCode>General</c:formatCode>
                <c:ptCount val="2"/>
                <c:pt idx="0">
                  <c:v>0</c:v>
                </c:pt>
                <c:pt idx="1">
                  <c:v>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E4-4672-8A6C-C9EA88426F6D}"/>
            </c:ext>
          </c:extLst>
        </c:ser>
        <c:ser>
          <c:idx val="5"/>
          <c:order val="5"/>
          <c:tx>
            <c:v>Settore 2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Radar_Mosca!$AE$7:$AE$8</c:f>
              <c:numCache>
                <c:formatCode>General</c:formatCode>
                <c:ptCount val="2"/>
                <c:pt idx="0">
                  <c:v>0</c:v>
                </c:pt>
                <c:pt idx="1">
                  <c:v>4.9255383395485879</c:v>
                </c:pt>
              </c:numCache>
            </c:numRef>
          </c:xVal>
          <c:yVal>
            <c:numRef>
              <c:f>Radar_Mosca!$AF$7:$AF$8</c:f>
              <c:numCache>
                <c:formatCode>General</c:formatCode>
                <c:ptCount val="2"/>
                <c:pt idx="0">
                  <c:v>0</c:v>
                </c:pt>
                <c:pt idx="1">
                  <c:v>3.9279857517100214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E4-4672-8A6C-C9EA88426F6D}"/>
            </c:ext>
          </c:extLst>
        </c:ser>
        <c:ser>
          <c:idx val="6"/>
          <c:order val="6"/>
          <c:tx>
            <c:v>Settore 3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Radar_Mosca!$AE$9:$AE$10</c:f>
              <c:numCache>
                <c:formatCode>General</c:formatCode>
                <c:ptCount val="2"/>
                <c:pt idx="0">
                  <c:v>0</c:v>
                </c:pt>
                <c:pt idx="1">
                  <c:v>6.1420458467454884</c:v>
                </c:pt>
              </c:numCache>
            </c:numRef>
          </c:xVal>
          <c:yVal>
            <c:numRef>
              <c:f>Radar_Mosca!$AF$9:$AF$10</c:f>
              <c:numCache>
                <c:formatCode>General</c:formatCode>
                <c:ptCount val="2"/>
                <c:pt idx="0">
                  <c:v>0</c:v>
                </c:pt>
                <c:pt idx="1">
                  <c:v>-1.4018818839247802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FE4-4672-8A6C-C9EA88426F6D}"/>
            </c:ext>
          </c:extLst>
        </c:ser>
        <c:ser>
          <c:idx val="7"/>
          <c:order val="7"/>
          <c:tx>
            <c:v>Settore 4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Radar_Mosca!$AE$11:$AE$12</c:f>
              <c:numCache>
                <c:formatCode>General</c:formatCode>
                <c:ptCount val="2"/>
                <c:pt idx="0">
                  <c:v>0</c:v>
                </c:pt>
                <c:pt idx="1">
                  <c:v>2.7334675564406168</c:v>
                </c:pt>
              </c:numCache>
            </c:numRef>
          </c:xVal>
          <c:yVal>
            <c:numRef>
              <c:f>Radar_Mosca!$AF$11:$AF$12</c:f>
              <c:numCache>
                <c:formatCode>General</c:formatCode>
                <c:ptCount val="2"/>
                <c:pt idx="0">
                  <c:v>0</c:v>
                </c:pt>
                <c:pt idx="1">
                  <c:v>-5.6761038677852396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FE4-4672-8A6C-C9EA88426F6D}"/>
            </c:ext>
          </c:extLst>
        </c:ser>
        <c:ser>
          <c:idx val="8"/>
          <c:order val="8"/>
          <c:tx>
            <c:v>Settore 5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Radar_Mosca!$AE$13:$AE$14</c:f>
              <c:numCache>
                <c:formatCode>General</c:formatCode>
                <c:ptCount val="2"/>
                <c:pt idx="0">
                  <c:v>0</c:v>
                </c:pt>
                <c:pt idx="1">
                  <c:v>-2.7334675564406155</c:v>
                </c:pt>
              </c:numCache>
            </c:numRef>
          </c:xVal>
          <c:yVal>
            <c:numRef>
              <c:f>Radar_Mosca!$AF$13:$AF$14</c:f>
              <c:numCache>
                <c:formatCode>General</c:formatCode>
                <c:ptCount val="2"/>
                <c:pt idx="0">
                  <c:v>0</c:v>
                </c:pt>
                <c:pt idx="1">
                  <c:v>-5.6761038677852405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FE4-4672-8A6C-C9EA88426F6D}"/>
            </c:ext>
          </c:extLst>
        </c:ser>
        <c:ser>
          <c:idx val="9"/>
          <c:order val="9"/>
          <c:tx>
            <c:v>Settore 6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Radar_Mosca!$AE$15:$AE$16</c:f>
              <c:numCache>
                <c:formatCode>General</c:formatCode>
                <c:ptCount val="2"/>
                <c:pt idx="0">
                  <c:v>0</c:v>
                </c:pt>
                <c:pt idx="1">
                  <c:v>-6.1420458467454884</c:v>
                </c:pt>
              </c:numCache>
            </c:numRef>
          </c:xVal>
          <c:yVal>
            <c:numRef>
              <c:f>Radar_Mosca!$AF$15:$AF$16</c:f>
              <c:numCache>
                <c:formatCode>General</c:formatCode>
                <c:ptCount val="2"/>
                <c:pt idx="0">
                  <c:v>0</c:v>
                </c:pt>
                <c:pt idx="1">
                  <c:v>-1.401881883924782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FE4-4672-8A6C-C9EA88426F6D}"/>
            </c:ext>
          </c:extLst>
        </c:ser>
        <c:ser>
          <c:idx val="10"/>
          <c:order val="10"/>
          <c:tx>
            <c:v>Settore 7</c:v>
          </c:tx>
          <c:spPr>
            <a:ln w="9525">
              <a:solidFill>
                <a:srgbClr val="E7E6E6"/>
              </a:solidFill>
              <a:prstDash val="solid"/>
            </a:ln>
          </c:spPr>
          <c:marker>
            <c:symbol val="none"/>
          </c:marker>
          <c:xVal>
            <c:numRef>
              <c:f>Radar_Mosca!$AE$17:$AE$18</c:f>
              <c:numCache>
                <c:formatCode>General</c:formatCode>
                <c:ptCount val="2"/>
                <c:pt idx="0">
                  <c:v>0</c:v>
                </c:pt>
                <c:pt idx="1">
                  <c:v>-4.9255383395485879</c:v>
                </c:pt>
              </c:numCache>
            </c:numRef>
          </c:xVal>
          <c:yVal>
            <c:numRef>
              <c:f>Radar_Mosca!$AF$17:$AF$18</c:f>
              <c:numCache>
                <c:formatCode>General</c:formatCode>
                <c:ptCount val="2"/>
                <c:pt idx="0">
                  <c:v>0</c:v>
                </c:pt>
                <c:pt idx="1">
                  <c:v>3.9279857517100201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FE4-4672-8A6C-C9EA88426F6D}"/>
            </c:ext>
          </c:extLst>
        </c:ser>
        <c:ser>
          <c:idx val="11"/>
          <c:order val="11"/>
          <c:tx>
            <c:strRef>
              <c:f>Radar_Mosca!$AH$5</c:f>
              <c:strCache>
                <c:ptCount val="1"/>
                <c:pt idx="0">
                  <c:v>L1-01
Frode interna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Radar_Mosca!$AI$5</c:f>
              <c:numCache>
                <c:formatCode>General</c:formatCode>
                <c:ptCount val="1"/>
                <c:pt idx="0">
                  <c:v>3.0154919868670289</c:v>
                </c:pt>
              </c:numCache>
            </c:numRef>
          </c:xVal>
          <c:yVal>
            <c:numRef>
              <c:f>Radar_Mosca!$AJ$5</c:f>
              <c:numCache>
                <c:formatCode>General</c:formatCode>
                <c:ptCount val="1"/>
                <c:pt idx="0">
                  <c:v>6.2617336319218131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FE4-4672-8A6C-C9EA88426F6D}"/>
            </c:ext>
          </c:extLst>
        </c:ser>
        <c:ser>
          <c:idx val="12"/>
          <c:order val="12"/>
          <c:tx>
            <c:strRef>
              <c:f>Radar_Mosca!$AH$6</c:f>
              <c:strCache>
                <c:ptCount val="1"/>
                <c:pt idx="0">
                  <c:v>L1-02
Frode esterna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Radar_Mosca!$AI$6</c:f>
              <c:numCache>
                <c:formatCode>General</c:formatCode>
                <c:ptCount val="1"/>
                <c:pt idx="0">
                  <c:v>6.7757489896636747</c:v>
                </c:pt>
              </c:numCache>
            </c:numRef>
          </c:xVal>
          <c:yVal>
            <c:numRef>
              <c:f>Radar_Mosca!$AJ$6</c:f>
              <c:numCache>
                <c:formatCode>General</c:formatCode>
                <c:ptCount val="1"/>
                <c:pt idx="0">
                  <c:v>1.5465204909963854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FE4-4672-8A6C-C9EA88426F6D}"/>
            </c:ext>
          </c:extLst>
        </c:ser>
        <c:ser>
          <c:idx val="13"/>
          <c:order val="13"/>
          <c:tx>
            <c:strRef>
              <c:f>Radar_Mosca!$AH$7</c:f>
              <c:strCache>
                <c:ptCount val="1"/>
                <c:pt idx="0">
                  <c:v>L1-03
Impiego e sicurezza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Radar_Mosca!$AI$7</c:f>
              <c:numCache>
                <c:formatCode>General</c:formatCode>
                <c:ptCount val="1"/>
                <c:pt idx="0">
                  <c:v>5.4337288031528077</c:v>
                </c:pt>
              </c:numCache>
            </c:numRef>
          </c:xVal>
          <c:yVal>
            <c:numRef>
              <c:f>Radar_Mosca!$AJ$7</c:f>
              <c:numCache>
                <c:formatCode>General</c:formatCode>
                <c:ptCount val="1"/>
                <c:pt idx="0">
                  <c:v>-4.3332541229181976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FE4-4672-8A6C-C9EA88426F6D}"/>
            </c:ext>
          </c:extLst>
        </c:ser>
        <c:ser>
          <c:idx val="14"/>
          <c:order val="14"/>
          <c:tx>
            <c:strRef>
              <c:f>Radar_Mosca!$AH$8</c:f>
              <c:strCache>
                <c:ptCount val="1"/>
                <c:pt idx="0">
                  <c:v>L1-04
Clientela e prodotti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Radar_Mosca!$AI$8</c:f>
              <c:numCache>
                <c:formatCode>General</c:formatCode>
                <c:ptCount val="1"/>
                <c:pt idx="0">
                  <c:v>8.5147817616149091E-16</c:v>
                </c:pt>
              </c:numCache>
            </c:numRef>
          </c:xVal>
          <c:yVal>
            <c:numRef>
              <c:f>Radar_Mosca!$AJ$8</c:f>
              <c:numCache>
                <c:formatCode>General</c:formatCode>
                <c:ptCount val="1"/>
                <c:pt idx="0">
                  <c:v>-6.95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FE4-4672-8A6C-C9EA88426F6D}"/>
            </c:ext>
          </c:extLst>
        </c:ser>
        <c:ser>
          <c:idx val="15"/>
          <c:order val="15"/>
          <c:tx>
            <c:strRef>
              <c:f>Radar_Mosca!$AH$9</c:f>
              <c:strCache>
                <c:ptCount val="1"/>
                <c:pt idx="0">
                  <c:v>L1-05
Danni a beni materiali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Radar_Mosca!$AI$9</c:f>
              <c:numCache>
                <c:formatCode>General</c:formatCode>
                <c:ptCount val="1"/>
                <c:pt idx="0">
                  <c:v>-5.4337288031528068</c:v>
                </c:pt>
              </c:numCache>
            </c:numRef>
          </c:xVal>
          <c:yVal>
            <c:numRef>
              <c:f>Radar_Mosca!$AJ$9</c:f>
              <c:numCache>
                <c:formatCode>General</c:formatCode>
                <c:ptCount val="1"/>
                <c:pt idx="0">
                  <c:v>-4.3332541229181993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FE4-4672-8A6C-C9EA88426F6D}"/>
            </c:ext>
          </c:extLst>
        </c:ser>
        <c:ser>
          <c:idx val="16"/>
          <c:order val="16"/>
          <c:tx>
            <c:strRef>
              <c:f>Radar_Mosca!$AH$10</c:f>
              <c:strCache>
                <c:ptCount val="1"/>
                <c:pt idx="0">
                  <c:v>L1-06
Interruzione e sistemi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Radar_Mosca!$AI$10</c:f>
              <c:numCache>
                <c:formatCode>General</c:formatCode>
                <c:ptCount val="1"/>
                <c:pt idx="0">
                  <c:v>-6.7757489896636756</c:v>
                </c:pt>
              </c:numCache>
            </c:numRef>
          </c:xVal>
          <c:yVal>
            <c:numRef>
              <c:f>Radar_Mosca!$AJ$10</c:f>
              <c:numCache>
                <c:formatCode>General</c:formatCode>
                <c:ptCount val="1"/>
                <c:pt idx="0">
                  <c:v>1.5465204909963777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8FE4-4672-8A6C-C9EA88426F6D}"/>
            </c:ext>
          </c:extLst>
        </c:ser>
        <c:ser>
          <c:idx val="17"/>
          <c:order val="17"/>
          <c:tx>
            <c:strRef>
              <c:f>Radar_Mosca!$AH$11</c:f>
              <c:strCache>
                <c:ptCount val="1"/>
                <c:pt idx="0">
                  <c:v>L1-07
Processi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Radar_Mosca!$AI$11</c:f>
              <c:numCache>
                <c:formatCode>General</c:formatCode>
                <c:ptCount val="1"/>
                <c:pt idx="0">
                  <c:v>-3.0154919868670249</c:v>
                </c:pt>
              </c:numCache>
            </c:numRef>
          </c:xVal>
          <c:yVal>
            <c:numRef>
              <c:f>Radar_Mosca!$AJ$11</c:f>
              <c:numCache>
                <c:formatCode>General</c:formatCode>
                <c:ptCount val="1"/>
                <c:pt idx="0">
                  <c:v>6.2617336319218149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8FE4-4672-8A6C-C9EA88426F6D}"/>
            </c:ext>
          </c:extLst>
        </c:ser>
        <c:ser>
          <c:idx val="18"/>
          <c:order val="18"/>
          <c:tx>
            <c:v>P x I = 1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Radar_Mosca!$AL$5:$AL$19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8FE4-4672-8A6C-C9EA88426F6D}"/>
            </c:ext>
          </c:extLst>
        </c:ser>
        <c:ser>
          <c:idx val="19"/>
          <c:order val="19"/>
          <c:tx>
            <c:v>P x I = 2</c:v>
          </c:tx>
          <c:spPr>
            <a:ln>
              <a:noFill/>
              <a:prstDash val="solid"/>
            </a:ln>
          </c:spPr>
          <c:marker>
            <c:symbol val="circle"/>
            <c:size val="14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Radar_Mosca!$AM$5:$AM$19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8FE4-4672-8A6C-C9EA88426F6D}"/>
            </c:ext>
          </c:extLst>
        </c:ser>
        <c:ser>
          <c:idx val="20"/>
          <c:order val="20"/>
          <c:tx>
            <c:v>P x I = 3</c:v>
          </c:tx>
          <c:spPr>
            <a:ln>
              <a:noFill/>
              <a:prstDash val="solid"/>
            </a:ln>
          </c:spPr>
          <c:marker>
            <c:symbol val="circle"/>
            <c:size val="17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Radar_Mosca!$AN$5:$AN$19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8FE4-4672-8A6C-C9EA88426F6D}"/>
            </c:ext>
          </c:extLst>
        </c:ser>
        <c:ser>
          <c:idx val="21"/>
          <c:order val="21"/>
          <c:tx>
            <c:v>P x I = 4</c:v>
          </c:tx>
          <c:spPr>
            <a:ln>
              <a:noFill/>
              <a:prstDash val="solid"/>
            </a:ln>
          </c:spPr>
          <c:marker>
            <c:symbol val="circle"/>
            <c:size val="2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Radar_Mosca!$AO$5:$AO$19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8FE4-4672-8A6C-C9EA88426F6D}"/>
            </c:ext>
          </c:extLst>
        </c:ser>
        <c:ser>
          <c:idx val="22"/>
          <c:order val="22"/>
          <c:tx>
            <c:v>P x I = 5</c:v>
          </c:tx>
          <c:spPr>
            <a:ln>
              <a:noFill/>
              <a:prstDash val="solid"/>
            </a:ln>
          </c:spPr>
          <c:marker>
            <c:symbol val="circle"/>
            <c:size val="22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Radar_Mosca!$AP$5:$AP$19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8FE4-4672-8A6C-C9EA88426F6D}"/>
            </c:ext>
          </c:extLst>
        </c:ser>
        <c:ser>
          <c:idx val="23"/>
          <c:order val="23"/>
          <c:tx>
            <c:v>P x I = 6</c:v>
          </c:tx>
          <c:spPr>
            <a:ln>
              <a:noFill/>
              <a:prstDash val="solid"/>
            </a:ln>
          </c:spPr>
          <c:marker>
            <c:symbol val="circle"/>
            <c:size val="24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Radar_Mosca!$AQ$5:$AQ$19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1.759120835553067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8FE4-4672-8A6C-C9EA88426F6D}"/>
            </c:ext>
          </c:extLst>
        </c:ser>
        <c:ser>
          <c:idx val="24"/>
          <c:order val="24"/>
          <c:tx>
            <c:v>P x I = 8</c:v>
          </c:tx>
          <c:spPr>
            <a:ln>
              <a:noFill/>
              <a:prstDash val="solid"/>
            </a:ln>
          </c:spPr>
          <c:marker>
            <c:symbol val="circle"/>
            <c:size val="28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Radar_Mosca!$AR$5:$AR$19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8FE4-4672-8A6C-C9EA88426F6D}"/>
            </c:ext>
          </c:extLst>
        </c:ser>
        <c:ser>
          <c:idx val="25"/>
          <c:order val="25"/>
          <c:tx>
            <c:v>P x I = 9</c:v>
          </c:tx>
          <c:spPr>
            <a:ln>
              <a:noFill/>
              <a:prstDash val="solid"/>
            </a:ln>
          </c:spPr>
          <c:marker>
            <c:symbol val="circle"/>
            <c:size val="3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Radar_Mosca!$AS$5:$AS$19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-1.9111456115722811</c:v>
                </c:pt>
                <c:pt idx="3">
                  <c:v>-1.7145969551115177</c:v>
                </c:pt>
                <c:pt idx="4">
                  <c:v>2.3454944474040893</c:v>
                </c:pt>
                <c:pt idx="5">
                  <c:v>2.6810517585000149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-2.8667184173584221</c:v>
                </c:pt>
                <c:pt idx="10">
                  <c:v>0.30000000000000004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8FE4-4672-8A6C-C9EA88426F6D}"/>
            </c:ext>
          </c:extLst>
        </c:ser>
        <c:ser>
          <c:idx val="26"/>
          <c:order val="26"/>
          <c:tx>
            <c:v>P x I = 10</c:v>
          </c:tx>
          <c:spPr>
            <a:ln>
              <a:noFill/>
              <a:prstDash val="solid"/>
            </a:ln>
          </c:spPr>
          <c:marker>
            <c:symbol val="circle"/>
            <c:size val="32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Radar_Mosca!$AT$5:$AT$19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8FE4-4672-8A6C-C9EA88426F6D}"/>
            </c:ext>
          </c:extLst>
        </c:ser>
        <c:ser>
          <c:idx val="27"/>
          <c:order val="27"/>
          <c:tx>
            <c:v>P x I = 12</c:v>
          </c:tx>
          <c:spPr>
            <a:ln>
              <a:noFill/>
              <a:prstDash val="solid"/>
            </a:ln>
          </c:spPr>
          <c:marker>
            <c:symbol val="circle"/>
            <c:size val="35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Radar_Mosca!$AU$5:$AU$19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1.949855824363647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8FE4-4672-8A6C-C9EA88426F6D}"/>
            </c:ext>
          </c:extLst>
        </c:ser>
        <c:ser>
          <c:idx val="28"/>
          <c:order val="28"/>
          <c:tx>
            <c:v>P x I = 15</c:v>
          </c:tx>
          <c:spPr>
            <a:ln>
              <a:noFill/>
              <a:prstDash val="solid"/>
            </a:ln>
          </c:spPr>
          <c:marker>
            <c:symbol val="circle"/>
            <c:size val="39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Radar_Mosca!$AV$5:$AV$19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8FE4-4672-8A6C-C9EA88426F6D}"/>
            </c:ext>
          </c:extLst>
        </c:ser>
        <c:ser>
          <c:idx val="29"/>
          <c:order val="29"/>
          <c:tx>
            <c:v>P x I = 16</c:v>
          </c:tx>
          <c:spPr>
            <a:ln>
              <a:noFill/>
              <a:prstDash val="solid"/>
            </a:ln>
          </c:spPr>
          <c:marker>
            <c:symbol val="circle"/>
            <c:size val="4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Radar_Mosca!$AW$5:$AW$19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8FE4-4672-8A6C-C9EA88426F6D}"/>
            </c:ext>
          </c:extLst>
        </c:ser>
        <c:ser>
          <c:idx val="30"/>
          <c:order val="30"/>
          <c:tx>
            <c:v>P x I = 20</c:v>
          </c:tx>
          <c:spPr>
            <a:ln>
              <a:noFill/>
              <a:prstDash val="solid"/>
            </a:ln>
          </c:spPr>
          <c:marker>
            <c:symbol val="circle"/>
            <c:size val="45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Radar_Mosca!$AX$5:$AX$19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8FE4-4672-8A6C-C9EA88426F6D}"/>
            </c:ext>
          </c:extLst>
        </c:ser>
        <c:ser>
          <c:idx val="31"/>
          <c:order val="31"/>
          <c:tx>
            <c:v>P x I = 25</c:v>
          </c:tx>
          <c:spPr>
            <a:ln>
              <a:noFill/>
              <a:prstDash val="solid"/>
            </a:ln>
          </c:spPr>
          <c:marker>
            <c:symbol val="circle"/>
            <c:size val="5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Radar_Mosca!$AY$5:$AY$19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8FE4-4672-8A6C-C9EA88426F6D}"/>
            </c:ext>
          </c:extLst>
        </c:ser>
        <c:ser>
          <c:idx val="32"/>
          <c:order val="32"/>
          <c:tx>
            <c:v>P x I = 1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Radar_Mosca!$AZ$5:$AZ$19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8FE4-4672-8A6C-C9EA88426F6D}"/>
            </c:ext>
          </c:extLst>
        </c:ser>
        <c:ser>
          <c:idx val="33"/>
          <c:order val="33"/>
          <c:tx>
            <c:v>P x I = 2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14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Radar_Mosca!$BA$5:$BA$19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8FE4-4672-8A6C-C9EA88426F6D}"/>
            </c:ext>
          </c:extLst>
        </c:ser>
        <c:ser>
          <c:idx val="34"/>
          <c:order val="34"/>
          <c:tx>
            <c:v>P x I = 3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17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Radar_Mosca!$BB$5:$BB$19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8FE4-4672-8A6C-C9EA88426F6D}"/>
            </c:ext>
          </c:extLst>
        </c:ser>
        <c:ser>
          <c:idx val="35"/>
          <c:order val="35"/>
          <c:tx>
            <c:v>P x I = 4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20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Radar_Mosca!$BC$5:$BC$19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8FE4-4672-8A6C-C9EA88426F6D}"/>
            </c:ext>
          </c:extLst>
        </c:ser>
        <c:ser>
          <c:idx val="36"/>
          <c:order val="36"/>
          <c:tx>
            <c:v>P x I = 5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22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Radar_Mosca!$BD$5:$BD$19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8FE4-4672-8A6C-C9EA88426F6D}"/>
            </c:ext>
          </c:extLst>
        </c:ser>
        <c:ser>
          <c:idx val="37"/>
          <c:order val="37"/>
          <c:tx>
            <c:v>P x I = 6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24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Radar_Mosca!$BE$5:$BE$19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8FE4-4672-8A6C-C9EA88426F6D}"/>
            </c:ext>
          </c:extLst>
        </c:ser>
        <c:ser>
          <c:idx val="38"/>
          <c:order val="38"/>
          <c:tx>
            <c:v>P x I = 8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28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Radar_Mosca!$BF$5:$BF$19</c:f>
              <c:numCache>
                <c:formatCode>General</c:formatCode>
                <c:ptCount val="15"/>
                <c:pt idx="0">
                  <c:v>#N/A</c:v>
                </c:pt>
                <c:pt idx="1">
                  <c:v>-0.16814271056945562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-3.25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8FE4-4672-8A6C-C9EA88426F6D}"/>
            </c:ext>
          </c:extLst>
        </c:ser>
        <c:ser>
          <c:idx val="39"/>
          <c:order val="39"/>
          <c:tx>
            <c:v>P x I = 9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30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Radar_Mosca!$BG$5:$BG$19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8FE4-4672-8A6C-C9EA88426F6D}"/>
            </c:ext>
          </c:extLst>
        </c:ser>
        <c:ser>
          <c:idx val="40"/>
          <c:order val="40"/>
          <c:tx>
            <c:v>P x I = 10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32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Radar_Mosca!$BH$5:$BH$19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8FE4-4672-8A6C-C9EA88426F6D}"/>
            </c:ext>
          </c:extLst>
        </c:ser>
        <c:ser>
          <c:idx val="41"/>
          <c:order val="41"/>
          <c:tx>
            <c:v>P x I = 12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35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Radar_Mosca!$BI$5:$BI$19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0.61193256837986165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8FE4-4672-8A6C-C9EA88426F6D}"/>
            </c:ext>
          </c:extLst>
        </c:ser>
        <c:ser>
          <c:idx val="42"/>
          <c:order val="42"/>
          <c:tx>
            <c:v>P x I = 15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39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Radar_Mosca!$BJ$5:$BJ$19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8FE4-4672-8A6C-C9EA88426F6D}"/>
            </c:ext>
          </c:extLst>
        </c:ser>
        <c:ser>
          <c:idx val="43"/>
          <c:order val="43"/>
          <c:tx>
            <c:v>P x I = 16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40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Radar_Mosca!$BK$5:$BK$19</c:f>
              <c:numCache>
                <c:formatCode>General</c:formatCode>
                <c:ptCount val="15"/>
                <c:pt idx="0">
                  <c:v>0.38941163442355031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8FE4-4672-8A6C-C9EA88426F6D}"/>
            </c:ext>
          </c:extLst>
        </c:ser>
        <c:ser>
          <c:idx val="44"/>
          <c:order val="44"/>
          <c:tx>
            <c:v>P x I = 20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45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Radar_Mosca!$BL$5:$BL$19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8FE4-4672-8A6C-C9EA88426F6D}"/>
            </c:ext>
          </c:extLst>
        </c:ser>
        <c:ser>
          <c:idx val="45"/>
          <c:order val="45"/>
          <c:tx>
            <c:v>P x I = 25 (attenzione del supervisore)</c:v>
          </c:tx>
          <c:spPr>
            <a:ln>
              <a:noFill/>
              <a:prstDash val="solid"/>
            </a:ln>
          </c:spPr>
          <c:marker>
            <c:symbol val="circle"/>
            <c:size val="50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xVal>
            <c:numRef>
              <c:f>Radar_Mosca!$BN$5:$BN$19</c:f>
              <c:numCache>
                <c:formatCode>General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1.4028520541821503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-0.51961524227066314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Radar_Mosca!$BM$5:$BM$19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8FE4-4672-8A6C-C9EA88426F6D}"/>
            </c:ext>
          </c:extLst>
        </c:ser>
        <c:ser>
          <c:idx val="46"/>
          <c:order val="46"/>
          <c:tx>
            <c:strRef>
              <c:f>Radar_Mosca!$BO$5</c:f>
              <c:strCache>
                <c:ptCount val="1"/>
                <c:pt idx="0">
                  <c:v>NFR-01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Radar_Mosca!$BN$5</c:f>
              <c:numCache>
                <c:formatCode>General</c:formatCode>
                <c:ptCount val="1"/>
                <c:pt idx="0">
                  <c:v>1.7061238463181914</c:v>
                </c:pt>
              </c:numCache>
            </c:numRef>
          </c:xVal>
          <c:yVal>
            <c:numRef>
              <c:f>Radar_Mosca!$BP$5</c:f>
              <c:numCache>
                <c:formatCode>General</c:formatCode>
                <c:ptCount val="1"/>
                <c:pt idx="0">
                  <c:v>0.38941163442355031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8FE4-4672-8A6C-C9EA88426F6D}"/>
            </c:ext>
          </c:extLst>
        </c:ser>
        <c:ser>
          <c:idx val="47"/>
          <c:order val="47"/>
          <c:tx>
            <c:strRef>
              <c:f>Radar_Mosca!$BO$6</c:f>
              <c:strCache>
                <c:ptCount val="1"/>
                <c:pt idx="0">
                  <c:v>NFR-02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Radar_Mosca!$BN$6</c:f>
              <c:numCache>
                <c:formatCode>General</c:formatCode>
                <c:ptCount val="1"/>
                <c:pt idx="0">
                  <c:v>-2.2437085436576552</c:v>
                </c:pt>
              </c:numCache>
            </c:numRef>
          </c:xVal>
          <c:yVal>
            <c:numRef>
              <c:f>Radar_Mosca!$BP$6</c:f>
              <c:numCache>
                <c:formatCode>General</c:formatCode>
                <c:ptCount val="1"/>
                <c:pt idx="0">
                  <c:v>-0.16814271056945562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8FE4-4672-8A6C-C9EA88426F6D}"/>
            </c:ext>
          </c:extLst>
        </c:ser>
        <c:ser>
          <c:idx val="48"/>
          <c:order val="48"/>
          <c:tx>
            <c:strRef>
              <c:f>Radar_Mosca!$BO$7</c:f>
              <c:strCache>
                <c:ptCount val="1"/>
                <c:pt idx="0">
                  <c:v>NFR-03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Radar_Mosca!$BN$7</c:f>
              <c:numCache>
                <c:formatCode>General</c:formatCode>
                <c:ptCount val="1"/>
                <c:pt idx="0">
                  <c:v>0.58951034882180919</c:v>
                </c:pt>
              </c:numCache>
            </c:numRef>
          </c:xVal>
          <c:yVal>
            <c:numRef>
              <c:f>Radar_Mosca!$BP$7</c:f>
              <c:numCache>
                <c:formatCode>General</c:formatCode>
                <c:ptCount val="1"/>
                <c:pt idx="0">
                  <c:v>-1.9111456115722811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8FE4-4672-8A6C-C9EA88426F6D}"/>
            </c:ext>
          </c:extLst>
        </c:ser>
        <c:ser>
          <c:idx val="49"/>
          <c:order val="49"/>
          <c:tx>
            <c:strRef>
              <c:f>Radar_Mosca!$BO$8</c:f>
              <c:strCache>
                <c:ptCount val="1"/>
                <c:pt idx="0">
                  <c:v>NFR-04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Radar_Mosca!$BN$8</c:f>
              <c:numCache>
                <c:formatCode>General</c:formatCode>
                <c:ptCount val="1"/>
                <c:pt idx="0">
                  <c:v>-2.1500365767870817</c:v>
                </c:pt>
              </c:numCache>
            </c:numRef>
          </c:xVal>
          <c:yVal>
            <c:numRef>
              <c:f>Radar_Mosca!$BP$8</c:f>
              <c:numCache>
                <c:formatCode>General</c:formatCode>
                <c:ptCount val="1"/>
                <c:pt idx="0">
                  <c:v>-1.7145969551115177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8FE4-4672-8A6C-C9EA88426F6D}"/>
            </c:ext>
          </c:extLst>
        </c:ser>
        <c:ser>
          <c:idx val="50"/>
          <c:order val="50"/>
          <c:tx>
            <c:strRef>
              <c:f>Radar_Mosca!$BO$9</c:f>
              <c:strCache>
                <c:ptCount val="1"/>
                <c:pt idx="0">
                  <c:v>NFR-05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Radar_Mosca!$BN$9</c:f>
              <c:numCache>
                <c:formatCode>General</c:formatCode>
                <c:ptCount val="1"/>
                <c:pt idx="0">
                  <c:v>-1.870469405576201</c:v>
                </c:pt>
              </c:numCache>
            </c:numRef>
          </c:xVal>
          <c:yVal>
            <c:numRef>
              <c:f>Radar_Mosca!$BP$9</c:f>
              <c:numCache>
                <c:formatCode>General</c:formatCode>
                <c:ptCount val="1"/>
                <c:pt idx="0">
                  <c:v>2.3454944474040893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8FE4-4672-8A6C-C9EA88426F6D}"/>
            </c:ext>
          </c:extLst>
        </c:ser>
        <c:ser>
          <c:idx val="51"/>
          <c:order val="51"/>
          <c:tx>
            <c:strRef>
              <c:f>Radar_Mosca!$BO$10</c:f>
              <c:strCache>
                <c:ptCount val="1"/>
                <c:pt idx="0">
                  <c:v>NFR-06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Radar_Mosca!$BN$10</c:f>
              <c:numCache>
                <c:formatCode>General</c:formatCode>
                <c:ptCount val="1"/>
                <c:pt idx="0">
                  <c:v>0.61193256837986454</c:v>
                </c:pt>
              </c:numCache>
            </c:numRef>
          </c:xVal>
          <c:yVal>
            <c:numRef>
              <c:f>Radar_Mosca!$BP$10</c:f>
              <c:numCache>
                <c:formatCode>General</c:formatCode>
                <c:ptCount val="1"/>
                <c:pt idx="0">
                  <c:v>2.6810517585000149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8FE4-4672-8A6C-C9EA88426F6D}"/>
            </c:ext>
          </c:extLst>
        </c:ser>
        <c:ser>
          <c:idx val="52"/>
          <c:order val="52"/>
          <c:tx>
            <c:strRef>
              <c:f>Radar_Mosca!$BO$11</c:f>
              <c:strCache>
                <c:ptCount val="1"/>
                <c:pt idx="0">
                  <c:v>NFR-07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Radar_Mosca!$BN$11</c:f>
              <c:numCache>
                <c:formatCode>General</c:formatCode>
                <c:ptCount val="1"/>
                <c:pt idx="0">
                  <c:v>-2.6810517585000158</c:v>
                </c:pt>
              </c:numCache>
            </c:numRef>
          </c:xVal>
          <c:yVal>
            <c:numRef>
              <c:f>Radar_Mosca!$BP$11</c:f>
              <c:numCache>
                <c:formatCode>General</c:formatCode>
                <c:ptCount val="1"/>
                <c:pt idx="0">
                  <c:v>0.61193256837986165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8FE4-4672-8A6C-C9EA88426F6D}"/>
            </c:ext>
          </c:extLst>
        </c:ser>
        <c:ser>
          <c:idx val="53"/>
          <c:order val="53"/>
          <c:tx>
            <c:strRef>
              <c:f>Radar_Mosca!$BO$12</c:f>
              <c:strCache>
                <c:ptCount val="1"/>
                <c:pt idx="0">
                  <c:v>NFR-08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Radar_Mosca!$BN$12</c:f>
              <c:numCache>
                <c:formatCode>General</c:formatCode>
                <c:ptCount val="1"/>
                <c:pt idx="0">
                  <c:v>1.4028520541821503</c:v>
                </c:pt>
              </c:numCache>
            </c:numRef>
          </c:xVal>
          <c:yVal>
            <c:numRef>
              <c:f>Radar_Mosca!$BP$12</c:f>
              <c:numCache>
                <c:formatCode>General</c:formatCode>
                <c:ptCount val="1"/>
                <c:pt idx="0">
                  <c:v>1.759120835553067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8FE4-4672-8A6C-C9EA88426F6D}"/>
            </c:ext>
          </c:extLst>
        </c:ser>
        <c:ser>
          <c:idx val="54"/>
          <c:order val="54"/>
          <c:tx>
            <c:strRef>
              <c:f>Radar_Mosca!$BO$13</c:f>
              <c:strCache>
                <c:ptCount val="1"/>
                <c:pt idx="0">
                  <c:v>NFR-09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Radar_Mosca!$BN$13</c:f>
              <c:numCache>
                <c:formatCode>General</c:formatCode>
                <c:ptCount val="1"/>
                <c:pt idx="0">
                  <c:v>3.981732478453015E-16</c:v>
                </c:pt>
              </c:numCache>
            </c:numRef>
          </c:xVal>
          <c:yVal>
            <c:numRef>
              <c:f>Radar_Mosca!$BP$13</c:f>
              <c:numCache>
                <c:formatCode>General</c:formatCode>
                <c:ptCount val="1"/>
                <c:pt idx="0">
                  <c:v>-3.25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8FE4-4672-8A6C-C9EA88426F6D}"/>
            </c:ext>
          </c:extLst>
        </c:ser>
        <c:ser>
          <c:idx val="55"/>
          <c:order val="55"/>
          <c:tx>
            <c:strRef>
              <c:f>Radar_Mosca!$BO$14</c:f>
              <c:strCache>
                <c:ptCount val="1"/>
                <c:pt idx="0">
                  <c:v>NFR-10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Radar_Mosca!$BN$14</c:f>
              <c:numCache>
                <c:formatCode>General</c:formatCode>
                <c:ptCount val="1"/>
                <c:pt idx="0">
                  <c:v>-0.88426552323271312</c:v>
                </c:pt>
              </c:numCache>
            </c:numRef>
          </c:xVal>
          <c:yVal>
            <c:numRef>
              <c:f>Radar_Mosca!$BP$14</c:f>
              <c:numCache>
                <c:formatCode>General</c:formatCode>
                <c:ptCount val="1"/>
                <c:pt idx="0">
                  <c:v>-2.8667184173584221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8FE4-4672-8A6C-C9EA88426F6D}"/>
            </c:ext>
          </c:extLst>
        </c:ser>
        <c:ser>
          <c:idx val="56"/>
          <c:order val="56"/>
          <c:tx>
            <c:strRef>
              <c:f>Radar_Mosca!$BO$15</c:f>
              <c:strCache>
                <c:ptCount val="1"/>
                <c:pt idx="0">
                  <c:v>NFR-11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Radar_Mosca!$BN$15</c:f>
              <c:numCache>
                <c:formatCode>General</c:formatCode>
                <c:ptCount val="1"/>
                <c:pt idx="0">
                  <c:v>-0.51961524227066314</c:v>
                </c:pt>
              </c:numCache>
            </c:numRef>
          </c:xVal>
          <c:yVal>
            <c:numRef>
              <c:f>Radar_Mosca!$BP$15</c:f>
              <c:numCache>
                <c:formatCode>General</c:formatCode>
                <c:ptCount val="1"/>
                <c:pt idx="0">
                  <c:v>0.30000000000000004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8FE4-4672-8A6C-C9EA88426F6D}"/>
            </c:ext>
          </c:extLst>
        </c:ser>
        <c:ser>
          <c:idx val="57"/>
          <c:order val="57"/>
          <c:tx>
            <c:strRef>
              <c:f>Radar_Mosca!$BO$16</c:f>
              <c:strCache>
                <c:ptCount val="1"/>
                <c:pt idx="0">
                  <c:v>NFR-12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Radar_Mosca!$BN$16</c:f>
              <c:numCache>
                <c:formatCode>General</c:formatCode>
                <c:ptCount val="1"/>
                <c:pt idx="0">
                  <c:v>-0.44504186791262929</c:v>
                </c:pt>
              </c:numCache>
            </c:numRef>
          </c:xVal>
          <c:yVal>
            <c:numRef>
              <c:f>Radar_Mosca!$BP$16</c:f>
              <c:numCache>
                <c:formatCode>General</c:formatCode>
                <c:ptCount val="1"/>
                <c:pt idx="0">
                  <c:v>1.949855824363647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8FE4-4672-8A6C-C9EA88426F6D}"/>
            </c:ext>
          </c:extLst>
        </c:ser>
        <c:ser>
          <c:idx val="58"/>
          <c:order val="58"/>
          <c:tx>
            <c:strRef>
              <c:f>Radar_Mosca!$BO$17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Radar_Mosca!$BN$17</c:f>
              <c:numCache>
                <c:formatCode>General</c:formatCode>
                <c:ptCount val="1"/>
                <c:pt idx="0">
                  <c:v>#N/A</c:v>
                </c:pt>
              </c:numCache>
            </c:numRef>
          </c:xVal>
          <c:yVal>
            <c:numRef>
              <c:f>Radar_Mosca!$BP$17</c:f>
              <c:numCache>
                <c:formatCode>General</c:formatCode>
                <c:ptCount val="1"/>
                <c:pt idx="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8FE4-4672-8A6C-C9EA88426F6D}"/>
            </c:ext>
          </c:extLst>
        </c:ser>
        <c:ser>
          <c:idx val="59"/>
          <c:order val="59"/>
          <c:tx>
            <c:strRef>
              <c:f>Radar_Mosca!$BO$18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Radar_Mosca!$BN$18</c:f>
              <c:numCache>
                <c:formatCode>General</c:formatCode>
                <c:ptCount val="1"/>
                <c:pt idx="0">
                  <c:v>#N/A</c:v>
                </c:pt>
              </c:numCache>
            </c:numRef>
          </c:xVal>
          <c:yVal>
            <c:numRef>
              <c:f>Radar_Mosca!$BP$18</c:f>
              <c:numCache>
                <c:formatCode>General</c:formatCode>
                <c:ptCount val="1"/>
                <c:pt idx="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8FE4-4672-8A6C-C9EA88426F6D}"/>
            </c:ext>
          </c:extLst>
        </c:ser>
        <c:ser>
          <c:idx val="60"/>
          <c:order val="60"/>
          <c:tx>
            <c:strRef>
              <c:f>Radar_Mosca!$BO$19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1F3864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Radar_Mosca!$BN$19</c:f>
              <c:numCache>
                <c:formatCode>General</c:formatCode>
                <c:ptCount val="1"/>
                <c:pt idx="0">
                  <c:v>#N/A</c:v>
                </c:pt>
              </c:numCache>
            </c:numRef>
          </c:xVal>
          <c:yVal>
            <c:numRef>
              <c:f>Radar_Mosca!$BP$19</c:f>
              <c:numCache>
                <c:formatCode>General</c:formatCode>
                <c:ptCount val="1"/>
                <c:pt idx="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0-8FE4-4672-8A6C-C9EA88426F6D}"/>
            </c:ext>
          </c:extLst>
        </c:ser>
        <c:ser>
          <c:idx val="61"/>
          <c:order val="61"/>
          <c:tx>
            <c:strRef>
              <c:f>Radar_Mosca!$BQ$5</c:f>
              <c:strCache>
                <c:ptCount val="1"/>
                <c:pt idx="0">
                  <c:v>attenzione del supervisore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24"/>
            <c:spPr>
              <a:solidFill>
                <a:srgbClr val="9DC3E7">
                  <a:alpha val="55000"/>
                </a:srgbClr>
              </a:solidFill>
              <a:ln w="34925"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7F6000"/>
                    </a:solidFill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Radar_Mosca!$BR$5</c:f>
              <c:numCache>
                <c:formatCode>General</c:formatCode>
                <c:ptCount val="1"/>
                <c:pt idx="0">
                  <c:v>-6.9</c:v>
                </c:pt>
              </c:numCache>
            </c:numRef>
          </c:xVal>
          <c:yVal>
            <c:numRef>
              <c:f>Radar_Mosca!$BS$5</c:f>
              <c:numCache>
                <c:formatCode>General</c:formatCode>
                <c:ptCount val="1"/>
                <c:pt idx="0">
                  <c:v>-6.35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1-8FE4-4672-8A6C-C9EA88426F6D}"/>
            </c:ext>
          </c:extLst>
        </c:ser>
        <c:ser>
          <c:idx val="62"/>
          <c:order val="62"/>
          <c:tx>
            <c:strRef>
              <c:f>Radar_Mosca!$BQ$6</c:f>
              <c:strCache>
                <c:ptCount val="1"/>
                <c:pt idx="0">
                  <c:v>dentro il cerchio rosso: AGIRE ORA (X + Y &gt; Z)</c:v>
                </c:pt>
              </c:strCache>
            </c:strRef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1">
                      <a:solidFill>
                        <a:srgbClr val="C00000"/>
                      </a:solidFill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8FE4-4672-8A6C-C9EA88426F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C00000"/>
                    </a:solidFill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Radar_Mosca!$BR$6:$BR$7</c:f>
              <c:numCache>
                <c:formatCode>General</c:formatCode>
                <c:ptCount val="2"/>
                <c:pt idx="0">
                  <c:v>-7.35</c:v>
                </c:pt>
                <c:pt idx="1">
                  <c:v>-6.45</c:v>
                </c:pt>
              </c:numCache>
            </c:numRef>
          </c:xVal>
          <c:yVal>
            <c:numRef>
              <c:f>Radar_Mosca!$BS$6:$BS$7</c:f>
              <c:numCache>
                <c:formatCode>General</c:formatCode>
                <c:ptCount val="2"/>
                <c:pt idx="0">
                  <c:v>-7.35</c:v>
                </c:pt>
                <c:pt idx="1">
                  <c:v>-7.35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3-8FE4-4672-8A6C-C9EA88426F6D}"/>
            </c:ext>
          </c:extLst>
        </c:ser>
        <c:ser>
          <c:idx val="63"/>
          <c:order val="63"/>
          <c:tx>
            <c:strRef>
              <c:f>Radar_Mosca!$BQ$8</c:f>
              <c:strCache>
                <c:ptCount val="1"/>
                <c:pt idx="0">
                  <c:v>Area del cerchio = P x 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595959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Radar_Mosca!$BR$8</c:f>
              <c:numCache>
                <c:formatCode>General</c:formatCode>
                <c:ptCount val="1"/>
                <c:pt idx="0">
                  <c:v>4.4000000000000004</c:v>
                </c:pt>
              </c:numCache>
            </c:numRef>
          </c:xVal>
          <c:yVal>
            <c:numRef>
              <c:f>Radar_Mosca!$BS$8</c:f>
              <c:numCache>
                <c:formatCode>General</c:formatCode>
                <c:ptCount val="1"/>
                <c:pt idx="0">
                  <c:v>-5.6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4-8FE4-4672-8A6C-C9EA88426F6D}"/>
            </c:ext>
          </c:extLst>
        </c:ser>
        <c:ser>
          <c:idx val="64"/>
          <c:order val="64"/>
          <c:tx>
            <c:strRef>
              <c:f>Radar_Mosca!$BQ$9</c:f>
              <c:strCache>
                <c:ptCount val="1"/>
                <c:pt idx="0">
                  <c:v>4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2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595959"/>
                    </a:solidFill>
                  </a:defRPr>
                </a:pPr>
                <a:endParaRPr lang="it-IT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Radar_Mosca!$BR$9</c:f>
              <c:numCache>
                <c:formatCode>General</c:formatCode>
                <c:ptCount val="1"/>
                <c:pt idx="0">
                  <c:v>3.5</c:v>
                </c:pt>
              </c:numCache>
            </c:numRef>
          </c:xVal>
          <c:yVal>
            <c:numRef>
              <c:f>Radar_Mosca!$BS$9</c:f>
              <c:numCache>
                <c:formatCode>General</c:formatCode>
                <c:ptCount val="1"/>
                <c:pt idx="0">
                  <c:v>-6.6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5-8FE4-4672-8A6C-C9EA88426F6D}"/>
            </c:ext>
          </c:extLst>
        </c:ser>
        <c:ser>
          <c:idx val="65"/>
          <c:order val="65"/>
          <c:tx>
            <c:strRef>
              <c:f>Radar_Mosca!$BQ$10</c:f>
              <c:strCache>
                <c:ptCount val="1"/>
                <c:pt idx="0">
                  <c:v>12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35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595959"/>
                    </a:solidFill>
                  </a:defRPr>
                </a:pPr>
                <a:endParaRPr lang="it-IT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Radar_Mosca!$BR$10</c:f>
              <c:numCache>
                <c:formatCode>General</c:formatCode>
                <c:ptCount val="1"/>
                <c:pt idx="0">
                  <c:v>4.8</c:v>
                </c:pt>
              </c:numCache>
            </c:numRef>
          </c:xVal>
          <c:yVal>
            <c:numRef>
              <c:f>Radar_Mosca!$BS$10</c:f>
              <c:numCache>
                <c:formatCode>General</c:formatCode>
                <c:ptCount val="1"/>
                <c:pt idx="0">
                  <c:v>-6.6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6-8FE4-4672-8A6C-C9EA88426F6D}"/>
            </c:ext>
          </c:extLst>
        </c:ser>
        <c:ser>
          <c:idx val="66"/>
          <c:order val="66"/>
          <c:tx>
            <c:strRef>
              <c:f>Radar_Mosca!$BQ$11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0"/>
            <c:spPr>
              <a:solidFill>
                <a:srgbClr val="9DC3E7">
                  <a:alpha val="55000"/>
                </a:srgbClr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595959"/>
                    </a:solidFill>
                  </a:defRPr>
                </a:pPr>
                <a:endParaRPr lang="it-IT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Radar_Mosca!$BR$11</c:f>
              <c:numCache>
                <c:formatCode>General</c:formatCode>
                <c:ptCount val="1"/>
                <c:pt idx="0">
                  <c:v>6.5</c:v>
                </c:pt>
              </c:numCache>
            </c:numRef>
          </c:xVal>
          <c:yVal>
            <c:numRef>
              <c:f>Radar_Mosca!$BS$11</c:f>
              <c:numCache>
                <c:formatCode>General</c:formatCode>
                <c:ptCount val="1"/>
                <c:pt idx="0">
                  <c:v>-6.6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7-8FE4-4672-8A6C-C9EA88426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.6"/>
          <c:min val="-7.6"/>
        </c:scaling>
        <c:delete val="1"/>
        <c:axPos val="b"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7.6"/>
          <c:min val="-7.6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0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strRef>
          <c:f>Delta!$AT$2</c:f>
          <c:strCache>
            <c:ptCount val="1"/>
            <c:pt idx="0">
              <c:v>1 in aumento, 2 in diminuzione, 9 invariati</c:v>
            </c:pt>
          </c:strCache>
        </c:strRef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In aumento</c:v>
          </c:tx>
          <c:spPr>
            <a:solidFill>
              <a:srgbClr val="C0000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00000"/>
                    </a:solidFill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[0]!deltaEtichette</c:f>
              <c:strCache>
                <c:ptCount val="12"/>
                <c:pt idx="0">
                  <c:v>NFR-03  Greenwashing nella commerciali</c:v>
                </c:pt>
                <c:pt idx="1">
                  <c:v>NFR-01  Frodi su pagamenti istantanei </c:v>
                </c:pt>
                <c:pt idx="2">
                  <c:v>NFR-04  Eventi climatici estremi su se</c:v>
                </c:pt>
                <c:pt idx="3">
                  <c:v>NFR-05  Errori di processo nella migra</c:v>
                </c:pt>
                <c:pt idx="4">
                  <c:v>NFR-07  Ransomware presso un fornitore</c:v>
                </c:pt>
                <c:pt idx="5">
                  <c:v>NFR-08  Accessi impropri di dipendenti</c:v>
                </c:pt>
                <c:pt idx="6">
                  <c:v>NFR-09  Violazione di sanzioni interna</c:v>
                </c:pt>
                <c:pt idx="7">
                  <c:v>NFR-10  Informazioni errate ai clienti</c:v>
                </c:pt>
                <c:pt idx="8">
                  <c:v>NFR-11  Fine del supporto dei sistemi </c:v>
                </c:pt>
                <c:pt idx="9">
                  <c:v>NFR-12  Errori operativi nei pagamenti</c:v>
                </c:pt>
                <c:pt idx="10">
                  <c:v>NFR-02  Concentrazione su un fornitore</c:v>
                </c:pt>
                <c:pt idx="11">
                  <c:v>NFR-06  Esfiltrazione di dati tramite </c:v>
                </c:pt>
              </c:strCache>
            </c:strRef>
          </c:cat>
          <c:val>
            <c:numRef>
              <c:f>[0]!deltaSu</c:f>
              <c:numCache>
                <c:formatCode>\+0.00;\-0.00;;</c:formatCode>
                <c:ptCount val="12"/>
                <c:pt idx="0">
                  <c:v>0.14999999999999991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9-4AC1-A2A7-82A613EE3939}"/>
            </c:ext>
          </c:extLst>
        </c:ser>
        <c:ser>
          <c:idx val="1"/>
          <c:order val="1"/>
          <c:tx>
            <c:v>In diminuzione</c:v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2E75B6"/>
                    </a:solidFill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[0]!deltaEtichette</c:f>
              <c:strCache>
                <c:ptCount val="12"/>
                <c:pt idx="0">
                  <c:v>NFR-03  Greenwashing nella commerciali</c:v>
                </c:pt>
                <c:pt idx="1">
                  <c:v>NFR-01  Frodi su pagamenti istantanei </c:v>
                </c:pt>
                <c:pt idx="2">
                  <c:v>NFR-04  Eventi climatici estremi su se</c:v>
                </c:pt>
                <c:pt idx="3">
                  <c:v>NFR-05  Errori di processo nella migra</c:v>
                </c:pt>
                <c:pt idx="4">
                  <c:v>NFR-07  Ransomware presso un fornitore</c:v>
                </c:pt>
                <c:pt idx="5">
                  <c:v>NFR-08  Accessi impropri di dipendenti</c:v>
                </c:pt>
                <c:pt idx="6">
                  <c:v>NFR-09  Violazione di sanzioni interna</c:v>
                </c:pt>
                <c:pt idx="7">
                  <c:v>NFR-10  Informazioni errate ai clienti</c:v>
                </c:pt>
                <c:pt idx="8">
                  <c:v>NFR-11  Fine del supporto dei sistemi </c:v>
                </c:pt>
                <c:pt idx="9">
                  <c:v>NFR-12  Errori operativi nei pagamenti</c:v>
                </c:pt>
                <c:pt idx="10">
                  <c:v>NFR-02  Concentrazione su un fornitore</c:v>
                </c:pt>
                <c:pt idx="11">
                  <c:v>NFR-06  Esfiltrazione di dati tramite </c:v>
                </c:pt>
              </c:strCache>
            </c:strRef>
          </c:cat>
          <c:val>
            <c:numRef>
              <c:f>[0]!deltaGiu</c:f>
              <c:numCache>
                <c:formatCode>\+0.00;\-0.00;;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-0.20000000000000018</c:v>
                </c:pt>
                <c:pt idx="11">
                  <c:v>-0.20000000000000018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F9-4AC1-A2A7-82A613EE3939}"/>
            </c:ext>
          </c:extLst>
        </c:ser>
        <c:ser>
          <c:idx val="2"/>
          <c:order val="2"/>
          <c:tx>
            <c:v>Invariato</c:v>
          </c:tx>
          <c:spPr>
            <a:solidFill>
              <a:srgbClr val="A6A6A6"/>
            </a:solidFill>
            <a:ln>
              <a:noFill/>
              <a:prstDash val="solid"/>
            </a:ln>
          </c:spPr>
          <c:invertIfNegative val="0"/>
          <c:cat>
            <c:strRef>
              <c:f>[0]!deltaEtichette</c:f>
              <c:strCache>
                <c:ptCount val="12"/>
                <c:pt idx="0">
                  <c:v>NFR-03  Greenwashing nella commerciali</c:v>
                </c:pt>
                <c:pt idx="1">
                  <c:v>NFR-01  Frodi su pagamenti istantanei </c:v>
                </c:pt>
                <c:pt idx="2">
                  <c:v>NFR-04  Eventi climatici estremi su se</c:v>
                </c:pt>
                <c:pt idx="3">
                  <c:v>NFR-05  Errori di processo nella migra</c:v>
                </c:pt>
                <c:pt idx="4">
                  <c:v>NFR-07  Ransomware presso un fornitore</c:v>
                </c:pt>
                <c:pt idx="5">
                  <c:v>NFR-08  Accessi impropri di dipendenti</c:v>
                </c:pt>
                <c:pt idx="6">
                  <c:v>NFR-09  Violazione di sanzioni interna</c:v>
                </c:pt>
                <c:pt idx="7">
                  <c:v>NFR-10  Informazioni errate ai clienti</c:v>
                </c:pt>
                <c:pt idx="8">
                  <c:v>NFR-11  Fine del supporto dei sistemi </c:v>
                </c:pt>
                <c:pt idx="9">
                  <c:v>NFR-12  Errori operativi nei pagamenti</c:v>
                </c:pt>
                <c:pt idx="10">
                  <c:v>NFR-02  Concentrazione su un fornitore</c:v>
                </c:pt>
                <c:pt idx="11">
                  <c:v>NFR-06  Esfiltrazione di dati tramite </c:v>
                </c:pt>
              </c:strCache>
            </c:strRef>
          </c:cat>
          <c:val>
            <c:numRef>
              <c:f>[0]!deltaZero</c:f>
              <c:numCache>
                <c:formatCode>\+0.00;\-0.00;;</c:formatCode>
                <c:ptCount val="12"/>
                <c:pt idx="0">
                  <c:v>#N/A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F9-4AC1-A2A7-82A613EE3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-1"/>
        </c:scaling>
        <c:delete val="0"/>
        <c:axPos val="t"/>
        <c:majorGridlines>
          <c:spPr>
            <a:ln>
              <a:solidFill>
                <a:srgbClr val="EDEDED"/>
              </a:solidFill>
              <a:prstDash val="solid"/>
            </a:ln>
          </c:spPr>
        </c:majorGridlines>
        <c:numFmt formatCode="\+0.00;\-0.00;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"/>
        <c:crosses val="autoZero"/>
        <c:crossBetween val="between"/>
        <c:majorUnit val="0.25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95959"/>
              </a:solidFill>
            </a:defRPr>
          </a:pPr>
          <a:endParaRPr lang="it-IT"/>
        </a:p>
      </c:txPr>
    </c:legend>
    <c:plotVisOnly val="0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t>Score composito per rischio (scala fissa 0-5)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Storico!$B$5</c:f>
              <c:strCache>
                <c:ptCount val="1"/>
                <c:pt idx="0">
                  <c:v>Frodi su pagamenti istantanei abilitate da AI generativa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Storico!$C$4:$J$4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Storico!$C$5:$J$5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3.35</c:v>
                </c:pt>
                <c:pt idx="5">
                  <c:v>3.5</c:v>
                </c:pt>
                <c:pt idx="6">
                  <c:v>3.8</c:v>
                </c:pt>
                <c:pt idx="7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28-462F-9DB2-A4283537F05B}"/>
            </c:ext>
          </c:extLst>
        </c:ser>
        <c:ser>
          <c:idx val="1"/>
          <c:order val="1"/>
          <c:tx>
            <c:strRef>
              <c:f>Storico!$B$6</c:f>
              <c:strCache>
                <c:ptCount val="1"/>
                <c:pt idx="0">
                  <c:v>Concentrazione su un fornitore cloud critico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Storico!$C$4:$J$4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Storico!$C$6:$J$6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3.45</c:v>
                </c:pt>
                <c:pt idx="5">
                  <c:v>3.45</c:v>
                </c:pt>
                <c:pt idx="6">
                  <c:v>3.45</c:v>
                </c:pt>
                <c:pt idx="7">
                  <c:v>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28-462F-9DB2-A4283537F05B}"/>
            </c:ext>
          </c:extLst>
        </c:ser>
        <c:ser>
          <c:idx val="2"/>
          <c:order val="2"/>
          <c:tx>
            <c:strRef>
              <c:f>Storico!$B$7</c:f>
              <c:strCache>
                <c:ptCount val="1"/>
                <c:pt idx="0">
                  <c:v>Greenwashing nella commercializzazione di prodotti ESG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Storico!$C$4:$J$4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Storico!$C$7:$J$7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2.85</c:v>
                </c:pt>
                <c:pt idx="5">
                  <c:v>2.85</c:v>
                </c:pt>
                <c:pt idx="6">
                  <c:v>2.85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28-462F-9DB2-A4283537F05B}"/>
            </c:ext>
          </c:extLst>
        </c:ser>
        <c:ser>
          <c:idx val="3"/>
          <c:order val="3"/>
          <c:tx>
            <c:strRef>
              <c:f>Storico!$B$8</c:f>
              <c:strCache>
                <c:ptCount val="1"/>
                <c:pt idx="0">
                  <c:v>Eventi climatici estremi su sedi e data center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Storico!$C$4:$J$4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Storico!$C$8:$J$8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2.7</c:v>
                </c:pt>
                <c:pt idx="5">
                  <c:v>2.7</c:v>
                </c:pt>
                <c:pt idx="6">
                  <c:v>2.85</c:v>
                </c:pt>
                <c:pt idx="7">
                  <c:v>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28-462F-9DB2-A4283537F05B}"/>
            </c:ext>
          </c:extLst>
        </c:ser>
        <c:ser>
          <c:idx val="4"/>
          <c:order val="4"/>
          <c:tx>
            <c:strRef>
              <c:f>Storico!$B$9</c:f>
              <c:strCache>
                <c:ptCount val="1"/>
                <c:pt idx="0">
                  <c:v>Errori di processo nella migrazione del core banking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Storico!$C$4:$J$4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Storico!$C$9:$J$9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3.35</c:v>
                </c:pt>
                <c:pt idx="5">
                  <c:v>3.35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28-462F-9DB2-A4283537F05B}"/>
            </c:ext>
          </c:extLst>
        </c:ser>
        <c:ser>
          <c:idx val="5"/>
          <c:order val="5"/>
          <c:tx>
            <c:strRef>
              <c:f>Storico!$B$10</c:f>
              <c:strCache>
                <c:ptCount val="1"/>
                <c:pt idx="0">
                  <c:v>Esfiltrazione di dati tramite strumenti di AI non autorizzati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Storico!$C$4:$J$4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Storico!$C$10:$J$10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3.2</c:v>
                </c:pt>
                <c:pt idx="6">
                  <c:v>3.2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28-462F-9DB2-A4283537F05B}"/>
            </c:ext>
          </c:extLst>
        </c:ser>
        <c:ser>
          <c:idx val="6"/>
          <c:order val="6"/>
          <c:tx>
            <c:strRef>
              <c:f>Storico!$B$11</c:f>
              <c:strCache>
                <c:ptCount val="1"/>
                <c:pt idx="0">
                  <c:v>Ransomware presso un fornitore di servizi di pagamento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Storico!$C$4:$J$4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Storico!$C$11:$J$11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28-462F-9DB2-A4283537F05B}"/>
            </c:ext>
          </c:extLst>
        </c:ser>
        <c:ser>
          <c:idx val="7"/>
          <c:order val="7"/>
          <c:tx>
            <c:strRef>
              <c:f>Storico!$B$12</c:f>
              <c:strCache>
                <c:ptCount val="1"/>
                <c:pt idx="0">
                  <c:v>Accessi impropri di dipendenti ai dati dei clienti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Storico!$C$4:$J$4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Storico!$C$12:$J$12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028-462F-9DB2-A4283537F05B}"/>
            </c:ext>
          </c:extLst>
        </c:ser>
        <c:ser>
          <c:idx val="8"/>
          <c:order val="8"/>
          <c:tx>
            <c:strRef>
              <c:f>Storico!$B$13</c:f>
              <c:strCache>
                <c:ptCount val="1"/>
                <c:pt idx="0">
                  <c:v>Violazione di sanzioni internazionali tramite triangolazioni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Storico!$C$4:$J$4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Storico!$C$13:$J$13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2.95</c:v>
                </c:pt>
                <c:pt idx="6">
                  <c:v>2.95</c:v>
                </c:pt>
                <c:pt idx="7">
                  <c:v>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028-462F-9DB2-A4283537F05B}"/>
            </c:ext>
          </c:extLst>
        </c:ser>
        <c:ser>
          <c:idx val="9"/>
          <c:order val="9"/>
          <c:tx>
            <c:strRef>
              <c:f>Storico!$B$14</c:f>
              <c:strCache>
                <c:ptCount val="1"/>
                <c:pt idx="0">
                  <c:v>Informazioni errate ai clienti da assistenti di AI generativa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Storico!$C$4:$J$4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Storico!$C$14:$J$14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3.2</c:v>
                </c:pt>
                <c:pt idx="6">
                  <c:v>3.2</c:v>
                </c:pt>
                <c:pt idx="7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028-462F-9DB2-A4283537F05B}"/>
            </c:ext>
          </c:extLst>
        </c:ser>
        <c:ser>
          <c:idx val="10"/>
          <c:order val="10"/>
          <c:tx>
            <c:strRef>
              <c:f>Storico!$B$15</c:f>
              <c:strCache>
                <c:ptCount val="1"/>
                <c:pt idx="0">
                  <c:v>Fine del supporto dei sistemi di pagamento legacy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Storico!$C$4:$J$4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Storico!$C$15:$J$15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3.05</c:v>
                </c:pt>
                <c:pt idx="5">
                  <c:v>3.05</c:v>
                </c:pt>
                <c:pt idx="6">
                  <c:v>3.05</c:v>
                </c:pt>
                <c:pt idx="7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028-462F-9DB2-A4283537F05B}"/>
            </c:ext>
          </c:extLst>
        </c:ser>
        <c:ser>
          <c:idx val="11"/>
          <c:order val="11"/>
          <c:tx>
            <c:strRef>
              <c:f>Storico!$B$16</c:f>
              <c:strCache>
                <c:ptCount val="1"/>
                <c:pt idx="0">
                  <c:v>Errori operativi nei pagamenti istantanei obbligatori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Storico!$C$4:$J$4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Storico!$C$16:$J$16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3.35</c:v>
                </c:pt>
                <c:pt idx="5">
                  <c:v>3.35</c:v>
                </c:pt>
                <c:pt idx="6">
                  <c:v>3.5</c:v>
                </c:pt>
                <c:pt idx="7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028-462F-9DB2-A4283537F05B}"/>
            </c:ext>
          </c:extLst>
        </c:ser>
        <c:ser>
          <c:idx val="12"/>
          <c:order val="12"/>
          <c:tx>
            <c:strRef>
              <c:f>Storico!$B$17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Storico!$C$4:$J$4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Storico!$C$17:$J$17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028-462F-9DB2-A4283537F05B}"/>
            </c:ext>
          </c:extLst>
        </c:ser>
        <c:ser>
          <c:idx val="13"/>
          <c:order val="13"/>
          <c:tx>
            <c:strRef>
              <c:f>Storico!$B$18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Storico!$C$4:$J$4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Storico!$C$18:$J$18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028-462F-9DB2-A4283537F05B}"/>
            </c:ext>
          </c:extLst>
        </c:ser>
        <c:ser>
          <c:idx val="14"/>
          <c:order val="14"/>
          <c:tx>
            <c:strRef>
              <c:f>Storico!$B$19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Storico!$C$4:$J$4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Storico!$C$19:$J$19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028-462F-9DB2-A4283537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0"/>
        <c:axPos val="l"/>
        <c:majorGridlines>
          <c:spPr>
            <a:ln>
              <a:solidFill>
                <a:srgbClr val="EDEDED"/>
              </a:solidFill>
              <a:prstDash val="solid"/>
            </a:ln>
          </c:spPr>
        </c:majorGridlines>
        <c:numFmt formatCode="0.00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95959"/>
              </a:solidFill>
            </a:defRPr>
          </a:pPr>
          <a:endParaRPr lang="it-IT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t>Valore rilevato e soglie, ultimi otto cicli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Indicatori!$N$11</c:f>
              <c:strCache>
                <c:ptCount val="1"/>
                <c:pt idx="0">
                  <c:v>Valore</c:v>
                </c:pt>
              </c:strCache>
            </c:strRef>
          </c:tx>
          <c:spPr>
            <a:ln>
              <a:solidFill>
                <a:srgbClr val="1F386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Indicatori!$M$12:$M$19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Indicatori!$N$12:$N$19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2.1</c:v>
                </c:pt>
                <c:pt idx="5">
                  <c:v>3.4</c:v>
                </c:pt>
                <c:pt idx="6">
                  <c:v>4.2</c:v>
                </c:pt>
                <c:pt idx="7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3-48F3-9818-88AAEECE98DA}"/>
            </c:ext>
          </c:extLst>
        </c:ser>
        <c:ser>
          <c:idx val="1"/>
          <c:order val="1"/>
          <c:tx>
            <c:strRef>
              <c:f>Indicatori!$O$11</c:f>
              <c:strCache>
                <c:ptCount val="1"/>
                <c:pt idx="0">
                  <c:v>Soglia attenzione</c:v>
                </c:pt>
              </c:strCache>
            </c:strRef>
          </c:tx>
          <c:spPr>
            <a:ln>
              <a:solidFill>
                <a:srgbClr val="BF9000"/>
              </a:solidFill>
              <a:prstDash val="dash"/>
            </a:ln>
          </c:spPr>
          <c:marker>
            <c:symbol val="none"/>
          </c:marker>
          <c:cat>
            <c:strRef>
              <c:f>Indicatori!$M$12:$M$19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Indicatori!$O$12:$O$19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3-48F3-9818-88AAEECE98DA}"/>
            </c:ext>
          </c:extLst>
        </c:ser>
        <c:ser>
          <c:idx val="2"/>
          <c:order val="2"/>
          <c:tx>
            <c:strRef>
              <c:f>Indicatori!$P$11</c:f>
              <c:strCache>
                <c:ptCount val="1"/>
                <c:pt idx="0">
                  <c:v>Soglia allerta</c:v>
                </c:pt>
              </c:strCache>
            </c:strRef>
          </c:tx>
          <c:spPr>
            <a:ln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Indicatori!$M$12:$M$19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Indicatori!$P$12:$P$19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3-48F3-9818-88AAEECE9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DEDED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95959"/>
              </a:solidFill>
            </a:defRPr>
          </a:pPr>
          <a:endParaRPr lang="it-IT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t>Notizie delle ultime 4 settimane per event type, per intensita'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Notizie!$G$4</c:f>
              <c:strCache>
                <c:ptCount val="1"/>
                <c:pt idx="0">
                  <c:v>Intensita' 1: nesso indiretto</c:v>
                </c:pt>
              </c:strCache>
            </c:strRef>
          </c:tx>
          <c:spPr>
            <a:solidFill>
              <a:srgbClr val="FCE4D6"/>
            </a:solidFill>
            <a:ln>
              <a:solidFill>
                <a:srgbClr val="7F7F7F"/>
              </a:solidFill>
              <a:prstDash val="solid"/>
            </a:ln>
          </c:spPr>
          <c:invertIfNegative val="1"/>
          <c:cat>
            <c:strRef>
              <c:f>Notizie!$J$5:$J$11</c:f>
              <c:strCache>
                <c:ptCount val="7"/>
                <c:pt idx="0">
                  <c:v>L1-01 Frode interna</c:v>
                </c:pt>
                <c:pt idx="1">
                  <c:v>L1-02 Frode esterna</c:v>
                </c:pt>
                <c:pt idx="2">
                  <c:v>L1-03 Rapporti di impiego e sicurezza sul lavoro</c:v>
                </c:pt>
                <c:pt idx="3">
                  <c:v>L1-04 Clientela, prodotti e prassi professionali</c:v>
                </c:pt>
                <c:pt idx="4">
                  <c:v>L1-05 Danni a beni materiali</c:v>
                </c:pt>
                <c:pt idx="5">
                  <c:v>L1-06 Interruzione dell'operativita' e disfunzione dei sistemi</c:v>
                </c:pt>
                <c:pt idx="6">
                  <c:v>L1-07 Esecuzione, consegna e gestione dei processi</c:v>
                </c:pt>
              </c:strCache>
            </c:strRef>
          </c:cat>
          <c:val>
            <c:numRef>
              <c:f>Notizie!$G$5:$G$11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F7F7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B17-4A5B-BA04-382FC158CA81}"/>
            </c:ext>
          </c:extLst>
        </c:ser>
        <c:ser>
          <c:idx val="1"/>
          <c:order val="1"/>
          <c:tx>
            <c:strRef>
              <c:f>Notizie!$H$4</c:f>
              <c:strCache>
                <c:ptCount val="1"/>
                <c:pt idx="0">
                  <c:v>Intensita' 2: nesso diretto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7F7F7F"/>
              </a:solidFill>
              <a:prstDash val="solid"/>
            </a:ln>
          </c:spPr>
          <c:invertIfNegative val="1"/>
          <c:cat>
            <c:strRef>
              <c:f>Notizie!$J$5:$J$11</c:f>
              <c:strCache>
                <c:ptCount val="7"/>
                <c:pt idx="0">
                  <c:v>L1-01 Frode interna</c:v>
                </c:pt>
                <c:pt idx="1">
                  <c:v>L1-02 Frode esterna</c:v>
                </c:pt>
                <c:pt idx="2">
                  <c:v>L1-03 Rapporti di impiego e sicurezza sul lavoro</c:v>
                </c:pt>
                <c:pt idx="3">
                  <c:v>L1-04 Clientela, prodotti e prassi professionali</c:v>
                </c:pt>
                <c:pt idx="4">
                  <c:v>L1-05 Danni a beni materiali</c:v>
                </c:pt>
                <c:pt idx="5">
                  <c:v>L1-06 Interruzione dell'operativita' e disfunzione dei sistemi</c:v>
                </c:pt>
                <c:pt idx="6">
                  <c:v>L1-07 Esecuzione, consegna e gestione dei processi</c:v>
                </c:pt>
              </c:strCache>
            </c:strRef>
          </c:cat>
          <c:val>
            <c:numRef>
              <c:f>Notizie!$H$5:$H$11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F7F7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B17-4A5B-BA04-382FC158CA81}"/>
            </c:ext>
          </c:extLst>
        </c:ser>
        <c:ser>
          <c:idx val="2"/>
          <c:order val="2"/>
          <c:tx>
            <c:strRef>
              <c:f>Notizie!$I$4</c:f>
              <c:strCache>
                <c:ptCount val="1"/>
                <c:pt idx="0">
                  <c:v>Intensita' 3: diretto e immediato</c:v>
                </c:pt>
              </c:strCache>
            </c:strRef>
          </c:tx>
          <c:spPr>
            <a:solidFill>
              <a:srgbClr val="C55A11"/>
            </a:solidFill>
            <a:ln>
              <a:solidFill>
                <a:srgbClr val="7F7F7F"/>
              </a:solidFill>
              <a:prstDash val="solid"/>
            </a:ln>
          </c:spPr>
          <c:invertIfNegative val="1"/>
          <c:cat>
            <c:strRef>
              <c:f>Notizie!$J$5:$J$11</c:f>
              <c:strCache>
                <c:ptCount val="7"/>
                <c:pt idx="0">
                  <c:v>L1-01 Frode interna</c:v>
                </c:pt>
                <c:pt idx="1">
                  <c:v>L1-02 Frode esterna</c:v>
                </c:pt>
                <c:pt idx="2">
                  <c:v>L1-03 Rapporti di impiego e sicurezza sul lavoro</c:v>
                </c:pt>
                <c:pt idx="3">
                  <c:v>L1-04 Clientela, prodotti e prassi professionali</c:v>
                </c:pt>
                <c:pt idx="4">
                  <c:v>L1-05 Danni a beni materiali</c:v>
                </c:pt>
                <c:pt idx="5">
                  <c:v>L1-06 Interruzione dell'operativita' e disfunzione dei sistemi</c:v>
                </c:pt>
                <c:pt idx="6">
                  <c:v>L1-07 Esecuzione, consegna e gestione dei processi</c:v>
                </c:pt>
              </c:strCache>
            </c:strRef>
          </c:cat>
          <c:val>
            <c:numRef>
              <c:f>Notizie!$I$5:$I$11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F7F7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B17-4A5B-BA04-382FC158C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t"/>
        <c:majorGridlines>
          <c:spPr>
            <a:ln>
              <a:solidFill>
                <a:srgbClr val="EDEDED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95959"/>
              </a:solidFill>
            </a:defRPr>
          </a:pPr>
          <a:endParaRPr lang="it-IT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t>Segnali per settimana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Notizie!$C$16</c:f>
              <c:strCache>
                <c:ptCount val="1"/>
                <c:pt idx="0">
                  <c:v>Peggiorativi</c:v>
                </c:pt>
              </c:strCache>
            </c:strRef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cat>
            <c:numRef>
              <c:f>Notizie!$A$17:$A$28</c:f>
              <c:numCache>
                <c:formatCode>m/d/yyyy</c:formatCode>
                <c:ptCount val="12"/>
                <c:pt idx="0">
                  <c:v>46125</c:v>
                </c:pt>
                <c:pt idx="1">
                  <c:v>46132</c:v>
                </c:pt>
                <c:pt idx="2">
                  <c:v>46139</c:v>
                </c:pt>
                <c:pt idx="3">
                  <c:v>46146</c:v>
                </c:pt>
                <c:pt idx="4">
                  <c:v>46153</c:v>
                </c:pt>
                <c:pt idx="5">
                  <c:v>46160</c:v>
                </c:pt>
                <c:pt idx="6">
                  <c:v>46167</c:v>
                </c:pt>
                <c:pt idx="7">
                  <c:v>46174</c:v>
                </c:pt>
                <c:pt idx="8">
                  <c:v>46181</c:v>
                </c:pt>
                <c:pt idx="9">
                  <c:v>46188</c:v>
                </c:pt>
                <c:pt idx="10">
                  <c:v>46195</c:v>
                </c:pt>
                <c:pt idx="11">
                  <c:v>46202</c:v>
                </c:pt>
              </c:numCache>
            </c:numRef>
          </c:cat>
          <c:val>
            <c:numRef>
              <c:f>Notizie!$C$17:$C$28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B5A-4098-9053-405AF851C73E}"/>
            </c:ext>
          </c:extLst>
        </c:ser>
        <c:ser>
          <c:idx val="1"/>
          <c:order val="1"/>
          <c:tx>
            <c:strRef>
              <c:f>Notizie!$D$16</c:f>
              <c:strCache>
                <c:ptCount val="1"/>
                <c:pt idx="0">
                  <c:v>Migliorativi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numRef>
              <c:f>Notizie!$A$17:$A$28</c:f>
              <c:numCache>
                <c:formatCode>m/d/yyyy</c:formatCode>
                <c:ptCount val="12"/>
                <c:pt idx="0">
                  <c:v>46125</c:v>
                </c:pt>
                <c:pt idx="1">
                  <c:v>46132</c:v>
                </c:pt>
                <c:pt idx="2">
                  <c:v>46139</c:v>
                </c:pt>
                <c:pt idx="3">
                  <c:v>46146</c:v>
                </c:pt>
                <c:pt idx="4">
                  <c:v>46153</c:v>
                </c:pt>
                <c:pt idx="5">
                  <c:v>46160</c:v>
                </c:pt>
                <c:pt idx="6">
                  <c:v>46167</c:v>
                </c:pt>
                <c:pt idx="7">
                  <c:v>46174</c:v>
                </c:pt>
                <c:pt idx="8">
                  <c:v>46181</c:v>
                </c:pt>
                <c:pt idx="9">
                  <c:v>46188</c:v>
                </c:pt>
                <c:pt idx="10">
                  <c:v>46195</c:v>
                </c:pt>
                <c:pt idx="11">
                  <c:v>46202</c:v>
                </c:pt>
              </c:numCache>
            </c:numRef>
          </c:cat>
          <c:val>
            <c:numRef>
              <c:f>Notizie!$D$17:$D$28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B5A-4098-9053-405AF851C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DEDED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95959"/>
                </a:solidFill>
              </a:defRPr>
            </a:pPr>
            <a:endParaRPr lang="it-IT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95959"/>
              </a:solidFill>
            </a:defRPr>
          </a:pPr>
          <a:endParaRPr lang="it-IT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30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5580000" cy="45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5580000" cy="45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6120000" cy="61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220000" cy="41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21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51</xdr:row>
      <xdr:rowOff>0</xdr:rowOff>
    </xdr:from>
    <xdr:ext cx="79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alidazione" displayName="tblValidazione" ref="A5:L442">
  <autoFilter ref="A5:L442" xr:uid="{00000000-0009-0000-0100-000001000000}"/>
  <tableColumns count="12">
    <tableColumn id="1" xr3:uid="{00000000-0010-0000-0000-000001000000}" name="Periodo"/>
    <tableColumn id="2" xr3:uid="{00000000-0010-0000-0000-000002000000}" name="Oggetto"/>
    <tableColumn id="3" xr3:uid="{00000000-0010-0000-0000-000003000000}" name="ID"/>
    <tableColumn id="4" xr3:uid="{00000000-0010-0000-0000-000004000000}" name="Nome"/>
    <tableColumn id="5" xr3:uid="{00000000-0010-0000-0000-000005000000}" name="Campo"/>
    <tableColumn id="6" xr3:uid="{00000000-0010-0000-0000-000006000000}" name="Proposta_Agente"/>
    <tableColumn id="7" xr3:uid="{00000000-0010-0000-0000-000007000000}" name="Decisione"/>
    <tableColumn id="8" xr3:uid="{00000000-0010-0000-0000-000008000000}" name="Valore_Validato"/>
    <tableColumn id="9" xr3:uid="{00000000-0010-0000-0000-000009000000}" name="Motivazione"/>
    <tableColumn id="10" xr3:uid="{00000000-0010-0000-0000-00000A000000}" name="Validato_Da"/>
    <tableColumn id="11" xr3:uid="{00000000-0010-0000-0000-00000B000000}" name="Data_Validazione"/>
    <tableColumn id="12" xr3:uid="{00000000-0010-0000-0000-00000C000000}" name="Sta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egister" displayName="tblRegister" ref="A5:X50">
  <autoFilter ref="A5:X50" xr:uid="{00000000-0009-0000-0100-000002000000}"/>
  <tableColumns count="24">
    <tableColumn id="1" xr3:uid="{00000000-0010-0000-0100-000001000000}" name="Ciclo"/>
    <tableColumn id="2" xr3:uid="{00000000-0010-0000-0100-000002000000}" name="Data_Riferimento"/>
    <tableColumn id="3" xr3:uid="{00000000-0010-0000-0100-000003000000}" name="ID_Rischio"/>
    <tableColumn id="4" xr3:uid="{00000000-0010-0000-0100-000004000000}" name="Nome"/>
    <tableColumn id="5" xr3:uid="{00000000-0010-0000-0100-000005000000}" name="Event_Type"/>
    <tableColumn id="6" xr3:uid="{00000000-0010-0000-0100-000006000000}" name="Driver"/>
    <tableColumn id="7" xr3:uid="{00000000-0010-0000-0100-000007000000}" name="Severity"/>
    <tableColumn id="8" xr3:uid="{00000000-0010-0000-0100-000008000000}" name="Velocity"/>
    <tableColumn id="9" xr3:uid="{00000000-0010-0000-0100-000009000000}" name="Prossimita"/>
    <tableColumn id="10" xr3:uid="{00000000-0010-0000-0100-00000A000000}" name="Gap_Controlli"/>
    <tableColumn id="11" xr3:uid="{00000000-0010-0000-0100-00000B000000}" name="Score_Composito"/>
    <tableColumn id="12" xr3:uid="{00000000-0010-0000-0100-00000C000000}" name="Confidence"/>
    <tableColumn id="13" xr3:uid="{00000000-0010-0000-0100-00000D000000}" name="Probabilita"/>
    <tableColumn id="14" xr3:uid="{00000000-0010-0000-0100-00000E000000}" name="Esito"/>
    <tableColumn id="15" xr3:uid="{00000000-0010-0000-0100-00000F000000}" name="Descrizione"/>
    <tableColumn id="16" xr3:uid="{00000000-0010-0000-0100-000010000000}" name="Razionale"/>
    <tableColumn id="17" xr3:uid="{00000000-0010-0000-0100-000011000000}" name="Variazioni"/>
    <tableColumn id="18" xr3:uid="{00000000-0010-0000-0100-000012000000}" name="Fonti"/>
    <tableColumn id="19" xr3:uid="{00000000-0010-0000-0100-000013000000}" name="Owner"/>
    <tableColumn id="20" xr3:uid="{00000000-0010-0000-0100-000014000000}" name="Chiave"/>
    <tableColumn id="21" xr3:uid="{00000000-0010-0000-0100-000015000000}" name="Data_Scrittura"/>
    <tableColumn id="22" xr3:uid="{00000000-0010-0000-0100-000016000000}" name="Approvato_Da"/>
    <tableColumn id="23" xr3:uid="{00000000-0010-0000-0100-000017000000}" name="Validazione"/>
    <tableColumn id="24" xr3:uid="{00000000-0010-0000-0100-000018000000}" name="Data_Validazi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zioni" displayName="tblAzioni" ref="A5:M32">
  <autoFilter ref="A5:M32" xr:uid="{00000000-0009-0000-0100-000003000000}"/>
  <tableColumns count="13">
    <tableColumn id="1" xr3:uid="{00000000-0010-0000-0200-000001000000}" name="Ciclo"/>
    <tableColumn id="2" xr3:uid="{00000000-0010-0000-0200-000002000000}" name="ID_Rischio"/>
    <tableColumn id="3" xr3:uid="{00000000-0010-0000-0200-000003000000}" name="ID_Azione"/>
    <tableColumn id="4" xr3:uid="{00000000-0010-0000-0200-000004000000}" name="Descrizione"/>
    <tableColumn id="5" xr3:uid="{00000000-0010-0000-0200-000005000000}" name="Owner"/>
    <tableColumn id="6" xr3:uid="{00000000-0010-0000-0200-000006000000}" name="Dimensione"/>
    <tableColumn id="7" xr3:uid="{00000000-0010-0000-0200-000007000000}" name="Orizzonte"/>
    <tableColumn id="8" xr3:uid="{00000000-0010-0000-0200-000008000000}" name="Mesi_Orizzonte"/>
    <tableColumn id="9" xr3:uid="{00000000-0010-0000-0200-000009000000}" name="Razionale"/>
    <tableColumn id="10" xr3:uid="{00000000-0010-0000-0200-00000A000000}" name="Stato"/>
    <tableColumn id="11" xr3:uid="{00000000-0010-0000-0200-00000B000000}" name="Data_Decisione"/>
    <tableColumn id="12" xr3:uid="{00000000-0010-0000-0200-00000C000000}" name="Decisa_Da"/>
    <tableColumn id="13" xr3:uid="{00000000-0010-0000-0200-00000D000000}" name="Validazi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KRI" displayName="tblKRI" ref="A5:S141">
  <autoFilter ref="A5:S141" xr:uid="{00000000-0009-0000-0100-000004000000}"/>
  <tableColumns count="19">
    <tableColumn id="1" xr3:uid="{00000000-0010-0000-0300-000001000000}" name="Ciclo"/>
    <tableColumn id="2" xr3:uid="{00000000-0010-0000-0300-000002000000}" name="KRI_ID"/>
    <tableColumn id="3" xr3:uid="{00000000-0010-0000-0300-000003000000}" name="ID_Rischio"/>
    <tableColumn id="4" xr3:uid="{00000000-0010-0000-0300-000004000000}" name="Nome"/>
    <tableColumn id="5" xr3:uid="{00000000-0010-0000-0300-000005000000}" name="Unita"/>
    <tableColumn id="6" xr3:uid="{00000000-0010-0000-0300-000006000000}" name="Fonte_Dati"/>
    <tableColumn id="7" xr3:uid="{00000000-0010-0000-0300-000007000000}" name="Soglia_Attenzione"/>
    <tableColumn id="8" xr3:uid="{00000000-0010-0000-0300-000008000000}" name="Soglia_Allerta"/>
    <tableColumn id="9" xr3:uid="{00000000-0010-0000-0300-000009000000}" name="Valore_Corrente"/>
    <tableColumn id="10" xr3:uid="{00000000-0010-0000-0300-00000A000000}" name="Data_Rilevazione"/>
    <tableColumn id="11" xr3:uid="{00000000-0010-0000-0300-00000B000000}" name="Fonte_Rilevazione"/>
    <tableColumn id="12" xr3:uid="{00000000-0010-0000-0300-00000C000000}" name="Nota_Rilevazione"/>
    <tableColumn id="13" xr3:uid="{00000000-0010-0000-0300-00000D000000}" name="Stato"/>
    <tableColumn id="14" xr3:uid="{00000000-0010-0000-0300-00000E000000}" name="In_Vigore"/>
    <tableColumn id="15" xr3:uid="{00000000-0010-0000-0300-00000F000000}" name="Ciclo_Definizione"/>
    <tableColumn id="16" xr3:uid="{00000000-0010-0000-0300-000010000000}" name="Ciclo_Aggiornamento"/>
    <tableColumn id="17" xr3:uid="{00000000-0010-0000-0300-000011000000}" name="Razionale"/>
    <tableColumn id="18" xr3:uid="{00000000-0010-0000-0300-000012000000}" name="Chiave"/>
    <tableColumn id="19" xr3:uid="{00000000-0010-0000-0300-000013000000}" name="Validazi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News" displayName="tblNews" ref="A5:Q15">
  <autoFilter ref="A5:Q15" xr:uid="{00000000-0009-0000-0100-000005000000}"/>
  <tableColumns count="17">
    <tableColumn id="1" xr3:uid="{00000000-0010-0000-0400-000001000000}" name="Data"/>
    <tableColumn id="2" xr3:uid="{00000000-0010-0000-0400-000002000000}" name="Settimana"/>
    <tableColumn id="3" xr3:uid="{00000000-0010-0000-0400-000003000000}" name="ID_Notizia"/>
    <tableColumn id="4" xr3:uid="{00000000-0010-0000-0400-000004000000}" name="Titolo"/>
    <tableColumn id="5" xr3:uid="{00000000-0010-0000-0400-000005000000}" name="Fonte"/>
    <tableColumn id="6" xr3:uid="{00000000-0010-0000-0400-000006000000}" name="Codice_Fonte"/>
    <tableColumn id="7" xr3:uid="{00000000-0010-0000-0400-000007000000}" name="Rischio_ID"/>
    <tableColumn id="8" xr3:uid="{00000000-0010-0000-0400-000008000000}" name="Segnale"/>
    <tableColumn id="9" xr3:uid="{00000000-0010-0000-0400-000009000000}" name="Imp_L1_01"/>
    <tableColumn id="10" xr3:uid="{00000000-0010-0000-0400-00000A000000}" name="Imp_L1_02"/>
    <tableColumn id="11" xr3:uid="{00000000-0010-0000-0400-00000B000000}" name="Imp_L1_03"/>
    <tableColumn id="12" xr3:uid="{00000000-0010-0000-0400-00000C000000}" name="Imp_L1_04"/>
    <tableColumn id="13" xr3:uid="{00000000-0010-0000-0400-00000D000000}" name="Imp_L1_05"/>
    <tableColumn id="14" xr3:uid="{00000000-0010-0000-0400-00000E000000}" name="Imp_L1_06"/>
    <tableColumn id="15" xr3:uid="{00000000-0010-0000-0400-00000F000000}" name="Imp_L1_07"/>
    <tableColumn id="16" xr3:uid="{00000000-0010-0000-0400-000010000000}" name="Sintesi"/>
    <tableColumn id="17" xr3:uid="{00000000-0010-0000-0400-000011000000}" name="Validazi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intesi" displayName="tblSintesi" ref="A5:F9">
  <autoFilter ref="A5:F9" xr:uid="{00000000-0009-0000-0100-000006000000}"/>
  <tableColumns count="6">
    <tableColumn id="1" xr3:uid="{00000000-0010-0000-0500-000001000000}" name="Ciclo"/>
    <tableColumn id="2" xr3:uid="{00000000-0010-0000-0500-000002000000}" name="Data_Riferimento"/>
    <tableColumn id="3" xr3:uid="{00000000-0010-0000-0500-000003000000}" name="Sintesi_A1"/>
    <tableColumn id="4" xr3:uid="{00000000-0010-0000-0500-000004000000}" name="Sintesi_A5"/>
    <tableColumn id="5" xr3:uid="{00000000-0010-0000-0500-000005000000}" name="Osservazioni_Controlli"/>
    <tableColumn id="6" xr3:uid="{00000000-0010-0000-0500-000006000000}" name="Data_Scrit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8F00"/>
  </sheetPr>
  <dimension ref="A1:E55"/>
  <sheetViews>
    <sheetView showGridLines="0" workbookViewId="0"/>
  </sheetViews>
  <sheetFormatPr defaultRowHeight="14.6" x14ac:dyDescent="0.4"/>
  <cols>
    <col min="1" max="1" width="30" customWidth="1"/>
    <col min="2" max="2" width="28" customWidth="1"/>
    <col min="3" max="4" width="34" customWidth="1"/>
    <col min="5" max="5" width="40" customWidth="1"/>
  </cols>
  <sheetData>
    <row r="1" spans="1:5" ht="28" customHeight="1" x14ac:dyDescent="0.4">
      <c r="A1" s="126" t="str">
        <f>"Horizon Scan NFR — Guida: come si usa questo workbook   ·   "&amp;etichettaCiclo</f>
        <v>Horizon Scan NFR — Guida: come si usa questo workbook   ·   Ciclo 2026Q3 · dati al 30/09/2026 · validato · Uso interno</v>
      </c>
      <c r="B1" s="127"/>
      <c r="C1" s="127"/>
      <c r="D1" s="127"/>
      <c r="E1" s="127"/>
    </row>
    <row r="3" spans="1:5" x14ac:dyDescent="0.4">
      <c r="A3" s="130" t="s">
        <v>45</v>
      </c>
      <c r="B3" s="98"/>
      <c r="C3" s="98"/>
      <c r="D3" s="98"/>
      <c r="E3" s="98"/>
    </row>
    <row r="4" spans="1:5" ht="32.049999999999997" customHeight="1" x14ac:dyDescent="0.4">
      <c r="A4" s="129" t="s">
        <v>46</v>
      </c>
      <c r="B4" s="98"/>
      <c r="C4" s="98"/>
      <c r="D4" s="98"/>
      <c r="E4" s="98"/>
    </row>
    <row r="6" spans="1:5" x14ac:dyDescent="0.4">
      <c r="A6" s="130" t="s">
        <v>47</v>
      </c>
      <c r="B6" s="98"/>
      <c r="C6" s="98"/>
      <c r="D6" s="98"/>
      <c r="E6" s="98"/>
    </row>
    <row r="7" spans="1:5" x14ac:dyDescent="0.4">
      <c r="A7" s="1" t="s">
        <v>48</v>
      </c>
      <c r="B7" s="3" t="s">
        <v>49</v>
      </c>
      <c r="C7" s="4" t="s">
        <v>50</v>
      </c>
      <c r="D7" s="5" t="s">
        <v>51</v>
      </c>
      <c r="E7" s="1" t="s">
        <v>52</v>
      </c>
    </row>
    <row r="8" spans="1:5" x14ac:dyDescent="0.4">
      <c r="A8" s="6" t="s">
        <v>53</v>
      </c>
    </row>
    <row r="9" spans="1:5" x14ac:dyDescent="0.4">
      <c r="A9" s="7" t="s">
        <v>54</v>
      </c>
      <c r="B9" s="2"/>
      <c r="C9" s="8" t="s">
        <v>55</v>
      </c>
      <c r="D9" s="9" t="s">
        <v>56</v>
      </c>
      <c r="E9" s="2" t="s">
        <v>57</v>
      </c>
    </row>
    <row r="10" spans="1:5" x14ac:dyDescent="0.4">
      <c r="A10" s="7" t="s">
        <v>58</v>
      </c>
      <c r="B10" s="2"/>
      <c r="C10" s="8" t="s">
        <v>59</v>
      </c>
      <c r="D10" s="9" t="s">
        <v>60</v>
      </c>
      <c r="E10" s="2" t="s">
        <v>61</v>
      </c>
    </row>
    <row r="11" spans="1:5" ht="29.15" x14ac:dyDescent="0.4">
      <c r="A11" s="7" t="s">
        <v>62</v>
      </c>
      <c r="B11" s="2"/>
      <c r="C11" s="8" t="s">
        <v>63</v>
      </c>
      <c r="D11" s="9" t="s">
        <v>64</v>
      </c>
      <c r="E11" s="2" t="s">
        <v>65</v>
      </c>
    </row>
    <row r="12" spans="1:5" x14ac:dyDescent="0.4">
      <c r="A12" s="7" t="s">
        <v>66</v>
      </c>
      <c r="B12" s="2"/>
      <c r="C12" s="8" t="s">
        <v>67</v>
      </c>
      <c r="D12" s="9" t="s">
        <v>60</v>
      </c>
      <c r="E12" s="2" t="s">
        <v>68</v>
      </c>
    </row>
    <row r="13" spans="1:5" x14ac:dyDescent="0.4">
      <c r="A13" s="7" t="s">
        <v>69</v>
      </c>
      <c r="B13" s="2"/>
      <c r="C13" s="8" t="s">
        <v>70</v>
      </c>
      <c r="D13" s="2"/>
      <c r="E13" s="2" t="s">
        <v>71</v>
      </c>
    </row>
    <row r="14" spans="1:5" x14ac:dyDescent="0.4">
      <c r="A14" s="7" t="s">
        <v>72</v>
      </c>
      <c r="B14" s="2"/>
      <c r="C14" s="2"/>
      <c r="D14" s="9" t="s">
        <v>73</v>
      </c>
      <c r="E14" s="2" t="s">
        <v>74</v>
      </c>
    </row>
    <row r="15" spans="1:5" x14ac:dyDescent="0.4">
      <c r="A15" s="6" t="s">
        <v>75</v>
      </c>
    </row>
    <row r="16" spans="1:5" x14ac:dyDescent="0.4">
      <c r="A16" s="7" t="s">
        <v>76</v>
      </c>
      <c r="B16" s="10" t="s">
        <v>77</v>
      </c>
      <c r="C16" s="8" t="s">
        <v>78</v>
      </c>
      <c r="D16" s="9" t="s">
        <v>79</v>
      </c>
      <c r="E16" s="2" t="s">
        <v>80</v>
      </c>
    </row>
    <row r="17" spans="1:5" ht="29.15" x14ac:dyDescent="0.4">
      <c r="A17" s="7" t="s">
        <v>81</v>
      </c>
      <c r="B17" s="2"/>
      <c r="C17" s="8" t="s">
        <v>82</v>
      </c>
      <c r="D17" s="2"/>
      <c r="E17" s="2" t="s">
        <v>83</v>
      </c>
    </row>
    <row r="18" spans="1:5" x14ac:dyDescent="0.4">
      <c r="A18" s="7" t="s">
        <v>84</v>
      </c>
      <c r="B18" s="10" t="s">
        <v>85</v>
      </c>
      <c r="C18" s="2"/>
      <c r="D18" s="2"/>
      <c r="E18" s="2" t="s">
        <v>86</v>
      </c>
    </row>
    <row r="19" spans="1:5" ht="29.15" x14ac:dyDescent="0.4">
      <c r="A19" s="7" t="s">
        <v>87</v>
      </c>
      <c r="B19" s="2"/>
      <c r="C19" s="8" t="s">
        <v>88</v>
      </c>
      <c r="D19" s="9" t="s">
        <v>89</v>
      </c>
      <c r="E19" s="2" t="s">
        <v>90</v>
      </c>
    </row>
    <row r="20" spans="1:5" x14ac:dyDescent="0.4">
      <c r="A20" s="7" t="s">
        <v>7</v>
      </c>
      <c r="B20" s="10" t="s">
        <v>91</v>
      </c>
      <c r="C20" s="8" t="s">
        <v>92</v>
      </c>
      <c r="D20" s="9" t="s">
        <v>93</v>
      </c>
      <c r="E20" s="2" t="s">
        <v>94</v>
      </c>
    </row>
    <row r="21" spans="1:5" x14ac:dyDescent="0.4">
      <c r="A21" s="7" t="s">
        <v>95</v>
      </c>
      <c r="B21" s="10" t="s">
        <v>96</v>
      </c>
      <c r="C21" s="8" t="s">
        <v>97</v>
      </c>
      <c r="D21" s="9" t="s">
        <v>98</v>
      </c>
      <c r="E21" s="2" t="s">
        <v>99</v>
      </c>
    </row>
    <row r="22" spans="1:5" x14ac:dyDescent="0.4">
      <c r="A22" s="7" t="s">
        <v>100</v>
      </c>
      <c r="B22" s="2"/>
      <c r="C22" s="2"/>
      <c r="D22" s="2"/>
      <c r="E22" s="2" t="s">
        <v>101</v>
      </c>
    </row>
    <row r="23" spans="1:5" x14ac:dyDescent="0.4">
      <c r="A23" s="6" t="s">
        <v>102</v>
      </c>
    </row>
    <row r="24" spans="1:5" x14ac:dyDescent="0.4">
      <c r="A24" s="7" t="s">
        <v>103</v>
      </c>
      <c r="B24" s="2"/>
      <c r="C24" s="8" t="s">
        <v>104</v>
      </c>
      <c r="D24" s="9" t="s">
        <v>60</v>
      </c>
      <c r="E24" s="2" t="s">
        <v>105</v>
      </c>
    </row>
    <row r="25" spans="1:5" ht="29.15" x14ac:dyDescent="0.4">
      <c r="A25" s="7" t="s">
        <v>106</v>
      </c>
      <c r="B25" s="2"/>
      <c r="C25" s="8" t="s">
        <v>88</v>
      </c>
      <c r="D25" s="9" t="s">
        <v>107</v>
      </c>
      <c r="E25" s="2" t="s">
        <v>108</v>
      </c>
    </row>
    <row r="26" spans="1:5" x14ac:dyDescent="0.4">
      <c r="A26" s="7" t="s">
        <v>109</v>
      </c>
      <c r="B26" s="2"/>
      <c r="C26" s="8" t="s">
        <v>110</v>
      </c>
      <c r="D26" s="9" t="s">
        <v>111</v>
      </c>
      <c r="E26" s="2" t="s">
        <v>112</v>
      </c>
    </row>
    <row r="27" spans="1:5" x14ac:dyDescent="0.4">
      <c r="A27" s="7" t="s">
        <v>113</v>
      </c>
      <c r="B27" s="10" t="s">
        <v>114</v>
      </c>
      <c r="C27" s="2"/>
      <c r="D27" s="9" t="s">
        <v>115</v>
      </c>
      <c r="E27" s="2" t="s">
        <v>116</v>
      </c>
    </row>
    <row r="28" spans="1:5" x14ac:dyDescent="0.4">
      <c r="A28" s="7" t="s">
        <v>117</v>
      </c>
      <c r="B28" s="2"/>
      <c r="C28" s="8" t="s">
        <v>118</v>
      </c>
      <c r="D28" s="2"/>
      <c r="E28" s="2" t="s">
        <v>119</v>
      </c>
    </row>
    <row r="29" spans="1:5" x14ac:dyDescent="0.4">
      <c r="A29" s="6" t="s">
        <v>120</v>
      </c>
    </row>
    <row r="30" spans="1:5" x14ac:dyDescent="0.4">
      <c r="A30" s="7" t="s">
        <v>121</v>
      </c>
      <c r="B30" s="2"/>
      <c r="C30" s="8" t="s">
        <v>122</v>
      </c>
      <c r="D30" s="9" t="s">
        <v>123</v>
      </c>
      <c r="E30" s="2" t="s">
        <v>124</v>
      </c>
    </row>
    <row r="31" spans="1:5" ht="32.049999999999997" customHeight="1" x14ac:dyDescent="0.4">
      <c r="A31" s="129" t="s">
        <v>125</v>
      </c>
      <c r="B31" s="98"/>
      <c r="C31" s="98"/>
      <c r="D31" s="98"/>
      <c r="E31" s="98"/>
    </row>
    <row r="33" spans="1:5" x14ac:dyDescent="0.4">
      <c r="A33" s="132" t="s">
        <v>126</v>
      </c>
      <c r="B33" s="98"/>
      <c r="C33" s="98"/>
      <c r="D33" s="98"/>
      <c r="E33" s="98"/>
    </row>
    <row r="34" spans="1:5" ht="32.049999999999997" customHeight="1" x14ac:dyDescent="0.4">
      <c r="A34" s="129" t="s">
        <v>127</v>
      </c>
      <c r="B34" s="98"/>
      <c r="C34" s="98"/>
      <c r="D34" s="98"/>
      <c r="E34" s="98"/>
    </row>
    <row r="35" spans="1:5" ht="32.049999999999997" customHeight="1" x14ac:dyDescent="0.4">
      <c r="A35" s="129" t="s">
        <v>128</v>
      </c>
      <c r="B35" s="98"/>
      <c r="C35" s="98"/>
      <c r="D35" s="98"/>
      <c r="E35" s="98"/>
    </row>
    <row r="37" spans="1:5" x14ac:dyDescent="0.4">
      <c r="A37" s="131" t="s">
        <v>129</v>
      </c>
      <c r="B37" s="98"/>
      <c r="C37" s="98"/>
      <c r="D37" s="98"/>
      <c r="E37" s="98"/>
    </row>
    <row r="38" spans="1:5" x14ac:dyDescent="0.4">
      <c r="A38" s="129" t="s">
        <v>130</v>
      </c>
      <c r="B38" s="98"/>
      <c r="C38" s="98"/>
      <c r="D38" s="98"/>
      <c r="E38" s="98"/>
    </row>
    <row r="39" spans="1:5" ht="32.049999999999997" customHeight="1" x14ac:dyDescent="0.4">
      <c r="A39" s="129" t="s">
        <v>131</v>
      </c>
      <c r="B39" s="98"/>
      <c r="C39" s="98"/>
      <c r="D39" s="98"/>
      <c r="E39" s="98"/>
    </row>
    <row r="40" spans="1:5" x14ac:dyDescent="0.4">
      <c r="A40" s="129" t="s">
        <v>132</v>
      </c>
      <c r="B40" s="98"/>
      <c r="C40" s="98"/>
      <c r="D40" s="98"/>
      <c r="E40" s="98"/>
    </row>
    <row r="41" spans="1:5" x14ac:dyDescent="0.4">
      <c r="A41" s="129" t="s">
        <v>133</v>
      </c>
      <c r="B41" s="98"/>
      <c r="C41" s="98"/>
      <c r="D41" s="98"/>
      <c r="E41" s="98"/>
    </row>
    <row r="42" spans="1:5" x14ac:dyDescent="0.4">
      <c r="A42" s="129" t="s">
        <v>134</v>
      </c>
      <c r="B42" s="98"/>
      <c r="C42" s="98"/>
      <c r="D42" s="98"/>
      <c r="E42" s="98"/>
    </row>
    <row r="44" spans="1:5" x14ac:dyDescent="0.4">
      <c r="A44" s="130" t="s">
        <v>135</v>
      </c>
      <c r="B44" s="98"/>
      <c r="C44" s="98"/>
      <c r="D44" s="98"/>
      <c r="E44" s="98"/>
    </row>
    <row r="45" spans="1:5" x14ac:dyDescent="0.4">
      <c r="A45" s="129" t="s">
        <v>136</v>
      </c>
      <c r="B45" s="98"/>
      <c r="C45" s="98"/>
      <c r="D45" s="98"/>
      <c r="E45" s="98"/>
    </row>
    <row r="46" spans="1:5" x14ac:dyDescent="0.4">
      <c r="A46" s="129" t="s">
        <v>137</v>
      </c>
      <c r="B46" s="98"/>
      <c r="C46" s="98"/>
      <c r="D46" s="98"/>
      <c r="E46" s="98"/>
    </row>
    <row r="47" spans="1:5" x14ac:dyDescent="0.4">
      <c r="A47" s="129" t="s">
        <v>138</v>
      </c>
      <c r="B47" s="98"/>
      <c r="C47" s="98"/>
      <c r="D47" s="98"/>
      <c r="E47" s="98"/>
    </row>
    <row r="48" spans="1:5" x14ac:dyDescent="0.4">
      <c r="A48" s="129" t="s">
        <v>139</v>
      </c>
      <c r="B48" s="98"/>
      <c r="C48" s="98"/>
      <c r="D48" s="98"/>
      <c r="E48" s="98"/>
    </row>
    <row r="49" spans="1:5" x14ac:dyDescent="0.4">
      <c r="A49" s="129" t="s">
        <v>140</v>
      </c>
      <c r="B49" s="98"/>
      <c r="C49" s="98"/>
      <c r="D49" s="98"/>
      <c r="E49" s="98"/>
    </row>
    <row r="50" spans="1:5" x14ac:dyDescent="0.4">
      <c r="A50" s="129" t="s">
        <v>141</v>
      </c>
      <c r="B50" s="98"/>
      <c r="C50" s="98"/>
      <c r="D50" s="98"/>
      <c r="E50" s="98"/>
    </row>
    <row r="52" spans="1:5" x14ac:dyDescent="0.4">
      <c r="A52" s="130" t="s">
        <v>142</v>
      </c>
      <c r="B52" s="98"/>
      <c r="C52" s="98"/>
      <c r="D52" s="98"/>
      <c r="E52" s="98"/>
    </row>
    <row r="53" spans="1:5" ht="32.049999999999997" customHeight="1" x14ac:dyDescent="0.4">
      <c r="A53" s="129" t="s">
        <v>143</v>
      </c>
      <c r="B53" s="98"/>
      <c r="C53" s="98"/>
      <c r="D53" s="98"/>
      <c r="E53" s="98"/>
    </row>
    <row r="55" spans="1:5" x14ac:dyDescent="0.4">
      <c r="A55" s="129" t="s">
        <v>144</v>
      </c>
      <c r="B55" s="98"/>
      <c r="C55" s="98"/>
      <c r="D55" s="98"/>
      <c r="E55" s="98"/>
    </row>
  </sheetData>
  <mergeCells count="24">
    <mergeCell ref="A55:E55"/>
    <mergeCell ref="A50:E50"/>
    <mergeCell ref="A42:E42"/>
    <mergeCell ref="A33:E33"/>
    <mergeCell ref="A47:E47"/>
    <mergeCell ref="A53:E53"/>
    <mergeCell ref="A35:E35"/>
    <mergeCell ref="A38:E38"/>
    <mergeCell ref="A52:E52"/>
    <mergeCell ref="A44:E44"/>
    <mergeCell ref="A40:E40"/>
    <mergeCell ref="A39:E39"/>
    <mergeCell ref="A34:E34"/>
    <mergeCell ref="A48:E48"/>
    <mergeCell ref="A49:E49"/>
    <mergeCell ref="A46:E46"/>
    <mergeCell ref="A1:E1"/>
    <mergeCell ref="A45:E45"/>
    <mergeCell ref="A6:E6"/>
    <mergeCell ref="A41:E41"/>
    <mergeCell ref="A37:E37"/>
    <mergeCell ref="A3:E3"/>
    <mergeCell ref="A4:E4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DF77"/>
  <sheetViews>
    <sheetView showGridLines="0" tabSelected="1" workbookViewId="0">
      <selection sqref="A1:O1"/>
    </sheetView>
  </sheetViews>
  <sheetFormatPr defaultRowHeight="14.6" x14ac:dyDescent="0.4"/>
  <cols>
    <col min="1" max="8" width="10.4609375" customWidth="1"/>
    <col min="9" max="9" width="3" customWidth="1"/>
    <col min="10" max="15" width="10.4609375" customWidth="1"/>
    <col min="20" max="23" width="13" hidden="1" customWidth="1"/>
    <col min="60" max="110" width="13" hidden="1" customWidth="1"/>
  </cols>
  <sheetData>
    <row r="1" spans="1:110" ht="28" customHeight="1" x14ac:dyDescent="0.4">
      <c r="A1" s="126" t="str">
        <f>"Horizon Scan NFR — Quadro d'insieme   ·   "&amp;etichettaCiclo</f>
        <v>Horizon Scan NFR — Quadro d'insieme   ·   Ciclo 2026Q3 · dati al 30/09/2026 · validato · Uso interno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</row>
    <row r="2" spans="1:110" ht="59.05" customHeight="1" x14ac:dyDescent="0.4">
      <c r="A2" s="112" t="s">
        <v>0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 spans="1:110" x14ac:dyDescent="0.4">
      <c r="BH3" t="s">
        <v>1</v>
      </c>
      <c r="CM3" t="s">
        <v>2</v>
      </c>
      <c r="CN3" t="s">
        <v>2</v>
      </c>
      <c r="CO3" t="s">
        <v>2</v>
      </c>
      <c r="CP3" t="s">
        <v>2</v>
      </c>
      <c r="CQ3" t="s">
        <v>2</v>
      </c>
      <c r="CR3" t="s">
        <v>2</v>
      </c>
      <c r="CS3" t="s">
        <v>2</v>
      </c>
      <c r="CT3" t="s">
        <v>2</v>
      </c>
      <c r="CU3" t="s">
        <v>2</v>
      </c>
      <c r="CV3" t="s">
        <v>2</v>
      </c>
      <c r="CW3" t="s">
        <v>2</v>
      </c>
      <c r="CX3" t="s">
        <v>2</v>
      </c>
      <c r="CY3" t="s">
        <v>2</v>
      </c>
      <c r="CZ3" t="s">
        <v>2</v>
      </c>
    </row>
    <row r="4" spans="1:110" x14ac:dyDescent="0.4">
      <c r="A4" s="116" t="s">
        <v>3</v>
      </c>
      <c r="B4" s="114"/>
      <c r="C4" s="115"/>
      <c r="D4" s="125" t="s">
        <v>4</v>
      </c>
      <c r="E4" s="118"/>
      <c r="F4" s="119"/>
      <c r="G4" s="116" t="s">
        <v>5</v>
      </c>
      <c r="H4" s="114"/>
      <c r="I4" s="115"/>
      <c r="J4" s="125" t="s">
        <v>6</v>
      </c>
      <c r="K4" s="118"/>
      <c r="L4" s="119"/>
      <c r="M4" s="120" t="s">
        <v>7</v>
      </c>
      <c r="N4" s="105"/>
      <c r="O4" s="106"/>
      <c r="BY4">
        <v>1</v>
      </c>
      <c r="BZ4">
        <v>2</v>
      </c>
      <c r="CA4">
        <v>3</v>
      </c>
      <c r="CB4">
        <v>4</v>
      </c>
      <c r="CC4">
        <v>5</v>
      </c>
      <c r="CD4">
        <v>6</v>
      </c>
      <c r="CE4">
        <v>8</v>
      </c>
      <c r="CF4">
        <v>9</v>
      </c>
      <c r="CG4">
        <v>10</v>
      </c>
      <c r="CH4">
        <v>12</v>
      </c>
      <c r="CI4">
        <v>15</v>
      </c>
      <c r="CJ4">
        <v>16</v>
      </c>
      <c r="CK4">
        <v>20</v>
      </c>
      <c r="CL4">
        <v>25</v>
      </c>
      <c r="CM4">
        <v>1</v>
      </c>
      <c r="CN4">
        <v>2</v>
      </c>
      <c r="CO4">
        <v>3</v>
      </c>
      <c r="CP4">
        <v>4</v>
      </c>
      <c r="CQ4">
        <v>5</v>
      </c>
      <c r="CR4">
        <v>6</v>
      </c>
      <c r="CS4">
        <v>8</v>
      </c>
      <c r="CT4">
        <v>9</v>
      </c>
      <c r="CU4">
        <v>10</v>
      </c>
      <c r="CV4">
        <v>12</v>
      </c>
      <c r="CW4">
        <v>15</v>
      </c>
      <c r="CX4">
        <v>16</v>
      </c>
      <c r="CY4">
        <v>20</v>
      </c>
      <c r="CZ4">
        <v>25</v>
      </c>
    </row>
    <row r="5" spans="1:110" ht="36" customHeight="1" x14ac:dyDescent="0.4">
      <c r="A5" s="113">
        <f>coperturaValutati</f>
        <v>12</v>
      </c>
      <c r="B5" s="114"/>
      <c r="C5" s="115"/>
      <c r="D5" s="117">
        <f>COUNTIF(Radar_Mosca!$L$5:$L$19,"AGIRE ORA*")</f>
        <v>2</v>
      </c>
      <c r="E5" s="118"/>
      <c r="F5" s="119"/>
      <c r="G5" s="113" t="str">
        <f>COUNTIFS(RR_Ciclo,cicloCorrente,RR_Esito,"Variato")&amp;" · "&amp;COUNTIFS(RR_Ciclo,cicloCorrente,RR_Esito,"Nuovo")</f>
        <v>3 · 0</v>
      </c>
      <c r="H5" s="114"/>
      <c r="I5" s="115"/>
      <c r="J5" s="117">
        <f>COUNTIFS(KRI_Ciclo,cicloCorrente,KRI_In_Vigore,"Sì",KRI_Stato,"Rosso")</f>
        <v>0</v>
      </c>
      <c r="K5" s="118"/>
      <c r="L5" s="119"/>
      <c r="M5" s="122" t="str">
        <f>IF(decisioniDaPrendere&gt;0,decisioniDaPrendere,"✓")</f>
        <v>✓</v>
      </c>
      <c r="N5" s="105"/>
      <c r="O5" s="106"/>
      <c r="T5" t="str">
        <f>IF(LEFT(Radar_Mosca!$L$5,9)="AGIRE ORA",Radar_Mosca!$A$5,"")</f>
        <v>NFR-01</v>
      </c>
      <c r="BH5">
        <f>2*PI()*0/72</f>
        <v>0</v>
      </c>
      <c r="BI5">
        <f t="shared" ref="BI5:BI36" si="0">2*SIN($BH5)</f>
        <v>0</v>
      </c>
      <c r="BJ5">
        <f t="shared" ref="BJ5:BJ36" si="1">2*COS($BH5)</f>
        <v>2</v>
      </c>
      <c r="BK5">
        <f t="shared" ref="BK5:BK36" si="2">3*SIN($BH5)</f>
        <v>0</v>
      </c>
      <c r="BL5">
        <f t="shared" ref="BL5:BL36" si="3">3*COS($BH5)</f>
        <v>3</v>
      </c>
      <c r="BM5">
        <f t="shared" ref="BM5:BM36" si="4">4*SIN($BH5)</f>
        <v>0</v>
      </c>
      <c r="BN5">
        <f t="shared" ref="BN5:BN36" si="5">4*COS($BH5)</f>
        <v>4</v>
      </c>
      <c r="BO5">
        <f t="shared" ref="BO5:BO36" si="6">5*SIN($BH5)</f>
        <v>0</v>
      </c>
      <c r="BP5">
        <f t="shared" ref="BP5:BP36" si="7">5*COS($BH5)</f>
        <v>5</v>
      </c>
      <c r="BR5">
        <v>0</v>
      </c>
      <c r="BS5">
        <v>0</v>
      </c>
      <c r="BU5" t="s">
        <v>8</v>
      </c>
      <c r="BV5">
        <f>6.95*SIN(2*PI()*(0+0.5)/ROWS(codiciL1))</f>
        <v>3.0154919868670289</v>
      </c>
      <c r="BW5">
        <f>6.95*COS(2*PI()*(0+0.5)/ROWS(codiciL1))</f>
        <v>6.2617336319218131</v>
      </c>
      <c r="BY5" t="e">
        <f>IF(AND(ISNUMBER(Radar_Mosca!$F5),ISNUMBER(Radar_Mosca!$S5)),IF(AND(Radar_Mosca!$F5=BY$4,Radar_Mosca!$T5&lt;&gt;"Sì"),Radar_Mosca!$S5,NA()),NA())</f>
        <v>#N/A</v>
      </c>
      <c r="BZ5" t="e">
        <f>IF(AND(ISNUMBER(Radar_Mosca!$F5),ISNUMBER(Radar_Mosca!$S5)),IF(AND(Radar_Mosca!$F5=BZ$4,Radar_Mosca!$T5&lt;&gt;"Sì"),Radar_Mosca!$S5,NA()),NA())</f>
        <v>#N/A</v>
      </c>
      <c r="CA5" t="e">
        <f>IF(AND(ISNUMBER(Radar_Mosca!$F5),ISNUMBER(Radar_Mosca!$S5)),IF(AND(Radar_Mosca!$F5=CA$4,Radar_Mosca!$T5&lt;&gt;"Sì"),Radar_Mosca!$S5,NA()),NA())</f>
        <v>#N/A</v>
      </c>
      <c r="CB5" t="e">
        <f>IF(AND(ISNUMBER(Radar_Mosca!$F5),ISNUMBER(Radar_Mosca!$S5)),IF(AND(Radar_Mosca!$F5=CB$4,Radar_Mosca!$T5&lt;&gt;"Sì"),Radar_Mosca!$S5,NA()),NA())</f>
        <v>#N/A</v>
      </c>
      <c r="CC5" t="e">
        <f>IF(AND(ISNUMBER(Radar_Mosca!$F5),ISNUMBER(Radar_Mosca!$S5)),IF(AND(Radar_Mosca!$F5=CC$4,Radar_Mosca!$T5&lt;&gt;"Sì"),Radar_Mosca!$S5,NA()),NA())</f>
        <v>#N/A</v>
      </c>
      <c r="CD5" t="e">
        <f>IF(AND(ISNUMBER(Radar_Mosca!$F5),ISNUMBER(Radar_Mosca!$S5)),IF(AND(Radar_Mosca!$F5=CD$4,Radar_Mosca!$T5&lt;&gt;"Sì"),Radar_Mosca!$S5,NA()),NA())</f>
        <v>#N/A</v>
      </c>
      <c r="CE5" t="e">
        <f>IF(AND(ISNUMBER(Radar_Mosca!$F5),ISNUMBER(Radar_Mosca!$S5)),IF(AND(Radar_Mosca!$F5=CE$4,Radar_Mosca!$T5&lt;&gt;"Sì"),Radar_Mosca!$S5,NA()),NA())</f>
        <v>#N/A</v>
      </c>
      <c r="CF5" t="e">
        <f>IF(AND(ISNUMBER(Radar_Mosca!$F5),ISNUMBER(Radar_Mosca!$S5)),IF(AND(Radar_Mosca!$F5=CF$4,Radar_Mosca!$T5&lt;&gt;"Sì"),Radar_Mosca!$S5,NA()),NA())</f>
        <v>#N/A</v>
      </c>
      <c r="CG5" t="e">
        <f>IF(AND(ISNUMBER(Radar_Mosca!$F5),ISNUMBER(Radar_Mosca!$S5)),IF(AND(Radar_Mosca!$F5=CG$4,Radar_Mosca!$T5&lt;&gt;"Sì"),Radar_Mosca!$S5,NA()),NA())</f>
        <v>#N/A</v>
      </c>
      <c r="CH5" t="e">
        <f>IF(AND(ISNUMBER(Radar_Mosca!$F5),ISNUMBER(Radar_Mosca!$S5)),IF(AND(Radar_Mosca!$F5=CH$4,Radar_Mosca!$T5&lt;&gt;"Sì"),Radar_Mosca!$S5,NA()),NA())</f>
        <v>#N/A</v>
      </c>
      <c r="CI5" t="e">
        <f>IF(AND(ISNUMBER(Radar_Mosca!$F5),ISNUMBER(Radar_Mosca!$S5)),IF(AND(Radar_Mosca!$F5=CI$4,Radar_Mosca!$T5&lt;&gt;"Sì"),Radar_Mosca!$S5,NA()),NA())</f>
        <v>#N/A</v>
      </c>
      <c r="CJ5" t="e">
        <f>IF(AND(ISNUMBER(Radar_Mosca!$F5),ISNUMBER(Radar_Mosca!$S5)),IF(AND(Radar_Mosca!$F5=CJ$4,Radar_Mosca!$T5&lt;&gt;"Sì"),Radar_Mosca!$S5,NA()),NA())</f>
        <v>#N/A</v>
      </c>
      <c r="CK5" t="e">
        <f>IF(AND(ISNUMBER(Radar_Mosca!$F5),ISNUMBER(Radar_Mosca!$S5)),IF(AND(Radar_Mosca!$F5=CK$4,Radar_Mosca!$T5&lt;&gt;"Sì"),Radar_Mosca!$S5,NA()),NA())</f>
        <v>#N/A</v>
      </c>
      <c r="CL5" t="e">
        <f>IF(AND(ISNUMBER(Radar_Mosca!$F5),ISNUMBER(Radar_Mosca!$S5)),IF(AND(Radar_Mosca!$F5=CL$4,Radar_Mosca!$T5&lt;&gt;"Sì"),Radar_Mosca!$S5,NA()),NA())</f>
        <v>#N/A</v>
      </c>
      <c r="CM5" t="e">
        <f>IF(AND(ISNUMBER(Radar_Mosca!$F5),ISNUMBER(Radar_Mosca!$S5)),IF(AND(Radar_Mosca!$F5=CM$4,Radar_Mosca!$T5="Sì"),Radar_Mosca!$S5,NA()),NA())</f>
        <v>#N/A</v>
      </c>
      <c r="CN5" t="e">
        <f>IF(AND(ISNUMBER(Radar_Mosca!$F5),ISNUMBER(Radar_Mosca!$S5)),IF(AND(Radar_Mosca!$F5=CN$4,Radar_Mosca!$T5="Sì"),Radar_Mosca!$S5,NA()),NA())</f>
        <v>#N/A</v>
      </c>
      <c r="CO5" t="e">
        <f>IF(AND(ISNUMBER(Radar_Mosca!$F5),ISNUMBER(Radar_Mosca!$S5)),IF(AND(Radar_Mosca!$F5=CO$4,Radar_Mosca!$T5="Sì"),Radar_Mosca!$S5,NA()),NA())</f>
        <v>#N/A</v>
      </c>
      <c r="CP5" t="e">
        <f>IF(AND(ISNUMBER(Radar_Mosca!$F5),ISNUMBER(Radar_Mosca!$S5)),IF(AND(Radar_Mosca!$F5=CP$4,Radar_Mosca!$T5="Sì"),Radar_Mosca!$S5,NA()),NA())</f>
        <v>#N/A</v>
      </c>
      <c r="CQ5" t="e">
        <f>IF(AND(ISNUMBER(Radar_Mosca!$F5),ISNUMBER(Radar_Mosca!$S5)),IF(AND(Radar_Mosca!$F5=CQ$4,Radar_Mosca!$T5="Sì"),Radar_Mosca!$S5,NA()),NA())</f>
        <v>#N/A</v>
      </c>
      <c r="CR5" t="e">
        <f>IF(AND(ISNUMBER(Radar_Mosca!$F5),ISNUMBER(Radar_Mosca!$S5)),IF(AND(Radar_Mosca!$F5=CR$4,Radar_Mosca!$T5="Sì"),Radar_Mosca!$S5,NA()),NA())</f>
        <v>#N/A</v>
      </c>
      <c r="CS5" t="e">
        <f>IF(AND(ISNUMBER(Radar_Mosca!$F5),ISNUMBER(Radar_Mosca!$S5)),IF(AND(Radar_Mosca!$F5=CS$4,Radar_Mosca!$T5="Sì"),Radar_Mosca!$S5,NA()),NA())</f>
        <v>#N/A</v>
      </c>
      <c r="CT5" t="e">
        <f>IF(AND(ISNUMBER(Radar_Mosca!$F5),ISNUMBER(Radar_Mosca!$S5)),IF(AND(Radar_Mosca!$F5=CT$4,Radar_Mosca!$T5="Sì"),Radar_Mosca!$S5,NA()),NA())</f>
        <v>#N/A</v>
      </c>
      <c r="CU5" t="e">
        <f>IF(AND(ISNUMBER(Radar_Mosca!$F5),ISNUMBER(Radar_Mosca!$S5)),IF(AND(Radar_Mosca!$F5=CU$4,Radar_Mosca!$T5="Sì"),Radar_Mosca!$S5,NA()),NA())</f>
        <v>#N/A</v>
      </c>
      <c r="CV5" t="e">
        <f>IF(AND(ISNUMBER(Radar_Mosca!$F5),ISNUMBER(Radar_Mosca!$S5)),IF(AND(Radar_Mosca!$F5=CV$4,Radar_Mosca!$T5="Sì"),Radar_Mosca!$S5,NA()),NA())</f>
        <v>#N/A</v>
      </c>
      <c r="CW5" t="e">
        <f>IF(AND(ISNUMBER(Radar_Mosca!$F5),ISNUMBER(Radar_Mosca!$S5)),IF(AND(Radar_Mosca!$F5=CW$4,Radar_Mosca!$T5="Sì"),Radar_Mosca!$S5,NA()),NA())</f>
        <v>#N/A</v>
      </c>
      <c r="CX5">
        <f>IF(AND(ISNUMBER(Radar_Mosca!$F5),ISNUMBER(Radar_Mosca!$S5)),IF(AND(Radar_Mosca!$F5=CX$4,Radar_Mosca!$T5="Sì"),Radar_Mosca!$S5,NA()),NA())</f>
        <v>0.38941163442355031</v>
      </c>
      <c r="CY5" t="e">
        <f>IF(AND(ISNUMBER(Radar_Mosca!$F5),ISNUMBER(Radar_Mosca!$S5)),IF(AND(Radar_Mosca!$F5=CY$4,Radar_Mosca!$T5="Sì"),Radar_Mosca!$S5,NA()),NA())</f>
        <v>#N/A</v>
      </c>
      <c r="CZ5" t="e">
        <f>IF(AND(ISNUMBER(Radar_Mosca!$F5),ISNUMBER(Radar_Mosca!$S5)),IF(AND(Radar_Mosca!$F5=CZ$4,Radar_Mosca!$T5="Sì"),Radar_Mosca!$S5,NA()),NA())</f>
        <v>#N/A</v>
      </c>
      <c r="DA5">
        <f>IF(ISNUMBER(Radar_Mosca!$R5),Radar_Mosca!$R5,NA())</f>
        <v>1.7061238463181914</v>
      </c>
      <c r="DB5" t="str">
        <f>IF(Radar_Mosca!$A5="","",MID(Radar_Mosca!$A5,5,3))</f>
        <v>01</v>
      </c>
      <c r="DC5">
        <f>IF(ISNUMBER(Radar_Mosca!$S5),Radar_Mosca!$S5,NA())</f>
        <v>0.38941163442355031</v>
      </c>
      <c r="DD5" t="s">
        <v>9</v>
      </c>
      <c r="DE5">
        <v>-6.9</v>
      </c>
      <c r="DF5">
        <v>-6.35</v>
      </c>
    </row>
    <row r="6" spans="1:110" ht="22" customHeight="1" x14ac:dyDescent="0.4">
      <c r="A6" s="121" t="str">
        <f>"su "&amp;coperturaAnagrafica&amp;" in anagrafica · "&amp;IF(coperturaValutati=coperturaAnagrafica,"completo","INCOMPLETO")</f>
        <v>su 12 in anagrafica · completo</v>
      </c>
      <c r="B6" s="114"/>
      <c r="C6" s="115"/>
      <c r="D6" s="124" t="str">
        <f>IF(D5=0,"nessun rischio con X + Y &gt; Z","X + Y &gt; Z: "&amp;_xlfn.TEXTJOIN(", ",TRUE,$T$5:$T$19))</f>
        <v>X + Y &gt; Z: NFR-01, NFR-11</v>
      </c>
      <c r="E6" s="118"/>
      <c r="F6" s="119"/>
      <c r="G6" s="121" t="str">
        <f>"rispetto al "&amp;cicloPrecedente</f>
        <v>rispetto al 2026Q2</v>
      </c>
      <c r="H6" s="114"/>
      <c r="I6" s="115"/>
      <c r="J6" s="124" t="str">
        <f>"su "&amp;COUNTIFS(KRI_Ciclo,cicloCorrente,KRI_In_Vigore,"Sì")&amp;" in vigore"</f>
        <v>su 36 in vigore</v>
      </c>
      <c r="K6" s="118"/>
      <c r="L6" s="119"/>
      <c r="M6" s="104" t="str">
        <f>IF(decisioniDaPrendere&gt;0,"decisioni da prendere: ciclo non validato","ciclo validato")</f>
        <v>ciclo validato</v>
      </c>
      <c r="N6" s="105"/>
      <c r="O6" s="106"/>
      <c r="T6" t="str">
        <f>IF(LEFT(Radar_Mosca!$L$6,9)="AGIRE ORA",Radar_Mosca!$A$6,"")</f>
        <v/>
      </c>
      <c r="BH6">
        <f>2*PI()*1/72</f>
        <v>8.7266462599716474E-2</v>
      </c>
      <c r="BI6">
        <f t="shared" si="0"/>
        <v>0.17431148549531633</v>
      </c>
      <c r="BJ6">
        <f t="shared" si="1"/>
        <v>1.9923893961834911</v>
      </c>
      <c r="BK6">
        <f t="shared" si="2"/>
        <v>0.26146722824297453</v>
      </c>
      <c r="BL6">
        <f t="shared" si="3"/>
        <v>2.9885840942752369</v>
      </c>
      <c r="BM6">
        <f t="shared" si="4"/>
        <v>0.34862297099063266</v>
      </c>
      <c r="BN6">
        <f t="shared" si="5"/>
        <v>3.9847787923669822</v>
      </c>
      <c r="BO6">
        <f t="shared" si="6"/>
        <v>0.4357787137382908</v>
      </c>
      <c r="BP6">
        <f t="shared" si="7"/>
        <v>4.9809734904587275</v>
      </c>
      <c r="BR6">
        <f>6.3*SIN(2*PI()*0/ROWS(codiciL1))</f>
        <v>0</v>
      </c>
      <c r="BS6">
        <f>6.3*COS(2*PI()*0/ROWS(codiciL1))</f>
        <v>6.3</v>
      </c>
      <c r="BU6" t="s">
        <v>10</v>
      </c>
      <c r="BV6">
        <f>6.95*SIN(2*PI()*(1+0.5)/ROWS(codiciL1))</f>
        <v>6.7757489896636747</v>
      </c>
      <c r="BW6">
        <f>6.95*COS(2*PI()*(1+0.5)/ROWS(codiciL1))</f>
        <v>1.5465204909963854</v>
      </c>
      <c r="BY6" t="e">
        <f>IF(AND(ISNUMBER(Radar_Mosca!$F6),ISNUMBER(Radar_Mosca!$S6)),IF(AND(Radar_Mosca!$F6=BY$4,Radar_Mosca!$T6&lt;&gt;"Sì"),Radar_Mosca!$S6,NA()),NA())</f>
        <v>#N/A</v>
      </c>
      <c r="BZ6" t="e">
        <f>IF(AND(ISNUMBER(Radar_Mosca!$F6),ISNUMBER(Radar_Mosca!$S6)),IF(AND(Radar_Mosca!$F6=BZ$4,Radar_Mosca!$T6&lt;&gt;"Sì"),Radar_Mosca!$S6,NA()),NA())</f>
        <v>#N/A</v>
      </c>
      <c r="CA6" t="e">
        <f>IF(AND(ISNUMBER(Radar_Mosca!$F6),ISNUMBER(Radar_Mosca!$S6)),IF(AND(Radar_Mosca!$F6=CA$4,Radar_Mosca!$T6&lt;&gt;"Sì"),Radar_Mosca!$S6,NA()),NA())</f>
        <v>#N/A</v>
      </c>
      <c r="CB6" t="e">
        <f>IF(AND(ISNUMBER(Radar_Mosca!$F6),ISNUMBER(Radar_Mosca!$S6)),IF(AND(Radar_Mosca!$F6=CB$4,Radar_Mosca!$T6&lt;&gt;"Sì"),Radar_Mosca!$S6,NA()),NA())</f>
        <v>#N/A</v>
      </c>
      <c r="CC6" t="e">
        <f>IF(AND(ISNUMBER(Radar_Mosca!$F6),ISNUMBER(Radar_Mosca!$S6)),IF(AND(Radar_Mosca!$F6=CC$4,Radar_Mosca!$T6&lt;&gt;"Sì"),Radar_Mosca!$S6,NA()),NA())</f>
        <v>#N/A</v>
      </c>
      <c r="CD6" t="e">
        <f>IF(AND(ISNUMBER(Radar_Mosca!$F6),ISNUMBER(Radar_Mosca!$S6)),IF(AND(Radar_Mosca!$F6=CD$4,Radar_Mosca!$T6&lt;&gt;"Sì"),Radar_Mosca!$S6,NA()),NA())</f>
        <v>#N/A</v>
      </c>
      <c r="CE6" t="e">
        <f>IF(AND(ISNUMBER(Radar_Mosca!$F6),ISNUMBER(Radar_Mosca!$S6)),IF(AND(Radar_Mosca!$F6=CE$4,Radar_Mosca!$T6&lt;&gt;"Sì"),Radar_Mosca!$S6,NA()),NA())</f>
        <v>#N/A</v>
      </c>
      <c r="CF6" t="e">
        <f>IF(AND(ISNUMBER(Radar_Mosca!$F6),ISNUMBER(Radar_Mosca!$S6)),IF(AND(Radar_Mosca!$F6=CF$4,Radar_Mosca!$T6&lt;&gt;"Sì"),Radar_Mosca!$S6,NA()),NA())</f>
        <v>#N/A</v>
      </c>
      <c r="CG6" t="e">
        <f>IF(AND(ISNUMBER(Radar_Mosca!$F6),ISNUMBER(Radar_Mosca!$S6)),IF(AND(Radar_Mosca!$F6=CG$4,Radar_Mosca!$T6&lt;&gt;"Sì"),Radar_Mosca!$S6,NA()),NA())</f>
        <v>#N/A</v>
      </c>
      <c r="CH6" t="e">
        <f>IF(AND(ISNUMBER(Radar_Mosca!$F6),ISNUMBER(Radar_Mosca!$S6)),IF(AND(Radar_Mosca!$F6=CH$4,Radar_Mosca!$T6&lt;&gt;"Sì"),Radar_Mosca!$S6,NA()),NA())</f>
        <v>#N/A</v>
      </c>
      <c r="CI6" t="e">
        <f>IF(AND(ISNUMBER(Radar_Mosca!$F6),ISNUMBER(Radar_Mosca!$S6)),IF(AND(Radar_Mosca!$F6=CI$4,Radar_Mosca!$T6&lt;&gt;"Sì"),Radar_Mosca!$S6,NA()),NA())</f>
        <v>#N/A</v>
      </c>
      <c r="CJ6" t="e">
        <f>IF(AND(ISNUMBER(Radar_Mosca!$F6),ISNUMBER(Radar_Mosca!$S6)),IF(AND(Radar_Mosca!$F6=CJ$4,Radar_Mosca!$T6&lt;&gt;"Sì"),Radar_Mosca!$S6,NA()),NA())</f>
        <v>#N/A</v>
      </c>
      <c r="CK6" t="e">
        <f>IF(AND(ISNUMBER(Radar_Mosca!$F6),ISNUMBER(Radar_Mosca!$S6)),IF(AND(Radar_Mosca!$F6=CK$4,Radar_Mosca!$T6&lt;&gt;"Sì"),Radar_Mosca!$S6,NA()),NA())</f>
        <v>#N/A</v>
      </c>
      <c r="CL6" t="e">
        <f>IF(AND(ISNUMBER(Radar_Mosca!$F6),ISNUMBER(Radar_Mosca!$S6)),IF(AND(Radar_Mosca!$F6=CL$4,Radar_Mosca!$T6&lt;&gt;"Sì"),Radar_Mosca!$S6,NA()),NA())</f>
        <v>#N/A</v>
      </c>
      <c r="CM6" t="e">
        <f>IF(AND(ISNUMBER(Radar_Mosca!$F6),ISNUMBER(Radar_Mosca!$S6)),IF(AND(Radar_Mosca!$F6=CM$4,Radar_Mosca!$T6="Sì"),Radar_Mosca!$S6,NA()),NA())</f>
        <v>#N/A</v>
      </c>
      <c r="CN6" t="e">
        <f>IF(AND(ISNUMBER(Radar_Mosca!$F6),ISNUMBER(Radar_Mosca!$S6)),IF(AND(Radar_Mosca!$F6=CN$4,Radar_Mosca!$T6="Sì"),Radar_Mosca!$S6,NA()),NA())</f>
        <v>#N/A</v>
      </c>
      <c r="CO6" t="e">
        <f>IF(AND(ISNUMBER(Radar_Mosca!$F6),ISNUMBER(Radar_Mosca!$S6)),IF(AND(Radar_Mosca!$F6=CO$4,Radar_Mosca!$T6="Sì"),Radar_Mosca!$S6,NA()),NA())</f>
        <v>#N/A</v>
      </c>
      <c r="CP6" t="e">
        <f>IF(AND(ISNUMBER(Radar_Mosca!$F6),ISNUMBER(Radar_Mosca!$S6)),IF(AND(Radar_Mosca!$F6=CP$4,Radar_Mosca!$T6="Sì"),Radar_Mosca!$S6,NA()),NA())</f>
        <v>#N/A</v>
      </c>
      <c r="CQ6" t="e">
        <f>IF(AND(ISNUMBER(Radar_Mosca!$F6),ISNUMBER(Radar_Mosca!$S6)),IF(AND(Radar_Mosca!$F6=CQ$4,Radar_Mosca!$T6="Sì"),Radar_Mosca!$S6,NA()),NA())</f>
        <v>#N/A</v>
      </c>
      <c r="CR6" t="e">
        <f>IF(AND(ISNUMBER(Radar_Mosca!$F6),ISNUMBER(Radar_Mosca!$S6)),IF(AND(Radar_Mosca!$F6=CR$4,Radar_Mosca!$T6="Sì"),Radar_Mosca!$S6,NA()),NA())</f>
        <v>#N/A</v>
      </c>
      <c r="CS6">
        <f>IF(AND(ISNUMBER(Radar_Mosca!$F6),ISNUMBER(Radar_Mosca!$S6)),IF(AND(Radar_Mosca!$F6=CS$4,Radar_Mosca!$T6="Sì"),Radar_Mosca!$S6,NA()),NA())</f>
        <v>-0.16814271056945562</v>
      </c>
      <c r="CT6" t="e">
        <f>IF(AND(ISNUMBER(Radar_Mosca!$F6),ISNUMBER(Radar_Mosca!$S6)),IF(AND(Radar_Mosca!$F6=CT$4,Radar_Mosca!$T6="Sì"),Radar_Mosca!$S6,NA()),NA())</f>
        <v>#N/A</v>
      </c>
      <c r="CU6" t="e">
        <f>IF(AND(ISNUMBER(Radar_Mosca!$F6),ISNUMBER(Radar_Mosca!$S6)),IF(AND(Radar_Mosca!$F6=CU$4,Radar_Mosca!$T6="Sì"),Radar_Mosca!$S6,NA()),NA())</f>
        <v>#N/A</v>
      </c>
      <c r="CV6" t="e">
        <f>IF(AND(ISNUMBER(Radar_Mosca!$F6),ISNUMBER(Radar_Mosca!$S6)),IF(AND(Radar_Mosca!$F6=CV$4,Radar_Mosca!$T6="Sì"),Radar_Mosca!$S6,NA()),NA())</f>
        <v>#N/A</v>
      </c>
      <c r="CW6" t="e">
        <f>IF(AND(ISNUMBER(Radar_Mosca!$F6),ISNUMBER(Radar_Mosca!$S6)),IF(AND(Radar_Mosca!$F6=CW$4,Radar_Mosca!$T6="Sì"),Radar_Mosca!$S6,NA()),NA())</f>
        <v>#N/A</v>
      </c>
      <c r="CX6" t="e">
        <f>IF(AND(ISNUMBER(Radar_Mosca!$F6),ISNUMBER(Radar_Mosca!$S6)),IF(AND(Radar_Mosca!$F6=CX$4,Radar_Mosca!$T6="Sì"),Radar_Mosca!$S6,NA()),NA())</f>
        <v>#N/A</v>
      </c>
      <c r="CY6" t="e">
        <f>IF(AND(ISNUMBER(Radar_Mosca!$F6),ISNUMBER(Radar_Mosca!$S6)),IF(AND(Radar_Mosca!$F6=CY$4,Radar_Mosca!$T6="Sì"),Radar_Mosca!$S6,NA()),NA())</f>
        <v>#N/A</v>
      </c>
      <c r="CZ6" t="e">
        <f>IF(AND(ISNUMBER(Radar_Mosca!$F6),ISNUMBER(Radar_Mosca!$S6)),IF(AND(Radar_Mosca!$F6=CZ$4,Radar_Mosca!$T6="Sì"),Radar_Mosca!$S6,NA()),NA())</f>
        <v>#N/A</v>
      </c>
      <c r="DA6">
        <f>IF(ISNUMBER(Radar_Mosca!$R6),Radar_Mosca!$R6,NA())</f>
        <v>-2.2437085436576552</v>
      </c>
      <c r="DB6" t="str">
        <f>IF(Radar_Mosca!$A6="","",MID(Radar_Mosca!$A6,5,3))</f>
        <v>02</v>
      </c>
      <c r="DC6">
        <f>IF(ISNUMBER(Radar_Mosca!$S6),Radar_Mosca!$S6,NA())</f>
        <v>-0.16814271056945562</v>
      </c>
      <c r="DD6" t="s">
        <v>11</v>
      </c>
      <c r="DE6">
        <v>-7.35</v>
      </c>
      <c r="DF6">
        <v>-7.35</v>
      </c>
    </row>
    <row r="7" spans="1:110" x14ac:dyDescent="0.4">
      <c r="T7" t="str">
        <f>IF(LEFT(Radar_Mosca!$L$7,9)="AGIRE ORA",Radar_Mosca!$A$7,"")</f>
        <v/>
      </c>
      <c r="BH7">
        <f>2*PI()*2/72</f>
        <v>0.17453292519943295</v>
      </c>
      <c r="BI7">
        <f t="shared" si="0"/>
        <v>0.34729635533386066</v>
      </c>
      <c r="BJ7">
        <f t="shared" si="1"/>
        <v>1.969615506024416</v>
      </c>
      <c r="BK7">
        <f t="shared" si="2"/>
        <v>0.52094453300079102</v>
      </c>
      <c r="BL7">
        <f t="shared" si="3"/>
        <v>2.9544232590366239</v>
      </c>
      <c r="BM7">
        <f t="shared" si="4"/>
        <v>0.69459271066772132</v>
      </c>
      <c r="BN7">
        <f t="shared" si="5"/>
        <v>3.9392310120488321</v>
      </c>
      <c r="BO7">
        <f t="shared" si="6"/>
        <v>0.86824088833465163</v>
      </c>
      <c r="BP7">
        <f t="shared" si="7"/>
        <v>4.9240387650610398</v>
      </c>
      <c r="BR7">
        <v>0</v>
      </c>
      <c r="BS7">
        <v>0</v>
      </c>
      <c r="BU7" t="s">
        <v>12</v>
      </c>
      <c r="BV7">
        <f>6.95*SIN(2*PI()*(2+0.5)/ROWS(codiciL1))</f>
        <v>5.4337288031528077</v>
      </c>
      <c r="BW7">
        <f>6.95*COS(2*PI()*(2+0.5)/ROWS(codiciL1))</f>
        <v>-4.3332541229181976</v>
      </c>
      <c r="BY7" t="e">
        <f>IF(AND(ISNUMBER(Radar_Mosca!$F7),ISNUMBER(Radar_Mosca!$S7)),IF(AND(Radar_Mosca!$F7=BY$4,Radar_Mosca!$T7&lt;&gt;"Sì"),Radar_Mosca!$S7,NA()),NA())</f>
        <v>#N/A</v>
      </c>
      <c r="BZ7" t="e">
        <f>IF(AND(ISNUMBER(Radar_Mosca!$F7),ISNUMBER(Radar_Mosca!$S7)),IF(AND(Radar_Mosca!$F7=BZ$4,Radar_Mosca!$T7&lt;&gt;"Sì"),Radar_Mosca!$S7,NA()),NA())</f>
        <v>#N/A</v>
      </c>
      <c r="CA7" t="e">
        <f>IF(AND(ISNUMBER(Radar_Mosca!$F7),ISNUMBER(Radar_Mosca!$S7)),IF(AND(Radar_Mosca!$F7=CA$4,Radar_Mosca!$T7&lt;&gt;"Sì"),Radar_Mosca!$S7,NA()),NA())</f>
        <v>#N/A</v>
      </c>
      <c r="CB7" t="e">
        <f>IF(AND(ISNUMBER(Radar_Mosca!$F7),ISNUMBER(Radar_Mosca!$S7)),IF(AND(Radar_Mosca!$F7=CB$4,Radar_Mosca!$T7&lt;&gt;"Sì"),Radar_Mosca!$S7,NA()),NA())</f>
        <v>#N/A</v>
      </c>
      <c r="CC7" t="e">
        <f>IF(AND(ISNUMBER(Radar_Mosca!$F7),ISNUMBER(Radar_Mosca!$S7)),IF(AND(Radar_Mosca!$F7=CC$4,Radar_Mosca!$T7&lt;&gt;"Sì"),Radar_Mosca!$S7,NA()),NA())</f>
        <v>#N/A</v>
      </c>
      <c r="CD7" t="e">
        <f>IF(AND(ISNUMBER(Radar_Mosca!$F7),ISNUMBER(Radar_Mosca!$S7)),IF(AND(Radar_Mosca!$F7=CD$4,Radar_Mosca!$T7&lt;&gt;"Sì"),Radar_Mosca!$S7,NA()),NA())</f>
        <v>#N/A</v>
      </c>
      <c r="CE7" t="e">
        <f>IF(AND(ISNUMBER(Radar_Mosca!$F7),ISNUMBER(Radar_Mosca!$S7)),IF(AND(Radar_Mosca!$F7=CE$4,Radar_Mosca!$T7&lt;&gt;"Sì"),Radar_Mosca!$S7,NA()),NA())</f>
        <v>#N/A</v>
      </c>
      <c r="CF7">
        <f>IF(AND(ISNUMBER(Radar_Mosca!$F7),ISNUMBER(Radar_Mosca!$S7)),IF(AND(Radar_Mosca!$F7=CF$4,Radar_Mosca!$T7&lt;&gt;"Sì"),Radar_Mosca!$S7,NA()),NA())</f>
        <v>-1.9111456115722811</v>
      </c>
      <c r="CG7" t="e">
        <f>IF(AND(ISNUMBER(Radar_Mosca!$F7),ISNUMBER(Radar_Mosca!$S7)),IF(AND(Radar_Mosca!$F7=CG$4,Radar_Mosca!$T7&lt;&gt;"Sì"),Radar_Mosca!$S7,NA()),NA())</f>
        <v>#N/A</v>
      </c>
      <c r="CH7" t="e">
        <f>IF(AND(ISNUMBER(Radar_Mosca!$F7),ISNUMBER(Radar_Mosca!$S7)),IF(AND(Radar_Mosca!$F7=CH$4,Radar_Mosca!$T7&lt;&gt;"Sì"),Radar_Mosca!$S7,NA()),NA())</f>
        <v>#N/A</v>
      </c>
      <c r="CI7" t="e">
        <f>IF(AND(ISNUMBER(Radar_Mosca!$F7),ISNUMBER(Radar_Mosca!$S7)),IF(AND(Radar_Mosca!$F7=CI$4,Radar_Mosca!$T7&lt;&gt;"Sì"),Radar_Mosca!$S7,NA()),NA())</f>
        <v>#N/A</v>
      </c>
      <c r="CJ7" t="e">
        <f>IF(AND(ISNUMBER(Radar_Mosca!$F7),ISNUMBER(Radar_Mosca!$S7)),IF(AND(Radar_Mosca!$F7=CJ$4,Radar_Mosca!$T7&lt;&gt;"Sì"),Radar_Mosca!$S7,NA()),NA())</f>
        <v>#N/A</v>
      </c>
      <c r="CK7" t="e">
        <f>IF(AND(ISNUMBER(Radar_Mosca!$F7),ISNUMBER(Radar_Mosca!$S7)),IF(AND(Radar_Mosca!$F7=CK$4,Radar_Mosca!$T7&lt;&gt;"Sì"),Radar_Mosca!$S7,NA()),NA())</f>
        <v>#N/A</v>
      </c>
      <c r="CL7" t="e">
        <f>IF(AND(ISNUMBER(Radar_Mosca!$F7),ISNUMBER(Radar_Mosca!$S7)),IF(AND(Radar_Mosca!$F7=CL$4,Radar_Mosca!$T7&lt;&gt;"Sì"),Radar_Mosca!$S7,NA()),NA())</f>
        <v>#N/A</v>
      </c>
      <c r="CM7" t="e">
        <f>IF(AND(ISNUMBER(Radar_Mosca!$F7),ISNUMBER(Radar_Mosca!$S7)),IF(AND(Radar_Mosca!$F7=CM$4,Radar_Mosca!$T7="Sì"),Radar_Mosca!$S7,NA()),NA())</f>
        <v>#N/A</v>
      </c>
      <c r="CN7" t="e">
        <f>IF(AND(ISNUMBER(Radar_Mosca!$F7),ISNUMBER(Radar_Mosca!$S7)),IF(AND(Radar_Mosca!$F7=CN$4,Radar_Mosca!$T7="Sì"),Radar_Mosca!$S7,NA()),NA())</f>
        <v>#N/A</v>
      </c>
      <c r="CO7" t="e">
        <f>IF(AND(ISNUMBER(Radar_Mosca!$F7),ISNUMBER(Radar_Mosca!$S7)),IF(AND(Radar_Mosca!$F7=CO$4,Radar_Mosca!$T7="Sì"),Radar_Mosca!$S7,NA()),NA())</f>
        <v>#N/A</v>
      </c>
      <c r="CP7" t="e">
        <f>IF(AND(ISNUMBER(Radar_Mosca!$F7),ISNUMBER(Radar_Mosca!$S7)),IF(AND(Radar_Mosca!$F7=CP$4,Radar_Mosca!$T7="Sì"),Radar_Mosca!$S7,NA()),NA())</f>
        <v>#N/A</v>
      </c>
      <c r="CQ7" t="e">
        <f>IF(AND(ISNUMBER(Radar_Mosca!$F7),ISNUMBER(Radar_Mosca!$S7)),IF(AND(Radar_Mosca!$F7=CQ$4,Radar_Mosca!$T7="Sì"),Radar_Mosca!$S7,NA()),NA())</f>
        <v>#N/A</v>
      </c>
      <c r="CR7" t="e">
        <f>IF(AND(ISNUMBER(Radar_Mosca!$F7),ISNUMBER(Radar_Mosca!$S7)),IF(AND(Radar_Mosca!$F7=CR$4,Radar_Mosca!$T7="Sì"),Radar_Mosca!$S7,NA()),NA())</f>
        <v>#N/A</v>
      </c>
      <c r="CS7" t="e">
        <f>IF(AND(ISNUMBER(Radar_Mosca!$F7),ISNUMBER(Radar_Mosca!$S7)),IF(AND(Radar_Mosca!$F7=CS$4,Radar_Mosca!$T7="Sì"),Radar_Mosca!$S7,NA()),NA())</f>
        <v>#N/A</v>
      </c>
      <c r="CT7" t="e">
        <f>IF(AND(ISNUMBER(Radar_Mosca!$F7),ISNUMBER(Radar_Mosca!$S7)),IF(AND(Radar_Mosca!$F7=CT$4,Radar_Mosca!$T7="Sì"),Radar_Mosca!$S7,NA()),NA())</f>
        <v>#N/A</v>
      </c>
      <c r="CU7" t="e">
        <f>IF(AND(ISNUMBER(Radar_Mosca!$F7),ISNUMBER(Radar_Mosca!$S7)),IF(AND(Radar_Mosca!$F7=CU$4,Radar_Mosca!$T7="Sì"),Radar_Mosca!$S7,NA()),NA())</f>
        <v>#N/A</v>
      </c>
      <c r="CV7" t="e">
        <f>IF(AND(ISNUMBER(Radar_Mosca!$F7),ISNUMBER(Radar_Mosca!$S7)),IF(AND(Radar_Mosca!$F7=CV$4,Radar_Mosca!$T7="Sì"),Radar_Mosca!$S7,NA()),NA())</f>
        <v>#N/A</v>
      </c>
      <c r="CW7" t="e">
        <f>IF(AND(ISNUMBER(Radar_Mosca!$F7),ISNUMBER(Radar_Mosca!$S7)),IF(AND(Radar_Mosca!$F7=CW$4,Radar_Mosca!$T7="Sì"),Radar_Mosca!$S7,NA()),NA())</f>
        <v>#N/A</v>
      </c>
      <c r="CX7" t="e">
        <f>IF(AND(ISNUMBER(Radar_Mosca!$F7),ISNUMBER(Radar_Mosca!$S7)),IF(AND(Radar_Mosca!$F7=CX$4,Radar_Mosca!$T7="Sì"),Radar_Mosca!$S7,NA()),NA())</f>
        <v>#N/A</v>
      </c>
      <c r="CY7" t="e">
        <f>IF(AND(ISNUMBER(Radar_Mosca!$F7),ISNUMBER(Radar_Mosca!$S7)),IF(AND(Radar_Mosca!$F7=CY$4,Radar_Mosca!$T7="Sì"),Radar_Mosca!$S7,NA()),NA())</f>
        <v>#N/A</v>
      </c>
      <c r="CZ7" t="e">
        <f>IF(AND(ISNUMBER(Radar_Mosca!$F7),ISNUMBER(Radar_Mosca!$S7)),IF(AND(Radar_Mosca!$F7=CZ$4,Radar_Mosca!$T7="Sì"),Radar_Mosca!$S7,NA()),NA())</f>
        <v>#N/A</v>
      </c>
      <c r="DA7">
        <f>IF(ISNUMBER(Radar_Mosca!$R7),Radar_Mosca!$R7,NA())</f>
        <v>0.58951034882180919</v>
      </c>
      <c r="DB7" t="str">
        <f>IF(Radar_Mosca!$A7="","",MID(Radar_Mosca!$A7,5,3))</f>
        <v>03</v>
      </c>
      <c r="DC7">
        <f>IF(ISNUMBER(Radar_Mosca!$S7),Radar_Mosca!$S7,NA())</f>
        <v>-1.9111456115722811</v>
      </c>
      <c r="DE7">
        <v>-6.45</v>
      </c>
      <c r="DF7">
        <v>-7.35</v>
      </c>
    </row>
    <row r="8" spans="1:110" ht="15.9" x14ac:dyDescent="0.45">
      <c r="A8" s="109" t="s">
        <v>13</v>
      </c>
      <c r="B8" s="110"/>
      <c r="C8" s="110"/>
      <c r="D8" s="110"/>
      <c r="E8" s="110"/>
      <c r="F8" s="110"/>
      <c r="G8" s="110"/>
      <c r="H8" s="110"/>
      <c r="J8" s="109" t="s">
        <v>14</v>
      </c>
      <c r="K8" s="110"/>
      <c r="L8" s="110"/>
      <c r="M8" s="110"/>
      <c r="N8" s="110"/>
      <c r="O8" s="110"/>
      <c r="T8" t="str">
        <f>IF(LEFT(Radar_Mosca!$L$8,9)="AGIRE ORA",Radar_Mosca!$A$8,"")</f>
        <v/>
      </c>
      <c r="BH8">
        <f>2*PI()*3/72</f>
        <v>0.26179938779914941</v>
      </c>
      <c r="BI8">
        <f t="shared" si="0"/>
        <v>0.51763809020504148</v>
      </c>
      <c r="BJ8">
        <f t="shared" si="1"/>
        <v>1.9318516525781366</v>
      </c>
      <c r="BK8">
        <f t="shared" si="2"/>
        <v>0.77645713530756222</v>
      </c>
      <c r="BL8">
        <f t="shared" si="3"/>
        <v>2.897777478867205</v>
      </c>
      <c r="BM8">
        <f t="shared" si="4"/>
        <v>1.035276180410083</v>
      </c>
      <c r="BN8">
        <f t="shared" si="5"/>
        <v>3.8637033051562732</v>
      </c>
      <c r="BO8">
        <f t="shared" si="6"/>
        <v>1.2940952255126037</v>
      </c>
      <c r="BP8">
        <f t="shared" si="7"/>
        <v>4.8296291314453415</v>
      </c>
      <c r="BR8">
        <f>6.3*SIN(2*PI()*1/ROWS(codiciL1))</f>
        <v>4.9255383395485879</v>
      </c>
      <c r="BS8">
        <f>6.3*COS(2*PI()*1/ROWS(codiciL1))</f>
        <v>3.9279857517100214</v>
      </c>
      <c r="BU8" t="s">
        <v>15</v>
      </c>
      <c r="BV8">
        <f>6.95*SIN(2*PI()*(3+0.5)/ROWS(codiciL1))</f>
        <v>8.5147817616149091E-16</v>
      </c>
      <c r="BW8">
        <f>6.95*COS(2*PI()*(3+0.5)/ROWS(codiciL1))</f>
        <v>-6.95</v>
      </c>
      <c r="BY8" t="e">
        <f>IF(AND(ISNUMBER(Radar_Mosca!$F8),ISNUMBER(Radar_Mosca!$S8)),IF(AND(Radar_Mosca!$F8=BY$4,Radar_Mosca!$T8&lt;&gt;"Sì"),Radar_Mosca!$S8,NA()),NA())</f>
        <v>#N/A</v>
      </c>
      <c r="BZ8" t="e">
        <f>IF(AND(ISNUMBER(Radar_Mosca!$F8),ISNUMBER(Radar_Mosca!$S8)),IF(AND(Radar_Mosca!$F8=BZ$4,Radar_Mosca!$T8&lt;&gt;"Sì"),Radar_Mosca!$S8,NA()),NA())</f>
        <v>#N/A</v>
      </c>
      <c r="CA8" t="e">
        <f>IF(AND(ISNUMBER(Radar_Mosca!$F8),ISNUMBER(Radar_Mosca!$S8)),IF(AND(Radar_Mosca!$F8=CA$4,Radar_Mosca!$T8&lt;&gt;"Sì"),Radar_Mosca!$S8,NA()),NA())</f>
        <v>#N/A</v>
      </c>
      <c r="CB8" t="e">
        <f>IF(AND(ISNUMBER(Radar_Mosca!$F8),ISNUMBER(Radar_Mosca!$S8)),IF(AND(Radar_Mosca!$F8=CB$4,Radar_Mosca!$T8&lt;&gt;"Sì"),Radar_Mosca!$S8,NA()),NA())</f>
        <v>#N/A</v>
      </c>
      <c r="CC8" t="e">
        <f>IF(AND(ISNUMBER(Radar_Mosca!$F8),ISNUMBER(Radar_Mosca!$S8)),IF(AND(Radar_Mosca!$F8=CC$4,Radar_Mosca!$T8&lt;&gt;"Sì"),Radar_Mosca!$S8,NA()),NA())</f>
        <v>#N/A</v>
      </c>
      <c r="CD8" t="e">
        <f>IF(AND(ISNUMBER(Radar_Mosca!$F8),ISNUMBER(Radar_Mosca!$S8)),IF(AND(Radar_Mosca!$F8=CD$4,Radar_Mosca!$T8&lt;&gt;"Sì"),Radar_Mosca!$S8,NA()),NA())</f>
        <v>#N/A</v>
      </c>
      <c r="CE8" t="e">
        <f>IF(AND(ISNUMBER(Radar_Mosca!$F8),ISNUMBER(Radar_Mosca!$S8)),IF(AND(Radar_Mosca!$F8=CE$4,Radar_Mosca!$T8&lt;&gt;"Sì"),Radar_Mosca!$S8,NA()),NA())</f>
        <v>#N/A</v>
      </c>
      <c r="CF8">
        <f>IF(AND(ISNUMBER(Radar_Mosca!$F8),ISNUMBER(Radar_Mosca!$S8)),IF(AND(Radar_Mosca!$F8=CF$4,Radar_Mosca!$T8&lt;&gt;"Sì"),Radar_Mosca!$S8,NA()),NA())</f>
        <v>-1.7145969551115177</v>
      </c>
      <c r="CG8" t="e">
        <f>IF(AND(ISNUMBER(Radar_Mosca!$F8),ISNUMBER(Radar_Mosca!$S8)),IF(AND(Radar_Mosca!$F8=CG$4,Radar_Mosca!$T8&lt;&gt;"Sì"),Radar_Mosca!$S8,NA()),NA())</f>
        <v>#N/A</v>
      </c>
      <c r="CH8" t="e">
        <f>IF(AND(ISNUMBER(Radar_Mosca!$F8),ISNUMBER(Radar_Mosca!$S8)),IF(AND(Radar_Mosca!$F8=CH$4,Radar_Mosca!$T8&lt;&gt;"Sì"),Radar_Mosca!$S8,NA()),NA())</f>
        <v>#N/A</v>
      </c>
      <c r="CI8" t="e">
        <f>IF(AND(ISNUMBER(Radar_Mosca!$F8),ISNUMBER(Radar_Mosca!$S8)),IF(AND(Radar_Mosca!$F8=CI$4,Radar_Mosca!$T8&lt;&gt;"Sì"),Radar_Mosca!$S8,NA()),NA())</f>
        <v>#N/A</v>
      </c>
      <c r="CJ8" t="e">
        <f>IF(AND(ISNUMBER(Radar_Mosca!$F8),ISNUMBER(Radar_Mosca!$S8)),IF(AND(Radar_Mosca!$F8=CJ$4,Radar_Mosca!$T8&lt;&gt;"Sì"),Radar_Mosca!$S8,NA()),NA())</f>
        <v>#N/A</v>
      </c>
      <c r="CK8" t="e">
        <f>IF(AND(ISNUMBER(Radar_Mosca!$F8),ISNUMBER(Radar_Mosca!$S8)),IF(AND(Radar_Mosca!$F8=CK$4,Radar_Mosca!$T8&lt;&gt;"Sì"),Radar_Mosca!$S8,NA()),NA())</f>
        <v>#N/A</v>
      </c>
      <c r="CL8" t="e">
        <f>IF(AND(ISNUMBER(Radar_Mosca!$F8),ISNUMBER(Radar_Mosca!$S8)),IF(AND(Radar_Mosca!$F8=CL$4,Radar_Mosca!$T8&lt;&gt;"Sì"),Radar_Mosca!$S8,NA()),NA())</f>
        <v>#N/A</v>
      </c>
      <c r="CM8" t="e">
        <f>IF(AND(ISNUMBER(Radar_Mosca!$F8),ISNUMBER(Radar_Mosca!$S8)),IF(AND(Radar_Mosca!$F8=CM$4,Radar_Mosca!$T8="Sì"),Radar_Mosca!$S8,NA()),NA())</f>
        <v>#N/A</v>
      </c>
      <c r="CN8" t="e">
        <f>IF(AND(ISNUMBER(Radar_Mosca!$F8),ISNUMBER(Radar_Mosca!$S8)),IF(AND(Radar_Mosca!$F8=CN$4,Radar_Mosca!$T8="Sì"),Radar_Mosca!$S8,NA()),NA())</f>
        <v>#N/A</v>
      </c>
      <c r="CO8" t="e">
        <f>IF(AND(ISNUMBER(Radar_Mosca!$F8),ISNUMBER(Radar_Mosca!$S8)),IF(AND(Radar_Mosca!$F8=CO$4,Radar_Mosca!$T8="Sì"),Radar_Mosca!$S8,NA()),NA())</f>
        <v>#N/A</v>
      </c>
      <c r="CP8" t="e">
        <f>IF(AND(ISNUMBER(Radar_Mosca!$F8),ISNUMBER(Radar_Mosca!$S8)),IF(AND(Radar_Mosca!$F8=CP$4,Radar_Mosca!$T8="Sì"),Radar_Mosca!$S8,NA()),NA())</f>
        <v>#N/A</v>
      </c>
      <c r="CQ8" t="e">
        <f>IF(AND(ISNUMBER(Radar_Mosca!$F8),ISNUMBER(Radar_Mosca!$S8)),IF(AND(Radar_Mosca!$F8=CQ$4,Radar_Mosca!$T8="Sì"),Radar_Mosca!$S8,NA()),NA())</f>
        <v>#N/A</v>
      </c>
      <c r="CR8" t="e">
        <f>IF(AND(ISNUMBER(Radar_Mosca!$F8),ISNUMBER(Radar_Mosca!$S8)),IF(AND(Radar_Mosca!$F8=CR$4,Radar_Mosca!$T8="Sì"),Radar_Mosca!$S8,NA()),NA())</f>
        <v>#N/A</v>
      </c>
      <c r="CS8" t="e">
        <f>IF(AND(ISNUMBER(Radar_Mosca!$F8),ISNUMBER(Radar_Mosca!$S8)),IF(AND(Radar_Mosca!$F8=CS$4,Radar_Mosca!$T8="Sì"),Radar_Mosca!$S8,NA()),NA())</f>
        <v>#N/A</v>
      </c>
      <c r="CT8" t="e">
        <f>IF(AND(ISNUMBER(Radar_Mosca!$F8),ISNUMBER(Radar_Mosca!$S8)),IF(AND(Radar_Mosca!$F8=CT$4,Radar_Mosca!$T8="Sì"),Radar_Mosca!$S8,NA()),NA())</f>
        <v>#N/A</v>
      </c>
      <c r="CU8" t="e">
        <f>IF(AND(ISNUMBER(Radar_Mosca!$F8),ISNUMBER(Radar_Mosca!$S8)),IF(AND(Radar_Mosca!$F8=CU$4,Radar_Mosca!$T8="Sì"),Radar_Mosca!$S8,NA()),NA())</f>
        <v>#N/A</v>
      </c>
      <c r="CV8" t="e">
        <f>IF(AND(ISNUMBER(Radar_Mosca!$F8),ISNUMBER(Radar_Mosca!$S8)),IF(AND(Radar_Mosca!$F8=CV$4,Radar_Mosca!$T8="Sì"),Radar_Mosca!$S8,NA()),NA())</f>
        <v>#N/A</v>
      </c>
      <c r="CW8" t="e">
        <f>IF(AND(ISNUMBER(Radar_Mosca!$F8),ISNUMBER(Radar_Mosca!$S8)),IF(AND(Radar_Mosca!$F8=CW$4,Radar_Mosca!$T8="Sì"),Radar_Mosca!$S8,NA()),NA())</f>
        <v>#N/A</v>
      </c>
      <c r="CX8" t="e">
        <f>IF(AND(ISNUMBER(Radar_Mosca!$F8),ISNUMBER(Radar_Mosca!$S8)),IF(AND(Radar_Mosca!$F8=CX$4,Radar_Mosca!$T8="Sì"),Radar_Mosca!$S8,NA()),NA())</f>
        <v>#N/A</v>
      </c>
      <c r="CY8" t="e">
        <f>IF(AND(ISNUMBER(Radar_Mosca!$F8),ISNUMBER(Radar_Mosca!$S8)),IF(AND(Radar_Mosca!$F8=CY$4,Radar_Mosca!$T8="Sì"),Radar_Mosca!$S8,NA()),NA())</f>
        <v>#N/A</v>
      </c>
      <c r="CZ8" t="e">
        <f>IF(AND(ISNUMBER(Radar_Mosca!$F8),ISNUMBER(Radar_Mosca!$S8)),IF(AND(Radar_Mosca!$F8=CZ$4,Radar_Mosca!$T8="Sì"),Radar_Mosca!$S8,NA()),NA())</f>
        <v>#N/A</v>
      </c>
      <c r="DA8">
        <f>IF(ISNUMBER(Radar_Mosca!$R8),Radar_Mosca!$R8,NA())</f>
        <v>-2.1500365767870817</v>
      </c>
      <c r="DB8" t="str">
        <f>IF(Radar_Mosca!$A8="","",MID(Radar_Mosca!$A8,5,3))</f>
        <v>04</v>
      </c>
      <c r="DC8">
        <f>IF(ISNUMBER(Radar_Mosca!$S8),Radar_Mosca!$S8,NA())</f>
        <v>-1.7145969551115177</v>
      </c>
      <c r="DD8" t="s">
        <v>16</v>
      </c>
      <c r="DE8">
        <v>4.4000000000000004</v>
      </c>
      <c r="DF8">
        <v>-5.6</v>
      </c>
    </row>
    <row r="9" spans="1:110" x14ac:dyDescent="0.4">
      <c r="A9" s="11" t="s">
        <v>17</v>
      </c>
      <c r="B9" s="128" t="s">
        <v>18</v>
      </c>
      <c r="C9" s="98"/>
      <c r="D9" s="98"/>
      <c r="E9" s="98"/>
      <c r="F9" s="11" t="s">
        <v>19</v>
      </c>
      <c r="G9" s="11" t="s">
        <v>20</v>
      </c>
      <c r="H9" s="11" t="s">
        <v>21</v>
      </c>
      <c r="J9" s="12" t="s">
        <v>22</v>
      </c>
      <c r="K9" s="13">
        <v>1</v>
      </c>
      <c r="L9" s="13">
        <v>2</v>
      </c>
      <c r="M9" s="13">
        <v>3</v>
      </c>
      <c r="N9" s="13">
        <v>4</v>
      </c>
      <c r="O9" s="13">
        <v>5</v>
      </c>
      <c r="T9" t="str">
        <f>IF(LEFT(Radar_Mosca!$L$9,9)="AGIRE ORA",Radar_Mosca!$A$9,"")</f>
        <v/>
      </c>
      <c r="BH9">
        <f>2*PI()*4/72</f>
        <v>0.3490658503988659</v>
      </c>
      <c r="BI9">
        <f t="shared" si="0"/>
        <v>0.68404028665133743</v>
      </c>
      <c r="BJ9">
        <f t="shared" si="1"/>
        <v>1.8793852415718169</v>
      </c>
      <c r="BK9">
        <f t="shared" si="2"/>
        <v>1.0260604299770062</v>
      </c>
      <c r="BL9">
        <f t="shared" si="3"/>
        <v>2.8190778623577253</v>
      </c>
      <c r="BM9">
        <f t="shared" si="4"/>
        <v>1.3680805733026749</v>
      </c>
      <c r="BN9">
        <f t="shared" si="5"/>
        <v>3.7587704831436337</v>
      </c>
      <c r="BO9">
        <f t="shared" si="6"/>
        <v>1.7101007166283435</v>
      </c>
      <c r="BP9">
        <f t="shared" si="7"/>
        <v>4.6984631039295426</v>
      </c>
      <c r="BR9">
        <v>0</v>
      </c>
      <c r="BS9">
        <v>0</v>
      </c>
      <c r="BU9" t="s">
        <v>23</v>
      </c>
      <c r="BV9">
        <f>6.95*SIN(2*PI()*(4+0.5)/ROWS(codiciL1))</f>
        <v>-5.4337288031528068</v>
      </c>
      <c r="BW9">
        <f>6.95*COS(2*PI()*(4+0.5)/ROWS(codiciL1))</f>
        <v>-4.3332541229181993</v>
      </c>
      <c r="BY9" t="e">
        <f>IF(AND(ISNUMBER(Radar_Mosca!$F9),ISNUMBER(Radar_Mosca!$S9)),IF(AND(Radar_Mosca!$F9=BY$4,Radar_Mosca!$T9&lt;&gt;"Sì"),Radar_Mosca!$S9,NA()),NA())</f>
        <v>#N/A</v>
      </c>
      <c r="BZ9" t="e">
        <f>IF(AND(ISNUMBER(Radar_Mosca!$F9),ISNUMBER(Radar_Mosca!$S9)),IF(AND(Radar_Mosca!$F9=BZ$4,Radar_Mosca!$T9&lt;&gt;"Sì"),Radar_Mosca!$S9,NA()),NA())</f>
        <v>#N/A</v>
      </c>
      <c r="CA9" t="e">
        <f>IF(AND(ISNUMBER(Radar_Mosca!$F9),ISNUMBER(Radar_Mosca!$S9)),IF(AND(Radar_Mosca!$F9=CA$4,Radar_Mosca!$T9&lt;&gt;"Sì"),Radar_Mosca!$S9,NA()),NA())</f>
        <v>#N/A</v>
      </c>
      <c r="CB9" t="e">
        <f>IF(AND(ISNUMBER(Radar_Mosca!$F9),ISNUMBER(Radar_Mosca!$S9)),IF(AND(Radar_Mosca!$F9=CB$4,Radar_Mosca!$T9&lt;&gt;"Sì"),Radar_Mosca!$S9,NA()),NA())</f>
        <v>#N/A</v>
      </c>
      <c r="CC9" t="e">
        <f>IF(AND(ISNUMBER(Radar_Mosca!$F9),ISNUMBER(Radar_Mosca!$S9)),IF(AND(Radar_Mosca!$F9=CC$4,Radar_Mosca!$T9&lt;&gt;"Sì"),Radar_Mosca!$S9,NA()),NA())</f>
        <v>#N/A</v>
      </c>
      <c r="CD9" t="e">
        <f>IF(AND(ISNUMBER(Radar_Mosca!$F9),ISNUMBER(Radar_Mosca!$S9)),IF(AND(Radar_Mosca!$F9=CD$4,Radar_Mosca!$T9&lt;&gt;"Sì"),Radar_Mosca!$S9,NA()),NA())</f>
        <v>#N/A</v>
      </c>
      <c r="CE9" t="e">
        <f>IF(AND(ISNUMBER(Radar_Mosca!$F9),ISNUMBER(Radar_Mosca!$S9)),IF(AND(Radar_Mosca!$F9=CE$4,Radar_Mosca!$T9&lt;&gt;"Sì"),Radar_Mosca!$S9,NA()),NA())</f>
        <v>#N/A</v>
      </c>
      <c r="CF9">
        <f>IF(AND(ISNUMBER(Radar_Mosca!$F9),ISNUMBER(Radar_Mosca!$S9)),IF(AND(Radar_Mosca!$F9=CF$4,Radar_Mosca!$T9&lt;&gt;"Sì"),Radar_Mosca!$S9,NA()),NA())</f>
        <v>2.3454944474040893</v>
      </c>
      <c r="CG9" t="e">
        <f>IF(AND(ISNUMBER(Radar_Mosca!$F9),ISNUMBER(Radar_Mosca!$S9)),IF(AND(Radar_Mosca!$F9=CG$4,Radar_Mosca!$T9&lt;&gt;"Sì"),Radar_Mosca!$S9,NA()),NA())</f>
        <v>#N/A</v>
      </c>
      <c r="CH9" t="e">
        <f>IF(AND(ISNUMBER(Radar_Mosca!$F9),ISNUMBER(Radar_Mosca!$S9)),IF(AND(Radar_Mosca!$F9=CH$4,Radar_Mosca!$T9&lt;&gt;"Sì"),Radar_Mosca!$S9,NA()),NA())</f>
        <v>#N/A</v>
      </c>
      <c r="CI9" t="e">
        <f>IF(AND(ISNUMBER(Radar_Mosca!$F9),ISNUMBER(Radar_Mosca!$S9)),IF(AND(Radar_Mosca!$F9=CI$4,Radar_Mosca!$T9&lt;&gt;"Sì"),Radar_Mosca!$S9,NA()),NA())</f>
        <v>#N/A</v>
      </c>
      <c r="CJ9" t="e">
        <f>IF(AND(ISNUMBER(Radar_Mosca!$F9),ISNUMBER(Radar_Mosca!$S9)),IF(AND(Radar_Mosca!$F9=CJ$4,Radar_Mosca!$T9&lt;&gt;"Sì"),Radar_Mosca!$S9,NA()),NA())</f>
        <v>#N/A</v>
      </c>
      <c r="CK9" t="e">
        <f>IF(AND(ISNUMBER(Radar_Mosca!$F9),ISNUMBER(Radar_Mosca!$S9)),IF(AND(Radar_Mosca!$F9=CK$4,Radar_Mosca!$T9&lt;&gt;"Sì"),Radar_Mosca!$S9,NA()),NA())</f>
        <v>#N/A</v>
      </c>
      <c r="CL9" t="e">
        <f>IF(AND(ISNUMBER(Radar_Mosca!$F9),ISNUMBER(Radar_Mosca!$S9)),IF(AND(Radar_Mosca!$F9=CL$4,Radar_Mosca!$T9&lt;&gt;"Sì"),Radar_Mosca!$S9,NA()),NA())</f>
        <v>#N/A</v>
      </c>
      <c r="CM9" t="e">
        <f>IF(AND(ISNUMBER(Radar_Mosca!$F9),ISNUMBER(Radar_Mosca!$S9)),IF(AND(Radar_Mosca!$F9=CM$4,Radar_Mosca!$T9="Sì"),Radar_Mosca!$S9,NA()),NA())</f>
        <v>#N/A</v>
      </c>
      <c r="CN9" t="e">
        <f>IF(AND(ISNUMBER(Radar_Mosca!$F9),ISNUMBER(Radar_Mosca!$S9)),IF(AND(Radar_Mosca!$F9=CN$4,Radar_Mosca!$T9="Sì"),Radar_Mosca!$S9,NA()),NA())</f>
        <v>#N/A</v>
      </c>
      <c r="CO9" t="e">
        <f>IF(AND(ISNUMBER(Radar_Mosca!$F9),ISNUMBER(Radar_Mosca!$S9)),IF(AND(Radar_Mosca!$F9=CO$4,Radar_Mosca!$T9="Sì"),Radar_Mosca!$S9,NA()),NA())</f>
        <v>#N/A</v>
      </c>
      <c r="CP9" t="e">
        <f>IF(AND(ISNUMBER(Radar_Mosca!$F9),ISNUMBER(Radar_Mosca!$S9)),IF(AND(Radar_Mosca!$F9=CP$4,Radar_Mosca!$T9="Sì"),Radar_Mosca!$S9,NA()),NA())</f>
        <v>#N/A</v>
      </c>
      <c r="CQ9" t="e">
        <f>IF(AND(ISNUMBER(Radar_Mosca!$F9),ISNUMBER(Radar_Mosca!$S9)),IF(AND(Radar_Mosca!$F9=CQ$4,Radar_Mosca!$T9="Sì"),Radar_Mosca!$S9,NA()),NA())</f>
        <v>#N/A</v>
      </c>
      <c r="CR9" t="e">
        <f>IF(AND(ISNUMBER(Radar_Mosca!$F9),ISNUMBER(Radar_Mosca!$S9)),IF(AND(Radar_Mosca!$F9=CR$4,Radar_Mosca!$T9="Sì"),Radar_Mosca!$S9,NA()),NA())</f>
        <v>#N/A</v>
      </c>
      <c r="CS9" t="e">
        <f>IF(AND(ISNUMBER(Radar_Mosca!$F9),ISNUMBER(Radar_Mosca!$S9)),IF(AND(Radar_Mosca!$F9=CS$4,Radar_Mosca!$T9="Sì"),Radar_Mosca!$S9,NA()),NA())</f>
        <v>#N/A</v>
      </c>
      <c r="CT9" t="e">
        <f>IF(AND(ISNUMBER(Radar_Mosca!$F9),ISNUMBER(Radar_Mosca!$S9)),IF(AND(Radar_Mosca!$F9=CT$4,Radar_Mosca!$T9="Sì"),Radar_Mosca!$S9,NA()),NA())</f>
        <v>#N/A</v>
      </c>
      <c r="CU9" t="e">
        <f>IF(AND(ISNUMBER(Radar_Mosca!$F9),ISNUMBER(Radar_Mosca!$S9)),IF(AND(Radar_Mosca!$F9=CU$4,Radar_Mosca!$T9="Sì"),Radar_Mosca!$S9,NA()),NA())</f>
        <v>#N/A</v>
      </c>
      <c r="CV9" t="e">
        <f>IF(AND(ISNUMBER(Radar_Mosca!$F9),ISNUMBER(Radar_Mosca!$S9)),IF(AND(Radar_Mosca!$F9=CV$4,Radar_Mosca!$T9="Sì"),Radar_Mosca!$S9,NA()),NA())</f>
        <v>#N/A</v>
      </c>
      <c r="CW9" t="e">
        <f>IF(AND(ISNUMBER(Radar_Mosca!$F9),ISNUMBER(Radar_Mosca!$S9)),IF(AND(Radar_Mosca!$F9=CW$4,Radar_Mosca!$T9="Sì"),Radar_Mosca!$S9,NA()),NA())</f>
        <v>#N/A</v>
      </c>
      <c r="CX9" t="e">
        <f>IF(AND(ISNUMBER(Radar_Mosca!$F9),ISNUMBER(Radar_Mosca!$S9)),IF(AND(Radar_Mosca!$F9=CX$4,Radar_Mosca!$T9="Sì"),Radar_Mosca!$S9,NA()),NA())</f>
        <v>#N/A</v>
      </c>
      <c r="CY9" t="e">
        <f>IF(AND(ISNUMBER(Radar_Mosca!$F9),ISNUMBER(Radar_Mosca!$S9)),IF(AND(Radar_Mosca!$F9=CY$4,Radar_Mosca!$T9="Sì"),Radar_Mosca!$S9,NA()),NA())</f>
        <v>#N/A</v>
      </c>
      <c r="CZ9" t="e">
        <f>IF(AND(ISNUMBER(Radar_Mosca!$F9),ISNUMBER(Radar_Mosca!$S9)),IF(AND(Radar_Mosca!$F9=CZ$4,Radar_Mosca!$T9="Sì"),Radar_Mosca!$S9,NA()),NA())</f>
        <v>#N/A</v>
      </c>
      <c r="DA9">
        <f>IF(ISNUMBER(Radar_Mosca!$R9),Radar_Mosca!$R9,NA())</f>
        <v>-1.870469405576201</v>
      </c>
      <c r="DB9" t="str">
        <f>IF(Radar_Mosca!$A9="","",MID(Radar_Mosca!$A9,5,3))</f>
        <v>05</v>
      </c>
      <c r="DC9">
        <f>IF(ISNUMBER(Radar_Mosca!$S9),Radar_Mosca!$S9,NA())</f>
        <v>2.3454944474040893</v>
      </c>
      <c r="DD9" t="s">
        <v>24</v>
      </c>
      <c r="DE9">
        <v>3.5</v>
      </c>
      <c r="DF9">
        <v>-6.6</v>
      </c>
    </row>
    <row r="10" spans="1:110" ht="25" customHeight="1" x14ac:dyDescent="0.4">
      <c r="A10" s="14">
        <f>Classifica!$A$5</f>
        <v>1</v>
      </c>
      <c r="B10" s="107" t="str">
        <f>IF(Classifica!$B$5="","",Classifica!$B$5&amp;"  "&amp;Classifica!$C$5&amp;IFERROR(IF(INDEX(ANA_Attenzione_Supervisore,Classifica!$U$5)="Sì","  ◆",""),""))</f>
        <v>NFR-01  Frodi su pagamenti istantanei abilitate da AI generativa  ◆</v>
      </c>
      <c r="C10" s="108"/>
      <c r="D10" s="108"/>
      <c r="E10" s="108"/>
      <c r="F10" s="15">
        <f>IF(Classifica!$B$5="","",Classifica!$D$5)</f>
        <v>3.8</v>
      </c>
      <c r="G10" s="16">
        <f>IF(Classifica!$B$5="","",IF(ISNUMBER(Classifica!$F$5),Classifica!$F$5,"nuovo"))</f>
        <v>0</v>
      </c>
      <c r="H10" s="17" t="str">
        <f>IF(Classifica!$B$5="","",IF(LEFT(Classifica!$H$5,9)="AGIRE ORA","AGIRE ORA",IF(LEFT(Classifica!$H$5,11)="Agire entro","Entro l'anno",Classifica!$H$5)))</f>
        <v>AGIRE ORA</v>
      </c>
      <c r="J10" s="18">
        <v>5</v>
      </c>
      <c r="K10" s="19" t="str">
        <f>SUBSTITUTE(SUBSTITUTE(Matrice!C5," ◆",""),"NFR-","")</f>
        <v/>
      </c>
      <c r="L10" s="20" t="str">
        <f>SUBSTITUTE(SUBSTITUTE(Matrice!D5," ◆",""),"NFR-","")</f>
        <v/>
      </c>
      <c r="M10" s="21" t="str">
        <f>SUBSTITUTE(SUBSTITUTE(Matrice!E5," ◆",""),"NFR-","")</f>
        <v/>
      </c>
      <c r="N10" s="21" t="str">
        <f>SUBSTITUTE(SUBSTITUTE(Matrice!F5," ◆",""),"NFR-","")</f>
        <v/>
      </c>
      <c r="O10" s="21" t="str">
        <f>SUBSTITUTE(SUBSTITUTE(Matrice!G5," ◆",""),"NFR-","")</f>
        <v/>
      </c>
      <c r="T10" t="str">
        <f>IF(LEFT(Radar_Mosca!$L$10,9)="AGIRE ORA",Radar_Mosca!$A$10,"")</f>
        <v/>
      </c>
      <c r="BH10">
        <f>2*PI()*5/72</f>
        <v>0.43633231299858238</v>
      </c>
      <c r="BI10">
        <f t="shared" si="0"/>
        <v>0.84523652348139888</v>
      </c>
      <c r="BJ10">
        <f t="shared" si="1"/>
        <v>1.8126155740732999</v>
      </c>
      <c r="BK10">
        <f t="shared" si="2"/>
        <v>1.2678547852220983</v>
      </c>
      <c r="BL10">
        <f t="shared" si="3"/>
        <v>2.7189233611099497</v>
      </c>
      <c r="BM10">
        <f t="shared" si="4"/>
        <v>1.6904730469627978</v>
      </c>
      <c r="BN10">
        <f t="shared" si="5"/>
        <v>3.6252311481465997</v>
      </c>
      <c r="BO10">
        <f t="shared" si="6"/>
        <v>2.1130913087034973</v>
      </c>
      <c r="BP10">
        <f t="shared" si="7"/>
        <v>4.5315389351832494</v>
      </c>
      <c r="BR10">
        <f>6.3*SIN(2*PI()*2/ROWS(codiciL1))</f>
        <v>6.1420458467454884</v>
      </c>
      <c r="BS10">
        <f>6.3*COS(2*PI()*2/ROWS(codiciL1))</f>
        <v>-1.4018818839247802</v>
      </c>
      <c r="BU10" t="s">
        <v>25</v>
      </c>
      <c r="BV10">
        <f>6.95*SIN(2*PI()*(5+0.5)/ROWS(codiciL1))</f>
        <v>-6.7757489896636756</v>
      </c>
      <c r="BW10">
        <f>6.95*COS(2*PI()*(5+0.5)/ROWS(codiciL1))</f>
        <v>1.5465204909963777</v>
      </c>
      <c r="BY10" t="e">
        <f>IF(AND(ISNUMBER(Radar_Mosca!$F10),ISNUMBER(Radar_Mosca!$S10)),IF(AND(Radar_Mosca!$F10=BY$4,Radar_Mosca!$T10&lt;&gt;"Sì"),Radar_Mosca!$S10,NA()),NA())</f>
        <v>#N/A</v>
      </c>
      <c r="BZ10" t="e">
        <f>IF(AND(ISNUMBER(Radar_Mosca!$F10),ISNUMBER(Radar_Mosca!$S10)),IF(AND(Radar_Mosca!$F10=BZ$4,Radar_Mosca!$T10&lt;&gt;"Sì"),Radar_Mosca!$S10,NA()),NA())</f>
        <v>#N/A</v>
      </c>
      <c r="CA10" t="e">
        <f>IF(AND(ISNUMBER(Radar_Mosca!$F10),ISNUMBER(Radar_Mosca!$S10)),IF(AND(Radar_Mosca!$F10=CA$4,Radar_Mosca!$T10&lt;&gt;"Sì"),Radar_Mosca!$S10,NA()),NA())</f>
        <v>#N/A</v>
      </c>
      <c r="CB10" t="e">
        <f>IF(AND(ISNUMBER(Radar_Mosca!$F10),ISNUMBER(Radar_Mosca!$S10)),IF(AND(Radar_Mosca!$F10=CB$4,Radar_Mosca!$T10&lt;&gt;"Sì"),Radar_Mosca!$S10,NA()),NA())</f>
        <v>#N/A</v>
      </c>
      <c r="CC10" t="e">
        <f>IF(AND(ISNUMBER(Radar_Mosca!$F10),ISNUMBER(Radar_Mosca!$S10)),IF(AND(Radar_Mosca!$F10=CC$4,Radar_Mosca!$T10&lt;&gt;"Sì"),Radar_Mosca!$S10,NA()),NA())</f>
        <v>#N/A</v>
      </c>
      <c r="CD10" t="e">
        <f>IF(AND(ISNUMBER(Radar_Mosca!$F10),ISNUMBER(Radar_Mosca!$S10)),IF(AND(Radar_Mosca!$F10=CD$4,Radar_Mosca!$T10&lt;&gt;"Sì"),Radar_Mosca!$S10,NA()),NA())</f>
        <v>#N/A</v>
      </c>
      <c r="CE10" t="e">
        <f>IF(AND(ISNUMBER(Radar_Mosca!$F10),ISNUMBER(Radar_Mosca!$S10)),IF(AND(Radar_Mosca!$F10=CE$4,Radar_Mosca!$T10&lt;&gt;"Sì"),Radar_Mosca!$S10,NA()),NA())</f>
        <v>#N/A</v>
      </c>
      <c r="CF10">
        <f>IF(AND(ISNUMBER(Radar_Mosca!$F10),ISNUMBER(Radar_Mosca!$S10)),IF(AND(Radar_Mosca!$F10=CF$4,Radar_Mosca!$T10&lt;&gt;"Sì"),Radar_Mosca!$S10,NA()),NA())</f>
        <v>2.6810517585000149</v>
      </c>
      <c r="CG10" t="e">
        <f>IF(AND(ISNUMBER(Radar_Mosca!$F10),ISNUMBER(Radar_Mosca!$S10)),IF(AND(Radar_Mosca!$F10=CG$4,Radar_Mosca!$T10&lt;&gt;"Sì"),Radar_Mosca!$S10,NA()),NA())</f>
        <v>#N/A</v>
      </c>
      <c r="CH10" t="e">
        <f>IF(AND(ISNUMBER(Radar_Mosca!$F10),ISNUMBER(Radar_Mosca!$S10)),IF(AND(Radar_Mosca!$F10=CH$4,Radar_Mosca!$T10&lt;&gt;"Sì"),Radar_Mosca!$S10,NA()),NA())</f>
        <v>#N/A</v>
      </c>
      <c r="CI10" t="e">
        <f>IF(AND(ISNUMBER(Radar_Mosca!$F10),ISNUMBER(Radar_Mosca!$S10)),IF(AND(Radar_Mosca!$F10=CI$4,Radar_Mosca!$T10&lt;&gt;"Sì"),Radar_Mosca!$S10,NA()),NA())</f>
        <v>#N/A</v>
      </c>
      <c r="CJ10" t="e">
        <f>IF(AND(ISNUMBER(Radar_Mosca!$F10),ISNUMBER(Radar_Mosca!$S10)),IF(AND(Radar_Mosca!$F10=CJ$4,Radar_Mosca!$T10&lt;&gt;"Sì"),Radar_Mosca!$S10,NA()),NA())</f>
        <v>#N/A</v>
      </c>
      <c r="CK10" t="e">
        <f>IF(AND(ISNUMBER(Radar_Mosca!$F10),ISNUMBER(Radar_Mosca!$S10)),IF(AND(Radar_Mosca!$F10=CK$4,Radar_Mosca!$T10&lt;&gt;"Sì"),Radar_Mosca!$S10,NA()),NA())</f>
        <v>#N/A</v>
      </c>
      <c r="CL10" t="e">
        <f>IF(AND(ISNUMBER(Radar_Mosca!$F10),ISNUMBER(Radar_Mosca!$S10)),IF(AND(Radar_Mosca!$F10=CL$4,Radar_Mosca!$T10&lt;&gt;"Sì"),Radar_Mosca!$S10,NA()),NA())</f>
        <v>#N/A</v>
      </c>
      <c r="CM10" t="e">
        <f>IF(AND(ISNUMBER(Radar_Mosca!$F10),ISNUMBER(Radar_Mosca!$S10)),IF(AND(Radar_Mosca!$F10=CM$4,Radar_Mosca!$T10="Sì"),Radar_Mosca!$S10,NA()),NA())</f>
        <v>#N/A</v>
      </c>
      <c r="CN10" t="e">
        <f>IF(AND(ISNUMBER(Radar_Mosca!$F10),ISNUMBER(Radar_Mosca!$S10)),IF(AND(Radar_Mosca!$F10=CN$4,Radar_Mosca!$T10="Sì"),Radar_Mosca!$S10,NA()),NA())</f>
        <v>#N/A</v>
      </c>
      <c r="CO10" t="e">
        <f>IF(AND(ISNUMBER(Radar_Mosca!$F10),ISNUMBER(Radar_Mosca!$S10)),IF(AND(Radar_Mosca!$F10=CO$4,Radar_Mosca!$T10="Sì"),Radar_Mosca!$S10,NA()),NA())</f>
        <v>#N/A</v>
      </c>
      <c r="CP10" t="e">
        <f>IF(AND(ISNUMBER(Radar_Mosca!$F10),ISNUMBER(Radar_Mosca!$S10)),IF(AND(Radar_Mosca!$F10=CP$4,Radar_Mosca!$T10="Sì"),Radar_Mosca!$S10,NA()),NA())</f>
        <v>#N/A</v>
      </c>
      <c r="CQ10" t="e">
        <f>IF(AND(ISNUMBER(Radar_Mosca!$F10),ISNUMBER(Radar_Mosca!$S10)),IF(AND(Radar_Mosca!$F10=CQ$4,Radar_Mosca!$T10="Sì"),Radar_Mosca!$S10,NA()),NA())</f>
        <v>#N/A</v>
      </c>
      <c r="CR10" t="e">
        <f>IF(AND(ISNUMBER(Radar_Mosca!$F10),ISNUMBER(Radar_Mosca!$S10)),IF(AND(Radar_Mosca!$F10=CR$4,Radar_Mosca!$T10="Sì"),Radar_Mosca!$S10,NA()),NA())</f>
        <v>#N/A</v>
      </c>
      <c r="CS10" t="e">
        <f>IF(AND(ISNUMBER(Radar_Mosca!$F10),ISNUMBER(Radar_Mosca!$S10)),IF(AND(Radar_Mosca!$F10=CS$4,Radar_Mosca!$T10="Sì"),Radar_Mosca!$S10,NA()),NA())</f>
        <v>#N/A</v>
      </c>
      <c r="CT10" t="e">
        <f>IF(AND(ISNUMBER(Radar_Mosca!$F10),ISNUMBER(Radar_Mosca!$S10)),IF(AND(Radar_Mosca!$F10=CT$4,Radar_Mosca!$T10="Sì"),Radar_Mosca!$S10,NA()),NA())</f>
        <v>#N/A</v>
      </c>
      <c r="CU10" t="e">
        <f>IF(AND(ISNUMBER(Radar_Mosca!$F10),ISNUMBER(Radar_Mosca!$S10)),IF(AND(Radar_Mosca!$F10=CU$4,Radar_Mosca!$T10="Sì"),Radar_Mosca!$S10,NA()),NA())</f>
        <v>#N/A</v>
      </c>
      <c r="CV10" t="e">
        <f>IF(AND(ISNUMBER(Radar_Mosca!$F10),ISNUMBER(Radar_Mosca!$S10)),IF(AND(Radar_Mosca!$F10=CV$4,Radar_Mosca!$T10="Sì"),Radar_Mosca!$S10,NA()),NA())</f>
        <v>#N/A</v>
      </c>
      <c r="CW10" t="e">
        <f>IF(AND(ISNUMBER(Radar_Mosca!$F10),ISNUMBER(Radar_Mosca!$S10)),IF(AND(Radar_Mosca!$F10=CW$4,Radar_Mosca!$T10="Sì"),Radar_Mosca!$S10,NA()),NA())</f>
        <v>#N/A</v>
      </c>
      <c r="CX10" t="e">
        <f>IF(AND(ISNUMBER(Radar_Mosca!$F10),ISNUMBER(Radar_Mosca!$S10)),IF(AND(Radar_Mosca!$F10=CX$4,Radar_Mosca!$T10="Sì"),Radar_Mosca!$S10,NA()),NA())</f>
        <v>#N/A</v>
      </c>
      <c r="CY10" t="e">
        <f>IF(AND(ISNUMBER(Radar_Mosca!$F10),ISNUMBER(Radar_Mosca!$S10)),IF(AND(Radar_Mosca!$F10=CY$4,Radar_Mosca!$T10="Sì"),Radar_Mosca!$S10,NA()),NA())</f>
        <v>#N/A</v>
      </c>
      <c r="CZ10" t="e">
        <f>IF(AND(ISNUMBER(Radar_Mosca!$F10),ISNUMBER(Radar_Mosca!$S10)),IF(AND(Radar_Mosca!$F10=CZ$4,Radar_Mosca!$T10="Sì"),Radar_Mosca!$S10,NA()),NA())</f>
        <v>#N/A</v>
      </c>
      <c r="DA10">
        <f>IF(ISNUMBER(Radar_Mosca!$R10),Radar_Mosca!$R10,NA())</f>
        <v>0.61193256837986454</v>
      </c>
      <c r="DB10" t="str">
        <f>IF(Radar_Mosca!$A10="","",MID(Radar_Mosca!$A10,5,3))</f>
        <v>06</v>
      </c>
      <c r="DC10">
        <f>IF(ISNUMBER(Radar_Mosca!$S10),Radar_Mosca!$S10,NA())</f>
        <v>2.6810517585000149</v>
      </c>
      <c r="DD10" t="s">
        <v>26</v>
      </c>
      <c r="DE10">
        <v>4.8</v>
      </c>
      <c r="DF10">
        <v>-6.6</v>
      </c>
    </row>
    <row r="11" spans="1:110" ht="25" customHeight="1" x14ac:dyDescent="0.4">
      <c r="A11" s="14">
        <f>Classifica!$A$6</f>
        <v>2</v>
      </c>
      <c r="B11" s="107" t="str">
        <f>IF(Classifica!$B$6="","",Classifica!$B$6&amp;"  "&amp;Classifica!$C$6&amp;IFERROR(IF(INDEX(ANA_Attenzione_Supervisore,Classifica!$U$6)="Sì","  ◆",""),""))</f>
        <v>NFR-07  Ransomware presso un fornitore di servizi di pagamento  ◆</v>
      </c>
      <c r="C11" s="108"/>
      <c r="D11" s="108"/>
      <c r="E11" s="108"/>
      <c r="F11" s="15">
        <f>IF(Classifica!$B$6="","",Classifica!$D$6)</f>
        <v>3.6</v>
      </c>
      <c r="G11" s="16">
        <f>IF(Classifica!$B$6="","",IF(ISNUMBER(Classifica!$F$6),Classifica!$F$6,"nuovo"))</f>
        <v>0</v>
      </c>
      <c r="H11" s="17" t="str">
        <f>IF(Classifica!$B$6="","",IF(LEFT(Classifica!$H$6,9)="AGIRE ORA","AGIRE ORA",IF(LEFT(Classifica!$H$6,11)="Agire entro","Entro l'anno",Classifica!$H$6)))</f>
        <v>Entro l'anno</v>
      </c>
      <c r="J11" s="18">
        <v>4</v>
      </c>
      <c r="K11" s="19" t="str">
        <f>SUBSTITUTE(SUBSTITUTE(Matrice!C6," ◆",""),"NFR-","")</f>
        <v/>
      </c>
      <c r="L11" s="20" t="str">
        <f>SUBSTITUTE(SUBSTITUTE(Matrice!D6," ◆",""),"NFR-","")</f>
        <v/>
      </c>
      <c r="M11" s="20" t="str">
        <f>SUBSTITUTE(SUBSTITUTE(Matrice!E6," ◆",""),"NFR-","")</f>
        <v>12</v>
      </c>
      <c r="N11" s="21" t="str">
        <f>SUBSTITUTE(SUBSTITUTE(Matrice!F6," ◆",""),"NFR-","")</f>
        <v>01</v>
      </c>
      <c r="O11" s="21" t="str">
        <f>SUBSTITUTE(SUBSTITUTE(Matrice!G6," ◆",""),"NFR-","")</f>
        <v/>
      </c>
      <c r="T11" t="str">
        <f>IF(LEFT(Radar_Mosca!$L$11,9)="AGIRE ORA",Radar_Mosca!$A$11,"")</f>
        <v/>
      </c>
      <c r="BH11">
        <f>2*PI()*6/72</f>
        <v>0.52359877559829882</v>
      </c>
      <c r="BI11">
        <f t="shared" si="0"/>
        <v>0.99999999999999989</v>
      </c>
      <c r="BJ11">
        <f t="shared" si="1"/>
        <v>1.7320508075688774</v>
      </c>
      <c r="BK11">
        <f t="shared" si="2"/>
        <v>1.4999999999999998</v>
      </c>
      <c r="BL11">
        <f t="shared" si="3"/>
        <v>2.598076211353316</v>
      </c>
      <c r="BM11">
        <f t="shared" si="4"/>
        <v>1.9999999999999998</v>
      </c>
      <c r="BN11">
        <f t="shared" si="5"/>
        <v>3.4641016151377548</v>
      </c>
      <c r="BO11">
        <f t="shared" si="6"/>
        <v>2.4999999999999996</v>
      </c>
      <c r="BP11">
        <f t="shared" si="7"/>
        <v>4.3301270189221936</v>
      </c>
      <c r="BR11">
        <v>0</v>
      </c>
      <c r="BS11">
        <v>0</v>
      </c>
      <c r="BU11" t="s">
        <v>27</v>
      </c>
      <c r="BV11">
        <f>6.95*SIN(2*PI()*(6+0.5)/ROWS(codiciL1))</f>
        <v>-3.0154919868670249</v>
      </c>
      <c r="BW11">
        <f>6.95*COS(2*PI()*(6+0.5)/ROWS(codiciL1))</f>
        <v>6.2617336319218149</v>
      </c>
      <c r="BY11" t="e">
        <f>IF(AND(ISNUMBER(Radar_Mosca!$F11),ISNUMBER(Radar_Mosca!$S11)),IF(AND(Radar_Mosca!$F11=BY$4,Radar_Mosca!$T11&lt;&gt;"Sì"),Radar_Mosca!$S11,NA()),NA())</f>
        <v>#N/A</v>
      </c>
      <c r="BZ11" t="e">
        <f>IF(AND(ISNUMBER(Radar_Mosca!$F11),ISNUMBER(Radar_Mosca!$S11)),IF(AND(Radar_Mosca!$F11=BZ$4,Radar_Mosca!$T11&lt;&gt;"Sì"),Radar_Mosca!$S11,NA()),NA())</f>
        <v>#N/A</v>
      </c>
      <c r="CA11" t="e">
        <f>IF(AND(ISNUMBER(Radar_Mosca!$F11),ISNUMBER(Radar_Mosca!$S11)),IF(AND(Radar_Mosca!$F11=CA$4,Radar_Mosca!$T11&lt;&gt;"Sì"),Radar_Mosca!$S11,NA()),NA())</f>
        <v>#N/A</v>
      </c>
      <c r="CB11" t="e">
        <f>IF(AND(ISNUMBER(Radar_Mosca!$F11),ISNUMBER(Radar_Mosca!$S11)),IF(AND(Radar_Mosca!$F11=CB$4,Radar_Mosca!$T11&lt;&gt;"Sì"),Radar_Mosca!$S11,NA()),NA())</f>
        <v>#N/A</v>
      </c>
      <c r="CC11" t="e">
        <f>IF(AND(ISNUMBER(Radar_Mosca!$F11),ISNUMBER(Radar_Mosca!$S11)),IF(AND(Radar_Mosca!$F11=CC$4,Radar_Mosca!$T11&lt;&gt;"Sì"),Radar_Mosca!$S11,NA()),NA())</f>
        <v>#N/A</v>
      </c>
      <c r="CD11" t="e">
        <f>IF(AND(ISNUMBER(Radar_Mosca!$F11),ISNUMBER(Radar_Mosca!$S11)),IF(AND(Radar_Mosca!$F11=CD$4,Radar_Mosca!$T11&lt;&gt;"Sì"),Radar_Mosca!$S11,NA()),NA())</f>
        <v>#N/A</v>
      </c>
      <c r="CE11" t="e">
        <f>IF(AND(ISNUMBER(Radar_Mosca!$F11),ISNUMBER(Radar_Mosca!$S11)),IF(AND(Radar_Mosca!$F11=CE$4,Radar_Mosca!$T11&lt;&gt;"Sì"),Radar_Mosca!$S11,NA()),NA())</f>
        <v>#N/A</v>
      </c>
      <c r="CF11" t="e">
        <f>IF(AND(ISNUMBER(Radar_Mosca!$F11),ISNUMBER(Radar_Mosca!$S11)),IF(AND(Radar_Mosca!$F11=CF$4,Radar_Mosca!$T11&lt;&gt;"Sì"),Radar_Mosca!$S11,NA()),NA())</f>
        <v>#N/A</v>
      </c>
      <c r="CG11" t="e">
        <f>IF(AND(ISNUMBER(Radar_Mosca!$F11),ISNUMBER(Radar_Mosca!$S11)),IF(AND(Radar_Mosca!$F11=CG$4,Radar_Mosca!$T11&lt;&gt;"Sì"),Radar_Mosca!$S11,NA()),NA())</f>
        <v>#N/A</v>
      </c>
      <c r="CH11" t="e">
        <f>IF(AND(ISNUMBER(Radar_Mosca!$F11),ISNUMBER(Radar_Mosca!$S11)),IF(AND(Radar_Mosca!$F11=CH$4,Radar_Mosca!$T11&lt;&gt;"Sì"),Radar_Mosca!$S11,NA()),NA())</f>
        <v>#N/A</v>
      </c>
      <c r="CI11" t="e">
        <f>IF(AND(ISNUMBER(Radar_Mosca!$F11),ISNUMBER(Radar_Mosca!$S11)),IF(AND(Radar_Mosca!$F11=CI$4,Radar_Mosca!$T11&lt;&gt;"Sì"),Radar_Mosca!$S11,NA()),NA())</f>
        <v>#N/A</v>
      </c>
      <c r="CJ11" t="e">
        <f>IF(AND(ISNUMBER(Radar_Mosca!$F11),ISNUMBER(Radar_Mosca!$S11)),IF(AND(Radar_Mosca!$F11=CJ$4,Radar_Mosca!$T11&lt;&gt;"Sì"),Radar_Mosca!$S11,NA()),NA())</f>
        <v>#N/A</v>
      </c>
      <c r="CK11" t="e">
        <f>IF(AND(ISNUMBER(Radar_Mosca!$F11),ISNUMBER(Radar_Mosca!$S11)),IF(AND(Radar_Mosca!$F11=CK$4,Radar_Mosca!$T11&lt;&gt;"Sì"),Radar_Mosca!$S11,NA()),NA())</f>
        <v>#N/A</v>
      </c>
      <c r="CL11" t="e">
        <f>IF(AND(ISNUMBER(Radar_Mosca!$F11),ISNUMBER(Radar_Mosca!$S11)),IF(AND(Radar_Mosca!$F11=CL$4,Radar_Mosca!$T11&lt;&gt;"Sì"),Radar_Mosca!$S11,NA()),NA())</f>
        <v>#N/A</v>
      </c>
      <c r="CM11" t="e">
        <f>IF(AND(ISNUMBER(Radar_Mosca!$F11),ISNUMBER(Radar_Mosca!$S11)),IF(AND(Radar_Mosca!$F11=CM$4,Radar_Mosca!$T11="Sì"),Radar_Mosca!$S11,NA()),NA())</f>
        <v>#N/A</v>
      </c>
      <c r="CN11" t="e">
        <f>IF(AND(ISNUMBER(Radar_Mosca!$F11),ISNUMBER(Radar_Mosca!$S11)),IF(AND(Radar_Mosca!$F11=CN$4,Radar_Mosca!$T11="Sì"),Radar_Mosca!$S11,NA()),NA())</f>
        <v>#N/A</v>
      </c>
      <c r="CO11" t="e">
        <f>IF(AND(ISNUMBER(Radar_Mosca!$F11),ISNUMBER(Radar_Mosca!$S11)),IF(AND(Radar_Mosca!$F11=CO$4,Radar_Mosca!$T11="Sì"),Radar_Mosca!$S11,NA()),NA())</f>
        <v>#N/A</v>
      </c>
      <c r="CP11" t="e">
        <f>IF(AND(ISNUMBER(Radar_Mosca!$F11),ISNUMBER(Radar_Mosca!$S11)),IF(AND(Radar_Mosca!$F11=CP$4,Radar_Mosca!$T11="Sì"),Radar_Mosca!$S11,NA()),NA())</f>
        <v>#N/A</v>
      </c>
      <c r="CQ11" t="e">
        <f>IF(AND(ISNUMBER(Radar_Mosca!$F11),ISNUMBER(Radar_Mosca!$S11)),IF(AND(Radar_Mosca!$F11=CQ$4,Radar_Mosca!$T11="Sì"),Radar_Mosca!$S11,NA()),NA())</f>
        <v>#N/A</v>
      </c>
      <c r="CR11" t="e">
        <f>IF(AND(ISNUMBER(Radar_Mosca!$F11),ISNUMBER(Radar_Mosca!$S11)),IF(AND(Radar_Mosca!$F11=CR$4,Radar_Mosca!$T11="Sì"),Radar_Mosca!$S11,NA()),NA())</f>
        <v>#N/A</v>
      </c>
      <c r="CS11" t="e">
        <f>IF(AND(ISNUMBER(Radar_Mosca!$F11),ISNUMBER(Radar_Mosca!$S11)),IF(AND(Radar_Mosca!$F11=CS$4,Radar_Mosca!$T11="Sì"),Radar_Mosca!$S11,NA()),NA())</f>
        <v>#N/A</v>
      </c>
      <c r="CT11" t="e">
        <f>IF(AND(ISNUMBER(Radar_Mosca!$F11),ISNUMBER(Radar_Mosca!$S11)),IF(AND(Radar_Mosca!$F11=CT$4,Radar_Mosca!$T11="Sì"),Radar_Mosca!$S11,NA()),NA())</f>
        <v>#N/A</v>
      </c>
      <c r="CU11" t="e">
        <f>IF(AND(ISNUMBER(Radar_Mosca!$F11),ISNUMBER(Radar_Mosca!$S11)),IF(AND(Radar_Mosca!$F11=CU$4,Radar_Mosca!$T11="Sì"),Radar_Mosca!$S11,NA()),NA())</f>
        <v>#N/A</v>
      </c>
      <c r="CV11">
        <f>IF(AND(ISNUMBER(Radar_Mosca!$F11),ISNUMBER(Radar_Mosca!$S11)),IF(AND(Radar_Mosca!$F11=CV$4,Radar_Mosca!$T11="Sì"),Radar_Mosca!$S11,NA()),NA())</f>
        <v>0.61193256837986165</v>
      </c>
      <c r="CW11" t="e">
        <f>IF(AND(ISNUMBER(Radar_Mosca!$F11),ISNUMBER(Radar_Mosca!$S11)),IF(AND(Radar_Mosca!$F11=CW$4,Radar_Mosca!$T11="Sì"),Radar_Mosca!$S11,NA()),NA())</f>
        <v>#N/A</v>
      </c>
      <c r="CX11" t="e">
        <f>IF(AND(ISNUMBER(Radar_Mosca!$F11),ISNUMBER(Radar_Mosca!$S11)),IF(AND(Radar_Mosca!$F11=CX$4,Radar_Mosca!$T11="Sì"),Radar_Mosca!$S11,NA()),NA())</f>
        <v>#N/A</v>
      </c>
      <c r="CY11" t="e">
        <f>IF(AND(ISNUMBER(Radar_Mosca!$F11),ISNUMBER(Radar_Mosca!$S11)),IF(AND(Radar_Mosca!$F11=CY$4,Radar_Mosca!$T11="Sì"),Radar_Mosca!$S11,NA()),NA())</f>
        <v>#N/A</v>
      </c>
      <c r="CZ11" t="e">
        <f>IF(AND(ISNUMBER(Radar_Mosca!$F11),ISNUMBER(Radar_Mosca!$S11)),IF(AND(Radar_Mosca!$F11=CZ$4,Radar_Mosca!$T11="Sì"),Radar_Mosca!$S11,NA()),NA())</f>
        <v>#N/A</v>
      </c>
      <c r="DA11">
        <f>IF(ISNUMBER(Radar_Mosca!$R11),Radar_Mosca!$R11,NA())</f>
        <v>-2.6810517585000158</v>
      </c>
      <c r="DB11" t="str">
        <f>IF(Radar_Mosca!$A11="","",MID(Radar_Mosca!$A11,5,3))</f>
        <v>07</v>
      </c>
      <c r="DC11">
        <f>IF(ISNUMBER(Radar_Mosca!$S11),Radar_Mosca!$S11,NA())</f>
        <v>0.61193256837986165</v>
      </c>
      <c r="DD11" t="s">
        <v>28</v>
      </c>
      <c r="DE11">
        <v>6.5</v>
      </c>
      <c r="DF11">
        <v>-6.6</v>
      </c>
    </row>
    <row r="12" spans="1:110" ht="25" customHeight="1" x14ac:dyDescent="0.4">
      <c r="A12" s="14">
        <f>Classifica!$A$7</f>
        <v>3</v>
      </c>
      <c r="B12" s="107" t="str">
        <f>IF(Classifica!$B$7="","",Classifica!$B$7&amp;"  "&amp;Classifica!$C$7&amp;IFERROR(IF(INDEX(ANA_Attenzione_Supervisore,Classifica!$U$7)="Sì","  ◆",""),""))</f>
        <v>NFR-12  Errori operativi nei pagamenti istantanei obbligatori</v>
      </c>
      <c r="C12" s="108"/>
      <c r="D12" s="108"/>
      <c r="E12" s="108"/>
      <c r="F12" s="15">
        <f>IF(Classifica!$B$7="","",Classifica!$D$7)</f>
        <v>3.5</v>
      </c>
      <c r="G12" s="16">
        <f>IF(Classifica!$B$7="","",IF(ISNUMBER(Classifica!$F$7),Classifica!$F$7,"nuovo"))</f>
        <v>0</v>
      </c>
      <c r="H12" s="17" t="str">
        <f>IF(Classifica!$B$7="","",IF(LEFT(Classifica!$H$7,9)="AGIRE ORA","AGIRE ORA",IF(LEFT(Classifica!$H$7,11)="Agire entro","Entro l'anno",Classifica!$H$7)))</f>
        <v>Entro l'anno</v>
      </c>
      <c r="J12" s="18">
        <v>3</v>
      </c>
      <c r="K12" s="19" t="str">
        <f>SUBSTITUTE(SUBSTITUTE(Matrice!C7," ◆",""),"NFR-","")</f>
        <v/>
      </c>
      <c r="L12" s="19" t="str">
        <f>SUBSTITUTE(SUBSTITUTE(Matrice!D7," ◆",""),"NFR-","")</f>
        <v/>
      </c>
      <c r="M12" s="20" t="str">
        <f>SUBSTITUTE(SUBSTITUTE(Matrice!E7," ◆",""),"NFR-","")</f>
        <v>03   04   05   06   10   11</v>
      </c>
      <c r="N12" s="20" t="str">
        <f>SUBSTITUTE(SUBSTITUTE(Matrice!F7," ◆",""),"NFR-","")</f>
        <v>07</v>
      </c>
      <c r="O12" s="21" t="str">
        <f>SUBSTITUTE(SUBSTITUTE(Matrice!G7," ◆",""),"NFR-","")</f>
        <v/>
      </c>
      <c r="T12" t="str">
        <f>IF(LEFT(Radar_Mosca!$L$12,9)="AGIRE ORA",Radar_Mosca!$A$12,"")</f>
        <v/>
      </c>
      <c r="BH12">
        <f>2*PI()*7/72</f>
        <v>0.6108652381980153</v>
      </c>
      <c r="BI12">
        <f t="shared" si="0"/>
        <v>1.1471528727020921</v>
      </c>
      <c r="BJ12">
        <f t="shared" si="1"/>
        <v>1.6383040885779836</v>
      </c>
      <c r="BK12">
        <f t="shared" si="2"/>
        <v>1.7207293090531381</v>
      </c>
      <c r="BL12">
        <f t="shared" si="3"/>
        <v>2.4574561328669753</v>
      </c>
      <c r="BM12">
        <f t="shared" si="4"/>
        <v>2.2943057454041842</v>
      </c>
      <c r="BN12">
        <f t="shared" si="5"/>
        <v>3.2766081771559672</v>
      </c>
      <c r="BO12">
        <f t="shared" si="6"/>
        <v>2.8678821817552302</v>
      </c>
      <c r="BP12">
        <f t="shared" si="7"/>
        <v>4.0957602214449587</v>
      </c>
      <c r="BR12">
        <f>6.3*SIN(2*PI()*3/ROWS(codiciL1))</f>
        <v>2.7334675564406168</v>
      </c>
      <c r="BS12">
        <f>6.3*COS(2*PI()*3/ROWS(codiciL1))</f>
        <v>-5.6761038677852396</v>
      </c>
      <c r="BY12" t="e">
        <f>IF(AND(ISNUMBER(Radar_Mosca!$F12),ISNUMBER(Radar_Mosca!$S12)),IF(AND(Radar_Mosca!$F12=BY$4,Radar_Mosca!$T12&lt;&gt;"Sì"),Radar_Mosca!$S12,NA()),NA())</f>
        <v>#N/A</v>
      </c>
      <c r="BZ12" t="e">
        <f>IF(AND(ISNUMBER(Radar_Mosca!$F12),ISNUMBER(Radar_Mosca!$S12)),IF(AND(Radar_Mosca!$F12=BZ$4,Radar_Mosca!$T12&lt;&gt;"Sì"),Radar_Mosca!$S12,NA()),NA())</f>
        <v>#N/A</v>
      </c>
      <c r="CA12" t="e">
        <f>IF(AND(ISNUMBER(Radar_Mosca!$F12),ISNUMBER(Radar_Mosca!$S12)),IF(AND(Radar_Mosca!$F12=CA$4,Radar_Mosca!$T12&lt;&gt;"Sì"),Radar_Mosca!$S12,NA()),NA())</f>
        <v>#N/A</v>
      </c>
      <c r="CB12" t="e">
        <f>IF(AND(ISNUMBER(Radar_Mosca!$F12),ISNUMBER(Radar_Mosca!$S12)),IF(AND(Radar_Mosca!$F12=CB$4,Radar_Mosca!$T12&lt;&gt;"Sì"),Radar_Mosca!$S12,NA()),NA())</f>
        <v>#N/A</v>
      </c>
      <c r="CC12" t="e">
        <f>IF(AND(ISNUMBER(Radar_Mosca!$F12),ISNUMBER(Radar_Mosca!$S12)),IF(AND(Radar_Mosca!$F12=CC$4,Radar_Mosca!$T12&lt;&gt;"Sì"),Radar_Mosca!$S12,NA()),NA())</f>
        <v>#N/A</v>
      </c>
      <c r="CD12">
        <f>IF(AND(ISNUMBER(Radar_Mosca!$F12),ISNUMBER(Radar_Mosca!$S12)),IF(AND(Radar_Mosca!$F12=CD$4,Radar_Mosca!$T12&lt;&gt;"Sì"),Radar_Mosca!$S12,NA()),NA())</f>
        <v>1.759120835553067</v>
      </c>
      <c r="CE12" t="e">
        <f>IF(AND(ISNUMBER(Radar_Mosca!$F12),ISNUMBER(Radar_Mosca!$S12)),IF(AND(Radar_Mosca!$F12=CE$4,Radar_Mosca!$T12&lt;&gt;"Sì"),Radar_Mosca!$S12,NA()),NA())</f>
        <v>#N/A</v>
      </c>
      <c r="CF12" t="e">
        <f>IF(AND(ISNUMBER(Radar_Mosca!$F12),ISNUMBER(Radar_Mosca!$S12)),IF(AND(Radar_Mosca!$F12=CF$4,Radar_Mosca!$T12&lt;&gt;"Sì"),Radar_Mosca!$S12,NA()),NA())</f>
        <v>#N/A</v>
      </c>
      <c r="CG12" t="e">
        <f>IF(AND(ISNUMBER(Radar_Mosca!$F12),ISNUMBER(Radar_Mosca!$S12)),IF(AND(Radar_Mosca!$F12=CG$4,Radar_Mosca!$T12&lt;&gt;"Sì"),Radar_Mosca!$S12,NA()),NA())</f>
        <v>#N/A</v>
      </c>
      <c r="CH12" t="e">
        <f>IF(AND(ISNUMBER(Radar_Mosca!$F12),ISNUMBER(Radar_Mosca!$S12)),IF(AND(Radar_Mosca!$F12=CH$4,Radar_Mosca!$T12&lt;&gt;"Sì"),Radar_Mosca!$S12,NA()),NA())</f>
        <v>#N/A</v>
      </c>
      <c r="CI12" t="e">
        <f>IF(AND(ISNUMBER(Radar_Mosca!$F12),ISNUMBER(Radar_Mosca!$S12)),IF(AND(Radar_Mosca!$F12=CI$4,Radar_Mosca!$T12&lt;&gt;"Sì"),Radar_Mosca!$S12,NA()),NA())</f>
        <v>#N/A</v>
      </c>
      <c r="CJ12" t="e">
        <f>IF(AND(ISNUMBER(Radar_Mosca!$F12),ISNUMBER(Radar_Mosca!$S12)),IF(AND(Radar_Mosca!$F12=CJ$4,Radar_Mosca!$T12&lt;&gt;"Sì"),Radar_Mosca!$S12,NA()),NA())</f>
        <v>#N/A</v>
      </c>
      <c r="CK12" t="e">
        <f>IF(AND(ISNUMBER(Radar_Mosca!$F12),ISNUMBER(Radar_Mosca!$S12)),IF(AND(Radar_Mosca!$F12=CK$4,Radar_Mosca!$T12&lt;&gt;"Sì"),Radar_Mosca!$S12,NA()),NA())</f>
        <v>#N/A</v>
      </c>
      <c r="CL12" t="e">
        <f>IF(AND(ISNUMBER(Radar_Mosca!$F12),ISNUMBER(Radar_Mosca!$S12)),IF(AND(Radar_Mosca!$F12=CL$4,Radar_Mosca!$T12&lt;&gt;"Sì"),Radar_Mosca!$S12,NA()),NA())</f>
        <v>#N/A</v>
      </c>
      <c r="CM12" t="e">
        <f>IF(AND(ISNUMBER(Radar_Mosca!$F12),ISNUMBER(Radar_Mosca!$S12)),IF(AND(Radar_Mosca!$F12=CM$4,Radar_Mosca!$T12="Sì"),Radar_Mosca!$S12,NA()),NA())</f>
        <v>#N/A</v>
      </c>
      <c r="CN12" t="e">
        <f>IF(AND(ISNUMBER(Radar_Mosca!$F12),ISNUMBER(Radar_Mosca!$S12)),IF(AND(Radar_Mosca!$F12=CN$4,Radar_Mosca!$T12="Sì"),Radar_Mosca!$S12,NA()),NA())</f>
        <v>#N/A</v>
      </c>
      <c r="CO12" t="e">
        <f>IF(AND(ISNUMBER(Radar_Mosca!$F12),ISNUMBER(Radar_Mosca!$S12)),IF(AND(Radar_Mosca!$F12=CO$4,Radar_Mosca!$T12="Sì"),Radar_Mosca!$S12,NA()),NA())</f>
        <v>#N/A</v>
      </c>
      <c r="CP12" t="e">
        <f>IF(AND(ISNUMBER(Radar_Mosca!$F12),ISNUMBER(Radar_Mosca!$S12)),IF(AND(Radar_Mosca!$F12=CP$4,Radar_Mosca!$T12="Sì"),Radar_Mosca!$S12,NA()),NA())</f>
        <v>#N/A</v>
      </c>
      <c r="CQ12" t="e">
        <f>IF(AND(ISNUMBER(Radar_Mosca!$F12),ISNUMBER(Radar_Mosca!$S12)),IF(AND(Radar_Mosca!$F12=CQ$4,Radar_Mosca!$T12="Sì"),Radar_Mosca!$S12,NA()),NA())</f>
        <v>#N/A</v>
      </c>
      <c r="CR12" t="e">
        <f>IF(AND(ISNUMBER(Radar_Mosca!$F12),ISNUMBER(Radar_Mosca!$S12)),IF(AND(Radar_Mosca!$F12=CR$4,Radar_Mosca!$T12="Sì"),Radar_Mosca!$S12,NA()),NA())</f>
        <v>#N/A</v>
      </c>
      <c r="CS12" t="e">
        <f>IF(AND(ISNUMBER(Radar_Mosca!$F12),ISNUMBER(Radar_Mosca!$S12)),IF(AND(Radar_Mosca!$F12=CS$4,Radar_Mosca!$T12="Sì"),Radar_Mosca!$S12,NA()),NA())</f>
        <v>#N/A</v>
      </c>
      <c r="CT12" t="e">
        <f>IF(AND(ISNUMBER(Radar_Mosca!$F12),ISNUMBER(Radar_Mosca!$S12)),IF(AND(Radar_Mosca!$F12=CT$4,Radar_Mosca!$T12="Sì"),Radar_Mosca!$S12,NA()),NA())</f>
        <v>#N/A</v>
      </c>
      <c r="CU12" t="e">
        <f>IF(AND(ISNUMBER(Radar_Mosca!$F12),ISNUMBER(Radar_Mosca!$S12)),IF(AND(Radar_Mosca!$F12=CU$4,Radar_Mosca!$T12="Sì"),Radar_Mosca!$S12,NA()),NA())</f>
        <v>#N/A</v>
      </c>
      <c r="CV12" t="e">
        <f>IF(AND(ISNUMBER(Radar_Mosca!$F12),ISNUMBER(Radar_Mosca!$S12)),IF(AND(Radar_Mosca!$F12=CV$4,Radar_Mosca!$T12="Sì"),Radar_Mosca!$S12,NA()),NA())</f>
        <v>#N/A</v>
      </c>
      <c r="CW12" t="e">
        <f>IF(AND(ISNUMBER(Radar_Mosca!$F12),ISNUMBER(Radar_Mosca!$S12)),IF(AND(Radar_Mosca!$F12=CW$4,Radar_Mosca!$T12="Sì"),Radar_Mosca!$S12,NA()),NA())</f>
        <v>#N/A</v>
      </c>
      <c r="CX12" t="e">
        <f>IF(AND(ISNUMBER(Radar_Mosca!$F12),ISNUMBER(Radar_Mosca!$S12)),IF(AND(Radar_Mosca!$F12=CX$4,Radar_Mosca!$T12="Sì"),Radar_Mosca!$S12,NA()),NA())</f>
        <v>#N/A</v>
      </c>
      <c r="CY12" t="e">
        <f>IF(AND(ISNUMBER(Radar_Mosca!$F12),ISNUMBER(Radar_Mosca!$S12)),IF(AND(Radar_Mosca!$F12=CY$4,Radar_Mosca!$T12="Sì"),Radar_Mosca!$S12,NA()),NA())</f>
        <v>#N/A</v>
      </c>
      <c r="CZ12" t="e">
        <f>IF(AND(ISNUMBER(Radar_Mosca!$F12),ISNUMBER(Radar_Mosca!$S12)),IF(AND(Radar_Mosca!$F12=CZ$4,Radar_Mosca!$T12="Sì"),Radar_Mosca!$S12,NA()),NA())</f>
        <v>#N/A</v>
      </c>
      <c r="DA12">
        <f>IF(ISNUMBER(Radar_Mosca!$R12),Radar_Mosca!$R12,NA())</f>
        <v>1.4028520541821503</v>
      </c>
      <c r="DB12" t="str">
        <f>IF(Radar_Mosca!$A12="","",MID(Radar_Mosca!$A12,5,3))</f>
        <v>08</v>
      </c>
      <c r="DC12">
        <f>IF(ISNUMBER(Radar_Mosca!$S12),Radar_Mosca!$S12,NA())</f>
        <v>1.759120835553067</v>
      </c>
    </row>
    <row r="13" spans="1:110" ht="25" customHeight="1" x14ac:dyDescent="0.4">
      <c r="A13" s="14">
        <f>Classifica!$A$8</f>
        <v>4</v>
      </c>
      <c r="B13" s="107" t="str">
        <f>IF(Classifica!$B$8="","",Classifica!$B$8&amp;"  "&amp;Classifica!$C$8&amp;IFERROR(IF(INDEX(ANA_Attenzione_Supervisore,Classifica!$U$8)="Sì","  ◆",""),""))</f>
        <v>NFR-02  Concentrazione su un fornitore cloud critico  ◆</v>
      </c>
      <c r="C13" s="108"/>
      <c r="D13" s="108"/>
      <c r="E13" s="108"/>
      <c r="F13" s="15">
        <f>IF(Classifica!$B$8="","",Classifica!$D$8)</f>
        <v>3.25</v>
      </c>
      <c r="G13" s="16">
        <f>IF(Classifica!$B$8="","",IF(ISNUMBER(Classifica!$F$8),Classifica!$F$8,"nuovo"))</f>
        <v>-0.20000000000000018</v>
      </c>
      <c r="H13" s="17" t="str">
        <f>IF(Classifica!$B$8="","",IF(LEFT(Classifica!$H$8,9)="AGIRE ORA","AGIRE ORA",IF(LEFT(Classifica!$H$8,11)="Agire entro","Entro l'anno",Classifica!$H$8)))</f>
        <v>Entro l'anno</v>
      </c>
      <c r="J13" s="18">
        <v>2</v>
      </c>
      <c r="K13" s="19" t="str">
        <f>SUBSTITUTE(SUBSTITUTE(Matrice!C8," ◆",""),"NFR-","")</f>
        <v/>
      </c>
      <c r="L13" s="19" t="str">
        <f>SUBSTITUTE(SUBSTITUTE(Matrice!D8," ◆",""),"NFR-","")</f>
        <v/>
      </c>
      <c r="M13" s="19" t="str">
        <f>SUBSTITUTE(SUBSTITUTE(Matrice!E8," ◆",""),"NFR-","")</f>
        <v>08</v>
      </c>
      <c r="N13" s="20" t="str">
        <f>SUBSTITUTE(SUBSTITUTE(Matrice!F8," ◆",""),"NFR-","")</f>
        <v>02   09</v>
      </c>
      <c r="O13" s="20" t="str">
        <f>SUBSTITUTE(SUBSTITUTE(Matrice!G8," ◆",""),"NFR-","")</f>
        <v/>
      </c>
      <c r="T13" t="str">
        <f>IF(LEFT(Radar_Mosca!$L$13,9)="AGIRE ORA",Radar_Mosca!$A$13,"")</f>
        <v/>
      </c>
      <c r="BH13">
        <f>2*PI()*8/72</f>
        <v>0.69813170079773179</v>
      </c>
      <c r="BI13">
        <f t="shared" si="0"/>
        <v>1.2855752193730785</v>
      </c>
      <c r="BJ13">
        <f t="shared" si="1"/>
        <v>1.532088886237956</v>
      </c>
      <c r="BK13">
        <f t="shared" si="2"/>
        <v>1.9283628290596178</v>
      </c>
      <c r="BL13">
        <f t="shared" si="3"/>
        <v>2.2981333293569342</v>
      </c>
      <c r="BM13">
        <f t="shared" si="4"/>
        <v>2.571150438746157</v>
      </c>
      <c r="BN13">
        <f t="shared" si="5"/>
        <v>3.0641777724759121</v>
      </c>
      <c r="BO13">
        <f t="shared" si="6"/>
        <v>3.2139380484326963</v>
      </c>
      <c r="BP13">
        <f t="shared" si="7"/>
        <v>3.83022221559489</v>
      </c>
      <c r="BR13">
        <v>0</v>
      </c>
      <c r="BS13">
        <v>0</v>
      </c>
      <c r="BY13" t="e">
        <f>IF(AND(ISNUMBER(Radar_Mosca!$F13),ISNUMBER(Radar_Mosca!$S13)),IF(AND(Radar_Mosca!$F13=BY$4,Radar_Mosca!$T13&lt;&gt;"Sì"),Radar_Mosca!$S13,NA()),NA())</f>
        <v>#N/A</v>
      </c>
      <c r="BZ13" t="e">
        <f>IF(AND(ISNUMBER(Radar_Mosca!$F13),ISNUMBER(Radar_Mosca!$S13)),IF(AND(Radar_Mosca!$F13=BZ$4,Radar_Mosca!$T13&lt;&gt;"Sì"),Radar_Mosca!$S13,NA()),NA())</f>
        <v>#N/A</v>
      </c>
      <c r="CA13" t="e">
        <f>IF(AND(ISNUMBER(Radar_Mosca!$F13),ISNUMBER(Radar_Mosca!$S13)),IF(AND(Radar_Mosca!$F13=CA$4,Radar_Mosca!$T13&lt;&gt;"Sì"),Radar_Mosca!$S13,NA()),NA())</f>
        <v>#N/A</v>
      </c>
      <c r="CB13" t="e">
        <f>IF(AND(ISNUMBER(Radar_Mosca!$F13),ISNUMBER(Radar_Mosca!$S13)),IF(AND(Radar_Mosca!$F13=CB$4,Radar_Mosca!$T13&lt;&gt;"Sì"),Radar_Mosca!$S13,NA()),NA())</f>
        <v>#N/A</v>
      </c>
      <c r="CC13" t="e">
        <f>IF(AND(ISNUMBER(Radar_Mosca!$F13),ISNUMBER(Radar_Mosca!$S13)),IF(AND(Radar_Mosca!$F13=CC$4,Radar_Mosca!$T13&lt;&gt;"Sì"),Radar_Mosca!$S13,NA()),NA())</f>
        <v>#N/A</v>
      </c>
      <c r="CD13" t="e">
        <f>IF(AND(ISNUMBER(Radar_Mosca!$F13),ISNUMBER(Radar_Mosca!$S13)),IF(AND(Radar_Mosca!$F13=CD$4,Radar_Mosca!$T13&lt;&gt;"Sì"),Radar_Mosca!$S13,NA()),NA())</f>
        <v>#N/A</v>
      </c>
      <c r="CE13" t="e">
        <f>IF(AND(ISNUMBER(Radar_Mosca!$F13),ISNUMBER(Radar_Mosca!$S13)),IF(AND(Radar_Mosca!$F13=CE$4,Radar_Mosca!$T13&lt;&gt;"Sì"),Radar_Mosca!$S13,NA()),NA())</f>
        <v>#N/A</v>
      </c>
      <c r="CF13" t="e">
        <f>IF(AND(ISNUMBER(Radar_Mosca!$F13),ISNUMBER(Radar_Mosca!$S13)),IF(AND(Radar_Mosca!$F13=CF$4,Radar_Mosca!$T13&lt;&gt;"Sì"),Radar_Mosca!$S13,NA()),NA())</f>
        <v>#N/A</v>
      </c>
      <c r="CG13" t="e">
        <f>IF(AND(ISNUMBER(Radar_Mosca!$F13),ISNUMBER(Radar_Mosca!$S13)),IF(AND(Radar_Mosca!$F13=CG$4,Radar_Mosca!$T13&lt;&gt;"Sì"),Radar_Mosca!$S13,NA()),NA())</f>
        <v>#N/A</v>
      </c>
      <c r="CH13" t="e">
        <f>IF(AND(ISNUMBER(Radar_Mosca!$F13),ISNUMBER(Radar_Mosca!$S13)),IF(AND(Radar_Mosca!$F13=CH$4,Radar_Mosca!$T13&lt;&gt;"Sì"),Radar_Mosca!$S13,NA()),NA())</f>
        <v>#N/A</v>
      </c>
      <c r="CI13" t="e">
        <f>IF(AND(ISNUMBER(Radar_Mosca!$F13),ISNUMBER(Radar_Mosca!$S13)),IF(AND(Radar_Mosca!$F13=CI$4,Radar_Mosca!$T13&lt;&gt;"Sì"),Radar_Mosca!$S13,NA()),NA())</f>
        <v>#N/A</v>
      </c>
      <c r="CJ13" t="e">
        <f>IF(AND(ISNUMBER(Radar_Mosca!$F13),ISNUMBER(Radar_Mosca!$S13)),IF(AND(Radar_Mosca!$F13=CJ$4,Radar_Mosca!$T13&lt;&gt;"Sì"),Radar_Mosca!$S13,NA()),NA())</f>
        <v>#N/A</v>
      </c>
      <c r="CK13" t="e">
        <f>IF(AND(ISNUMBER(Radar_Mosca!$F13),ISNUMBER(Radar_Mosca!$S13)),IF(AND(Radar_Mosca!$F13=CK$4,Radar_Mosca!$T13&lt;&gt;"Sì"),Radar_Mosca!$S13,NA()),NA())</f>
        <v>#N/A</v>
      </c>
      <c r="CL13" t="e">
        <f>IF(AND(ISNUMBER(Radar_Mosca!$F13),ISNUMBER(Radar_Mosca!$S13)),IF(AND(Radar_Mosca!$F13=CL$4,Radar_Mosca!$T13&lt;&gt;"Sì"),Radar_Mosca!$S13,NA()),NA())</f>
        <v>#N/A</v>
      </c>
      <c r="CM13" t="e">
        <f>IF(AND(ISNUMBER(Radar_Mosca!$F13),ISNUMBER(Radar_Mosca!$S13)),IF(AND(Radar_Mosca!$F13=CM$4,Radar_Mosca!$T13="Sì"),Radar_Mosca!$S13,NA()),NA())</f>
        <v>#N/A</v>
      </c>
      <c r="CN13" t="e">
        <f>IF(AND(ISNUMBER(Radar_Mosca!$F13),ISNUMBER(Radar_Mosca!$S13)),IF(AND(Radar_Mosca!$F13=CN$4,Radar_Mosca!$T13="Sì"),Radar_Mosca!$S13,NA()),NA())</f>
        <v>#N/A</v>
      </c>
      <c r="CO13" t="e">
        <f>IF(AND(ISNUMBER(Radar_Mosca!$F13),ISNUMBER(Radar_Mosca!$S13)),IF(AND(Radar_Mosca!$F13=CO$4,Radar_Mosca!$T13="Sì"),Radar_Mosca!$S13,NA()),NA())</f>
        <v>#N/A</v>
      </c>
      <c r="CP13" t="e">
        <f>IF(AND(ISNUMBER(Radar_Mosca!$F13),ISNUMBER(Radar_Mosca!$S13)),IF(AND(Radar_Mosca!$F13=CP$4,Radar_Mosca!$T13="Sì"),Radar_Mosca!$S13,NA()),NA())</f>
        <v>#N/A</v>
      </c>
      <c r="CQ13" t="e">
        <f>IF(AND(ISNUMBER(Radar_Mosca!$F13),ISNUMBER(Radar_Mosca!$S13)),IF(AND(Radar_Mosca!$F13=CQ$4,Radar_Mosca!$T13="Sì"),Radar_Mosca!$S13,NA()),NA())</f>
        <v>#N/A</v>
      </c>
      <c r="CR13" t="e">
        <f>IF(AND(ISNUMBER(Radar_Mosca!$F13),ISNUMBER(Radar_Mosca!$S13)),IF(AND(Radar_Mosca!$F13=CR$4,Radar_Mosca!$T13="Sì"),Radar_Mosca!$S13,NA()),NA())</f>
        <v>#N/A</v>
      </c>
      <c r="CS13">
        <f>IF(AND(ISNUMBER(Radar_Mosca!$F13),ISNUMBER(Radar_Mosca!$S13)),IF(AND(Radar_Mosca!$F13=CS$4,Radar_Mosca!$T13="Sì"),Radar_Mosca!$S13,NA()),NA())</f>
        <v>-3.25</v>
      </c>
      <c r="CT13" t="e">
        <f>IF(AND(ISNUMBER(Radar_Mosca!$F13),ISNUMBER(Radar_Mosca!$S13)),IF(AND(Radar_Mosca!$F13=CT$4,Radar_Mosca!$T13="Sì"),Radar_Mosca!$S13,NA()),NA())</f>
        <v>#N/A</v>
      </c>
      <c r="CU13" t="e">
        <f>IF(AND(ISNUMBER(Radar_Mosca!$F13),ISNUMBER(Radar_Mosca!$S13)),IF(AND(Radar_Mosca!$F13=CU$4,Radar_Mosca!$T13="Sì"),Radar_Mosca!$S13,NA()),NA())</f>
        <v>#N/A</v>
      </c>
      <c r="CV13" t="e">
        <f>IF(AND(ISNUMBER(Radar_Mosca!$F13),ISNUMBER(Radar_Mosca!$S13)),IF(AND(Radar_Mosca!$F13=CV$4,Radar_Mosca!$T13="Sì"),Radar_Mosca!$S13,NA()),NA())</f>
        <v>#N/A</v>
      </c>
      <c r="CW13" t="e">
        <f>IF(AND(ISNUMBER(Radar_Mosca!$F13),ISNUMBER(Radar_Mosca!$S13)),IF(AND(Radar_Mosca!$F13=CW$4,Radar_Mosca!$T13="Sì"),Radar_Mosca!$S13,NA()),NA())</f>
        <v>#N/A</v>
      </c>
      <c r="CX13" t="e">
        <f>IF(AND(ISNUMBER(Radar_Mosca!$F13),ISNUMBER(Radar_Mosca!$S13)),IF(AND(Radar_Mosca!$F13=CX$4,Radar_Mosca!$T13="Sì"),Radar_Mosca!$S13,NA()),NA())</f>
        <v>#N/A</v>
      </c>
      <c r="CY13" t="e">
        <f>IF(AND(ISNUMBER(Radar_Mosca!$F13),ISNUMBER(Radar_Mosca!$S13)),IF(AND(Radar_Mosca!$F13=CY$4,Radar_Mosca!$T13="Sì"),Radar_Mosca!$S13,NA()),NA())</f>
        <v>#N/A</v>
      </c>
      <c r="CZ13" t="e">
        <f>IF(AND(ISNUMBER(Radar_Mosca!$F13),ISNUMBER(Radar_Mosca!$S13)),IF(AND(Radar_Mosca!$F13=CZ$4,Radar_Mosca!$T13="Sì"),Radar_Mosca!$S13,NA()),NA())</f>
        <v>#N/A</v>
      </c>
      <c r="DA13">
        <f>IF(ISNUMBER(Radar_Mosca!$R13),Radar_Mosca!$R13,NA())</f>
        <v>3.981732478453015E-16</v>
      </c>
      <c r="DB13" t="str">
        <f>IF(Radar_Mosca!$A13="","",MID(Radar_Mosca!$A13,5,3))</f>
        <v>09</v>
      </c>
      <c r="DC13">
        <f>IF(ISNUMBER(Radar_Mosca!$S13),Radar_Mosca!$S13,NA())</f>
        <v>-3.25</v>
      </c>
    </row>
    <row r="14" spans="1:110" ht="25" customHeight="1" x14ac:dyDescent="0.4">
      <c r="A14" s="14">
        <f>Classifica!$A$9</f>
        <v>5</v>
      </c>
      <c r="B14" s="107" t="str">
        <f>IF(Classifica!$B$9="","",Classifica!$B$9&amp;"  "&amp;Classifica!$C$9&amp;IFERROR(IF(INDEX(ANA_Attenzione_Supervisore,Classifica!$U$9)="Sì","  ◆",""),""))</f>
        <v>NFR-10  Informazioni errate ai clienti da assistenti di AI generativa</v>
      </c>
      <c r="C14" s="108"/>
      <c r="D14" s="108"/>
      <c r="E14" s="108"/>
      <c r="F14" s="15">
        <f>IF(Classifica!$B$9="","",Classifica!$D$9)</f>
        <v>3.2</v>
      </c>
      <c r="G14" s="16">
        <f>IF(Classifica!$B$9="","",IF(ISNUMBER(Classifica!$F$9),Classifica!$F$9,"nuovo"))</f>
        <v>0</v>
      </c>
      <c r="H14" s="17" t="str">
        <f>IF(Classifica!$B$9="","",IF(LEFT(Classifica!$H$9,9)="AGIRE ORA","AGIRE ORA",IF(LEFT(Classifica!$H$9,11)="Agire entro","Entro l'anno",Classifica!$H$9)))</f>
        <v>Margine 1 anno</v>
      </c>
      <c r="J14" s="18">
        <v>1</v>
      </c>
      <c r="K14" s="19" t="str">
        <f>SUBSTITUTE(SUBSTITUTE(Matrice!C9," ◆",""),"NFR-","")</f>
        <v/>
      </c>
      <c r="L14" s="19" t="str">
        <f>SUBSTITUTE(SUBSTITUTE(Matrice!D9," ◆",""),"NFR-","")</f>
        <v/>
      </c>
      <c r="M14" s="19" t="str">
        <f>SUBSTITUTE(SUBSTITUTE(Matrice!E9," ◆",""),"NFR-","")</f>
        <v/>
      </c>
      <c r="N14" s="19" t="str">
        <f>SUBSTITUTE(SUBSTITUTE(Matrice!F9," ◆",""),"NFR-","")</f>
        <v/>
      </c>
      <c r="O14" s="19" t="str">
        <f>SUBSTITUTE(SUBSTITUTE(Matrice!G9," ◆",""),"NFR-","")</f>
        <v/>
      </c>
      <c r="T14" t="str">
        <f>IF(LEFT(Radar_Mosca!$L$14,9)="AGIRE ORA",Radar_Mosca!$A$14,"")</f>
        <v/>
      </c>
      <c r="BH14">
        <f>2*PI()*9/72</f>
        <v>0.78539816339744828</v>
      </c>
      <c r="BI14">
        <f t="shared" si="0"/>
        <v>1.4142135623730949</v>
      </c>
      <c r="BJ14">
        <f t="shared" si="1"/>
        <v>1.4142135623730951</v>
      </c>
      <c r="BK14">
        <f t="shared" si="2"/>
        <v>2.1213203435596424</v>
      </c>
      <c r="BL14">
        <f t="shared" si="3"/>
        <v>2.1213203435596428</v>
      </c>
      <c r="BM14">
        <f t="shared" si="4"/>
        <v>2.8284271247461898</v>
      </c>
      <c r="BN14">
        <f t="shared" si="5"/>
        <v>2.8284271247461903</v>
      </c>
      <c r="BO14">
        <f t="shared" si="6"/>
        <v>3.5355339059327373</v>
      </c>
      <c r="BP14">
        <f t="shared" si="7"/>
        <v>3.5355339059327378</v>
      </c>
      <c r="BR14">
        <f>6.3*SIN(2*PI()*4/ROWS(codiciL1))</f>
        <v>-2.7334675564406155</v>
      </c>
      <c r="BS14">
        <f>6.3*COS(2*PI()*4/ROWS(codiciL1))</f>
        <v>-5.6761038677852405</v>
      </c>
      <c r="BY14" t="e">
        <f>IF(AND(ISNUMBER(Radar_Mosca!$F14),ISNUMBER(Radar_Mosca!$S14)),IF(AND(Radar_Mosca!$F14=BY$4,Radar_Mosca!$T14&lt;&gt;"Sì"),Radar_Mosca!$S14,NA()),NA())</f>
        <v>#N/A</v>
      </c>
      <c r="BZ14" t="e">
        <f>IF(AND(ISNUMBER(Radar_Mosca!$F14),ISNUMBER(Radar_Mosca!$S14)),IF(AND(Radar_Mosca!$F14=BZ$4,Radar_Mosca!$T14&lt;&gt;"Sì"),Radar_Mosca!$S14,NA()),NA())</f>
        <v>#N/A</v>
      </c>
      <c r="CA14" t="e">
        <f>IF(AND(ISNUMBER(Radar_Mosca!$F14),ISNUMBER(Radar_Mosca!$S14)),IF(AND(Radar_Mosca!$F14=CA$4,Radar_Mosca!$T14&lt;&gt;"Sì"),Radar_Mosca!$S14,NA()),NA())</f>
        <v>#N/A</v>
      </c>
      <c r="CB14" t="e">
        <f>IF(AND(ISNUMBER(Radar_Mosca!$F14),ISNUMBER(Radar_Mosca!$S14)),IF(AND(Radar_Mosca!$F14=CB$4,Radar_Mosca!$T14&lt;&gt;"Sì"),Radar_Mosca!$S14,NA()),NA())</f>
        <v>#N/A</v>
      </c>
      <c r="CC14" t="e">
        <f>IF(AND(ISNUMBER(Radar_Mosca!$F14),ISNUMBER(Radar_Mosca!$S14)),IF(AND(Radar_Mosca!$F14=CC$4,Radar_Mosca!$T14&lt;&gt;"Sì"),Radar_Mosca!$S14,NA()),NA())</f>
        <v>#N/A</v>
      </c>
      <c r="CD14" t="e">
        <f>IF(AND(ISNUMBER(Radar_Mosca!$F14),ISNUMBER(Radar_Mosca!$S14)),IF(AND(Radar_Mosca!$F14=CD$4,Radar_Mosca!$T14&lt;&gt;"Sì"),Radar_Mosca!$S14,NA()),NA())</f>
        <v>#N/A</v>
      </c>
      <c r="CE14" t="e">
        <f>IF(AND(ISNUMBER(Radar_Mosca!$F14),ISNUMBER(Radar_Mosca!$S14)),IF(AND(Radar_Mosca!$F14=CE$4,Radar_Mosca!$T14&lt;&gt;"Sì"),Radar_Mosca!$S14,NA()),NA())</f>
        <v>#N/A</v>
      </c>
      <c r="CF14">
        <f>IF(AND(ISNUMBER(Radar_Mosca!$F14),ISNUMBER(Radar_Mosca!$S14)),IF(AND(Radar_Mosca!$F14=CF$4,Radar_Mosca!$T14&lt;&gt;"Sì"),Radar_Mosca!$S14,NA()),NA())</f>
        <v>-2.8667184173584221</v>
      </c>
      <c r="CG14" t="e">
        <f>IF(AND(ISNUMBER(Radar_Mosca!$F14),ISNUMBER(Radar_Mosca!$S14)),IF(AND(Radar_Mosca!$F14=CG$4,Radar_Mosca!$T14&lt;&gt;"Sì"),Radar_Mosca!$S14,NA()),NA())</f>
        <v>#N/A</v>
      </c>
      <c r="CH14" t="e">
        <f>IF(AND(ISNUMBER(Radar_Mosca!$F14),ISNUMBER(Radar_Mosca!$S14)),IF(AND(Radar_Mosca!$F14=CH$4,Radar_Mosca!$T14&lt;&gt;"Sì"),Radar_Mosca!$S14,NA()),NA())</f>
        <v>#N/A</v>
      </c>
      <c r="CI14" t="e">
        <f>IF(AND(ISNUMBER(Radar_Mosca!$F14),ISNUMBER(Radar_Mosca!$S14)),IF(AND(Radar_Mosca!$F14=CI$4,Radar_Mosca!$T14&lt;&gt;"Sì"),Radar_Mosca!$S14,NA()),NA())</f>
        <v>#N/A</v>
      </c>
      <c r="CJ14" t="e">
        <f>IF(AND(ISNUMBER(Radar_Mosca!$F14),ISNUMBER(Radar_Mosca!$S14)),IF(AND(Radar_Mosca!$F14=CJ$4,Radar_Mosca!$T14&lt;&gt;"Sì"),Radar_Mosca!$S14,NA()),NA())</f>
        <v>#N/A</v>
      </c>
      <c r="CK14" t="e">
        <f>IF(AND(ISNUMBER(Radar_Mosca!$F14),ISNUMBER(Radar_Mosca!$S14)),IF(AND(Radar_Mosca!$F14=CK$4,Radar_Mosca!$T14&lt;&gt;"Sì"),Radar_Mosca!$S14,NA()),NA())</f>
        <v>#N/A</v>
      </c>
      <c r="CL14" t="e">
        <f>IF(AND(ISNUMBER(Radar_Mosca!$F14),ISNUMBER(Radar_Mosca!$S14)),IF(AND(Radar_Mosca!$F14=CL$4,Radar_Mosca!$T14&lt;&gt;"Sì"),Radar_Mosca!$S14,NA()),NA())</f>
        <v>#N/A</v>
      </c>
      <c r="CM14" t="e">
        <f>IF(AND(ISNUMBER(Radar_Mosca!$F14),ISNUMBER(Radar_Mosca!$S14)),IF(AND(Radar_Mosca!$F14=CM$4,Radar_Mosca!$T14="Sì"),Radar_Mosca!$S14,NA()),NA())</f>
        <v>#N/A</v>
      </c>
      <c r="CN14" t="e">
        <f>IF(AND(ISNUMBER(Radar_Mosca!$F14),ISNUMBER(Radar_Mosca!$S14)),IF(AND(Radar_Mosca!$F14=CN$4,Radar_Mosca!$T14="Sì"),Radar_Mosca!$S14,NA()),NA())</f>
        <v>#N/A</v>
      </c>
      <c r="CO14" t="e">
        <f>IF(AND(ISNUMBER(Radar_Mosca!$F14),ISNUMBER(Radar_Mosca!$S14)),IF(AND(Radar_Mosca!$F14=CO$4,Radar_Mosca!$T14="Sì"),Radar_Mosca!$S14,NA()),NA())</f>
        <v>#N/A</v>
      </c>
      <c r="CP14" t="e">
        <f>IF(AND(ISNUMBER(Radar_Mosca!$F14),ISNUMBER(Radar_Mosca!$S14)),IF(AND(Radar_Mosca!$F14=CP$4,Radar_Mosca!$T14="Sì"),Radar_Mosca!$S14,NA()),NA())</f>
        <v>#N/A</v>
      </c>
      <c r="CQ14" t="e">
        <f>IF(AND(ISNUMBER(Radar_Mosca!$F14),ISNUMBER(Radar_Mosca!$S14)),IF(AND(Radar_Mosca!$F14=CQ$4,Radar_Mosca!$T14="Sì"),Radar_Mosca!$S14,NA()),NA())</f>
        <v>#N/A</v>
      </c>
      <c r="CR14" t="e">
        <f>IF(AND(ISNUMBER(Radar_Mosca!$F14),ISNUMBER(Radar_Mosca!$S14)),IF(AND(Radar_Mosca!$F14=CR$4,Radar_Mosca!$T14="Sì"),Radar_Mosca!$S14,NA()),NA())</f>
        <v>#N/A</v>
      </c>
      <c r="CS14" t="e">
        <f>IF(AND(ISNUMBER(Radar_Mosca!$F14),ISNUMBER(Radar_Mosca!$S14)),IF(AND(Radar_Mosca!$F14=CS$4,Radar_Mosca!$T14="Sì"),Radar_Mosca!$S14,NA()),NA())</f>
        <v>#N/A</v>
      </c>
      <c r="CT14" t="e">
        <f>IF(AND(ISNUMBER(Radar_Mosca!$F14),ISNUMBER(Radar_Mosca!$S14)),IF(AND(Radar_Mosca!$F14=CT$4,Radar_Mosca!$T14="Sì"),Radar_Mosca!$S14,NA()),NA())</f>
        <v>#N/A</v>
      </c>
      <c r="CU14" t="e">
        <f>IF(AND(ISNUMBER(Radar_Mosca!$F14),ISNUMBER(Radar_Mosca!$S14)),IF(AND(Radar_Mosca!$F14=CU$4,Radar_Mosca!$T14="Sì"),Radar_Mosca!$S14,NA()),NA())</f>
        <v>#N/A</v>
      </c>
      <c r="CV14" t="e">
        <f>IF(AND(ISNUMBER(Radar_Mosca!$F14),ISNUMBER(Radar_Mosca!$S14)),IF(AND(Radar_Mosca!$F14=CV$4,Radar_Mosca!$T14="Sì"),Radar_Mosca!$S14,NA()),NA())</f>
        <v>#N/A</v>
      </c>
      <c r="CW14" t="e">
        <f>IF(AND(ISNUMBER(Radar_Mosca!$F14),ISNUMBER(Radar_Mosca!$S14)),IF(AND(Radar_Mosca!$F14=CW$4,Radar_Mosca!$T14="Sì"),Radar_Mosca!$S14,NA()),NA())</f>
        <v>#N/A</v>
      </c>
      <c r="CX14" t="e">
        <f>IF(AND(ISNUMBER(Radar_Mosca!$F14),ISNUMBER(Radar_Mosca!$S14)),IF(AND(Radar_Mosca!$F14=CX$4,Radar_Mosca!$T14="Sì"),Radar_Mosca!$S14,NA()),NA())</f>
        <v>#N/A</v>
      </c>
      <c r="CY14" t="e">
        <f>IF(AND(ISNUMBER(Radar_Mosca!$F14),ISNUMBER(Radar_Mosca!$S14)),IF(AND(Radar_Mosca!$F14=CY$4,Radar_Mosca!$T14="Sì"),Radar_Mosca!$S14,NA()),NA())</f>
        <v>#N/A</v>
      </c>
      <c r="CZ14" t="e">
        <f>IF(AND(ISNUMBER(Radar_Mosca!$F14),ISNUMBER(Radar_Mosca!$S14)),IF(AND(Radar_Mosca!$F14=CZ$4,Radar_Mosca!$T14="Sì"),Radar_Mosca!$S14,NA()),NA())</f>
        <v>#N/A</v>
      </c>
      <c r="DA14">
        <f>IF(ISNUMBER(Radar_Mosca!$R14),Radar_Mosca!$R14,NA())</f>
        <v>-0.88426552323271312</v>
      </c>
      <c r="DB14" t="str">
        <f>IF(Radar_Mosca!$A14="","",MID(Radar_Mosca!$A14,5,3))</f>
        <v>10</v>
      </c>
      <c r="DC14">
        <f>IF(ISNUMBER(Radar_Mosca!$S14),Radar_Mosca!$S14,NA())</f>
        <v>-2.8667184173584221</v>
      </c>
    </row>
    <row r="15" spans="1:110" x14ac:dyDescent="0.4">
      <c r="A15" s="22" t="s">
        <v>29</v>
      </c>
      <c r="J15" s="22" t="s">
        <v>30</v>
      </c>
      <c r="T15" t="str">
        <f>IF(LEFT(Radar_Mosca!$L$15,9)="AGIRE ORA",Radar_Mosca!$A$15,"")</f>
        <v>NFR-11</v>
      </c>
      <c r="BH15">
        <f>2*PI()*10/72</f>
        <v>0.87266462599716477</v>
      </c>
      <c r="BI15">
        <f t="shared" si="0"/>
        <v>1.532088886237956</v>
      </c>
      <c r="BJ15">
        <f t="shared" si="1"/>
        <v>1.2855752193730787</v>
      </c>
      <c r="BK15">
        <f t="shared" si="2"/>
        <v>2.2981333293569342</v>
      </c>
      <c r="BL15">
        <f t="shared" si="3"/>
        <v>1.9283628290596182</v>
      </c>
      <c r="BM15">
        <f t="shared" si="4"/>
        <v>3.0641777724759121</v>
      </c>
      <c r="BN15">
        <f t="shared" si="5"/>
        <v>2.5711504387461575</v>
      </c>
      <c r="BO15">
        <f t="shared" si="6"/>
        <v>3.83022221559489</v>
      </c>
      <c r="BP15">
        <f t="shared" si="7"/>
        <v>3.2139380484326967</v>
      </c>
      <c r="BR15">
        <v>0</v>
      </c>
      <c r="BS15">
        <v>0</v>
      </c>
      <c r="BY15" t="e">
        <f>IF(AND(ISNUMBER(Radar_Mosca!$F15),ISNUMBER(Radar_Mosca!$S15)),IF(AND(Radar_Mosca!$F15=BY$4,Radar_Mosca!$T15&lt;&gt;"Sì"),Radar_Mosca!$S15,NA()),NA())</f>
        <v>#N/A</v>
      </c>
      <c r="BZ15" t="e">
        <f>IF(AND(ISNUMBER(Radar_Mosca!$F15),ISNUMBER(Radar_Mosca!$S15)),IF(AND(Radar_Mosca!$F15=BZ$4,Radar_Mosca!$T15&lt;&gt;"Sì"),Radar_Mosca!$S15,NA()),NA())</f>
        <v>#N/A</v>
      </c>
      <c r="CA15" t="e">
        <f>IF(AND(ISNUMBER(Radar_Mosca!$F15),ISNUMBER(Radar_Mosca!$S15)),IF(AND(Radar_Mosca!$F15=CA$4,Radar_Mosca!$T15&lt;&gt;"Sì"),Radar_Mosca!$S15,NA()),NA())</f>
        <v>#N/A</v>
      </c>
      <c r="CB15" t="e">
        <f>IF(AND(ISNUMBER(Radar_Mosca!$F15),ISNUMBER(Radar_Mosca!$S15)),IF(AND(Radar_Mosca!$F15=CB$4,Radar_Mosca!$T15&lt;&gt;"Sì"),Radar_Mosca!$S15,NA()),NA())</f>
        <v>#N/A</v>
      </c>
      <c r="CC15" t="e">
        <f>IF(AND(ISNUMBER(Radar_Mosca!$F15),ISNUMBER(Radar_Mosca!$S15)),IF(AND(Radar_Mosca!$F15=CC$4,Radar_Mosca!$T15&lt;&gt;"Sì"),Radar_Mosca!$S15,NA()),NA())</f>
        <v>#N/A</v>
      </c>
      <c r="CD15" t="e">
        <f>IF(AND(ISNUMBER(Radar_Mosca!$F15),ISNUMBER(Radar_Mosca!$S15)),IF(AND(Radar_Mosca!$F15=CD$4,Radar_Mosca!$T15&lt;&gt;"Sì"),Radar_Mosca!$S15,NA()),NA())</f>
        <v>#N/A</v>
      </c>
      <c r="CE15" t="e">
        <f>IF(AND(ISNUMBER(Radar_Mosca!$F15),ISNUMBER(Radar_Mosca!$S15)),IF(AND(Radar_Mosca!$F15=CE$4,Radar_Mosca!$T15&lt;&gt;"Sì"),Radar_Mosca!$S15,NA()),NA())</f>
        <v>#N/A</v>
      </c>
      <c r="CF15">
        <f>IF(AND(ISNUMBER(Radar_Mosca!$F15),ISNUMBER(Radar_Mosca!$S15)),IF(AND(Radar_Mosca!$F15=CF$4,Radar_Mosca!$T15&lt;&gt;"Sì"),Radar_Mosca!$S15,NA()),NA())</f>
        <v>0.30000000000000004</v>
      </c>
      <c r="CG15" t="e">
        <f>IF(AND(ISNUMBER(Radar_Mosca!$F15),ISNUMBER(Radar_Mosca!$S15)),IF(AND(Radar_Mosca!$F15=CG$4,Radar_Mosca!$T15&lt;&gt;"Sì"),Radar_Mosca!$S15,NA()),NA())</f>
        <v>#N/A</v>
      </c>
      <c r="CH15" t="e">
        <f>IF(AND(ISNUMBER(Radar_Mosca!$F15),ISNUMBER(Radar_Mosca!$S15)),IF(AND(Radar_Mosca!$F15=CH$4,Radar_Mosca!$T15&lt;&gt;"Sì"),Radar_Mosca!$S15,NA()),NA())</f>
        <v>#N/A</v>
      </c>
      <c r="CI15" t="e">
        <f>IF(AND(ISNUMBER(Radar_Mosca!$F15),ISNUMBER(Radar_Mosca!$S15)),IF(AND(Radar_Mosca!$F15=CI$4,Radar_Mosca!$T15&lt;&gt;"Sì"),Radar_Mosca!$S15,NA()),NA())</f>
        <v>#N/A</v>
      </c>
      <c r="CJ15" t="e">
        <f>IF(AND(ISNUMBER(Radar_Mosca!$F15),ISNUMBER(Radar_Mosca!$S15)),IF(AND(Radar_Mosca!$F15=CJ$4,Radar_Mosca!$T15&lt;&gt;"Sì"),Radar_Mosca!$S15,NA()),NA())</f>
        <v>#N/A</v>
      </c>
      <c r="CK15" t="e">
        <f>IF(AND(ISNUMBER(Radar_Mosca!$F15),ISNUMBER(Radar_Mosca!$S15)),IF(AND(Radar_Mosca!$F15=CK$4,Radar_Mosca!$T15&lt;&gt;"Sì"),Radar_Mosca!$S15,NA()),NA())</f>
        <v>#N/A</v>
      </c>
      <c r="CL15" t="e">
        <f>IF(AND(ISNUMBER(Radar_Mosca!$F15),ISNUMBER(Radar_Mosca!$S15)),IF(AND(Radar_Mosca!$F15=CL$4,Radar_Mosca!$T15&lt;&gt;"Sì"),Radar_Mosca!$S15,NA()),NA())</f>
        <v>#N/A</v>
      </c>
      <c r="CM15" t="e">
        <f>IF(AND(ISNUMBER(Radar_Mosca!$F15),ISNUMBER(Radar_Mosca!$S15)),IF(AND(Radar_Mosca!$F15=CM$4,Radar_Mosca!$T15="Sì"),Radar_Mosca!$S15,NA()),NA())</f>
        <v>#N/A</v>
      </c>
      <c r="CN15" t="e">
        <f>IF(AND(ISNUMBER(Radar_Mosca!$F15),ISNUMBER(Radar_Mosca!$S15)),IF(AND(Radar_Mosca!$F15=CN$4,Radar_Mosca!$T15="Sì"),Radar_Mosca!$S15,NA()),NA())</f>
        <v>#N/A</v>
      </c>
      <c r="CO15" t="e">
        <f>IF(AND(ISNUMBER(Radar_Mosca!$F15),ISNUMBER(Radar_Mosca!$S15)),IF(AND(Radar_Mosca!$F15=CO$4,Radar_Mosca!$T15="Sì"),Radar_Mosca!$S15,NA()),NA())</f>
        <v>#N/A</v>
      </c>
      <c r="CP15" t="e">
        <f>IF(AND(ISNUMBER(Radar_Mosca!$F15),ISNUMBER(Radar_Mosca!$S15)),IF(AND(Radar_Mosca!$F15=CP$4,Radar_Mosca!$T15="Sì"),Radar_Mosca!$S15,NA()),NA())</f>
        <v>#N/A</v>
      </c>
      <c r="CQ15" t="e">
        <f>IF(AND(ISNUMBER(Radar_Mosca!$F15),ISNUMBER(Radar_Mosca!$S15)),IF(AND(Radar_Mosca!$F15=CQ$4,Radar_Mosca!$T15="Sì"),Radar_Mosca!$S15,NA()),NA())</f>
        <v>#N/A</v>
      </c>
      <c r="CR15" t="e">
        <f>IF(AND(ISNUMBER(Radar_Mosca!$F15),ISNUMBER(Radar_Mosca!$S15)),IF(AND(Radar_Mosca!$F15=CR$4,Radar_Mosca!$T15="Sì"),Radar_Mosca!$S15,NA()),NA())</f>
        <v>#N/A</v>
      </c>
      <c r="CS15" t="e">
        <f>IF(AND(ISNUMBER(Radar_Mosca!$F15),ISNUMBER(Radar_Mosca!$S15)),IF(AND(Radar_Mosca!$F15=CS$4,Radar_Mosca!$T15="Sì"),Radar_Mosca!$S15,NA()),NA())</f>
        <v>#N/A</v>
      </c>
      <c r="CT15" t="e">
        <f>IF(AND(ISNUMBER(Radar_Mosca!$F15),ISNUMBER(Radar_Mosca!$S15)),IF(AND(Radar_Mosca!$F15=CT$4,Radar_Mosca!$T15="Sì"),Radar_Mosca!$S15,NA()),NA())</f>
        <v>#N/A</v>
      </c>
      <c r="CU15" t="e">
        <f>IF(AND(ISNUMBER(Radar_Mosca!$F15),ISNUMBER(Radar_Mosca!$S15)),IF(AND(Radar_Mosca!$F15=CU$4,Radar_Mosca!$T15="Sì"),Radar_Mosca!$S15,NA()),NA())</f>
        <v>#N/A</v>
      </c>
      <c r="CV15" t="e">
        <f>IF(AND(ISNUMBER(Radar_Mosca!$F15),ISNUMBER(Radar_Mosca!$S15)),IF(AND(Radar_Mosca!$F15=CV$4,Radar_Mosca!$T15="Sì"),Radar_Mosca!$S15,NA()),NA())</f>
        <v>#N/A</v>
      </c>
      <c r="CW15" t="e">
        <f>IF(AND(ISNUMBER(Radar_Mosca!$F15),ISNUMBER(Radar_Mosca!$S15)),IF(AND(Radar_Mosca!$F15=CW$4,Radar_Mosca!$T15="Sì"),Radar_Mosca!$S15,NA()),NA())</f>
        <v>#N/A</v>
      </c>
      <c r="CX15" t="e">
        <f>IF(AND(ISNUMBER(Radar_Mosca!$F15),ISNUMBER(Radar_Mosca!$S15)),IF(AND(Radar_Mosca!$F15=CX$4,Radar_Mosca!$T15="Sì"),Radar_Mosca!$S15,NA()),NA())</f>
        <v>#N/A</v>
      </c>
      <c r="CY15" t="e">
        <f>IF(AND(ISNUMBER(Radar_Mosca!$F15),ISNUMBER(Radar_Mosca!$S15)),IF(AND(Radar_Mosca!$F15=CY$4,Radar_Mosca!$T15="Sì"),Radar_Mosca!$S15,NA()),NA())</f>
        <v>#N/A</v>
      </c>
      <c r="CZ15" t="e">
        <f>IF(AND(ISNUMBER(Radar_Mosca!$F15),ISNUMBER(Radar_Mosca!$S15)),IF(AND(Radar_Mosca!$F15=CZ$4,Radar_Mosca!$T15="Sì"),Radar_Mosca!$S15,NA()),NA())</f>
        <v>#N/A</v>
      </c>
      <c r="DA15">
        <f>IF(ISNUMBER(Radar_Mosca!$R15),Radar_Mosca!$R15,NA())</f>
        <v>-0.51961524227066314</v>
      </c>
      <c r="DB15" t="str">
        <f>IF(Radar_Mosca!$A15="","",MID(Radar_Mosca!$A15,5,3))</f>
        <v>11</v>
      </c>
      <c r="DC15">
        <f>IF(ISNUMBER(Radar_Mosca!$S15),Radar_Mosca!$S15,NA())</f>
        <v>0.30000000000000004</v>
      </c>
    </row>
    <row r="16" spans="1:110" x14ac:dyDescent="0.4">
      <c r="T16" t="str">
        <f>IF(LEFT(Radar_Mosca!$L$16,9)="AGIRE ORA",Radar_Mosca!$A$16,"")</f>
        <v/>
      </c>
      <c r="BH16">
        <f>2*PI()*11/72</f>
        <v>0.95993108859688114</v>
      </c>
      <c r="BI16">
        <f t="shared" si="0"/>
        <v>1.6383040885779834</v>
      </c>
      <c r="BJ16">
        <f t="shared" si="1"/>
        <v>1.1471528727020923</v>
      </c>
      <c r="BK16">
        <f t="shared" si="2"/>
        <v>2.4574561328669748</v>
      </c>
      <c r="BL16">
        <f t="shared" si="3"/>
        <v>1.7207293090531386</v>
      </c>
      <c r="BM16">
        <f t="shared" si="4"/>
        <v>3.2766081771559668</v>
      </c>
      <c r="BN16">
        <f t="shared" si="5"/>
        <v>2.2943057454041846</v>
      </c>
      <c r="BO16">
        <f t="shared" si="6"/>
        <v>4.0957602214449587</v>
      </c>
      <c r="BP16">
        <f t="shared" si="7"/>
        <v>2.8678821817552307</v>
      </c>
      <c r="BR16">
        <f>6.3*SIN(2*PI()*5/ROWS(codiciL1))</f>
        <v>-6.1420458467454884</v>
      </c>
      <c r="BS16">
        <f>6.3*COS(2*PI()*5/ROWS(codiciL1))</f>
        <v>-1.401881883924782</v>
      </c>
      <c r="BY16" t="e">
        <f>IF(AND(ISNUMBER(Radar_Mosca!$F16),ISNUMBER(Radar_Mosca!$S16)),IF(AND(Radar_Mosca!$F16=BY$4,Radar_Mosca!$T16&lt;&gt;"Sì"),Radar_Mosca!$S16,NA()),NA())</f>
        <v>#N/A</v>
      </c>
      <c r="BZ16" t="e">
        <f>IF(AND(ISNUMBER(Radar_Mosca!$F16),ISNUMBER(Radar_Mosca!$S16)),IF(AND(Radar_Mosca!$F16=BZ$4,Radar_Mosca!$T16&lt;&gt;"Sì"),Radar_Mosca!$S16,NA()),NA())</f>
        <v>#N/A</v>
      </c>
      <c r="CA16" t="e">
        <f>IF(AND(ISNUMBER(Radar_Mosca!$F16),ISNUMBER(Radar_Mosca!$S16)),IF(AND(Radar_Mosca!$F16=CA$4,Radar_Mosca!$T16&lt;&gt;"Sì"),Radar_Mosca!$S16,NA()),NA())</f>
        <v>#N/A</v>
      </c>
      <c r="CB16" t="e">
        <f>IF(AND(ISNUMBER(Radar_Mosca!$F16),ISNUMBER(Radar_Mosca!$S16)),IF(AND(Radar_Mosca!$F16=CB$4,Radar_Mosca!$T16&lt;&gt;"Sì"),Radar_Mosca!$S16,NA()),NA())</f>
        <v>#N/A</v>
      </c>
      <c r="CC16" t="e">
        <f>IF(AND(ISNUMBER(Radar_Mosca!$F16),ISNUMBER(Radar_Mosca!$S16)),IF(AND(Radar_Mosca!$F16=CC$4,Radar_Mosca!$T16&lt;&gt;"Sì"),Radar_Mosca!$S16,NA()),NA())</f>
        <v>#N/A</v>
      </c>
      <c r="CD16" t="e">
        <f>IF(AND(ISNUMBER(Radar_Mosca!$F16),ISNUMBER(Radar_Mosca!$S16)),IF(AND(Radar_Mosca!$F16=CD$4,Radar_Mosca!$T16&lt;&gt;"Sì"),Radar_Mosca!$S16,NA()),NA())</f>
        <v>#N/A</v>
      </c>
      <c r="CE16" t="e">
        <f>IF(AND(ISNUMBER(Radar_Mosca!$F16),ISNUMBER(Radar_Mosca!$S16)),IF(AND(Radar_Mosca!$F16=CE$4,Radar_Mosca!$T16&lt;&gt;"Sì"),Radar_Mosca!$S16,NA()),NA())</f>
        <v>#N/A</v>
      </c>
      <c r="CF16" t="e">
        <f>IF(AND(ISNUMBER(Radar_Mosca!$F16),ISNUMBER(Radar_Mosca!$S16)),IF(AND(Radar_Mosca!$F16=CF$4,Radar_Mosca!$T16&lt;&gt;"Sì"),Radar_Mosca!$S16,NA()),NA())</f>
        <v>#N/A</v>
      </c>
      <c r="CG16" t="e">
        <f>IF(AND(ISNUMBER(Radar_Mosca!$F16),ISNUMBER(Radar_Mosca!$S16)),IF(AND(Radar_Mosca!$F16=CG$4,Radar_Mosca!$T16&lt;&gt;"Sì"),Radar_Mosca!$S16,NA()),NA())</f>
        <v>#N/A</v>
      </c>
      <c r="CH16">
        <f>IF(AND(ISNUMBER(Radar_Mosca!$F16),ISNUMBER(Radar_Mosca!$S16)),IF(AND(Radar_Mosca!$F16=CH$4,Radar_Mosca!$T16&lt;&gt;"Sì"),Radar_Mosca!$S16,NA()),NA())</f>
        <v>1.949855824363647</v>
      </c>
      <c r="CI16" t="e">
        <f>IF(AND(ISNUMBER(Radar_Mosca!$F16),ISNUMBER(Radar_Mosca!$S16)),IF(AND(Radar_Mosca!$F16=CI$4,Radar_Mosca!$T16&lt;&gt;"Sì"),Radar_Mosca!$S16,NA()),NA())</f>
        <v>#N/A</v>
      </c>
      <c r="CJ16" t="e">
        <f>IF(AND(ISNUMBER(Radar_Mosca!$F16),ISNUMBER(Radar_Mosca!$S16)),IF(AND(Radar_Mosca!$F16=CJ$4,Radar_Mosca!$T16&lt;&gt;"Sì"),Radar_Mosca!$S16,NA()),NA())</f>
        <v>#N/A</v>
      </c>
      <c r="CK16" t="e">
        <f>IF(AND(ISNUMBER(Radar_Mosca!$F16),ISNUMBER(Radar_Mosca!$S16)),IF(AND(Radar_Mosca!$F16=CK$4,Radar_Mosca!$T16&lt;&gt;"Sì"),Radar_Mosca!$S16,NA()),NA())</f>
        <v>#N/A</v>
      </c>
      <c r="CL16" t="e">
        <f>IF(AND(ISNUMBER(Radar_Mosca!$F16),ISNUMBER(Radar_Mosca!$S16)),IF(AND(Radar_Mosca!$F16=CL$4,Radar_Mosca!$T16&lt;&gt;"Sì"),Radar_Mosca!$S16,NA()),NA())</f>
        <v>#N/A</v>
      </c>
      <c r="CM16" t="e">
        <f>IF(AND(ISNUMBER(Radar_Mosca!$F16),ISNUMBER(Radar_Mosca!$S16)),IF(AND(Radar_Mosca!$F16=CM$4,Radar_Mosca!$T16="Sì"),Radar_Mosca!$S16,NA()),NA())</f>
        <v>#N/A</v>
      </c>
      <c r="CN16" t="e">
        <f>IF(AND(ISNUMBER(Radar_Mosca!$F16),ISNUMBER(Radar_Mosca!$S16)),IF(AND(Radar_Mosca!$F16=CN$4,Radar_Mosca!$T16="Sì"),Radar_Mosca!$S16,NA()),NA())</f>
        <v>#N/A</v>
      </c>
      <c r="CO16" t="e">
        <f>IF(AND(ISNUMBER(Radar_Mosca!$F16),ISNUMBER(Radar_Mosca!$S16)),IF(AND(Radar_Mosca!$F16=CO$4,Radar_Mosca!$T16="Sì"),Radar_Mosca!$S16,NA()),NA())</f>
        <v>#N/A</v>
      </c>
      <c r="CP16" t="e">
        <f>IF(AND(ISNUMBER(Radar_Mosca!$F16),ISNUMBER(Radar_Mosca!$S16)),IF(AND(Radar_Mosca!$F16=CP$4,Radar_Mosca!$T16="Sì"),Radar_Mosca!$S16,NA()),NA())</f>
        <v>#N/A</v>
      </c>
      <c r="CQ16" t="e">
        <f>IF(AND(ISNUMBER(Radar_Mosca!$F16),ISNUMBER(Radar_Mosca!$S16)),IF(AND(Radar_Mosca!$F16=CQ$4,Radar_Mosca!$T16="Sì"),Radar_Mosca!$S16,NA()),NA())</f>
        <v>#N/A</v>
      </c>
      <c r="CR16" t="e">
        <f>IF(AND(ISNUMBER(Radar_Mosca!$F16),ISNUMBER(Radar_Mosca!$S16)),IF(AND(Radar_Mosca!$F16=CR$4,Radar_Mosca!$T16="Sì"),Radar_Mosca!$S16,NA()),NA())</f>
        <v>#N/A</v>
      </c>
      <c r="CS16" t="e">
        <f>IF(AND(ISNUMBER(Radar_Mosca!$F16),ISNUMBER(Radar_Mosca!$S16)),IF(AND(Radar_Mosca!$F16=CS$4,Radar_Mosca!$T16="Sì"),Radar_Mosca!$S16,NA()),NA())</f>
        <v>#N/A</v>
      </c>
      <c r="CT16" t="e">
        <f>IF(AND(ISNUMBER(Radar_Mosca!$F16),ISNUMBER(Radar_Mosca!$S16)),IF(AND(Radar_Mosca!$F16=CT$4,Radar_Mosca!$T16="Sì"),Radar_Mosca!$S16,NA()),NA())</f>
        <v>#N/A</v>
      </c>
      <c r="CU16" t="e">
        <f>IF(AND(ISNUMBER(Radar_Mosca!$F16),ISNUMBER(Radar_Mosca!$S16)),IF(AND(Radar_Mosca!$F16=CU$4,Radar_Mosca!$T16="Sì"),Radar_Mosca!$S16,NA()),NA())</f>
        <v>#N/A</v>
      </c>
      <c r="CV16" t="e">
        <f>IF(AND(ISNUMBER(Radar_Mosca!$F16),ISNUMBER(Radar_Mosca!$S16)),IF(AND(Radar_Mosca!$F16=CV$4,Radar_Mosca!$T16="Sì"),Radar_Mosca!$S16,NA()),NA())</f>
        <v>#N/A</v>
      </c>
      <c r="CW16" t="e">
        <f>IF(AND(ISNUMBER(Radar_Mosca!$F16),ISNUMBER(Radar_Mosca!$S16)),IF(AND(Radar_Mosca!$F16=CW$4,Radar_Mosca!$T16="Sì"),Radar_Mosca!$S16,NA()),NA())</f>
        <v>#N/A</v>
      </c>
      <c r="CX16" t="e">
        <f>IF(AND(ISNUMBER(Radar_Mosca!$F16),ISNUMBER(Radar_Mosca!$S16)),IF(AND(Radar_Mosca!$F16=CX$4,Radar_Mosca!$T16="Sì"),Radar_Mosca!$S16,NA()),NA())</f>
        <v>#N/A</v>
      </c>
      <c r="CY16" t="e">
        <f>IF(AND(ISNUMBER(Radar_Mosca!$F16),ISNUMBER(Radar_Mosca!$S16)),IF(AND(Radar_Mosca!$F16=CY$4,Radar_Mosca!$T16="Sì"),Radar_Mosca!$S16,NA()),NA())</f>
        <v>#N/A</v>
      </c>
      <c r="CZ16" t="e">
        <f>IF(AND(ISNUMBER(Radar_Mosca!$F16),ISNUMBER(Radar_Mosca!$S16)),IF(AND(Radar_Mosca!$F16=CZ$4,Radar_Mosca!$T16="Sì"),Radar_Mosca!$S16,NA()),NA())</f>
        <v>#N/A</v>
      </c>
      <c r="DA16">
        <f>IF(ISNUMBER(Radar_Mosca!$R16),Radar_Mosca!$R16,NA())</f>
        <v>-0.44504186791262929</v>
      </c>
      <c r="DB16" t="str">
        <f>IF(Radar_Mosca!$A16="","",MID(Radar_Mosca!$A16,5,3))</f>
        <v>12</v>
      </c>
      <c r="DC16">
        <f>IF(ISNUMBER(Radar_Mosca!$S16),Radar_Mosca!$S16,NA())</f>
        <v>1.949855824363647</v>
      </c>
    </row>
    <row r="17" spans="1:107" ht="15.9" x14ac:dyDescent="0.45">
      <c r="A17" s="109" t="s">
        <v>31</v>
      </c>
      <c r="B17" s="110"/>
      <c r="C17" s="110"/>
      <c r="D17" s="110"/>
      <c r="E17" s="110"/>
      <c r="F17" s="110"/>
      <c r="G17" s="110"/>
      <c r="H17" s="110"/>
      <c r="J17" s="109" t="s">
        <v>32</v>
      </c>
      <c r="K17" s="110"/>
      <c r="L17" s="110"/>
      <c r="M17" s="110"/>
      <c r="N17" s="110"/>
      <c r="O17" s="110"/>
      <c r="T17" t="str">
        <f>IF(LEFT(Radar_Mosca!$L$17,9)="AGIRE ORA",Radar_Mosca!$A$17,"")</f>
        <v/>
      </c>
      <c r="BH17">
        <f>2*PI()*12/72</f>
        <v>1.0471975511965976</v>
      </c>
      <c r="BI17">
        <f t="shared" si="0"/>
        <v>1.7320508075688772</v>
      </c>
      <c r="BJ17">
        <f t="shared" si="1"/>
        <v>1.0000000000000002</v>
      </c>
      <c r="BK17">
        <f t="shared" si="2"/>
        <v>2.598076211353316</v>
      </c>
      <c r="BL17">
        <f t="shared" si="3"/>
        <v>1.5000000000000004</v>
      </c>
      <c r="BM17">
        <f t="shared" si="4"/>
        <v>3.4641016151377544</v>
      </c>
      <c r="BN17">
        <f t="shared" si="5"/>
        <v>2.0000000000000004</v>
      </c>
      <c r="BO17">
        <f t="shared" si="6"/>
        <v>4.3301270189221928</v>
      </c>
      <c r="BP17">
        <f t="shared" si="7"/>
        <v>2.5000000000000004</v>
      </c>
      <c r="BR17">
        <v>0</v>
      </c>
      <c r="BS17">
        <v>0</v>
      </c>
      <c r="BY17" t="e">
        <f>IF(AND(ISNUMBER(Radar_Mosca!$F17),ISNUMBER(Radar_Mosca!$S17)),IF(AND(Radar_Mosca!$F17=BY$4,Radar_Mosca!$T17&lt;&gt;"Sì"),Radar_Mosca!$S17,NA()),NA())</f>
        <v>#N/A</v>
      </c>
      <c r="BZ17" t="e">
        <f>IF(AND(ISNUMBER(Radar_Mosca!$F17),ISNUMBER(Radar_Mosca!$S17)),IF(AND(Radar_Mosca!$F17=BZ$4,Radar_Mosca!$T17&lt;&gt;"Sì"),Radar_Mosca!$S17,NA()),NA())</f>
        <v>#N/A</v>
      </c>
      <c r="CA17" t="e">
        <f>IF(AND(ISNUMBER(Radar_Mosca!$F17),ISNUMBER(Radar_Mosca!$S17)),IF(AND(Radar_Mosca!$F17=CA$4,Radar_Mosca!$T17&lt;&gt;"Sì"),Radar_Mosca!$S17,NA()),NA())</f>
        <v>#N/A</v>
      </c>
      <c r="CB17" t="e">
        <f>IF(AND(ISNUMBER(Radar_Mosca!$F17),ISNUMBER(Radar_Mosca!$S17)),IF(AND(Radar_Mosca!$F17=CB$4,Radar_Mosca!$T17&lt;&gt;"Sì"),Radar_Mosca!$S17,NA()),NA())</f>
        <v>#N/A</v>
      </c>
      <c r="CC17" t="e">
        <f>IF(AND(ISNUMBER(Radar_Mosca!$F17),ISNUMBER(Radar_Mosca!$S17)),IF(AND(Radar_Mosca!$F17=CC$4,Radar_Mosca!$T17&lt;&gt;"Sì"),Radar_Mosca!$S17,NA()),NA())</f>
        <v>#N/A</v>
      </c>
      <c r="CD17" t="e">
        <f>IF(AND(ISNUMBER(Radar_Mosca!$F17),ISNUMBER(Radar_Mosca!$S17)),IF(AND(Radar_Mosca!$F17=CD$4,Radar_Mosca!$T17&lt;&gt;"Sì"),Radar_Mosca!$S17,NA()),NA())</f>
        <v>#N/A</v>
      </c>
      <c r="CE17" t="e">
        <f>IF(AND(ISNUMBER(Radar_Mosca!$F17),ISNUMBER(Radar_Mosca!$S17)),IF(AND(Radar_Mosca!$F17=CE$4,Radar_Mosca!$T17&lt;&gt;"Sì"),Radar_Mosca!$S17,NA()),NA())</f>
        <v>#N/A</v>
      </c>
      <c r="CF17" t="e">
        <f>IF(AND(ISNUMBER(Radar_Mosca!$F17),ISNUMBER(Radar_Mosca!$S17)),IF(AND(Radar_Mosca!$F17=CF$4,Radar_Mosca!$T17&lt;&gt;"Sì"),Radar_Mosca!$S17,NA()),NA())</f>
        <v>#N/A</v>
      </c>
      <c r="CG17" t="e">
        <f>IF(AND(ISNUMBER(Radar_Mosca!$F17),ISNUMBER(Radar_Mosca!$S17)),IF(AND(Radar_Mosca!$F17=CG$4,Radar_Mosca!$T17&lt;&gt;"Sì"),Radar_Mosca!$S17,NA()),NA())</f>
        <v>#N/A</v>
      </c>
      <c r="CH17" t="e">
        <f>IF(AND(ISNUMBER(Radar_Mosca!$F17),ISNUMBER(Radar_Mosca!$S17)),IF(AND(Radar_Mosca!$F17=CH$4,Radar_Mosca!$T17&lt;&gt;"Sì"),Radar_Mosca!$S17,NA()),NA())</f>
        <v>#N/A</v>
      </c>
      <c r="CI17" t="e">
        <f>IF(AND(ISNUMBER(Radar_Mosca!$F17),ISNUMBER(Radar_Mosca!$S17)),IF(AND(Radar_Mosca!$F17=CI$4,Radar_Mosca!$T17&lt;&gt;"Sì"),Radar_Mosca!$S17,NA()),NA())</f>
        <v>#N/A</v>
      </c>
      <c r="CJ17" t="e">
        <f>IF(AND(ISNUMBER(Radar_Mosca!$F17),ISNUMBER(Radar_Mosca!$S17)),IF(AND(Radar_Mosca!$F17=CJ$4,Radar_Mosca!$T17&lt;&gt;"Sì"),Radar_Mosca!$S17,NA()),NA())</f>
        <v>#N/A</v>
      </c>
      <c r="CK17" t="e">
        <f>IF(AND(ISNUMBER(Radar_Mosca!$F17),ISNUMBER(Radar_Mosca!$S17)),IF(AND(Radar_Mosca!$F17=CK$4,Radar_Mosca!$T17&lt;&gt;"Sì"),Radar_Mosca!$S17,NA()),NA())</f>
        <v>#N/A</v>
      </c>
      <c r="CL17" t="e">
        <f>IF(AND(ISNUMBER(Radar_Mosca!$F17),ISNUMBER(Radar_Mosca!$S17)),IF(AND(Radar_Mosca!$F17=CL$4,Radar_Mosca!$T17&lt;&gt;"Sì"),Radar_Mosca!$S17,NA()),NA())</f>
        <v>#N/A</v>
      </c>
      <c r="CM17" t="e">
        <f>IF(AND(ISNUMBER(Radar_Mosca!$F17),ISNUMBER(Radar_Mosca!$S17)),IF(AND(Radar_Mosca!$F17=CM$4,Radar_Mosca!$T17="Sì"),Radar_Mosca!$S17,NA()),NA())</f>
        <v>#N/A</v>
      </c>
      <c r="CN17" t="e">
        <f>IF(AND(ISNUMBER(Radar_Mosca!$F17),ISNUMBER(Radar_Mosca!$S17)),IF(AND(Radar_Mosca!$F17=CN$4,Radar_Mosca!$T17="Sì"),Radar_Mosca!$S17,NA()),NA())</f>
        <v>#N/A</v>
      </c>
      <c r="CO17" t="e">
        <f>IF(AND(ISNUMBER(Radar_Mosca!$F17),ISNUMBER(Radar_Mosca!$S17)),IF(AND(Radar_Mosca!$F17=CO$4,Radar_Mosca!$T17="Sì"),Radar_Mosca!$S17,NA()),NA())</f>
        <v>#N/A</v>
      </c>
      <c r="CP17" t="e">
        <f>IF(AND(ISNUMBER(Radar_Mosca!$F17),ISNUMBER(Radar_Mosca!$S17)),IF(AND(Radar_Mosca!$F17=CP$4,Radar_Mosca!$T17="Sì"),Radar_Mosca!$S17,NA()),NA())</f>
        <v>#N/A</v>
      </c>
      <c r="CQ17" t="e">
        <f>IF(AND(ISNUMBER(Radar_Mosca!$F17),ISNUMBER(Radar_Mosca!$S17)),IF(AND(Radar_Mosca!$F17=CQ$4,Radar_Mosca!$T17="Sì"),Radar_Mosca!$S17,NA()),NA())</f>
        <v>#N/A</v>
      </c>
      <c r="CR17" t="e">
        <f>IF(AND(ISNUMBER(Radar_Mosca!$F17),ISNUMBER(Radar_Mosca!$S17)),IF(AND(Radar_Mosca!$F17=CR$4,Radar_Mosca!$T17="Sì"),Radar_Mosca!$S17,NA()),NA())</f>
        <v>#N/A</v>
      </c>
      <c r="CS17" t="e">
        <f>IF(AND(ISNUMBER(Radar_Mosca!$F17),ISNUMBER(Radar_Mosca!$S17)),IF(AND(Radar_Mosca!$F17=CS$4,Radar_Mosca!$T17="Sì"),Radar_Mosca!$S17,NA()),NA())</f>
        <v>#N/A</v>
      </c>
      <c r="CT17" t="e">
        <f>IF(AND(ISNUMBER(Radar_Mosca!$F17),ISNUMBER(Radar_Mosca!$S17)),IF(AND(Radar_Mosca!$F17=CT$4,Radar_Mosca!$T17="Sì"),Radar_Mosca!$S17,NA()),NA())</f>
        <v>#N/A</v>
      </c>
      <c r="CU17" t="e">
        <f>IF(AND(ISNUMBER(Radar_Mosca!$F17),ISNUMBER(Radar_Mosca!$S17)),IF(AND(Radar_Mosca!$F17=CU$4,Radar_Mosca!$T17="Sì"),Radar_Mosca!$S17,NA()),NA())</f>
        <v>#N/A</v>
      </c>
      <c r="CV17" t="e">
        <f>IF(AND(ISNUMBER(Radar_Mosca!$F17),ISNUMBER(Radar_Mosca!$S17)),IF(AND(Radar_Mosca!$F17=CV$4,Radar_Mosca!$T17="Sì"),Radar_Mosca!$S17,NA()),NA())</f>
        <v>#N/A</v>
      </c>
      <c r="CW17" t="e">
        <f>IF(AND(ISNUMBER(Radar_Mosca!$F17),ISNUMBER(Radar_Mosca!$S17)),IF(AND(Radar_Mosca!$F17=CW$4,Radar_Mosca!$T17="Sì"),Radar_Mosca!$S17,NA()),NA())</f>
        <v>#N/A</v>
      </c>
      <c r="CX17" t="e">
        <f>IF(AND(ISNUMBER(Radar_Mosca!$F17),ISNUMBER(Radar_Mosca!$S17)),IF(AND(Radar_Mosca!$F17=CX$4,Radar_Mosca!$T17="Sì"),Radar_Mosca!$S17,NA()),NA())</f>
        <v>#N/A</v>
      </c>
      <c r="CY17" t="e">
        <f>IF(AND(ISNUMBER(Radar_Mosca!$F17),ISNUMBER(Radar_Mosca!$S17)),IF(AND(Radar_Mosca!$F17=CY$4,Radar_Mosca!$T17="Sì"),Radar_Mosca!$S17,NA()),NA())</f>
        <v>#N/A</v>
      </c>
      <c r="CZ17" t="e">
        <f>IF(AND(ISNUMBER(Radar_Mosca!$F17),ISNUMBER(Radar_Mosca!$S17)),IF(AND(Radar_Mosca!$F17=CZ$4,Radar_Mosca!$T17="Sì"),Radar_Mosca!$S17,NA()),NA())</f>
        <v>#N/A</v>
      </c>
      <c r="DA17" t="e">
        <f>IF(ISNUMBER(Radar_Mosca!$R17),Radar_Mosca!$R17,NA())</f>
        <v>#N/A</v>
      </c>
      <c r="DB17" t="str">
        <f>IF(Radar_Mosca!$A17="","",MID(Radar_Mosca!$A17,5,3))</f>
        <v/>
      </c>
      <c r="DC17" t="e">
        <f>IF(ISNUMBER(Radar_Mosca!$S17),Radar_Mosca!$S17,NA())</f>
        <v>#N/A</v>
      </c>
    </row>
    <row r="18" spans="1:107" ht="16" customHeight="1" x14ac:dyDescent="0.4">
      <c r="J18" s="23" t="str">
        <f>INDEX(posID,1)&amp;""</f>
        <v>NFR-01</v>
      </c>
      <c r="K18" s="99" t="str">
        <f>IF(J18="","",INDEX(posNome,1)&amp;IF(INDEX(ANA_Attenzione_Supervisore,1)="Sì","  ◆",""))</f>
        <v>Frodi su pagamenti istantanei abilitate da AI generativa  ◆</v>
      </c>
      <c r="L18" s="98"/>
      <c r="M18" s="98"/>
      <c r="N18" s="98"/>
      <c r="O18" s="98"/>
      <c r="T18" t="str">
        <f>IF(LEFT(Radar_Mosca!$L$18,9)="AGIRE ORA",Radar_Mosca!$A$18,"")</f>
        <v/>
      </c>
      <c r="BH18">
        <f>2*PI()*13/72</f>
        <v>1.1344640137963142</v>
      </c>
      <c r="BI18">
        <f t="shared" si="0"/>
        <v>1.8126155740732999</v>
      </c>
      <c r="BJ18">
        <f t="shared" si="1"/>
        <v>0.84523652348139888</v>
      </c>
      <c r="BK18">
        <f t="shared" si="2"/>
        <v>2.7189233611099497</v>
      </c>
      <c r="BL18">
        <f t="shared" si="3"/>
        <v>1.2678547852220983</v>
      </c>
      <c r="BM18">
        <f t="shared" si="4"/>
        <v>3.6252311481465997</v>
      </c>
      <c r="BN18">
        <f t="shared" si="5"/>
        <v>1.6904730469627978</v>
      </c>
      <c r="BO18">
        <f t="shared" si="6"/>
        <v>4.5315389351832494</v>
      </c>
      <c r="BP18">
        <f t="shared" si="7"/>
        <v>2.1130913087034973</v>
      </c>
      <c r="BR18">
        <f>6.3*SIN(2*PI()*6/ROWS(codiciL1))</f>
        <v>-4.9255383395485879</v>
      </c>
      <c r="BS18">
        <f>6.3*COS(2*PI()*6/ROWS(codiciL1))</f>
        <v>3.9279857517100201</v>
      </c>
      <c r="BY18" t="e">
        <f>IF(AND(ISNUMBER(Radar_Mosca!$F18),ISNUMBER(Radar_Mosca!$S18)),IF(AND(Radar_Mosca!$F18=BY$4,Radar_Mosca!$T18&lt;&gt;"Sì"),Radar_Mosca!$S18,NA()),NA())</f>
        <v>#N/A</v>
      </c>
      <c r="BZ18" t="e">
        <f>IF(AND(ISNUMBER(Radar_Mosca!$F18),ISNUMBER(Radar_Mosca!$S18)),IF(AND(Radar_Mosca!$F18=BZ$4,Radar_Mosca!$T18&lt;&gt;"Sì"),Radar_Mosca!$S18,NA()),NA())</f>
        <v>#N/A</v>
      </c>
      <c r="CA18" t="e">
        <f>IF(AND(ISNUMBER(Radar_Mosca!$F18),ISNUMBER(Radar_Mosca!$S18)),IF(AND(Radar_Mosca!$F18=CA$4,Radar_Mosca!$T18&lt;&gt;"Sì"),Radar_Mosca!$S18,NA()),NA())</f>
        <v>#N/A</v>
      </c>
      <c r="CB18" t="e">
        <f>IF(AND(ISNUMBER(Radar_Mosca!$F18),ISNUMBER(Radar_Mosca!$S18)),IF(AND(Radar_Mosca!$F18=CB$4,Radar_Mosca!$T18&lt;&gt;"Sì"),Radar_Mosca!$S18,NA()),NA())</f>
        <v>#N/A</v>
      </c>
      <c r="CC18" t="e">
        <f>IF(AND(ISNUMBER(Radar_Mosca!$F18),ISNUMBER(Radar_Mosca!$S18)),IF(AND(Radar_Mosca!$F18=CC$4,Radar_Mosca!$T18&lt;&gt;"Sì"),Radar_Mosca!$S18,NA()),NA())</f>
        <v>#N/A</v>
      </c>
      <c r="CD18" t="e">
        <f>IF(AND(ISNUMBER(Radar_Mosca!$F18),ISNUMBER(Radar_Mosca!$S18)),IF(AND(Radar_Mosca!$F18=CD$4,Radar_Mosca!$T18&lt;&gt;"Sì"),Radar_Mosca!$S18,NA()),NA())</f>
        <v>#N/A</v>
      </c>
      <c r="CE18" t="e">
        <f>IF(AND(ISNUMBER(Radar_Mosca!$F18),ISNUMBER(Radar_Mosca!$S18)),IF(AND(Radar_Mosca!$F18=CE$4,Radar_Mosca!$T18&lt;&gt;"Sì"),Radar_Mosca!$S18,NA()),NA())</f>
        <v>#N/A</v>
      </c>
      <c r="CF18" t="e">
        <f>IF(AND(ISNUMBER(Radar_Mosca!$F18),ISNUMBER(Radar_Mosca!$S18)),IF(AND(Radar_Mosca!$F18=CF$4,Radar_Mosca!$T18&lt;&gt;"Sì"),Radar_Mosca!$S18,NA()),NA())</f>
        <v>#N/A</v>
      </c>
      <c r="CG18" t="e">
        <f>IF(AND(ISNUMBER(Radar_Mosca!$F18),ISNUMBER(Radar_Mosca!$S18)),IF(AND(Radar_Mosca!$F18=CG$4,Radar_Mosca!$T18&lt;&gt;"Sì"),Radar_Mosca!$S18,NA()),NA())</f>
        <v>#N/A</v>
      </c>
      <c r="CH18" t="e">
        <f>IF(AND(ISNUMBER(Radar_Mosca!$F18),ISNUMBER(Radar_Mosca!$S18)),IF(AND(Radar_Mosca!$F18=CH$4,Radar_Mosca!$T18&lt;&gt;"Sì"),Radar_Mosca!$S18,NA()),NA())</f>
        <v>#N/A</v>
      </c>
      <c r="CI18" t="e">
        <f>IF(AND(ISNUMBER(Radar_Mosca!$F18),ISNUMBER(Radar_Mosca!$S18)),IF(AND(Radar_Mosca!$F18=CI$4,Radar_Mosca!$T18&lt;&gt;"Sì"),Radar_Mosca!$S18,NA()),NA())</f>
        <v>#N/A</v>
      </c>
      <c r="CJ18" t="e">
        <f>IF(AND(ISNUMBER(Radar_Mosca!$F18),ISNUMBER(Radar_Mosca!$S18)),IF(AND(Radar_Mosca!$F18=CJ$4,Radar_Mosca!$T18&lt;&gt;"Sì"),Radar_Mosca!$S18,NA()),NA())</f>
        <v>#N/A</v>
      </c>
      <c r="CK18" t="e">
        <f>IF(AND(ISNUMBER(Radar_Mosca!$F18),ISNUMBER(Radar_Mosca!$S18)),IF(AND(Radar_Mosca!$F18=CK$4,Radar_Mosca!$T18&lt;&gt;"Sì"),Radar_Mosca!$S18,NA()),NA())</f>
        <v>#N/A</v>
      </c>
      <c r="CL18" t="e">
        <f>IF(AND(ISNUMBER(Radar_Mosca!$F18),ISNUMBER(Radar_Mosca!$S18)),IF(AND(Radar_Mosca!$F18=CL$4,Radar_Mosca!$T18&lt;&gt;"Sì"),Radar_Mosca!$S18,NA()),NA())</f>
        <v>#N/A</v>
      </c>
      <c r="CM18" t="e">
        <f>IF(AND(ISNUMBER(Radar_Mosca!$F18),ISNUMBER(Radar_Mosca!$S18)),IF(AND(Radar_Mosca!$F18=CM$4,Radar_Mosca!$T18="Sì"),Radar_Mosca!$S18,NA()),NA())</f>
        <v>#N/A</v>
      </c>
      <c r="CN18" t="e">
        <f>IF(AND(ISNUMBER(Radar_Mosca!$F18),ISNUMBER(Radar_Mosca!$S18)),IF(AND(Radar_Mosca!$F18=CN$4,Radar_Mosca!$T18="Sì"),Radar_Mosca!$S18,NA()),NA())</f>
        <v>#N/A</v>
      </c>
      <c r="CO18" t="e">
        <f>IF(AND(ISNUMBER(Radar_Mosca!$F18),ISNUMBER(Radar_Mosca!$S18)),IF(AND(Radar_Mosca!$F18=CO$4,Radar_Mosca!$T18="Sì"),Radar_Mosca!$S18,NA()),NA())</f>
        <v>#N/A</v>
      </c>
      <c r="CP18" t="e">
        <f>IF(AND(ISNUMBER(Radar_Mosca!$F18),ISNUMBER(Radar_Mosca!$S18)),IF(AND(Radar_Mosca!$F18=CP$4,Radar_Mosca!$T18="Sì"),Radar_Mosca!$S18,NA()),NA())</f>
        <v>#N/A</v>
      </c>
      <c r="CQ18" t="e">
        <f>IF(AND(ISNUMBER(Radar_Mosca!$F18),ISNUMBER(Radar_Mosca!$S18)),IF(AND(Radar_Mosca!$F18=CQ$4,Radar_Mosca!$T18="Sì"),Radar_Mosca!$S18,NA()),NA())</f>
        <v>#N/A</v>
      </c>
      <c r="CR18" t="e">
        <f>IF(AND(ISNUMBER(Radar_Mosca!$F18),ISNUMBER(Radar_Mosca!$S18)),IF(AND(Radar_Mosca!$F18=CR$4,Radar_Mosca!$T18="Sì"),Radar_Mosca!$S18,NA()),NA())</f>
        <v>#N/A</v>
      </c>
      <c r="CS18" t="e">
        <f>IF(AND(ISNUMBER(Radar_Mosca!$F18),ISNUMBER(Radar_Mosca!$S18)),IF(AND(Radar_Mosca!$F18=CS$4,Radar_Mosca!$T18="Sì"),Radar_Mosca!$S18,NA()),NA())</f>
        <v>#N/A</v>
      </c>
      <c r="CT18" t="e">
        <f>IF(AND(ISNUMBER(Radar_Mosca!$F18),ISNUMBER(Radar_Mosca!$S18)),IF(AND(Radar_Mosca!$F18=CT$4,Radar_Mosca!$T18="Sì"),Radar_Mosca!$S18,NA()),NA())</f>
        <v>#N/A</v>
      </c>
      <c r="CU18" t="e">
        <f>IF(AND(ISNUMBER(Radar_Mosca!$F18),ISNUMBER(Radar_Mosca!$S18)),IF(AND(Radar_Mosca!$F18=CU$4,Radar_Mosca!$T18="Sì"),Radar_Mosca!$S18,NA()),NA())</f>
        <v>#N/A</v>
      </c>
      <c r="CV18" t="e">
        <f>IF(AND(ISNUMBER(Radar_Mosca!$F18),ISNUMBER(Radar_Mosca!$S18)),IF(AND(Radar_Mosca!$F18=CV$4,Radar_Mosca!$T18="Sì"),Radar_Mosca!$S18,NA()),NA())</f>
        <v>#N/A</v>
      </c>
      <c r="CW18" t="e">
        <f>IF(AND(ISNUMBER(Radar_Mosca!$F18),ISNUMBER(Radar_Mosca!$S18)),IF(AND(Radar_Mosca!$F18=CW$4,Radar_Mosca!$T18="Sì"),Radar_Mosca!$S18,NA()),NA())</f>
        <v>#N/A</v>
      </c>
      <c r="CX18" t="e">
        <f>IF(AND(ISNUMBER(Radar_Mosca!$F18),ISNUMBER(Radar_Mosca!$S18)),IF(AND(Radar_Mosca!$F18=CX$4,Radar_Mosca!$T18="Sì"),Radar_Mosca!$S18,NA()),NA())</f>
        <v>#N/A</v>
      </c>
      <c r="CY18" t="e">
        <f>IF(AND(ISNUMBER(Radar_Mosca!$F18),ISNUMBER(Radar_Mosca!$S18)),IF(AND(Radar_Mosca!$F18=CY$4,Radar_Mosca!$T18="Sì"),Radar_Mosca!$S18,NA()),NA())</f>
        <v>#N/A</v>
      </c>
      <c r="CZ18" t="e">
        <f>IF(AND(ISNUMBER(Radar_Mosca!$F18),ISNUMBER(Radar_Mosca!$S18)),IF(AND(Radar_Mosca!$F18=CZ$4,Radar_Mosca!$T18="Sì"),Radar_Mosca!$S18,NA()),NA())</f>
        <v>#N/A</v>
      </c>
      <c r="DA18" t="e">
        <f>IF(ISNUMBER(Radar_Mosca!$R18),Radar_Mosca!$R18,NA())</f>
        <v>#N/A</v>
      </c>
      <c r="DB18" t="str">
        <f>IF(Radar_Mosca!$A18="","",MID(Radar_Mosca!$A18,5,3))</f>
        <v/>
      </c>
      <c r="DC18" t="e">
        <f>IF(ISNUMBER(Radar_Mosca!$S18),Radar_Mosca!$S18,NA())</f>
        <v>#N/A</v>
      </c>
    </row>
    <row r="19" spans="1:107" ht="16" customHeight="1" x14ac:dyDescent="0.4">
      <c r="J19" s="23" t="str">
        <f>INDEX(posID,2)&amp;""</f>
        <v>NFR-02</v>
      </c>
      <c r="K19" s="99" t="str">
        <f>IF(J19="","",INDEX(posNome,2)&amp;IF(INDEX(ANA_Attenzione_Supervisore,2)="Sì","  ◆",""))</f>
        <v>Concentrazione su un fornitore cloud critico  ◆</v>
      </c>
      <c r="L19" s="98"/>
      <c r="M19" s="98"/>
      <c r="N19" s="98"/>
      <c r="O19" s="98"/>
      <c r="T19" t="str">
        <f>IF(LEFT(Radar_Mosca!$L$19,9)="AGIRE ORA",Radar_Mosca!$A$19,"")</f>
        <v/>
      </c>
      <c r="BH19">
        <f>2*PI()*14/72</f>
        <v>1.2217304763960306</v>
      </c>
      <c r="BI19">
        <f t="shared" si="0"/>
        <v>1.8793852415718166</v>
      </c>
      <c r="BJ19">
        <f t="shared" si="1"/>
        <v>0.68404028665133765</v>
      </c>
      <c r="BK19">
        <f t="shared" si="2"/>
        <v>2.8190778623577248</v>
      </c>
      <c r="BL19">
        <f t="shared" si="3"/>
        <v>1.0260604299770064</v>
      </c>
      <c r="BM19">
        <f t="shared" si="4"/>
        <v>3.7587704831436333</v>
      </c>
      <c r="BN19">
        <f t="shared" si="5"/>
        <v>1.3680805733026753</v>
      </c>
      <c r="BO19">
        <f t="shared" si="6"/>
        <v>4.6984631039295417</v>
      </c>
      <c r="BP19">
        <f t="shared" si="7"/>
        <v>1.7101007166283442</v>
      </c>
      <c r="BY19" t="e">
        <f>IF(AND(ISNUMBER(Radar_Mosca!$F19),ISNUMBER(Radar_Mosca!$S19)),IF(AND(Radar_Mosca!$F19=BY$4,Radar_Mosca!$T19&lt;&gt;"Sì"),Radar_Mosca!$S19,NA()),NA())</f>
        <v>#N/A</v>
      </c>
      <c r="BZ19" t="e">
        <f>IF(AND(ISNUMBER(Radar_Mosca!$F19),ISNUMBER(Radar_Mosca!$S19)),IF(AND(Radar_Mosca!$F19=BZ$4,Radar_Mosca!$T19&lt;&gt;"Sì"),Radar_Mosca!$S19,NA()),NA())</f>
        <v>#N/A</v>
      </c>
      <c r="CA19" t="e">
        <f>IF(AND(ISNUMBER(Radar_Mosca!$F19),ISNUMBER(Radar_Mosca!$S19)),IF(AND(Radar_Mosca!$F19=CA$4,Radar_Mosca!$T19&lt;&gt;"Sì"),Radar_Mosca!$S19,NA()),NA())</f>
        <v>#N/A</v>
      </c>
      <c r="CB19" t="e">
        <f>IF(AND(ISNUMBER(Radar_Mosca!$F19),ISNUMBER(Radar_Mosca!$S19)),IF(AND(Radar_Mosca!$F19=CB$4,Radar_Mosca!$T19&lt;&gt;"Sì"),Radar_Mosca!$S19,NA()),NA())</f>
        <v>#N/A</v>
      </c>
      <c r="CC19" t="e">
        <f>IF(AND(ISNUMBER(Radar_Mosca!$F19),ISNUMBER(Radar_Mosca!$S19)),IF(AND(Radar_Mosca!$F19=CC$4,Radar_Mosca!$T19&lt;&gt;"Sì"),Radar_Mosca!$S19,NA()),NA())</f>
        <v>#N/A</v>
      </c>
      <c r="CD19" t="e">
        <f>IF(AND(ISNUMBER(Radar_Mosca!$F19),ISNUMBER(Radar_Mosca!$S19)),IF(AND(Radar_Mosca!$F19=CD$4,Radar_Mosca!$T19&lt;&gt;"Sì"),Radar_Mosca!$S19,NA()),NA())</f>
        <v>#N/A</v>
      </c>
      <c r="CE19" t="e">
        <f>IF(AND(ISNUMBER(Radar_Mosca!$F19),ISNUMBER(Radar_Mosca!$S19)),IF(AND(Radar_Mosca!$F19=CE$4,Radar_Mosca!$T19&lt;&gt;"Sì"),Radar_Mosca!$S19,NA()),NA())</f>
        <v>#N/A</v>
      </c>
      <c r="CF19" t="e">
        <f>IF(AND(ISNUMBER(Radar_Mosca!$F19),ISNUMBER(Radar_Mosca!$S19)),IF(AND(Radar_Mosca!$F19=CF$4,Radar_Mosca!$T19&lt;&gt;"Sì"),Radar_Mosca!$S19,NA()),NA())</f>
        <v>#N/A</v>
      </c>
      <c r="CG19" t="e">
        <f>IF(AND(ISNUMBER(Radar_Mosca!$F19),ISNUMBER(Radar_Mosca!$S19)),IF(AND(Radar_Mosca!$F19=CG$4,Radar_Mosca!$T19&lt;&gt;"Sì"),Radar_Mosca!$S19,NA()),NA())</f>
        <v>#N/A</v>
      </c>
      <c r="CH19" t="e">
        <f>IF(AND(ISNUMBER(Radar_Mosca!$F19),ISNUMBER(Radar_Mosca!$S19)),IF(AND(Radar_Mosca!$F19=CH$4,Radar_Mosca!$T19&lt;&gt;"Sì"),Radar_Mosca!$S19,NA()),NA())</f>
        <v>#N/A</v>
      </c>
      <c r="CI19" t="e">
        <f>IF(AND(ISNUMBER(Radar_Mosca!$F19),ISNUMBER(Radar_Mosca!$S19)),IF(AND(Radar_Mosca!$F19=CI$4,Radar_Mosca!$T19&lt;&gt;"Sì"),Radar_Mosca!$S19,NA()),NA())</f>
        <v>#N/A</v>
      </c>
      <c r="CJ19" t="e">
        <f>IF(AND(ISNUMBER(Radar_Mosca!$F19),ISNUMBER(Radar_Mosca!$S19)),IF(AND(Radar_Mosca!$F19=CJ$4,Radar_Mosca!$T19&lt;&gt;"Sì"),Radar_Mosca!$S19,NA()),NA())</f>
        <v>#N/A</v>
      </c>
      <c r="CK19" t="e">
        <f>IF(AND(ISNUMBER(Radar_Mosca!$F19),ISNUMBER(Radar_Mosca!$S19)),IF(AND(Radar_Mosca!$F19=CK$4,Radar_Mosca!$T19&lt;&gt;"Sì"),Radar_Mosca!$S19,NA()),NA())</f>
        <v>#N/A</v>
      </c>
      <c r="CL19" t="e">
        <f>IF(AND(ISNUMBER(Radar_Mosca!$F19),ISNUMBER(Radar_Mosca!$S19)),IF(AND(Radar_Mosca!$F19=CL$4,Radar_Mosca!$T19&lt;&gt;"Sì"),Radar_Mosca!$S19,NA()),NA())</f>
        <v>#N/A</v>
      </c>
      <c r="CM19" t="e">
        <f>IF(AND(ISNUMBER(Radar_Mosca!$F19),ISNUMBER(Radar_Mosca!$S19)),IF(AND(Radar_Mosca!$F19=CM$4,Radar_Mosca!$T19="Sì"),Radar_Mosca!$S19,NA()),NA())</f>
        <v>#N/A</v>
      </c>
      <c r="CN19" t="e">
        <f>IF(AND(ISNUMBER(Radar_Mosca!$F19),ISNUMBER(Radar_Mosca!$S19)),IF(AND(Radar_Mosca!$F19=CN$4,Radar_Mosca!$T19="Sì"),Radar_Mosca!$S19,NA()),NA())</f>
        <v>#N/A</v>
      </c>
      <c r="CO19" t="e">
        <f>IF(AND(ISNUMBER(Radar_Mosca!$F19),ISNUMBER(Radar_Mosca!$S19)),IF(AND(Radar_Mosca!$F19=CO$4,Radar_Mosca!$T19="Sì"),Radar_Mosca!$S19,NA()),NA())</f>
        <v>#N/A</v>
      </c>
      <c r="CP19" t="e">
        <f>IF(AND(ISNUMBER(Radar_Mosca!$F19),ISNUMBER(Radar_Mosca!$S19)),IF(AND(Radar_Mosca!$F19=CP$4,Radar_Mosca!$T19="Sì"),Radar_Mosca!$S19,NA()),NA())</f>
        <v>#N/A</v>
      </c>
      <c r="CQ19" t="e">
        <f>IF(AND(ISNUMBER(Radar_Mosca!$F19),ISNUMBER(Radar_Mosca!$S19)),IF(AND(Radar_Mosca!$F19=CQ$4,Radar_Mosca!$T19="Sì"),Radar_Mosca!$S19,NA()),NA())</f>
        <v>#N/A</v>
      </c>
      <c r="CR19" t="e">
        <f>IF(AND(ISNUMBER(Radar_Mosca!$F19),ISNUMBER(Radar_Mosca!$S19)),IF(AND(Radar_Mosca!$F19=CR$4,Radar_Mosca!$T19="Sì"),Radar_Mosca!$S19,NA()),NA())</f>
        <v>#N/A</v>
      </c>
      <c r="CS19" t="e">
        <f>IF(AND(ISNUMBER(Radar_Mosca!$F19),ISNUMBER(Radar_Mosca!$S19)),IF(AND(Radar_Mosca!$F19=CS$4,Radar_Mosca!$T19="Sì"),Radar_Mosca!$S19,NA()),NA())</f>
        <v>#N/A</v>
      </c>
      <c r="CT19" t="e">
        <f>IF(AND(ISNUMBER(Radar_Mosca!$F19),ISNUMBER(Radar_Mosca!$S19)),IF(AND(Radar_Mosca!$F19=CT$4,Radar_Mosca!$T19="Sì"),Radar_Mosca!$S19,NA()),NA())</f>
        <v>#N/A</v>
      </c>
      <c r="CU19" t="e">
        <f>IF(AND(ISNUMBER(Radar_Mosca!$F19),ISNUMBER(Radar_Mosca!$S19)),IF(AND(Radar_Mosca!$F19=CU$4,Radar_Mosca!$T19="Sì"),Radar_Mosca!$S19,NA()),NA())</f>
        <v>#N/A</v>
      </c>
      <c r="CV19" t="e">
        <f>IF(AND(ISNUMBER(Radar_Mosca!$F19),ISNUMBER(Radar_Mosca!$S19)),IF(AND(Radar_Mosca!$F19=CV$4,Radar_Mosca!$T19="Sì"),Radar_Mosca!$S19,NA()),NA())</f>
        <v>#N/A</v>
      </c>
      <c r="CW19" t="e">
        <f>IF(AND(ISNUMBER(Radar_Mosca!$F19),ISNUMBER(Radar_Mosca!$S19)),IF(AND(Radar_Mosca!$F19=CW$4,Radar_Mosca!$T19="Sì"),Radar_Mosca!$S19,NA()),NA())</f>
        <v>#N/A</v>
      </c>
      <c r="CX19" t="e">
        <f>IF(AND(ISNUMBER(Radar_Mosca!$F19),ISNUMBER(Radar_Mosca!$S19)),IF(AND(Radar_Mosca!$F19=CX$4,Radar_Mosca!$T19="Sì"),Radar_Mosca!$S19,NA()),NA())</f>
        <v>#N/A</v>
      </c>
      <c r="CY19" t="e">
        <f>IF(AND(ISNUMBER(Radar_Mosca!$F19),ISNUMBER(Radar_Mosca!$S19)),IF(AND(Radar_Mosca!$F19=CY$4,Radar_Mosca!$T19="Sì"),Radar_Mosca!$S19,NA()),NA())</f>
        <v>#N/A</v>
      </c>
      <c r="CZ19" t="e">
        <f>IF(AND(ISNUMBER(Radar_Mosca!$F19),ISNUMBER(Radar_Mosca!$S19)),IF(AND(Radar_Mosca!$F19=CZ$4,Radar_Mosca!$T19="Sì"),Radar_Mosca!$S19,NA()),NA())</f>
        <v>#N/A</v>
      </c>
      <c r="DA19" t="e">
        <f>IF(ISNUMBER(Radar_Mosca!$R19),Radar_Mosca!$R19,NA())</f>
        <v>#N/A</v>
      </c>
      <c r="DB19" t="str">
        <f>IF(Radar_Mosca!$A19="","",MID(Radar_Mosca!$A19,5,3))</f>
        <v/>
      </c>
      <c r="DC19" t="e">
        <f>IF(ISNUMBER(Radar_Mosca!$S19),Radar_Mosca!$S19,NA())</f>
        <v>#N/A</v>
      </c>
    </row>
    <row r="20" spans="1:107" ht="16" customHeight="1" x14ac:dyDescent="0.4">
      <c r="J20" s="23" t="str">
        <f>INDEX(posID,3)&amp;""</f>
        <v>NFR-03</v>
      </c>
      <c r="K20" s="99" t="str">
        <f>IF(J20="","",INDEX(posNome,3)&amp;IF(INDEX(ANA_Attenzione_Supervisore,3)="Sì","  ◆",""))</f>
        <v>Greenwashing nella commercializzazione di prodotti ESG</v>
      </c>
      <c r="L20" s="98"/>
      <c r="M20" s="98"/>
      <c r="N20" s="98"/>
      <c r="O20" s="98"/>
      <c r="BH20">
        <f>2*PI()*15/72</f>
        <v>1.308996938995747</v>
      </c>
      <c r="BI20">
        <f t="shared" si="0"/>
        <v>1.9318516525781364</v>
      </c>
      <c r="BJ20">
        <f t="shared" si="1"/>
        <v>0.51763809020504192</v>
      </c>
      <c r="BK20">
        <f t="shared" si="2"/>
        <v>2.8977774788672046</v>
      </c>
      <c r="BL20">
        <f t="shared" si="3"/>
        <v>0.77645713530756288</v>
      </c>
      <c r="BM20">
        <f t="shared" si="4"/>
        <v>3.8637033051562728</v>
      </c>
      <c r="BN20">
        <f t="shared" si="5"/>
        <v>1.0352761804100838</v>
      </c>
      <c r="BO20">
        <f t="shared" si="6"/>
        <v>4.8296291314453406</v>
      </c>
      <c r="BP20">
        <f t="shared" si="7"/>
        <v>1.2940952255126048</v>
      </c>
    </row>
    <row r="21" spans="1:107" ht="16" customHeight="1" x14ac:dyDescent="0.4">
      <c r="J21" s="23" t="str">
        <f>INDEX(posID,4)&amp;""</f>
        <v>NFR-04</v>
      </c>
      <c r="K21" s="99" t="str">
        <f>IF(J21="","",INDEX(posNome,4)&amp;IF(INDEX(ANA_Attenzione_Supervisore,4)="Sì","  ◆",""))</f>
        <v>Eventi climatici estremi su sedi e data center</v>
      </c>
      <c r="L21" s="98"/>
      <c r="M21" s="98"/>
      <c r="N21" s="98"/>
      <c r="O21" s="98"/>
      <c r="BH21">
        <f>2*PI()*16/72</f>
        <v>1.3962634015954636</v>
      </c>
      <c r="BI21">
        <f t="shared" si="0"/>
        <v>1.969615506024416</v>
      </c>
      <c r="BJ21">
        <f t="shared" si="1"/>
        <v>0.34729635533386083</v>
      </c>
      <c r="BK21">
        <f t="shared" si="2"/>
        <v>2.9544232590366239</v>
      </c>
      <c r="BL21">
        <f t="shared" si="3"/>
        <v>0.52094453300079124</v>
      </c>
      <c r="BM21">
        <f t="shared" si="4"/>
        <v>3.9392310120488321</v>
      </c>
      <c r="BN21">
        <f t="shared" si="5"/>
        <v>0.69459271066772166</v>
      </c>
      <c r="BO21">
        <f t="shared" si="6"/>
        <v>4.9240387650610398</v>
      </c>
      <c r="BP21">
        <f t="shared" si="7"/>
        <v>0.86824088833465207</v>
      </c>
    </row>
    <row r="22" spans="1:107" ht="16" customHeight="1" x14ac:dyDescent="0.4">
      <c r="J22" s="23" t="str">
        <f>INDEX(posID,5)&amp;""</f>
        <v>NFR-05</v>
      </c>
      <c r="K22" s="99" t="str">
        <f>IF(J22="","",INDEX(posNome,5)&amp;IF(INDEX(ANA_Attenzione_Supervisore,5)="Sì","  ◆",""))</f>
        <v>Errori di processo nella migrazione del core banking</v>
      </c>
      <c r="L22" s="98"/>
      <c r="M22" s="98"/>
      <c r="N22" s="98"/>
      <c r="O22" s="98"/>
      <c r="BH22">
        <f>2*PI()*17/72</f>
        <v>1.4835298641951802</v>
      </c>
      <c r="BI22">
        <f t="shared" si="0"/>
        <v>1.9923893961834911</v>
      </c>
      <c r="BJ22">
        <f t="shared" si="1"/>
        <v>0.17431148549531628</v>
      </c>
      <c r="BK22">
        <f t="shared" si="2"/>
        <v>2.9885840942752369</v>
      </c>
      <c r="BL22">
        <f t="shared" si="3"/>
        <v>0.26146722824297441</v>
      </c>
      <c r="BM22">
        <f t="shared" si="4"/>
        <v>3.9847787923669822</v>
      </c>
      <c r="BN22">
        <f t="shared" si="5"/>
        <v>0.34862297099063255</v>
      </c>
      <c r="BO22">
        <f t="shared" si="6"/>
        <v>4.9809734904587275</v>
      </c>
      <c r="BP22">
        <f t="shared" si="7"/>
        <v>0.43577871373829069</v>
      </c>
    </row>
    <row r="23" spans="1:107" ht="16" customHeight="1" x14ac:dyDescent="0.4">
      <c r="J23" s="23" t="str">
        <f>INDEX(posID,6)&amp;""</f>
        <v>NFR-06</v>
      </c>
      <c r="K23" s="99" t="str">
        <f>IF(J23="","",INDEX(posNome,6)&amp;IF(INDEX(ANA_Attenzione_Supervisore,6)="Sì","  ◆",""))</f>
        <v>Esfiltrazione di dati tramite strumenti di AI non autorizzati</v>
      </c>
      <c r="L23" s="98"/>
      <c r="M23" s="98"/>
      <c r="N23" s="98"/>
      <c r="O23" s="98"/>
      <c r="BH23">
        <f>2*PI()*18/72</f>
        <v>1.5707963267948966</v>
      </c>
      <c r="BI23">
        <f t="shared" si="0"/>
        <v>2</v>
      </c>
      <c r="BJ23">
        <f t="shared" si="1"/>
        <v>1.22514845490862E-16</v>
      </c>
      <c r="BK23">
        <f t="shared" si="2"/>
        <v>3</v>
      </c>
      <c r="BL23">
        <f t="shared" si="3"/>
        <v>1.83772268236293E-16</v>
      </c>
      <c r="BM23">
        <f t="shared" si="4"/>
        <v>4</v>
      </c>
      <c r="BN23">
        <f t="shared" si="5"/>
        <v>2.45029690981724E-16</v>
      </c>
      <c r="BO23">
        <f t="shared" si="6"/>
        <v>5</v>
      </c>
      <c r="BP23">
        <f t="shared" si="7"/>
        <v>3.06287113727155E-16</v>
      </c>
    </row>
    <row r="24" spans="1:107" ht="16" customHeight="1" x14ac:dyDescent="0.4">
      <c r="J24" s="23" t="str">
        <f>INDEX(posID,7)&amp;""</f>
        <v>NFR-07</v>
      </c>
      <c r="K24" s="99" t="str">
        <f>IF(J24="","",INDEX(posNome,7)&amp;IF(INDEX(ANA_Attenzione_Supervisore,7)="Sì","  ◆",""))</f>
        <v>Ransomware presso un fornitore di servizi di pagamento  ◆</v>
      </c>
      <c r="L24" s="98"/>
      <c r="M24" s="98"/>
      <c r="N24" s="98"/>
      <c r="O24" s="98"/>
      <c r="BH24">
        <f>2*PI()*19/72</f>
        <v>1.6580627893946129</v>
      </c>
      <c r="BI24">
        <f t="shared" si="0"/>
        <v>1.9923893961834911</v>
      </c>
      <c r="BJ24">
        <f t="shared" si="1"/>
        <v>-0.17431148549531603</v>
      </c>
      <c r="BK24">
        <f t="shared" si="2"/>
        <v>2.9885840942752369</v>
      </c>
      <c r="BL24">
        <f t="shared" si="3"/>
        <v>-0.26146722824297403</v>
      </c>
      <c r="BM24">
        <f t="shared" si="4"/>
        <v>3.9847787923669822</v>
      </c>
      <c r="BN24">
        <f t="shared" si="5"/>
        <v>-0.34862297099063205</v>
      </c>
      <c r="BO24">
        <f t="shared" si="6"/>
        <v>4.9809734904587275</v>
      </c>
      <c r="BP24">
        <f t="shared" si="7"/>
        <v>-0.43577871373829008</v>
      </c>
    </row>
    <row r="25" spans="1:107" ht="16" customHeight="1" x14ac:dyDescent="0.4">
      <c r="J25" s="23" t="str">
        <f>INDEX(posID,8)&amp;""</f>
        <v>NFR-08</v>
      </c>
      <c r="K25" s="99" t="str">
        <f>IF(J25="","",INDEX(posNome,8)&amp;IF(INDEX(ANA_Attenzione_Supervisore,8)="Sì","  ◆",""))</f>
        <v>Accessi impropri di dipendenti ai dati dei clienti</v>
      </c>
      <c r="L25" s="98"/>
      <c r="M25" s="98"/>
      <c r="N25" s="98"/>
      <c r="O25" s="98"/>
      <c r="BH25">
        <f>2*PI()*20/72</f>
        <v>1.7453292519943295</v>
      </c>
      <c r="BI25">
        <f t="shared" si="0"/>
        <v>1.969615506024416</v>
      </c>
      <c r="BJ25">
        <f t="shared" si="1"/>
        <v>-0.34729635533386061</v>
      </c>
      <c r="BK25">
        <f t="shared" si="2"/>
        <v>2.9544232590366239</v>
      </c>
      <c r="BL25">
        <f t="shared" si="3"/>
        <v>-0.52094453300079091</v>
      </c>
      <c r="BM25">
        <f t="shared" si="4"/>
        <v>3.9392310120488321</v>
      </c>
      <c r="BN25">
        <f t="shared" si="5"/>
        <v>-0.69459271066772121</v>
      </c>
      <c r="BO25">
        <f t="shared" si="6"/>
        <v>4.9240387650610398</v>
      </c>
      <c r="BP25">
        <f t="shared" si="7"/>
        <v>-0.86824088833465152</v>
      </c>
    </row>
    <row r="26" spans="1:107" ht="16" customHeight="1" x14ac:dyDescent="0.4">
      <c r="J26" s="23" t="str">
        <f>INDEX(posID,9)&amp;""</f>
        <v>NFR-09</v>
      </c>
      <c r="K26" s="99" t="str">
        <f>IF(J26="","",INDEX(posNome,9)&amp;IF(INDEX(ANA_Attenzione_Supervisore,9)="Sì","  ◆",""))</f>
        <v>Violazione di sanzioni internazionali tramite triangolazioni  ◆</v>
      </c>
      <c r="L26" s="98"/>
      <c r="M26" s="98"/>
      <c r="N26" s="98"/>
      <c r="O26" s="98"/>
      <c r="BH26">
        <f>2*PI()*21/72</f>
        <v>1.8325957145940461</v>
      </c>
      <c r="BI26">
        <f t="shared" si="0"/>
        <v>1.9318516525781366</v>
      </c>
      <c r="BJ26">
        <f t="shared" si="1"/>
        <v>-0.5176380902050417</v>
      </c>
      <c r="BK26">
        <f t="shared" si="2"/>
        <v>2.897777478867205</v>
      </c>
      <c r="BL26">
        <f t="shared" si="3"/>
        <v>-0.77645713530756255</v>
      </c>
      <c r="BM26">
        <f t="shared" si="4"/>
        <v>3.8637033051562732</v>
      </c>
      <c r="BN26">
        <f t="shared" si="5"/>
        <v>-1.0352761804100834</v>
      </c>
      <c r="BO26">
        <f t="shared" si="6"/>
        <v>4.8296291314453415</v>
      </c>
      <c r="BP26">
        <f t="shared" si="7"/>
        <v>-1.2940952255126041</v>
      </c>
    </row>
    <row r="27" spans="1:107" ht="16" customHeight="1" x14ac:dyDescent="0.4">
      <c r="J27" s="23" t="str">
        <f>INDEX(posID,10)&amp;""</f>
        <v>NFR-10</v>
      </c>
      <c r="K27" s="99" t="str">
        <f>IF(J27="","",INDEX(posNome,10)&amp;IF(INDEX(ANA_Attenzione_Supervisore,10)="Sì","  ◆",""))</f>
        <v>Informazioni errate ai clienti da assistenti di AI generativa</v>
      </c>
      <c r="L27" s="98"/>
      <c r="M27" s="98"/>
      <c r="N27" s="98"/>
      <c r="O27" s="98"/>
      <c r="BH27">
        <f>2*PI()*22/72</f>
        <v>1.9198621771937623</v>
      </c>
      <c r="BI27">
        <f t="shared" si="0"/>
        <v>1.8793852415718169</v>
      </c>
      <c r="BJ27">
        <f t="shared" si="1"/>
        <v>-0.68404028665133698</v>
      </c>
      <c r="BK27">
        <f t="shared" si="2"/>
        <v>2.8190778623577253</v>
      </c>
      <c r="BL27">
        <f t="shared" si="3"/>
        <v>-1.0260604299770055</v>
      </c>
      <c r="BM27">
        <f t="shared" si="4"/>
        <v>3.7587704831436337</v>
      </c>
      <c r="BN27">
        <f t="shared" si="5"/>
        <v>-1.368080573302674</v>
      </c>
      <c r="BO27">
        <f t="shared" si="6"/>
        <v>4.6984631039295426</v>
      </c>
      <c r="BP27">
        <f t="shared" si="7"/>
        <v>-1.7101007166283424</v>
      </c>
    </row>
    <row r="28" spans="1:107" ht="16" customHeight="1" x14ac:dyDescent="0.4">
      <c r="J28" s="23" t="str">
        <f>INDEX(posID,11)&amp;""</f>
        <v>NFR-11</v>
      </c>
      <c r="K28" s="99" t="str">
        <f>IF(J28="","",INDEX(posNome,11)&amp;IF(INDEX(ANA_Attenzione_Supervisore,11)="Sì","  ◆",""))</f>
        <v>Fine del supporto dei sistemi di pagamento legacy</v>
      </c>
      <c r="L28" s="98"/>
      <c r="M28" s="98"/>
      <c r="N28" s="98"/>
      <c r="O28" s="98"/>
      <c r="BH28">
        <f>2*PI()*23/72</f>
        <v>2.0071286397934789</v>
      </c>
      <c r="BI28">
        <f t="shared" si="0"/>
        <v>1.8126155740733001</v>
      </c>
      <c r="BJ28">
        <f t="shared" si="1"/>
        <v>-0.84523652348139866</v>
      </c>
      <c r="BK28">
        <f t="shared" si="2"/>
        <v>2.7189233611099501</v>
      </c>
      <c r="BL28">
        <f t="shared" si="3"/>
        <v>-1.267854785222098</v>
      </c>
      <c r="BM28">
        <f t="shared" si="4"/>
        <v>3.6252311481466002</v>
      </c>
      <c r="BN28">
        <f t="shared" si="5"/>
        <v>-1.6904730469627973</v>
      </c>
      <c r="BO28">
        <f t="shared" si="6"/>
        <v>4.5315389351832502</v>
      </c>
      <c r="BP28">
        <f t="shared" si="7"/>
        <v>-2.1130913087034968</v>
      </c>
    </row>
    <row r="29" spans="1:107" ht="16" customHeight="1" x14ac:dyDescent="0.4">
      <c r="J29" s="23" t="str">
        <f>INDEX(posID,12)&amp;""</f>
        <v>NFR-12</v>
      </c>
      <c r="K29" s="99" t="str">
        <f>IF(J29="","",INDEX(posNome,12)&amp;IF(INDEX(ANA_Attenzione_Supervisore,12)="Sì","  ◆",""))</f>
        <v>Errori operativi nei pagamenti istantanei obbligatori</v>
      </c>
      <c r="L29" s="98"/>
      <c r="M29" s="98"/>
      <c r="N29" s="98"/>
      <c r="O29" s="98"/>
      <c r="BH29">
        <f>2*PI()*24/72</f>
        <v>2.0943951023931953</v>
      </c>
      <c r="BI29">
        <f t="shared" si="0"/>
        <v>1.7320508075688774</v>
      </c>
      <c r="BJ29">
        <f t="shared" si="1"/>
        <v>-0.99999999999999956</v>
      </c>
      <c r="BK29">
        <f t="shared" si="2"/>
        <v>2.598076211353316</v>
      </c>
      <c r="BL29">
        <f t="shared" si="3"/>
        <v>-1.4999999999999993</v>
      </c>
      <c r="BM29">
        <f t="shared" si="4"/>
        <v>3.4641016151377548</v>
      </c>
      <c r="BN29">
        <f t="shared" si="5"/>
        <v>-1.9999999999999991</v>
      </c>
      <c r="BO29">
        <f t="shared" si="6"/>
        <v>4.3301270189221936</v>
      </c>
      <c r="BP29">
        <f t="shared" si="7"/>
        <v>-2.4999999999999991</v>
      </c>
    </row>
    <row r="30" spans="1:107" ht="16" customHeight="1" x14ac:dyDescent="0.4">
      <c r="J30" s="23" t="str">
        <f>INDEX(posID,13)&amp;""</f>
        <v/>
      </c>
      <c r="K30" s="99" t="str">
        <f>IF(J30="","",INDEX(posNome,13)&amp;IF(INDEX(ANA_Attenzione_Supervisore,13)="Sì","  ◆",""))</f>
        <v/>
      </c>
      <c r="L30" s="98"/>
      <c r="M30" s="98"/>
      <c r="N30" s="98"/>
      <c r="O30" s="98"/>
      <c r="BH30">
        <f>2*PI()*25/72</f>
        <v>2.1816615649929121</v>
      </c>
      <c r="BI30">
        <f t="shared" si="0"/>
        <v>1.6383040885779834</v>
      </c>
      <c r="BJ30">
        <f t="shared" si="1"/>
        <v>-1.1471528727020923</v>
      </c>
      <c r="BK30">
        <f t="shared" si="2"/>
        <v>2.4574561328669748</v>
      </c>
      <c r="BL30">
        <f t="shared" si="3"/>
        <v>-1.7207293090531386</v>
      </c>
      <c r="BM30">
        <f t="shared" si="4"/>
        <v>3.2766081771559668</v>
      </c>
      <c r="BN30">
        <f t="shared" si="5"/>
        <v>-2.2943057454041846</v>
      </c>
      <c r="BO30">
        <f t="shared" si="6"/>
        <v>4.0957602214449587</v>
      </c>
      <c r="BP30">
        <f t="shared" si="7"/>
        <v>-2.8678821817552307</v>
      </c>
    </row>
    <row r="31" spans="1:107" ht="16" customHeight="1" x14ac:dyDescent="0.4">
      <c r="J31" s="23" t="str">
        <f>INDEX(posID,14)&amp;""</f>
        <v/>
      </c>
      <c r="K31" s="99" t="str">
        <f>IF(J31="","",INDEX(posNome,14)&amp;IF(INDEX(ANA_Attenzione_Supervisore,14)="Sì","  ◆",""))</f>
        <v/>
      </c>
      <c r="L31" s="98"/>
      <c r="M31" s="98"/>
      <c r="N31" s="98"/>
      <c r="O31" s="98"/>
      <c r="BH31">
        <f>2*PI()*26/72</f>
        <v>2.2689280275926285</v>
      </c>
      <c r="BI31">
        <f t="shared" si="0"/>
        <v>1.532088886237956</v>
      </c>
      <c r="BJ31">
        <f t="shared" si="1"/>
        <v>-1.2855752193730787</v>
      </c>
      <c r="BK31">
        <f t="shared" si="2"/>
        <v>2.2981333293569342</v>
      </c>
      <c r="BL31">
        <f t="shared" si="3"/>
        <v>-1.9283628290596182</v>
      </c>
      <c r="BM31">
        <f t="shared" si="4"/>
        <v>3.0641777724759121</v>
      </c>
      <c r="BN31">
        <f t="shared" si="5"/>
        <v>-2.5711504387461575</v>
      </c>
      <c r="BO31">
        <f t="shared" si="6"/>
        <v>3.83022221559489</v>
      </c>
      <c r="BP31">
        <f t="shared" si="7"/>
        <v>-3.2139380484326967</v>
      </c>
    </row>
    <row r="32" spans="1:107" ht="16" customHeight="1" x14ac:dyDescent="0.4">
      <c r="J32" s="23" t="str">
        <f>INDEX(posID,15)&amp;""</f>
        <v/>
      </c>
      <c r="K32" s="99" t="str">
        <f>IF(J32="","",INDEX(posNome,15)&amp;IF(INDEX(ANA_Attenzione_Supervisore,15)="Sì","  ◆",""))</f>
        <v/>
      </c>
      <c r="L32" s="98"/>
      <c r="M32" s="98"/>
      <c r="N32" s="98"/>
      <c r="O32" s="98"/>
      <c r="BH32">
        <f>2*PI()*27/72</f>
        <v>2.3561944901923448</v>
      </c>
      <c r="BI32">
        <f t="shared" si="0"/>
        <v>1.4142135623730951</v>
      </c>
      <c r="BJ32">
        <f t="shared" si="1"/>
        <v>-1.4142135623730949</v>
      </c>
      <c r="BK32">
        <f t="shared" si="2"/>
        <v>2.1213203435596428</v>
      </c>
      <c r="BL32">
        <f t="shared" si="3"/>
        <v>-2.1213203435596424</v>
      </c>
      <c r="BM32">
        <f t="shared" si="4"/>
        <v>2.8284271247461903</v>
      </c>
      <c r="BN32">
        <f t="shared" si="5"/>
        <v>-2.8284271247461898</v>
      </c>
      <c r="BO32">
        <f t="shared" si="6"/>
        <v>3.5355339059327378</v>
      </c>
      <c r="BP32">
        <f t="shared" si="7"/>
        <v>-3.5355339059327373</v>
      </c>
    </row>
    <row r="33" spans="1:68" x14ac:dyDescent="0.4">
      <c r="A33" s="22" t="s">
        <v>33</v>
      </c>
      <c r="BH33">
        <f>2*PI()*28/72</f>
        <v>2.4434609527920612</v>
      </c>
      <c r="BI33">
        <f t="shared" si="0"/>
        <v>1.2855752193730789</v>
      </c>
      <c r="BJ33">
        <f t="shared" si="1"/>
        <v>-1.5320888862379558</v>
      </c>
      <c r="BK33">
        <f t="shared" si="2"/>
        <v>1.9283628290596184</v>
      </c>
      <c r="BL33">
        <f t="shared" si="3"/>
        <v>-2.2981333293569337</v>
      </c>
      <c r="BM33">
        <f t="shared" si="4"/>
        <v>2.5711504387461579</v>
      </c>
      <c r="BN33">
        <f t="shared" si="5"/>
        <v>-3.0641777724759116</v>
      </c>
      <c r="BO33">
        <f t="shared" si="6"/>
        <v>3.2139380484326976</v>
      </c>
      <c r="BP33">
        <f t="shared" si="7"/>
        <v>-3.8302222155948895</v>
      </c>
    </row>
    <row r="34" spans="1:68" x14ac:dyDescent="0.4">
      <c r="BH34">
        <f>2*PI()*29/72</f>
        <v>2.530727415391778</v>
      </c>
      <c r="BI34">
        <f t="shared" si="0"/>
        <v>1.1471528727020919</v>
      </c>
      <c r="BJ34">
        <f t="shared" si="1"/>
        <v>-1.6383040885779838</v>
      </c>
      <c r="BK34">
        <f t="shared" si="2"/>
        <v>1.7207293090531377</v>
      </c>
      <c r="BL34">
        <f t="shared" si="3"/>
        <v>-2.4574561328669757</v>
      </c>
      <c r="BM34">
        <f t="shared" si="4"/>
        <v>2.2943057454041837</v>
      </c>
      <c r="BN34">
        <f t="shared" si="5"/>
        <v>-3.2766081771559676</v>
      </c>
      <c r="BO34">
        <f t="shared" si="6"/>
        <v>2.8678821817552298</v>
      </c>
      <c r="BP34">
        <f t="shared" si="7"/>
        <v>-4.0957602214449595</v>
      </c>
    </row>
    <row r="35" spans="1:68" ht="15.9" x14ac:dyDescent="0.45">
      <c r="A35" s="109" t="s">
        <v>34</v>
      </c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BH35">
        <f>2*PI()*30/72</f>
        <v>2.617993877991494</v>
      </c>
      <c r="BI35">
        <f t="shared" si="0"/>
        <v>1.0000000000000007</v>
      </c>
      <c r="BJ35">
        <f t="shared" si="1"/>
        <v>-1.732050807568877</v>
      </c>
      <c r="BK35">
        <f t="shared" si="2"/>
        <v>1.5000000000000009</v>
      </c>
      <c r="BL35">
        <f t="shared" si="3"/>
        <v>-2.5980762113533156</v>
      </c>
      <c r="BM35">
        <f t="shared" si="4"/>
        <v>2.0000000000000013</v>
      </c>
      <c r="BN35">
        <f t="shared" si="5"/>
        <v>-3.4641016151377539</v>
      </c>
      <c r="BO35">
        <f t="shared" si="6"/>
        <v>2.5000000000000018</v>
      </c>
      <c r="BP35">
        <f t="shared" si="7"/>
        <v>-4.3301270189221928</v>
      </c>
    </row>
    <row r="36" spans="1:68" ht="59.05" customHeight="1" x14ac:dyDescent="0.4">
      <c r="A36" s="111" t="s">
        <v>35</v>
      </c>
      <c r="B36" s="98"/>
      <c r="C36" s="98"/>
      <c r="D36" s="97" t="str">
        <f>IF(T36="","Nessun commento registrato per il ciclo corrente.",TRIM(SUBSTITUTE(SUBSTITUTE(IF(T37&gt;0,LEFT(T36,T37-1),T36),"MESSAGGIO:",""),"Messaggio:","")))</f>
        <v>nel terzo trimestre 2026 il profilo complessivo resta stabile. Due rischi migliorano per effetto di controlli testati: la exit strategy dal fornitore cloud critico e' ora testata su tutti i servizi (NFR-02) e il DLP copre tutti i servizi di AI generativa (NFR-06). Peggiora la prossimita' del rischio di greenwashing (NFR-03) dopo la sanzione a una banca comparabile. Gli altri nove rischi sono confermati con le fonti del ciclo precedente, integrate dai dati del trimestre.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T36" t="str">
        <f>IFERROR(INDEX(SI_Sintesi_A1,MATCH(cicloCorrente,SI_Ciclo,0))&amp;"","")</f>
        <v>MESSAGGIO: nel terzo trimestre 2026 il profilo complessivo resta stabile. Due rischi migliorano per effetto di controlli testati: la exit strategy dal fornitore cloud critico e' ora testata su tutti i servizi (NFR-02) e il DLP copre tutti i servizi di AI generativa (NFR-06). Peggiora la prossimita' del rischio di greenwashing (NFR-03) dopo la sanzione a una banca comparabile. Gli altri nove rischi sono confermati con le fonti del ciclo precedente, integrate dai dati del trimestre. DECISIONI: prendere atto della chiusura dei gap su NFR-02 e NFR-06 e chiedere alla Funzione Compliance la revisione dei claim ESG (NFR-03).</v>
      </c>
      <c r="BH36">
        <f>2*PI()*31/72</f>
        <v>2.7052603405912108</v>
      </c>
      <c r="BI36">
        <f t="shared" si="0"/>
        <v>0.84523652348139899</v>
      </c>
      <c r="BJ36">
        <f t="shared" si="1"/>
        <v>-1.8126155740732999</v>
      </c>
      <c r="BK36">
        <f t="shared" si="2"/>
        <v>1.2678547852220985</v>
      </c>
      <c r="BL36">
        <f t="shared" si="3"/>
        <v>-2.7189233611099497</v>
      </c>
      <c r="BM36">
        <f t="shared" si="4"/>
        <v>1.690473046962798</v>
      </c>
      <c r="BN36">
        <f t="shared" si="5"/>
        <v>-3.6252311481465997</v>
      </c>
      <c r="BO36">
        <f t="shared" si="6"/>
        <v>2.1130913087034973</v>
      </c>
      <c r="BP36">
        <f t="shared" si="7"/>
        <v>-4.5315389351832494</v>
      </c>
    </row>
    <row r="37" spans="1:68" ht="18.55" customHeight="1" x14ac:dyDescent="0.4">
      <c r="A37" s="111" t="s">
        <v>36</v>
      </c>
      <c r="B37" s="98"/>
      <c r="C37" s="98"/>
      <c r="D37" s="97" t="str">
        <f>IF(T37&gt;0,TRIM(MID(T36,T37+10,4000)),"—")</f>
        <v>prendere atto della chiusura dei gap su NFR-02 e NFR-06 e chiedere alla Funzione Compliance la revisione dei claim ESG (NFR-03).</v>
      </c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T37">
        <f>IFERROR(SEARCH("DECISIONI:",T36),0)</f>
        <v>487</v>
      </c>
      <c r="BH37">
        <f>2*PI()*32/72</f>
        <v>2.7925268031909272</v>
      </c>
      <c r="BI37">
        <f t="shared" ref="BI37:BI68" si="8">2*SIN($BH37)</f>
        <v>0.68404028665133776</v>
      </c>
      <c r="BJ37">
        <f t="shared" ref="BJ37:BJ68" si="9">2*COS($BH37)</f>
        <v>-1.8793852415718166</v>
      </c>
      <c r="BK37">
        <f t="shared" ref="BK37:BK68" si="10">3*SIN($BH37)</f>
        <v>1.0260604299770066</v>
      </c>
      <c r="BL37">
        <f t="shared" ref="BL37:BL68" si="11">3*COS($BH37)</f>
        <v>-2.8190778623577248</v>
      </c>
      <c r="BM37">
        <f t="shared" ref="BM37:BM68" si="12">4*SIN($BH37)</f>
        <v>1.3680805733026755</v>
      </c>
      <c r="BN37">
        <f t="shared" ref="BN37:BN68" si="13">4*COS($BH37)</f>
        <v>-3.7587704831436333</v>
      </c>
      <c r="BO37">
        <f t="shared" ref="BO37:BO68" si="14">5*SIN($BH37)</f>
        <v>1.7101007166283444</v>
      </c>
      <c r="BP37">
        <f t="shared" ref="BP37:BP68" si="15">5*COS($BH37)</f>
        <v>-4.6984631039295417</v>
      </c>
    </row>
    <row r="38" spans="1:68" ht="32.049999999999997" customHeight="1" x14ac:dyDescent="0.4">
      <c r="A38" s="111" t="s">
        <v>37</v>
      </c>
      <c r="B38" s="98"/>
      <c r="C38" s="98"/>
      <c r="D38" s="97" t="str">
        <f>IFERROR(INDEX(SI_Sintesi_A5,MATCH(cicloCorrente,SI_Ciclo,0))&amp;"","")&amp;IFERROR(" Osservazioni non bloccanti: "&amp;INDEX(SI_Osservazioni_Controlli,MATCH(cicloCorrente,SI_Ciclo,0))&amp;".","")</f>
        <v>Valutazione sostenuta dalle fonti citate. Le due riduzioni di Gap_Controlli poggiano su test documentati; l'aumento di prossimita' di NFR-03 su un caso nel settore. Un'osservazione di giudizio su NFR-06. Osservazioni non bloccanti: 1.</v>
      </c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BH38">
        <f>2*PI()*33/72</f>
        <v>2.879793265790644</v>
      </c>
      <c r="BI38">
        <f t="shared" si="8"/>
        <v>0.51763809020504115</v>
      </c>
      <c r="BJ38">
        <f t="shared" si="9"/>
        <v>-1.9318516525781366</v>
      </c>
      <c r="BK38">
        <f t="shared" si="10"/>
        <v>0.77645713530756177</v>
      </c>
      <c r="BL38">
        <f t="shared" si="11"/>
        <v>-2.897777478867205</v>
      </c>
      <c r="BM38">
        <f t="shared" si="12"/>
        <v>1.0352761804100823</v>
      </c>
      <c r="BN38">
        <f t="shared" si="13"/>
        <v>-3.8637033051562732</v>
      </c>
      <c r="BO38">
        <f t="shared" si="14"/>
        <v>1.2940952255126028</v>
      </c>
      <c r="BP38">
        <f t="shared" si="15"/>
        <v>-4.8296291314453415</v>
      </c>
    </row>
    <row r="39" spans="1:68" ht="18.55" customHeight="1" x14ac:dyDescent="0.4">
      <c r="A39" s="111" t="s">
        <v>38</v>
      </c>
      <c r="B39" s="98"/>
      <c r="C39" s="98"/>
      <c r="D39" s="97" t="str">
        <f>IF((COUNTIFS(VAL_Periodo,cicloCorrente,VAL_Stato,"Applicata",VAL_Decisione,"Rettificato")+COUNTIFS(VAL_Periodo,cicloCorrente,VAL_Stato,"Applicata",VAL_Decisione,"Respinto"))&gt;0,"Il validatore ha applicato "&amp;(COUNTIFS(VAL_Periodo,cicloCorrente,VAL_Stato,"Applicata",VAL_Decisione,"Rettificato")+COUNTIFS(VAL_Periodo,cicloCorrente,VAL_Stato,"Applicata",VAL_Decisione,"Respinto"))&amp;" rettifiche o respingimenti: numeri e grafici del report sono quelli validati e prevalgono sul commento.","")</f>
        <v>Il validatore ha applicato 3 rettifiche o respingimenti: numeri e grafici del report sono quelli validati e prevalgono sul commento.</v>
      </c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BH39">
        <f>2*PI()*34/72</f>
        <v>2.9670597283903604</v>
      </c>
      <c r="BI39">
        <f t="shared" si="8"/>
        <v>0.34729635533386055</v>
      </c>
      <c r="BJ39">
        <f t="shared" si="9"/>
        <v>-1.969615506024416</v>
      </c>
      <c r="BK39">
        <f t="shared" si="10"/>
        <v>0.5209445330007908</v>
      </c>
      <c r="BL39">
        <f t="shared" si="11"/>
        <v>-2.9544232590366239</v>
      </c>
      <c r="BM39">
        <f t="shared" si="12"/>
        <v>0.6945927106677211</v>
      </c>
      <c r="BN39">
        <f t="shared" si="13"/>
        <v>-3.9392310120488321</v>
      </c>
      <c r="BO39">
        <f t="shared" si="14"/>
        <v>0.86824088833465141</v>
      </c>
      <c r="BP39">
        <f t="shared" si="15"/>
        <v>-4.9240387650610398</v>
      </c>
    </row>
    <row r="40" spans="1:68" x14ac:dyDescent="0.4">
      <c r="BH40">
        <f>2*PI()*35/72</f>
        <v>3.0543261909900767</v>
      </c>
      <c r="BI40">
        <f t="shared" si="8"/>
        <v>0.17431148549531639</v>
      </c>
      <c r="BJ40">
        <f t="shared" si="9"/>
        <v>-1.9923893961834911</v>
      </c>
      <c r="BK40">
        <f t="shared" si="10"/>
        <v>0.26146722824297458</v>
      </c>
      <c r="BL40">
        <f t="shared" si="11"/>
        <v>-2.9885840942752369</v>
      </c>
      <c r="BM40">
        <f t="shared" si="12"/>
        <v>0.34862297099063277</v>
      </c>
      <c r="BN40">
        <f t="shared" si="13"/>
        <v>-3.9847787923669822</v>
      </c>
      <c r="BO40">
        <f t="shared" si="14"/>
        <v>0.43577871373829097</v>
      </c>
      <c r="BP40">
        <f t="shared" si="15"/>
        <v>-4.9809734904587275</v>
      </c>
    </row>
    <row r="41" spans="1:68" ht="15.9" x14ac:dyDescent="0.45">
      <c r="A41" s="109" t="s">
        <v>39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BH41">
        <f>2*PI()*36/72</f>
        <v>3.1415926535897931</v>
      </c>
      <c r="BI41">
        <f t="shared" si="8"/>
        <v>2.45029690981724E-16</v>
      </c>
      <c r="BJ41">
        <f t="shared" si="9"/>
        <v>-2</v>
      </c>
      <c r="BK41">
        <f t="shared" si="10"/>
        <v>3.67544536472586E-16</v>
      </c>
      <c r="BL41">
        <f t="shared" si="11"/>
        <v>-3</v>
      </c>
      <c r="BM41">
        <f t="shared" si="12"/>
        <v>4.90059381963448E-16</v>
      </c>
      <c r="BN41">
        <f t="shared" si="13"/>
        <v>-4</v>
      </c>
      <c r="BO41">
        <f t="shared" si="14"/>
        <v>6.1257422745431001E-16</v>
      </c>
      <c r="BP41">
        <f t="shared" si="15"/>
        <v>-5</v>
      </c>
    </row>
    <row r="42" spans="1:68" x14ac:dyDescent="0.4">
      <c r="A42" s="22" t="s">
        <v>40</v>
      </c>
      <c r="BH42">
        <f>2*PI()*37/72</f>
        <v>3.2288591161895095</v>
      </c>
      <c r="BI42">
        <f t="shared" si="8"/>
        <v>-0.17431148549531589</v>
      </c>
      <c r="BJ42">
        <f t="shared" si="9"/>
        <v>-1.9923893961834911</v>
      </c>
      <c r="BK42">
        <f t="shared" si="10"/>
        <v>-0.26146722824297386</v>
      </c>
      <c r="BL42">
        <f t="shared" si="11"/>
        <v>-2.9885840942752369</v>
      </c>
      <c r="BM42">
        <f t="shared" si="12"/>
        <v>-0.34862297099063178</v>
      </c>
      <c r="BN42">
        <f t="shared" si="13"/>
        <v>-3.9847787923669822</v>
      </c>
      <c r="BO42">
        <f t="shared" si="14"/>
        <v>-0.43577871373828969</v>
      </c>
      <c r="BP42">
        <f t="shared" si="15"/>
        <v>-4.9809734904587275</v>
      </c>
    </row>
    <row r="43" spans="1:68" x14ac:dyDescent="0.4">
      <c r="A43" s="101" t="s">
        <v>18</v>
      </c>
      <c r="B43" s="102"/>
      <c r="C43" s="102"/>
      <c r="D43" s="24" t="s">
        <v>21</v>
      </c>
      <c r="E43" s="101" t="s">
        <v>41</v>
      </c>
      <c r="F43" s="102"/>
      <c r="G43" s="102"/>
      <c r="H43" s="102"/>
      <c r="I43" s="101" t="s">
        <v>42</v>
      </c>
      <c r="J43" s="102"/>
      <c r="K43" s="102"/>
      <c r="L43" s="102"/>
      <c r="M43" s="102"/>
      <c r="N43" s="102"/>
      <c r="O43" s="102"/>
      <c r="BH43">
        <f>2*PI()*38/72</f>
        <v>3.3161255787892259</v>
      </c>
      <c r="BI43">
        <f t="shared" si="8"/>
        <v>-0.34729635533386005</v>
      </c>
      <c r="BJ43">
        <f t="shared" si="9"/>
        <v>-1.9696155060244163</v>
      </c>
      <c r="BK43">
        <f t="shared" si="10"/>
        <v>-0.52094453300079002</v>
      </c>
      <c r="BL43">
        <f t="shared" si="11"/>
        <v>-2.9544232590366244</v>
      </c>
      <c r="BM43">
        <f t="shared" si="12"/>
        <v>-0.6945927106677201</v>
      </c>
      <c r="BN43">
        <f t="shared" si="13"/>
        <v>-3.9392310120488325</v>
      </c>
      <c r="BO43">
        <f t="shared" si="14"/>
        <v>-0.86824088833465018</v>
      </c>
      <c r="BP43">
        <f t="shared" si="15"/>
        <v>-4.9240387650610407</v>
      </c>
    </row>
    <row r="44" spans="1:68" ht="65.8" customHeight="1" x14ac:dyDescent="0.4">
      <c r="A44" s="103" t="str">
        <f>IF($V44="","",INDEX(Classifica!$B$5:$B$19,$V44)&amp;CHAR(10)&amp;INDEX(Classifica!$C$5:$C$19,$V44)&amp;IF(INDEX(ANA_Attenzione_Supervisore,INDEX(Classifica!$U$5:$U$19,$V44))="Sì",CHAR(10)&amp;"◆ attenzione del supervisore",""))</f>
        <v>NFR-01
Frodi su pagamenti istantanei abilitate da AI generativa
◆ attenzione del supervisore</v>
      </c>
      <c r="B44" s="98"/>
      <c r="C44" s="98"/>
      <c r="D44" s="25" t="str">
        <f>IF($V44="","",IF(LEFT(INDEX(Classifica!$H$5:$H$19,$V44),9)="AGIRE ORA","AGIRE ORA",IF(LEFT(INDEX(Classifica!$H$5:$H$19,$V44),11)="Agire entro","Entro l'anno",INDEX(Classifica!$H$5:$H$19,$V44))))</f>
        <v>AGIRE ORA</v>
      </c>
      <c r="E44" s="100" t="str">
        <f t="shared" ref="E44:E58" si="16">IF($W44="","",LEFT($W44,LEN($W44)-2)&amp;".")</f>
        <v>1° per score composito (3,80); AGIRE ORA: servono X + Y = 0,75 anni per decidere e mitigare; ne restano Z = 0,5 prima che possa manifestarsi; tema all'attenzione del supervisore; notizie in peggioramento (+3 segnali netti in 4 settimane).</v>
      </c>
      <c r="F44" s="98"/>
      <c r="G44" s="98"/>
      <c r="H44" s="98"/>
      <c r="I44" s="100" t="str">
        <f>IF($V44="","",IF(INDEX(Classifica!$G$5:$G$19,$V44)="Nuovo","Rischio nuovo nel ciclo.",IFERROR(IF(INDEX(RR_Variazioni,MATCH(cicloCorrente&amp;"|"&amp;INDEX(Classifica!$B$5:$B$19,$V44),RR_Chiave,0))&amp;""="[]","Nessun valore cambiato: confermato sulle fonti del ciclo precedente.",SUBSTITUTE(SUBSTITUTE(SUBSTITUTE(SUBSTITUTE(SUBSTITUTE(SUBSTITUTE(SUBSTITUTE(SUBSTITUTE(SUBSTITUTE(SUBSTITUTE(SUBSTITUTE(SUBSTITUTE(SUBSTITUTE(INDEX(RR_Variazioni,MATCH(cicloCorrente&amp;"|"&amp;INDEX(Classifica!$B$5:$B$19,$V44)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Probabilita")),"")))</f>
        <v>Nessun valore cambiato: confermato sulle fonti del ciclo precedente.</v>
      </c>
      <c r="J44" s="98"/>
      <c r="K44" s="98"/>
      <c r="L44" s="98"/>
      <c r="M44" s="98"/>
      <c r="N44" s="98"/>
      <c r="O44" s="98"/>
      <c r="U44">
        <f>IF(Classifica!$B$5="","",IF(OR(1&lt;=3,LEFT(Classifica!$H$5,9)="AGIRE ORA",Classifica!$G$5="Variato",Classifica!$G$5="Nuovo"),1,""))</f>
        <v>1</v>
      </c>
      <c r="V44">
        <f>IFERROR(_xlfn.AGGREGATE(15,6,$U$44:$U$58,1),"")</f>
        <v>1</v>
      </c>
      <c r="W44" t="str">
        <f>IF($V44="","",IF($V44&lt;=3,$V44&amp;"° per score composito ("&amp;FIXED(INDEX(Classifica!$D$5:$D$19,$V44),2)&amp;IF(ISNUMBER(INDEX(Classifica!$F$5:$F$19,$V44)),IF(INDEX(Classifica!$F$5:$F$19,$V44)&lt;&gt;0,", "&amp;IF(INDEX(Classifica!$F$5:$F$19,$V44)&gt;0,"+","")&amp;FIXED(INDEX(Classifica!$F$5:$F$19,$V44),2)&amp;" sul ciclo prima",""),"")&amp;"); ","")&amp;IF(LEFT(INDEX(Classifica!$H$5:$H$19,$V44),9)="AGIRE ORA","AGIRE ORA: servono X + Y = "&amp;FIXED(INDEX(Classifica!$Y$5:$Y$19,$V44)+INDEX(Classifica!$Z$5:$Z$19,$V44),2)&amp;" anni per decidere e mitigare"&amp;IF(N(INDEX(ANA_Anni_Adeguamento,INDEX(Classifica!$U$5:$U$19,$V44)))&gt;0,", di cui "&amp;N(INDEX(ANA_Anni_Adeguamento,INDEX(Classifica!$U$5:$U$19,$V44)))&amp;" di adeguamento strutturale","")&amp;"; ne restano Z = "&amp;FIXED(INDEX(Classifica!$AA$5:$AA$19,$V44),1)&amp;" prima che possa manifestarsi; ",IF(AND($V44&lt;=3,LEFT(INDEX(Classifica!$H$5:$H$19,$V44),11)="Agire entro"),"margine di Mosca sotto l'anno ("&amp;FIXED(INDEX(Classifica!$I$5:$I$19,$V44),2)&amp;"); ",""))&amp;IF(INDEX(Classifica!$G$5:$G$19,$V44)="Variato","variato nel ciclo"&amp;IF(ISNUMBER(INDEX(Classifica!$F$5:$F$19,$V44)),IF(INDEX(Classifica!$F$5:$F$19,$V44)&gt;0,": peggiora",IF(INDEX(Classifica!$F$5:$F$19,$V44)&lt;0,": migliora","")),"")&amp;"; ",IF(INDEX(Classifica!$G$5:$G$19,$V44)="Nuovo","nuovo nel ciclo; ",""))&amp;IF(INDEX(ANA_Attenzione_Supervisore,INDEX(Classifica!$U$5:$U$19,$V44))="Sì","tema all'attenzione del supervisore; ","")&amp;IF(COUNTIFS(KRI_ID_Rischio,INDEX(Classifica!$B$5:$B$19,$V44),KRI_Ciclo,cicloCorrente,KRI_In_Vigore,"Sì",KRI_Stato,"Rosso")&gt;0,COUNTIFS(KRI_ID_Rischio,INDEX(Classifica!$B$5:$B$19,$V44),KRI_Ciclo,cicloCorrente,KRI_In_Vigore,"Sì",KRI_Stato,"Rosso")&amp;" KRI in rosso; ","")&amp;IF(INDEX(posNetti,INDEX(Classifica!$U$5:$U$19,$V44))&gt;=sogliaDirezione,"notizie in peggioramento (+"&amp;INDEX(posNetti,INDEX(Classifica!$U$5:$U$19,$V44))&amp;" segnali netti in 4 settimane); ",IF(INDEX(posNetti,INDEX(Classifica!$U$5:$U$19,$V44))&lt;=-sogliaDirezione,"notizie in miglioramento ("&amp;INDEX(posNetti,INDEX(Classifica!$U$5:$U$19,$V44))&amp;" segnali netti in 4 settimane); ","")))</f>
        <v xml:space="preserve">1° per score composito (3,80); AGIRE ORA: servono X + Y = 0,75 anni per decidere e mitigare; ne restano Z = 0,5 prima che possa manifestarsi; tema all'attenzione del supervisore; notizie in peggioramento (+3 segnali netti in 4 settimane); </v>
      </c>
      <c r="BH44">
        <f>2*PI()*39/72</f>
        <v>3.4033920413889422</v>
      </c>
      <c r="BI44">
        <f t="shared" si="8"/>
        <v>-0.5176380902050407</v>
      </c>
      <c r="BJ44">
        <f t="shared" si="9"/>
        <v>-1.9318516525781368</v>
      </c>
      <c r="BK44">
        <f t="shared" si="10"/>
        <v>-0.77645713530756111</v>
      </c>
      <c r="BL44">
        <f t="shared" si="11"/>
        <v>-2.897777478867205</v>
      </c>
      <c r="BM44">
        <f t="shared" si="12"/>
        <v>-1.0352761804100814</v>
      </c>
      <c r="BN44">
        <f t="shared" si="13"/>
        <v>-3.8637033051562737</v>
      </c>
      <c r="BO44">
        <f t="shared" si="14"/>
        <v>-1.2940952255126017</v>
      </c>
      <c r="BP44">
        <f t="shared" si="15"/>
        <v>-4.8296291314453423</v>
      </c>
    </row>
    <row r="45" spans="1:68" ht="53.6" customHeight="1" x14ac:dyDescent="0.4">
      <c r="A45" s="103" t="str">
        <f>IF($V45="","",INDEX(Classifica!$B$5:$B$19,$V45)&amp;CHAR(10)&amp;INDEX(Classifica!$C$5:$C$19,$V45)&amp;IF(INDEX(ANA_Attenzione_Supervisore,INDEX(Classifica!$U$5:$U$19,$V45))="Sì",CHAR(10)&amp;"◆ attenzione del supervisore",""))</f>
        <v>NFR-07
Ransomware presso un fornitore di servizi di pagamento
◆ attenzione del supervisore</v>
      </c>
      <c r="B45" s="98"/>
      <c r="C45" s="98"/>
      <c r="D45" s="25" t="str">
        <f>IF($V45="","",IF(LEFT(INDEX(Classifica!$H$5:$H$19,$V45),9)="AGIRE ORA","AGIRE ORA",IF(LEFT(INDEX(Classifica!$H$5:$H$19,$V45),11)="Agire entro","Entro l'anno",INDEX(Classifica!$H$5:$H$19,$V45))))</f>
        <v>Entro l'anno</v>
      </c>
      <c r="E45" s="100" t="str">
        <f t="shared" si="16"/>
        <v>2° per score composito (3,60); margine di Mosca sotto l'anno (0,75); tema all'attenzione del supervisore.</v>
      </c>
      <c r="F45" s="98"/>
      <c r="G45" s="98"/>
      <c r="H45" s="98"/>
      <c r="I45" s="100" t="str">
        <f>IF($V45="","",IF(INDEX(Classifica!$G$5:$G$19,$V45)="Nuovo","Rischio nuovo nel ciclo.",IFERROR(IF(INDEX(RR_Variazioni,MATCH(cicloCorrente&amp;"|"&amp;INDEX(Classifica!$B$5:$B$19,$V45),RR_Chiave,0))&amp;""="[]","Nessun valore cambiato: confermato sulle fonti del ciclo precedente.",SUBSTITUTE(SUBSTITUTE(SUBSTITUTE(SUBSTITUTE(SUBSTITUTE(SUBSTITUTE(SUBSTITUTE(SUBSTITUTE(SUBSTITUTE(SUBSTITUTE(SUBSTITUTE(SUBSTITUTE(SUBSTITUTE(INDEX(RR_Variazioni,MATCH(cicloCorrente&amp;"|"&amp;INDEX(Classifica!$B$5:$B$19,$V45)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Probabilita")),"")))</f>
        <v>Nessun valore cambiato: confermato sulle fonti del ciclo precedente.</v>
      </c>
      <c r="J45" s="98"/>
      <c r="K45" s="98"/>
      <c r="L45" s="98"/>
      <c r="M45" s="98"/>
      <c r="N45" s="98"/>
      <c r="O45" s="98"/>
      <c r="U45">
        <f>IF(Classifica!$B$6="","",IF(OR(2&lt;=3,LEFT(Classifica!$H$6,9)="AGIRE ORA",Classifica!$G$6="Variato",Classifica!$G$6="Nuovo"),2,""))</f>
        <v>2</v>
      </c>
      <c r="V45">
        <f>IFERROR(_xlfn.AGGREGATE(15,6,$U$44:$U$58,2),"")</f>
        <v>2</v>
      </c>
      <c r="W45" t="str">
        <f>IF($V45="","",IF($V45&lt;=3,$V45&amp;"° per score composito ("&amp;FIXED(INDEX(Classifica!$D$5:$D$19,$V45),2)&amp;IF(ISNUMBER(INDEX(Classifica!$F$5:$F$19,$V45)),IF(INDEX(Classifica!$F$5:$F$19,$V45)&lt;&gt;0,", "&amp;IF(INDEX(Classifica!$F$5:$F$19,$V45)&gt;0,"+","")&amp;FIXED(INDEX(Classifica!$F$5:$F$19,$V45),2)&amp;" sul ciclo prima",""),"")&amp;"); ","")&amp;IF(LEFT(INDEX(Classifica!$H$5:$H$19,$V45),9)="AGIRE ORA","AGIRE ORA: servono X + Y = "&amp;FIXED(INDEX(Classifica!$Y$5:$Y$19,$V45)+INDEX(Classifica!$Z$5:$Z$19,$V45),2)&amp;" anni per decidere e mitigare"&amp;IF(N(INDEX(ANA_Anni_Adeguamento,INDEX(Classifica!$U$5:$U$19,$V45)))&gt;0,", di cui "&amp;N(INDEX(ANA_Anni_Adeguamento,INDEX(Classifica!$U$5:$U$19,$V45)))&amp;" di adeguamento strutturale","")&amp;"; ne restano Z = "&amp;FIXED(INDEX(Classifica!$AA$5:$AA$19,$V45),1)&amp;" prima che possa manifestarsi; ",IF(AND($V45&lt;=3,LEFT(INDEX(Classifica!$H$5:$H$19,$V45),11)="Agire entro"),"margine di Mosca sotto l'anno ("&amp;FIXED(INDEX(Classifica!$I$5:$I$19,$V45),2)&amp;"); ",""))&amp;IF(INDEX(Classifica!$G$5:$G$19,$V45)="Variato","variato nel ciclo"&amp;IF(ISNUMBER(INDEX(Classifica!$F$5:$F$19,$V45)),IF(INDEX(Classifica!$F$5:$F$19,$V45)&gt;0,": peggiora",IF(INDEX(Classifica!$F$5:$F$19,$V45)&lt;0,": migliora","")),"")&amp;"; ",IF(INDEX(Classifica!$G$5:$G$19,$V45)="Nuovo","nuovo nel ciclo; ",""))&amp;IF(INDEX(ANA_Attenzione_Supervisore,INDEX(Classifica!$U$5:$U$19,$V45))="Sì","tema all'attenzione del supervisore; ","")&amp;IF(COUNTIFS(KRI_ID_Rischio,INDEX(Classifica!$B$5:$B$19,$V45),KRI_Ciclo,cicloCorrente,KRI_In_Vigore,"Sì",KRI_Stato,"Rosso")&gt;0,COUNTIFS(KRI_ID_Rischio,INDEX(Classifica!$B$5:$B$19,$V45),KRI_Ciclo,cicloCorrente,KRI_In_Vigore,"Sì",KRI_Stato,"Rosso")&amp;" KRI in rosso; ","")&amp;IF(INDEX(posNetti,INDEX(Classifica!$U$5:$U$19,$V45))&gt;=sogliaDirezione,"notizie in peggioramento (+"&amp;INDEX(posNetti,INDEX(Classifica!$U$5:$U$19,$V45))&amp;" segnali netti in 4 settimane); ",IF(INDEX(posNetti,INDEX(Classifica!$U$5:$U$19,$V45))&lt;=-sogliaDirezione,"notizie in miglioramento ("&amp;INDEX(posNetti,INDEX(Classifica!$U$5:$U$19,$V45))&amp;" segnali netti in 4 settimane); ","")))</f>
        <v xml:space="preserve">2° per score composito (3,60); margine di Mosca sotto l'anno (0,75); tema all'attenzione del supervisore; </v>
      </c>
      <c r="BH45">
        <f>2*PI()*40/72</f>
        <v>3.4906585039886591</v>
      </c>
      <c r="BI45">
        <f t="shared" si="8"/>
        <v>-0.68404028665133731</v>
      </c>
      <c r="BJ45">
        <f t="shared" si="9"/>
        <v>-1.8793852415718169</v>
      </c>
      <c r="BK45">
        <f t="shared" si="10"/>
        <v>-1.026060429977006</v>
      </c>
      <c r="BL45">
        <f t="shared" si="11"/>
        <v>-2.8190778623577253</v>
      </c>
      <c r="BM45">
        <f t="shared" si="12"/>
        <v>-1.3680805733026746</v>
      </c>
      <c r="BN45">
        <f t="shared" si="13"/>
        <v>-3.7587704831436337</v>
      </c>
      <c r="BO45">
        <f t="shared" si="14"/>
        <v>-1.7101007166283433</v>
      </c>
      <c r="BP45">
        <f t="shared" si="15"/>
        <v>-4.6984631039295426</v>
      </c>
    </row>
    <row r="46" spans="1:68" ht="41.5" customHeight="1" x14ac:dyDescent="0.4">
      <c r="A46" s="103" t="str">
        <f>IF($V46="","",INDEX(Classifica!$B$5:$B$19,$V46)&amp;CHAR(10)&amp;INDEX(Classifica!$C$5:$C$19,$V46)&amp;IF(INDEX(ANA_Attenzione_Supervisore,INDEX(Classifica!$U$5:$U$19,$V46))="Sì",CHAR(10)&amp;"◆ attenzione del supervisore",""))</f>
        <v>NFR-12
Errori operativi nei pagamenti istantanei obbligatori</v>
      </c>
      <c r="B46" s="98"/>
      <c r="C46" s="98"/>
      <c r="D46" s="25" t="str">
        <f>IF($V46="","",IF(LEFT(INDEX(Classifica!$H$5:$H$19,$V46),9)="AGIRE ORA","AGIRE ORA",IF(LEFT(INDEX(Classifica!$H$5:$H$19,$V46),11)="Agire entro","Entro l'anno",INDEX(Classifica!$H$5:$H$19,$V46))))</f>
        <v>Entro l'anno</v>
      </c>
      <c r="E46" s="100" t="str">
        <f t="shared" si="16"/>
        <v>3° per score composito (3,50); margine di Mosca sotto l'anno (0,00).</v>
      </c>
      <c r="F46" s="98"/>
      <c r="G46" s="98"/>
      <c r="H46" s="98"/>
      <c r="I46" s="100" t="str">
        <f>IF($V46="","",IF(INDEX(Classifica!$G$5:$G$19,$V46)="Nuovo","Rischio nuovo nel ciclo.",IFERROR(IF(INDEX(RR_Variazioni,MATCH(cicloCorrente&amp;"|"&amp;INDEX(Classifica!$B$5:$B$19,$V46),RR_Chiave,0))&amp;""="[]","Nessun valore cambiato: confermato sulle fonti del ciclo precedente.",SUBSTITUTE(SUBSTITUTE(SUBSTITUTE(SUBSTITUTE(SUBSTITUTE(SUBSTITUTE(SUBSTITUTE(SUBSTITUTE(SUBSTITUTE(SUBSTITUTE(SUBSTITUTE(SUBSTITUTE(SUBSTITUTE(INDEX(RR_Variazioni,MATCH(cicloCorrente&amp;"|"&amp;INDEX(Classifica!$B$5:$B$19,$V46)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Probabilita")),"")))</f>
        <v>Nessun valore cambiato: confermato sulle fonti del ciclo precedente.</v>
      </c>
      <c r="J46" s="98"/>
      <c r="K46" s="98"/>
      <c r="L46" s="98"/>
      <c r="M46" s="98"/>
      <c r="N46" s="98"/>
      <c r="O46" s="98"/>
      <c r="U46">
        <f>IF(Classifica!$B$7="","",IF(OR(3&lt;=3,LEFT(Classifica!$H$7,9)="AGIRE ORA",Classifica!$G$7="Variato",Classifica!$G$7="Nuovo"),3,""))</f>
        <v>3</v>
      </c>
      <c r="V46">
        <f>IFERROR(_xlfn.AGGREGATE(15,6,$U$44:$U$58,3),"")</f>
        <v>3</v>
      </c>
      <c r="W46" t="str">
        <f>IF($V46="","",IF($V46&lt;=3,$V46&amp;"° per score composito ("&amp;FIXED(INDEX(Classifica!$D$5:$D$19,$V46),2)&amp;IF(ISNUMBER(INDEX(Classifica!$F$5:$F$19,$V46)),IF(INDEX(Classifica!$F$5:$F$19,$V46)&lt;&gt;0,", "&amp;IF(INDEX(Classifica!$F$5:$F$19,$V46)&gt;0,"+","")&amp;FIXED(INDEX(Classifica!$F$5:$F$19,$V46),2)&amp;" sul ciclo prima",""),"")&amp;"); ","")&amp;IF(LEFT(INDEX(Classifica!$H$5:$H$19,$V46),9)="AGIRE ORA","AGIRE ORA: servono X + Y = "&amp;FIXED(INDEX(Classifica!$Y$5:$Y$19,$V46)+INDEX(Classifica!$Z$5:$Z$19,$V46),2)&amp;" anni per decidere e mitigare"&amp;IF(N(INDEX(ANA_Anni_Adeguamento,INDEX(Classifica!$U$5:$U$19,$V46)))&gt;0,", di cui "&amp;N(INDEX(ANA_Anni_Adeguamento,INDEX(Classifica!$U$5:$U$19,$V46)))&amp;" di adeguamento strutturale","")&amp;"; ne restano Z = "&amp;FIXED(INDEX(Classifica!$AA$5:$AA$19,$V46),1)&amp;" prima che possa manifestarsi; ",IF(AND($V46&lt;=3,LEFT(INDEX(Classifica!$H$5:$H$19,$V46),11)="Agire entro"),"margine di Mosca sotto l'anno ("&amp;FIXED(INDEX(Classifica!$I$5:$I$19,$V46),2)&amp;"); ",""))&amp;IF(INDEX(Classifica!$G$5:$G$19,$V46)="Variato","variato nel ciclo"&amp;IF(ISNUMBER(INDEX(Classifica!$F$5:$F$19,$V46)),IF(INDEX(Classifica!$F$5:$F$19,$V46)&gt;0,": peggiora",IF(INDEX(Classifica!$F$5:$F$19,$V46)&lt;0,": migliora","")),"")&amp;"; ",IF(INDEX(Classifica!$G$5:$G$19,$V46)="Nuovo","nuovo nel ciclo; ",""))&amp;IF(INDEX(ANA_Attenzione_Supervisore,INDEX(Classifica!$U$5:$U$19,$V46))="Sì","tema all'attenzione del supervisore; ","")&amp;IF(COUNTIFS(KRI_ID_Rischio,INDEX(Classifica!$B$5:$B$19,$V46),KRI_Ciclo,cicloCorrente,KRI_In_Vigore,"Sì",KRI_Stato,"Rosso")&gt;0,COUNTIFS(KRI_ID_Rischio,INDEX(Classifica!$B$5:$B$19,$V46),KRI_Ciclo,cicloCorrente,KRI_In_Vigore,"Sì",KRI_Stato,"Rosso")&amp;" KRI in rosso; ","")&amp;IF(INDEX(posNetti,INDEX(Classifica!$U$5:$U$19,$V46))&gt;=sogliaDirezione,"notizie in peggioramento (+"&amp;INDEX(posNetti,INDEX(Classifica!$U$5:$U$19,$V46))&amp;" segnali netti in 4 settimane); ",IF(INDEX(posNetti,INDEX(Classifica!$U$5:$U$19,$V46))&lt;=-sogliaDirezione,"notizie in miglioramento ("&amp;INDEX(posNetti,INDEX(Classifica!$U$5:$U$19,$V46))&amp;" segnali netti in 4 settimane); ","")))</f>
        <v xml:space="preserve">3° per score composito (3,50); margine di Mosca sotto l'anno (0,00); </v>
      </c>
      <c r="BH46">
        <f>2*PI()*41/72</f>
        <v>3.577924966588375</v>
      </c>
      <c r="BI46">
        <f t="shared" si="8"/>
        <v>-0.84523652348139777</v>
      </c>
      <c r="BJ46">
        <f t="shared" si="9"/>
        <v>-1.8126155740733005</v>
      </c>
      <c r="BK46">
        <f t="shared" si="10"/>
        <v>-1.2678547852220967</v>
      </c>
      <c r="BL46">
        <f t="shared" si="11"/>
        <v>-2.718923361109951</v>
      </c>
      <c r="BM46">
        <f t="shared" si="12"/>
        <v>-1.6904730469627955</v>
      </c>
      <c r="BN46">
        <f t="shared" si="13"/>
        <v>-3.6252311481466011</v>
      </c>
      <c r="BO46">
        <f t="shared" si="14"/>
        <v>-2.1130913087034946</v>
      </c>
      <c r="BP46">
        <f t="shared" si="15"/>
        <v>-4.5315389351832511</v>
      </c>
    </row>
    <row r="47" spans="1:68" ht="65.8" customHeight="1" x14ac:dyDescent="0.4">
      <c r="A47" s="103" t="str">
        <f>IF($V47="","",INDEX(Classifica!$B$5:$B$19,$V47)&amp;CHAR(10)&amp;INDEX(Classifica!$C$5:$C$19,$V47)&amp;IF(INDEX(ANA_Attenzione_Supervisore,INDEX(Classifica!$U$5:$U$19,$V47))="Sì",CHAR(10)&amp;"◆ attenzione del supervisore",""))</f>
        <v>NFR-02
Concentrazione su un fornitore cloud critico
◆ attenzione del supervisore</v>
      </c>
      <c r="B47" s="98"/>
      <c r="C47" s="98"/>
      <c r="D47" s="25" t="str">
        <f>IF($V47="","",IF(LEFT(INDEX(Classifica!$H$5:$H$19,$V47),9)="AGIRE ORA","AGIRE ORA",IF(LEFT(INDEX(Classifica!$H$5:$H$19,$V47),11)="Agire entro","Entro l'anno",INDEX(Classifica!$H$5:$H$19,$V47))))</f>
        <v>Entro l'anno</v>
      </c>
      <c r="E47" s="100" t="str">
        <f t="shared" si="16"/>
        <v>variato nel ciclo: migliora; tema all'attenzione del supervisore.</v>
      </c>
      <c r="F47" s="98"/>
      <c r="G47" s="98"/>
      <c r="H47" s="98"/>
      <c r="I47" s="100" t="str">
        <f>IF($V47="","",IF(INDEX(Classifica!$G$5:$G$19,$V47)="Nuovo","Rischio nuovo nel ciclo.",IFERROR(IF(INDEX(RR_Variazioni,MATCH(cicloCorrente&amp;"|"&amp;INDEX(Classifica!$B$5:$B$19,$V47),RR_Chiave,0))&amp;""="[]","Nessun valore cambiato: confermato sulle fonti del ciclo precedente.",SUBSTITUTE(SUBSTITUTE(SUBSTITUTE(SUBSTITUTE(SUBSTITUTE(SUBSTITUTE(SUBSTITUTE(SUBSTITUTE(SUBSTITUTE(SUBSTITUTE(SUBSTITUTE(SUBSTITUTE(SUBSTITUTE(INDEX(RR_Variazioni,MATCH(cicloCorrente&amp;"|"&amp;INDEX(Classifica!$B$5:$B$19,$V47)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Probabilita")),"")))</f>
        <v>• Gap_Controlli 4 → 3: Il report del 28 agosto 2026 documenta il test completo della exit strategy sui due servizi critici residui, con esito positivo e rilievi minori. (2026-08-28)
• Confidence 3 → 4: Aggiunta una fonte interna recente e concordante (report del test di exit strategy) alle fonti del registro DORA. (2026-08-28)</v>
      </c>
      <c r="J47" s="98"/>
      <c r="K47" s="98"/>
      <c r="L47" s="98"/>
      <c r="M47" s="98"/>
      <c r="N47" s="98"/>
      <c r="O47" s="98"/>
      <c r="U47">
        <f>IF(Classifica!$B$8="","",IF(OR(4&lt;=3,LEFT(Classifica!$H$8,9)="AGIRE ORA",Classifica!$G$8="Variato",Classifica!$G$8="Nuovo"),4,""))</f>
        <v>4</v>
      </c>
      <c r="V47">
        <f>IFERROR(_xlfn.AGGREGATE(15,6,$U$44:$U$58,4),"")</f>
        <v>4</v>
      </c>
      <c r="W47" t="str">
        <f>IF($V47="","",IF($V47&lt;=3,$V47&amp;"° per score composito ("&amp;FIXED(INDEX(Classifica!$D$5:$D$19,$V47),2)&amp;IF(ISNUMBER(INDEX(Classifica!$F$5:$F$19,$V47)),IF(INDEX(Classifica!$F$5:$F$19,$V47)&lt;&gt;0,", "&amp;IF(INDEX(Classifica!$F$5:$F$19,$V47)&gt;0,"+","")&amp;FIXED(INDEX(Classifica!$F$5:$F$19,$V47),2)&amp;" sul ciclo prima",""),"")&amp;"); ","")&amp;IF(LEFT(INDEX(Classifica!$H$5:$H$19,$V47),9)="AGIRE ORA","AGIRE ORA: servono X + Y = "&amp;FIXED(INDEX(Classifica!$Y$5:$Y$19,$V47)+INDEX(Classifica!$Z$5:$Z$19,$V47),2)&amp;" anni per decidere e mitigare"&amp;IF(N(INDEX(ANA_Anni_Adeguamento,INDEX(Classifica!$U$5:$U$19,$V47)))&gt;0,", di cui "&amp;N(INDEX(ANA_Anni_Adeguamento,INDEX(Classifica!$U$5:$U$19,$V47)))&amp;" di adeguamento strutturale","")&amp;"; ne restano Z = "&amp;FIXED(INDEX(Classifica!$AA$5:$AA$19,$V47),1)&amp;" prima che possa manifestarsi; ",IF(AND($V47&lt;=3,LEFT(INDEX(Classifica!$H$5:$H$19,$V47),11)="Agire entro"),"margine di Mosca sotto l'anno ("&amp;FIXED(INDEX(Classifica!$I$5:$I$19,$V47),2)&amp;"); ",""))&amp;IF(INDEX(Classifica!$G$5:$G$19,$V47)="Variato","variato nel ciclo"&amp;IF(ISNUMBER(INDEX(Classifica!$F$5:$F$19,$V47)),IF(INDEX(Classifica!$F$5:$F$19,$V47)&gt;0,": peggiora",IF(INDEX(Classifica!$F$5:$F$19,$V47)&lt;0,": migliora","")),"")&amp;"; ",IF(INDEX(Classifica!$G$5:$G$19,$V47)="Nuovo","nuovo nel ciclo; ",""))&amp;IF(INDEX(ANA_Attenzione_Supervisore,INDEX(Classifica!$U$5:$U$19,$V47))="Sì","tema all'attenzione del supervisore; ","")&amp;IF(COUNTIFS(KRI_ID_Rischio,INDEX(Classifica!$B$5:$B$19,$V47),KRI_Ciclo,cicloCorrente,KRI_In_Vigore,"Sì",KRI_Stato,"Rosso")&gt;0,COUNTIFS(KRI_ID_Rischio,INDEX(Classifica!$B$5:$B$19,$V47),KRI_Ciclo,cicloCorrente,KRI_In_Vigore,"Sì",KRI_Stato,"Rosso")&amp;" KRI in rosso; ","")&amp;IF(INDEX(posNetti,INDEX(Classifica!$U$5:$U$19,$V47))&gt;=sogliaDirezione,"notizie in peggioramento (+"&amp;INDEX(posNetti,INDEX(Classifica!$U$5:$U$19,$V47))&amp;" segnali netti in 4 settimane); ",IF(INDEX(posNetti,INDEX(Classifica!$U$5:$U$19,$V47))&lt;=-sogliaDirezione,"notizie in miglioramento ("&amp;INDEX(posNetti,INDEX(Classifica!$U$5:$U$19,$V47))&amp;" segnali netti in 4 settimane); ","")))</f>
        <v xml:space="preserve">variato nel ciclo: migliora; tema all'attenzione del supervisore; </v>
      </c>
      <c r="BH47">
        <f>2*PI()*42/72</f>
        <v>3.6651914291880923</v>
      </c>
      <c r="BI47">
        <f t="shared" si="8"/>
        <v>-1.0000000000000002</v>
      </c>
      <c r="BJ47">
        <f t="shared" si="9"/>
        <v>-1.7320508075688772</v>
      </c>
      <c r="BK47">
        <f t="shared" si="10"/>
        <v>-1.5000000000000004</v>
      </c>
      <c r="BL47">
        <f t="shared" si="11"/>
        <v>-2.598076211353316</v>
      </c>
      <c r="BM47">
        <f t="shared" si="12"/>
        <v>-2.0000000000000004</v>
      </c>
      <c r="BN47">
        <f t="shared" si="13"/>
        <v>-3.4641016151377544</v>
      </c>
      <c r="BO47">
        <f t="shared" si="14"/>
        <v>-2.5000000000000004</v>
      </c>
      <c r="BP47">
        <f t="shared" si="15"/>
        <v>-4.3301270189221928</v>
      </c>
    </row>
    <row r="48" spans="1:68" ht="41.5" customHeight="1" x14ac:dyDescent="0.4">
      <c r="A48" s="103" t="str">
        <f>IF($V48="","",INDEX(Classifica!$B$5:$B$19,$V48)&amp;CHAR(10)&amp;INDEX(Classifica!$C$5:$C$19,$V48)&amp;IF(INDEX(ANA_Attenzione_Supervisore,INDEX(Classifica!$U$5:$U$19,$V48))="Sì",CHAR(10)&amp;"◆ attenzione del supervisore",""))</f>
        <v>NFR-11
Fine del supporto dei sistemi di pagamento legacy</v>
      </c>
      <c r="B48" s="98"/>
      <c r="C48" s="98"/>
      <c r="D48" s="25" t="str">
        <f>IF($V48="","",IF(LEFT(INDEX(Classifica!$H$5:$H$19,$V48),9)="AGIRE ORA","AGIRE ORA",IF(LEFT(INDEX(Classifica!$H$5:$H$19,$V48),11)="Agire entro","Entro l'anno",INDEX(Classifica!$H$5:$H$19,$V48))))</f>
        <v>AGIRE ORA</v>
      </c>
      <c r="E48" s="100" t="str">
        <f t="shared" si="16"/>
        <v>AGIRE ORA: servono X + Y = 3,25 anni per decidere e mitigare, di cui 3 di adeguamento strutturale; ne restano Z = 1,5 prima che possa manifestarsi.</v>
      </c>
      <c r="F48" s="98"/>
      <c r="G48" s="98"/>
      <c r="H48" s="98"/>
      <c r="I48" s="100" t="str">
        <f>IF($V48="","",IF(INDEX(Classifica!$G$5:$G$19,$V48)="Nuovo","Rischio nuovo nel ciclo.",IFERROR(IF(INDEX(RR_Variazioni,MATCH(cicloCorrente&amp;"|"&amp;INDEX(Classifica!$B$5:$B$19,$V48),RR_Chiave,0))&amp;""="[]","Nessun valore cambiato: confermato sulle fonti del ciclo precedente.",SUBSTITUTE(SUBSTITUTE(SUBSTITUTE(SUBSTITUTE(SUBSTITUTE(SUBSTITUTE(SUBSTITUTE(SUBSTITUTE(SUBSTITUTE(SUBSTITUTE(SUBSTITUTE(SUBSTITUTE(SUBSTITUTE(INDEX(RR_Variazioni,MATCH(cicloCorrente&amp;"|"&amp;INDEX(Classifica!$B$5:$B$19,$V48)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Probabilita")),"")))</f>
        <v>Nessun valore cambiato: confermato sulle fonti del ciclo precedente.</v>
      </c>
      <c r="J48" s="98"/>
      <c r="K48" s="98"/>
      <c r="L48" s="98"/>
      <c r="M48" s="98"/>
      <c r="N48" s="98"/>
      <c r="O48" s="98"/>
      <c r="U48" t="str">
        <f>IF(Classifica!$B$9="","",IF(OR(5&lt;=3,LEFT(Classifica!$H$9,9)="AGIRE ORA",Classifica!$G$9="Variato",Classifica!$G$9="Nuovo"),5,""))</f>
        <v/>
      </c>
      <c r="V48">
        <f>IFERROR(_xlfn.AGGREGATE(15,6,$U$44:$U$58,5),"")</f>
        <v>6</v>
      </c>
      <c r="W48" t="str">
        <f>IF($V48="","",IF($V48&lt;=3,$V48&amp;"° per score composito ("&amp;FIXED(INDEX(Classifica!$D$5:$D$19,$V48),2)&amp;IF(ISNUMBER(INDEX(Classifica!$F$5:$F$19,$V48)),IF(INDEX(Classifica!$F$5:$F$19,$V48)&lt;&gt;0,", "&amp;IF(INDEX(Classifica!$F$5:$F$19,$V48)&gt;0,"+","")&amp;FIXED(INDEX(Classifica!$F$5:$F$19,$V48),2)&amp;" sul ciclo prima",""),"")&amp;"); ","")&amp;IF(LEFT(INDEX(Classifica!$H$5:$H$19,$V48),9)="AGIRE ORA","AGIRE ORA: servono X + Y = "&amp;FIXED(INDEX(Classifica!$Y$5:$Y$19,$V48)+INDEX(Classifica!$Z$5:$Z$19,$V48),2)&amp;" anni per decidere e mitigare"&amp;IF(N(INDEX(ANA_Anni_Adeguamento,INDEX(Classifica!$U$5:$U$19,$V48)))&gt;0,", di cui "&amp;N(INDEX(ANA_Anni_Adeguamento,INDEX(Classifica!$U$5:$U$19,$V48)))&amp;" di adeguamento strutturale","")&amp;"; ne restano Z = "&amp;FIXED(INDEX(Classifica!$AA$5:$AA$19,$V48),1)&amp;" prima che possa manifestarsi; ",IF(AND($V48&lt;=3,LEFT(INDEX(Classifica!$H$5:$H$19,$V48),11)="Agire entro"),"margine di Mosca sotto l'anno ("&amp;FIXED(INDEX(Classifica!$I$5:$I$19,$V48),2)&amp;"); ",""))&amp;IF(INDEX(Classifica!$G$5:$G$19,$V48)="Variato","variato nel ciclo"&amp;IF(ISNUMBER(INDEX(Classifica!$F$5:$F$19,$V48)),IF(INDEX(Classifica!$F$5:$F$19,$V48)&gt;0,": peggiora",IF(INDEX(Classifica!$F$5:$F$19,$V48)&lt;0,": migliora","")),"")&amp;"; ",IF(INDEX(Classifica!$G$5:$G$19,$V48)="Nuovo","nuovo nel ciclo; ",""))&amp;IF(INDEX(ANA_Attenzione_Supervisore,INDEX(Classifica!$U$5:$U$19,$V48))="Sì","tema all'attenzione del supervisore; ","")&amp;IF(COUNTIFS(KRI_ID_Rischio,INDEX(Classifica!$B$5:$B$19,$V48),KRI_Ciclo,cicloCorrente,KRI_In_Vigore,"Sì",KRI_Stato,"Rosso")&gt;0,COUNTIFS(KRI_ID_Rischio,INDEX(Classifica!$B$5:$B$19,$V48),KRI_Ciclo,cicloCorrente,KRI_In_Vigore,"Sì",KRI_Stato,"Rosso")&amp;" KRI in rosso; ","")&amp;IF(INDEX(posNetti,INDEX(Classifica!$U$5:$U$19,$V48))&gt;=sogliaDirezione,"notizie in peggioramento (+"&amp;INDEX(posNetti,INDEX(Classifica!$U$5:$U$19,$V48))&amp;" segnali netti in 4 settimane); ",IF(INDEX(posNetti,INDEX(Classifica!$U$5:$U$19,$V48))&lt;=-sogliaDirezione,"notizie in miglioramento ("&amp;INDEX(posNetti,INDEX(Classifica!$U$5:$U$19,$V48))&amp;" segnali netti in 4 settimane); ","")))</f>
        <v xml:space="preserve">AGIRE ORA: servono X + Y = 3,25 anni per decidere e mitigare, di cui 3 di adeguamento strutturale; ne restano Z = 1,5 prima che possa manifestarsi; </v>
      </c>
      <c r="BH48">
        <f>2*PI()*43/72</f>
        <v>3.7524578917878082</v>
      </c>
      <c r="BI48">
        <f t="shared" si="8"/>
        <v>-1.1471528727020917</v>
      </c>
      <c r="BJ48">
        <f t="shared" si="9"/>
        <v>-1.638304088577984</v>
      </c>
      <c r="BK48">
        <f t="shared" si="10"/>
        <v>-1.7207293090531375</v>
      </c>
      <c r="BL48">
        <f t="shared" si="11"/>
        <v>-2.4574561328669762</v>
      </c>
      <c r="BM48">
        <f t="shared" si="12"/>
        <v>-2.2943057454041833</v>
      </c>
      <c r="BN48">
        <f t="shared" si="13"/>
        <v>-3.2766081771559681</v>
      </c>
      <c r="BO48">
        <f t="shared" si="14"/>
        <v>-2.8678821817552294</v>
      </c>
      <c r="BP48">
        <f t="shared" si="15"/>
        <v>-4.0957602214449604</v>
      </c>
    </row>
    <row r="49" spans="1:68" ht="41.5" customHeight="1" x14ac:dyDescent="0.4">
      <c r="A49" s="103" t="str">
        <f>IF($V49="","",INDEX(Classifica!$B$5:$B$19,$V49)&amp;CHAR(10)&amp;INDEX(Classifica!$C$5:$C$19,$V49)&amp;IF(INDEX(ANA_Attenzione_Supervisore,INDEX(Classifica!$U$5:$U$19,$V49))="Sì",CHAR(10)&amp;"◆ attenzione del supervisore",""))</f>
        <v>NFR-03
Greenwashing nella commercializzazione di prodotti ESG</v>
      </c>
      <c r="B49" s="98"/>
      <c r="C49" s="98"/>
      <c r="D49" s="25" t="str">
        <f>IF($V49="","",IF(LEFT(INDEX(Classifica!$H$5:$H$19,$V49),9)="AGIRE ORA","AGIRE ORA",IF(LEFT(INDEX(Classifica!$H$5:$H$19,$V49),11)="Agire entro","Entro l'anno",INDEX(Classifica!$H$5:$H$19,$V49))))</f>
        <v>Entro l'anno</v>
      </c>
      <c r="E49" s="100" t="str">
        <f t="shared" si="16"/>
        <v>variato nel ciclo: peggiora.</v>
      </c>
      <c r="F49" s="98"/>
      <c r="G49" s="98"/>
      <c r="H49" s="98"/>
      <c r="I49" s="100" t="str">
        <f>IF($V49="","",IF(INDEX(Classifica!$G$5:$G$19,$V49)="Nuovo","Rischio nuovo nel ciclo.",IFERROR(IF(INDEX(RR_Variazioni,MATCH(cicloCorrente&amp;"|"&amp;INDEX(Classifica!$B$5:$B$19,$V49),RR_Chiave,0))&amp;""="[]","Nessun valore cambiato: confermato sulle fonti del ciclo precedente.",SUBSTITUTE(SUBSTITUTE(SUBSTITUTE(SUBSTITUTE(SUBSTITUTE(SUBSTITUTE(SUBSTITUTE(SUBSTITUTE(SUBSTITUTE(SUBSTITUTE(SUBSTITUTE(SUBSTITUTE(SUBSTITUTE(INDEX(RR_Variazioni,MATCH(cicloCorrente&amp;"|"&amp;INDEX(Classifica!$B$5:$B$19,$V49)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Probabilita")),"")))</f>
        <v>• Prossimita 3 → 4: Il 22 luglio 2026 l'autorita' ha sanzionato una banca italiana comparabile per claim ambientali non sostanziati su fondi ESG distribuiti alla clientela retail. (2026-07-22)</v>
      </c>
      <c r="J49" s="98"/>
      <c r="K49" s="98"/>
      <c r="L49" s="98"/>
      <c r="M49" s="98"/>
      <c r="N49" s="98"/>
      <c r="O49" s="98"/>
      <c r="U49">
        <f>IF(Classifica!$B$10="","",IF(OR(6&lt;=3,LEFT(Classifica!$H$10,9)="AGIRE ORA",Classifica!$G$10="Variato",Classifica!$G$10="Nuovo"),6,""))</f>
        <v>6</v>
      </c>
      <c r="V49">
        <f>IFERROR(_xlfn.AGGREGATE(15,6,$U$44:$U$58,6),"")</f>
        <v>7</v>
      </c>
      <c r="W49" t="str">
        <f>IF($V49="","",IF($V49&lt;=3,$V49&amp;"° per score composito ("&amp;FIXED(INDEX(Classifica!$D$5:$D$19,$V49),2)&amp;IF(ISNUMBER(INDEX(Classifica!$F$5:$F$19,$V49)),IF(INDEX(Classifica!$F$5:$F$19,$V49)&lt;&gt;0,", "&amp;IF(INDEX(Classifica!$F$5:$F$19,$V49)&gt;0,"+","")&amp;FIXED(INDEX(Classifica!$F$5:$F$19,$V49),2)&amp;" sul ciclo prima",""),"")&amp;"); ","")&amp;IF(LEFT(INDEX(Classifica!$H$5:$H$19,$V49),9)="AGIRE ORA","AGIRE ORA: servono X + Y = "&amp;FIXED(INDEX(Classifica!$Y$5:$Y$19,$V49)+INDEX(Classifica!$Z$5:$Z$19,$V49),2)&amp;" anni per decidere e mitigare"&amp;IF(N(INDEX(ANA_Anni_Adeguamento,INDEX(Classifica!$U$5:$U$19,$V49)))&gt;0,", di cui "&amp;N(INDEX(ANA_Anni_Adeguamento,INDEX(Classifica!$U$5:$U$19,$V49)))&amp;" di adeguamento strutturale","")&amp;"; ne restano Z = "&amp;FIXED(INDEX(Classifica!$AA$5:$AA$19,$V49),1)&amp;" prima che possa manifestarsi; ",IF(AND($V49&lt;=3,LEFT(INDEX(Classifica!$H$5:$H$19,$V49),11)="Agire entro"),"margine di Mosca sotto l'anno ("&amp;FIXED(INDEX(Classifica!$I$5:$I$19,$V49),2)&amp;"); ",""))&amp;IF(INDEX(Classifica!$G$5:$G$19,$V49)="Variato","variato nel ciclo"&amp;IF(ISNUMBER(INDEX(Classifica!$F$5:$F$19,$V49)),IF(INDEX(Classifica!$F$5:$F$19,$V49)&gt;0,": peggiora",IF(INDEX(Classifica!$F$5:$F$19,$V49)&lt;0,": migliora","")),"")&amp;"; ",IF(INDEX(Classifica!$G$5:$G$19,$V49)="Nuovo","nuovo nel ciclo; ",""))&amp;IF(INDEX(ANA_Attenzione_Supervisore,INDEX(Classifica!$U$5:$U$19,$V49))="Sì","tema all'attenzione del supervisore; ","")&amp;IF(COUNTIFS(KRI_ID_Rischio,INDEX(Classifica!$B$5:$B$19,$V49),KRI_Ciclo,cicloCorrente,KRI_In_Vigore,"Sì",KRI_Stato,"Rosso")&gt;0,COUNTIFS(KRI_ID_Rischio,INDEX(Classifica!$B$5:$B$19,$V49),KRI_Ciclo,cicloCorrente,KRI_In_Vigore,"Sì",KRI_Stato,"Rosso")&amp;" KRI in rosso; ","")&amp;IF(INDEX(posNetti,INDEX(Classifica!$U$5:$U$19,$V49))&gt;=sogliaDirezione,"notizie in peggioramento (+"&amp;INDEX(posNetti,INDEX(Classifica!$U$5:$U$19,$V49))&amp;" segnali netti in 4 settimane); ",IF(INDEX(posNetti,INDEX(Classifica!$U$5:$U$19,$V49))&lt;=-sogliaDirezione,"notizie in miglioramento ("&amp;INDEX(posNetti,INDEX(Classifica!$U$5:$U$19,$V49))&amp;" segnali netti in 4 settimane); ","")))</f>
        <v xml:space="preserve">variato nel ciclo: peggiora; </v>
      </c>
      <c r="BH49">
        <f>2*PI()*44/72</f>
        <v>3.8397243543875246</v>
      </c>
      <c r="BI49">
        <f t="shared" si="8"/>
        <v>-1.2855752193730778</v>
      </c>
      <c r="BJ49">
        <f t="shared" si="9"/>
        <v>-1.5320888862379567</v>
      </c>
      <c r="BK49">
        <f t="shared" si="10"/>
        <v>-1.9283628290596169</v>
      </c>
      <c r="BL49">
        <f t="shared" si="11"/>
        <v>-2.298133329356935</v>
      </c>
      <c r="BM49">
        <f t="shared" si="12"/>
        <v>-2.5711504387461557</v>
      </c>
      <c r="BN49">
        <f t="shared" si="13"/>
        <v>-3.0641777724759134</v>
      </c>
      <c r="BO49">
        <f t="shared" si="14"/>
        <v>-3.2139380484326945</v>
      </c>
      <c r="BP49">
        <f t="shared" si="15"/>
        <v>-3.8302222155948917</v>
      </c>
    </row>
    <row r="50" spans="1:68" ht="41.5" customHeight="1" x14ac:dyDescent="0.4">
      <c r="A50" s="103" t="str">
        <f>IF($V50="","",INDEX(Classifica!$B$5:$B$19,$V50)&amp;CHAR(10)&amp;INDEX(Classifica!$C$5:$C$19,$V50)&amp;IF(INDEX(ANA_Attenzione_Supervisore,INDEX(Classifica!$U$5:$U$19,$V50))="Sì",CHAR(10)&amp;"◆ attenzione del supervisore",""))</f>
        <v>NFR-06
Esfiltrazione di dati tramite strumenti di AI non autorizzati</v>
      </c>
      <c r="B50" s="98"/>
      <c r="C50" s="98"/>
      <c r="D50" s="25" t="str">
        <f>IF($V50="","",IF(LEFT(INDEX(Classifica!$H$5:$H$19,$V50),9)="AGIRE ORA","AGIRE ORA",IF(LEFT(INDEX(Classifica!$H$5:$H$19,$V50),11)="Agire entro","Entro l'anno",INDEX(Classifica!$H$5:$H$19,$V50))))</f>
        <v>Entro l'anno</v>
      </c>
      <c r="E50" s="100" t="str">
        <f t="shared" si="16"/>
        <v>variato nel ciclo: migliora.</v>
      </c>
      <c r="F50" s="98"/>
      <c r="G50" s="98"/>
      <c r="H50" s="98"/>
      <c r="I50" s="100" t="str">
        <f>IF($V50="","",IF(INDEX(Classifica!$G$5:$G$19,$V50)="Nuovo","Rischio nuovo nel ciclo.",IFERROR(IF(INDEX(RR_Variazioni,MATCH(cicloCorrente&amp;"|"&amp;INDEX(Classifica!$B$5:$B$19,$V50),RR_Chiave,0))&amp;""="[]","Nessun valore cambiato: confermato sulle fonti del ciclo precedente.",SUBSTITUTE(SUBSTITUTE(SUBSTITUTE(SUBSTITUTE(SUBSTITUTE(SUBSTITUTE(SUBSTITUTE(SUBSTITUTE(SUBSTITUTE(SUBSTITUTE(SUBSTITUTE(SUBSTITUTE(SUBSTITUTE(INDEX(RR_Variazioni,MATCH(cicloCorrente&amp;"|"&amp;INDEX(Classifica!$B$5:$B$19,$V50)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Probabilita")),"")))</f>
        <v>• Gap_Controlli 4 → 3: Dal 5 settembre 2026 il DLP copre tutti i servizi di AI generativa; il test di blocco eseguito dalla Sicurezza delle Informazioni ha dato esito positivo. (2026-09-05)</v>
      </c>
      <c r="J50" s="98"/>
      <c r="K50" s="98"/>
      <c r="L50" s="98"/>
      <c r="M50" s="98"/>
      <c r="N50" s="98"/>
      <c r="O50" s="98"/>
      <c r="U50">
        <f>IF(Classifica!$B$11="","",IF(OR(7&lt;=3,LEFT(Classifica!$H$11,9)="AGIRE ORA",Classifica!$G$11="Variato",Classifica!$G$11="Nuovo"),7,""))</f>
        <v>7</v>
      </c>
      <c r="V50">
        <f>IFERROR(_xlfn.AGGREGATE(15,6,$U$44:$U$58,7),"")</f>
        <v>9</v>
      </c>
      <c r="W50" t="str">
        <f>IF($V50="","",IF($V50&lt;=3,$V50&amp;"° per score composito ("&amp;FIXED(INDEX(Classifica!$D$5:$D$19,$V50),2)&amp;IF(ISNUMBER(INDEX(Classifica!$F$5:$F$19,$V50)),IF(INDEX(Classifica!$F$5:$F$19,$V50)&lt;&gt;0,", "&amp;IF(INDEX(Classifica!$F$5:$F$19,$V50)&gt;0,"+","")&amp;FIXED(INDEX(Classifica!$F$5:$F$19,$V50),2)&amp;" sul ciclo prima",""),"")&amp;"); ","")&amp;IF(LEFT(INDEX(Classifica!$H$5:$H$19,$V50),9)="AGIRE ORA","AGIRE ORA: servono X + Y = "&amp;FIXED(INDEX(Classifica!$Y$5:$Y$19,$V50)+INDEX(Classifica!$Z$5:$Z$19,$V50),2)&amp;" anni per decidere e mitigare"&amp;IF(N(INDEX(ANA_Anni_Adeguamento,INDEX(Classifica!$U$5:$U$19,$V50)))&gt;0,", di cui "&amp;N(INDEX(ANA_Anni_Adeguamento,INDEX(Classifica!$U$5:$U$19,$V50)))&amp;" di adeguamento strutturale","")&amp;"; ne restano Z = "&amp;FIXED(INDEX(Classifica!$AA$5:$AA$19,$V50),1)&amp;" prima che possa manifestarsi; ",IF(AND($V50&lt;=3,LEFT(INDEX(Classifica!$H$5:$H$19,$V50),11)="Agire entro"),"margine di Mosca sotto l'anno ("&amp;FIXED(INDEX(Classifica!$I$5:$I$19,$V50),2)&amp;"); ",""))&amp;IF(INDEX(Classifica!$G$5:$G$19,$V50)="Variato","variato nel ciclo"&amp;IF(ISNUMBER(INDEX(Classifica!$F$5:$F$19,$V50)),IF(INDEX(Classifica!$F$5:$F$19,$V50)&gt;0,": peggiora",IF(INDEX(Classifica!$F$5:$F$19,$V50)&lt;0,": migliora","")),"")&amp;"; ",IF(INDEX(Classifica!$G$5:$G$19,$V50)="Nuovo","nuovo nel ciclo; ",""))&amp;IF(INDEX(ANA_Attenzione_Supervisore,INDEX(Classifica!$U$5:$U$19,$V50))="Sì","tema all'attenzione del supervisore; ","")&amp;IF(COUNTIFS(KRI_ID_Rischio,INDEX(Classifica!$B$5:$B$19,$V50),KRI_Ciclo,cicloCorrente,KRI_In_Vigore,"Sì",KRI_Stato,"Rosso")&gt;0,COUNTIFS(KRI_ID_Rischio,INDEX(Classifica!$B$5:$B$19,$V50),KRI_Ciclo,cicloCorrente,KRI_In_Vigore,"Sì",KRI_Stato,"Rosso")&amp;" KRI in rosso; ","")&amp;IF(INDEX(posNetti,INDEX(Classifica!$U$5:$U$19,$V50))&gt;=sogliaDirezione,"notizie in peggioramento (+"&amp;INDEX(posNetti,INDEX(Classifica!$U$5:$U$19,$V50))&amp;" segnali netti in 4 settimane); ",IF(INDEX(posNetti,INDEX(Classifica!$U$5:$U$19,$V50))&lt;=-sogliaDirezione,"notizie in miglioramento ("&amp;INDEX(posNetti,INDEX(Classifica!$U$5:$U$19,$V50))&amp;" segnali netti in 4 settimane); ","")))</f>
        <v xml:space="preserve">variato nel ciclo: migliora; </v>
      </c>
      <c r="BH50">
        <f>2*PI()*45/72</f>
        <v>3.9269908169872414</v>
      </c>
      <c r="BI50">
        <f t="shared" si="8"/>
        <v>-1.4142135623730949</v>
      </c>
      <c r="BJ50">
        <f t="shared" si="9"/>
        <v>-1.4142135623730954</v>
      </c>
      <c r="BK50">
        <f t="shared" si="10"/>
        <v>-2.1213203435596424</v>
      </c>
      <c r="BL50">
        <f t="shared" si="11"/>
        <v>-2.1213203435596428</v>
      </c>
      <c r="BM50">
        <f t="shared" si="12"/>
        <v>-2.8284271247461898</v>
      </c>
      <c r="BN50">
        <f t="shared" si="13"/>
        <v>-2.8284271247461907</v>
      </c>
      <c r="BO50">
        <f t="shared" si="14"/>
        <v>-3.5355339059327373</v>
      </c>
      <c r="BP50">
        <f t="shared" si="15"/>
        <v>-3.5355339059327386</v>
      </c>
    </row>
    <row r="51" spans="1:68" ht="3" customHeight="1" x14ac:dyDescent="0.4">
      <c r="A51" s="103" t="str">
        <f>IF($V51="","",INDEX(Classifica!$B$5:$B$19,$V51)&amp;CHAR(10)&amp;INDEX(Classifica!$C$5:$C$19,$V51)&amp;IF(INDEX(ANA_Attenzione_Supervisore,INDEX(Classifica!$U$5:$U$19,$V51))="Sì",CHAR(10)&amp;"◆ attenzione del supervisore",""))</f>
        <v/>
      </c>
      <c r="B51" s="98"/>
      <c r="C51" s="98"/>
      <c r="D51" s="25" t="str">
        <f>IF($V51="","",IF(LEFT(INDEX(Classifica!$H$5:$H$19,$V51),9)="AGIRE ORA","AGIRE ORA",IF(LEFT(INDEX(Classifica!$H$5:$H$19,$V51),11)="Agire entro","Entro l'anno",INDEX(Classifica!$H$5:$H$19,$V51))))</f>
        <v/>
      </c>
      <c r="E51" s="100" t="str">
        <f t="shared" si="16"/>
        <v/>
      </c>
      <c r="F51" s="98"/>
      <c r="G51" s="98"/>
      <c r="H51" s="98"/>
      <c r="I51" s="100" t="str">
        <f>IF($V51="","",IF(INDEX(Classifica!$G$5:$G$19,$V51)="Nuovo","Rischio nuovo nel ciclo.",IFERROR(IF(INDEX(RR_Variazioni,MATCH(cicloCorrente&amp;"|"&amp;INDEX(Classifica!$B$5:$B$19,$V51),RR_Chiave,0))&amp;""="[]","Nessun valore cambiato: confermato sulle fonti del ciclo precedente.",SUBSTITUTE(SUBSTITUTE(SUBSTITUTE(SUBSTITUTE(SUBSTITUTE(SUBSTITUTE(SUBSTITUTE(SUBSTITUTE(SUBSTITUTE(SUBSTITUTE(SUBSTITUTE(SUBSTITUTE(SUBSTITUTE(INDEX(RR_Variazioni,MATCH(cicloCorrente&amp;"|"&amp;INDEX(Classifica!$B$5:$B$19,$V51)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Probabilita")),"")))</f>
        <v/>
      </c>
      <c r="J51" s="98"/>
      <c r="K51" s="98"/>
      <c r="L51" s="98"/>
      <c r="M51" s="98"/>
      <c r="N51" s="98"/>
      <c r="O51" s="98"/>
      <c r="U51" t="str">
        <f>IF(Classifica!$B$12="","",IF(OR(8&lt;=3,LEFT(Classifica!$H$12,9)="AGIRE ORA",Classifica!$G$12="Variato",Classifica!$G$12="Nuovo"),8,""))</f>
        <v/>
      </c>
      <c r="V51" t="str">
        <f>IFERROR(_xlfn.AGGREGATE(15,6,$U$44:$U$58,8),"")</f>
        <v/>
      </c>
      <c r="W51" t="str">
        <f>IF($V51="","",IF($V51&lt;=3,$V51&amp;"° per score composito ("&amp;FIXED(INDEX(Classifica!$D$5:$D$19,$V51),2)&amp;IF(ISNUMBER(INDEX(Classifica!$F$5:$F$19,$V51)),IF(INDEX(Classifica!$F$5:$F$19,$V51)&lt;&gt;0,", "&amp;IF(INDEX(Classifica!$F$5:$F$19,$V51)&gt;0,"+","")&amp;FIXED(INDEX(Classifica!$F$5:$F$19,$V51),2)&amp;" sul ciclo prima",""),"")&amp;"); ","")&amp;IF(LEFT(INDEX(Classifica!$H$5:$H$19,$V51),9)="AGIRE ORA","AGIRE ORA: servono X + Y = "&amp;FIXED(INDEX(Classifica!$Y$5:$Y$19,$V51)+INDEX(Classifica!$Z$5:$Z$19,$V51),2)&amp;" anni per decidere e mitigare"&amp;IF(N(INDEX(ANA_Anni_Adeguamento,INDEX(Classifica!$U$5:$U$19,$V51)))&gt;0,", di cui "&amp;N(INDEX(ANA_Anni_Adeguamento,INDEX(Classifica!$U$5:$U$19,$V51)))&amp;" di adeguamento strutturale","")&amp;"; ne restano Z = "&amp;FIXED(INDEX(Classifica!$AA$5:$AA$19,$V51),1)&amp;" prima che possa manifestarsi; ",IF(AND($V51&lt;=3,LEFT(INDEX(Classifica!$H$5:$H$19,$V51),11)="Agire entro"),"margine di Mosca sotto l'anno ("&amp;FIXED(INDEX(Classifica!$I$5:$I$19,$V51),2)&amp;"); ",""))&amp;IF(INDEX(Classifica!$G$5:$G$19,$V51)="Variato","variato nel ciclo"&amp;IF(ISNUMBER(INDEX(Classifica!$F$5:$F$19,$V51)),IF(INDEX(Classifica!$F$5:$F$19,$V51)&gt;0,": peggiora",IF(INDEX(Classifica!$F$5:$F$19,$V51)&lt;0,": migliora","")),"")&amp;"; ",IF(INDEX(Classifica!$G$5:$G$19,$V51)="Nuovo","nuovo nel ciclo; ",""))&amp;IF(INDEX(ANA_Attenzione_Supervisore,INDEX(Classifica!$U$5:$U$19,$V51))="Sì","tema all'attenzione del supervisore; ","")&amp;IF(COUNTIFS(KRI_ID_Rischio,INDEX(Classifica!$B$5:$B$19,$V51),KRI_Ciclo,cicloCorrente,KRI_In_Vigore,"Sì",KRI_Stato,"Rosso")&gt;0,COUNTIFS(KRI_ID_Rischio,INDEX(Classifica!$B$5:$B$19,$V51),KRI_Ciclo,cicloCorrente,KRI_In_Vigore,"Sì",KRI_Stato,"Rosso")&amp;" KRI in rosso; ","")&amp;IF(INDEX(posNetti,INDEX(Classifica!$U$5:$U$19,$V51))&gt;=sogliaDirezione,"notizie in peggioramento (+"&amp;INDEX(posNetti,INDEX(Classifica!$U$5:$U$19,$V51))&amp;" segnali netti in 4 settimane); ",IF(INDEX(posNetti,INDEX(Classifica!$U$5:$U$19,$V51))&lt;=-sogliaDirezione,"notizie in miglioramento ("&amp;INDEX(posNetti,INDEX(Classifica!$U$5:$U$19,$V51))&amp;" segnali netti in 4 settimane); ","")))</f>
        <v/>
      </c>
      <c r="BH51">
        <f>2*PI()*46/72</f>
        <v>4.0142572795869578</v>
      </c>
      <c r="BI51">
        <f t="shared" si="8"/>
        <v>-1.5320888862379558</v>
      </c>
      <c r="BJ51">
        <f t="shared" si="9"/>
        <v>-1.2855752193730789</v>
      </c>
      <c r="BK51">
        <f t="shared" si="10"/>
        <v>-2.2981333293569337</v>
      </c>
      <c r="BL51">
        <f t="shared" si="11"/>
        <v>-1.9283628290596184</v>
      </c>
      <c r="BM51">
        <f t="shared" si="12"/>
        <v>-3.0641777724759116</v>
      </c>
      <c r="BN51">
        <f t="shared" si="13"/>
        <v>-2.5711504387461579</v>
      </c>
      <c r="BO51">
        <f t="shared" si="14"/>
        <v>-3.8302222155948895</v>
      </c>
      <c r="BP51">
        <f t="shared" si="15"/>
        <v>-3.2139380484326976</v>
      </c>
    </row>
    <row r="52" spans="1:68" ht="3" customHeight="1" x14ac:dyDescent="0.4">
      <c r="A52" s="103" t="str">
        <f>IF($V52="","",INDEX(Classifica!$B$5:$B$19,$V52)&amp;CHAR(10)&amp;INDEX(Classifica!$C$5:$C$19,$V52)&amp;IF(INDEX(ANA_Attenzione_Supervisore,INDEX(Classifica!$U$5:$U$19,$V52))="Sì",CHAR(10)&amp;"◆ attenzione del supervisore",""))</f>
        <v/>
      </c>
      <c r="B52" s="98"/>
      <c r="C52" s="98"/>
      <c r="D52" s="25" t="str">
        <f>IF($V52="","",IF(LEFT(INDEX(Classifica!$H$5:$H$19,$V52),9)="AGIRE ORA","AGIRE ORA",IF(LEFT(INDEX(Classifica!$H$5:$H$19,$V52),11)="Agire entro","Entro l'anno",INDEX(Classifica!$H$5:$H$19,$V52))))</f>
        <v/>
      </c>
      <c r="E52" s="100" t="str">
        <f t="shared" si="16"/>
        <v/>
      </c>
      <c r="F52" s="98"/>
      <c r="G52" s="98"/>
      <c r="H52" s="98"/>
      <c r="I52" s="100" t="str">
        <f>IF($V52="","",IF(INDEX(Classifica!$G$5:$G$19,$V52)="Nuovo","Rischio nuovo nel ciclo.",IFERROR(IF(INDEX(RR_Variazioni,MATCH(cicloCorrente&amp;"|"&amp;INDEX(Classifica!$B$5:$B$19,$V52),RR_Chiave,0))&amp;""="[]","Nessun valore cambiato: confermato sulle fonti del ciclo precedente.",SUBSTITUTE(SUBSTITUTE(SUBSTITUTE(SUBSTITUTE(SUBSTITUTE(SUBSTITUTE(SUBSTITUTE(SUBSTITUTE(SUBSTITUTE(SUBSTITUTE(SUBSTITUTE(SUBSTITUTE(SUBSTITUTE(INDEX(RR_Variazioni,MATCH(cicloCorrente&amp;"|"&amp;INDEX(Classifica!$B$5:$B$19,$V52)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Probabilita")),"")))</f>
        <v/>
      </c>
      <c r="J52" s="98"/>
      <c r="K52" s="98"/>
      <c r="L52" s="98"/>
      <c r="M52" s="98"/>
      <c r="N52" s="98"/>
      <c r="O52" s="98"/>
      <c r="U52">
        <f>IF(Classifica!$B$13="","",IF(OR(9&lt;=3,LEFT(Classifica!$H$13,9)="AGIRE ORA",Classifica!$G$13="Variato",Classifica!$G$13="Nuovo"),9,""))</f>
        <v>9</v>
      </c>
      <c r="V52" t="str">
        <f>IFERROR(_xlfn.AGGREGATE(15,6,$U$44:$U$58,9),"")</f>
        <v/>
      </c>
      <c r="W52" t="str">
        <f>IF($V52="","",IF($V52&lt;=3,$V52&amp;"° per score composito ("&amp;FIXED(INDEX(Classifica!$D$5:$D$19,$V52),2)&amp;IF(ISNUMBER(INDEX(Classifica!$F$5:$F$19,$V52)),IF(INDEX(Classifica!$F$5:$F$19,$V52)&lt;&gt;0,", "&amp;IF(INDEX(Classifica!$F$5:$F$19,$V52)&gt;0,"+","")&amp;FIXED(INDEX(Classifica!$F$5:$F$19,$V52),2)&amp;" sul ciclo prima",""),"")&amp;"); ","")&amp;IF(LEFT(INDEX(Classifica!$H$5:$H$19,$V52),9)="AGIRE ORA","AGIRE ORA: servono X + Y = "&amp;FIXED(INDEX(Classifica!$Y$5:$Y$19,$V52)+INDEX(Classifica!$Z$5:$Z$19,$V52),2)&amp;" anni per decidere e mitigare"&amp;IF(N(INDEX(ANA_Anni_Adeguamento,INDEX(Classifica!$U$5:$U$19,$V52)))&gt;0,", di cui "&amp;N(INDEX(ANA_Anni_Adeguamento,INDEX(Classifica!$U$5:$U$19,$V52)))&amp;" di adeguamento strutturale","")&amp;"; ne restano Z = "&amp;FIXED(INDEX(Classifica!$AA$5:$AA$19,$V52),1)&amp;" prima che possa manifestarsi; ",IF(AND($V52&lt;=3,LEFT(INDEX(Classifica!$H$5:$H$19,$V52),11)="Agire entro"),"margine di Mosca sotto l'anno ("&amp;FIXED(INDEX(Classifica!$I$5:$I$19,$V52),2)&amp;"); ",""))&amp;IF(INDEX(Classifica!$G$5:$G$19,$V52)="Variato","variato nel ciclo"&amp;IF(ISNUMBER(INDEX(Classifica!$F$5:$F$19,$V52)),IF(INDEX(Classifica!$F$5:$F$19,$V52)&gt;0,": peggiora",IF(INDEX(Classifica!$F$5:$F$19,$V52)&lt;0,": migliora","")),"")&amp;"; ",IF(INDEX(Classifica!$G$5:$G$19,$V52)="Nuovo","nuovo nel ciclo; ",""))&amp;IF(INDEX(ANA_Attenzione_Supervisore,INDEX(Classifica!$U$5:$U$19,$V52))="Sì","tema all'attenzione del supervisore; ","")&amp;IF(COUNTIFS(KRI_ID_Rischio,INDEX(Classifica!$B$5:$B$19,$V52),KRI_Ciclo,cicloCorrente,KRI_In_Vigore,"Sì",KRI_Stato,"Rosso")&gt;0,COUNTIFS(KRI_ID_Rischio,INDEX(Classifica!$B$5:$B$19,$V52),KRI_Ciclo,cicloCorrente,KRI_In_Vigore,"Sì",KRI_Stato,"Rosso")&amp;" KRI in rosso; ","")&amp;IF(INDEX(posNetti,INDEX(Classifica!$U$5:$U$19,$V52))&gt;=sogliaDirezione,"notizie in peggioramento (+"&amp;INDEX(posNetti,INDEX(Classifica!$U$5:$U$19,$V52))&amp;" segnali netti in 4 settimane); ",IF(INDEX(posNetti,INDEX(Classifica!$U$5:$U$19,$V52))&lt;=-sogliaDirezione,"notizie in miglioramento ("&amp;INDEX(posNetti,INDEX(Classifica!$U$5:$U$19,$V52))&amp;" segnali netti in 4 settimane); ","")))</f>
        <v/>
      </c>
      <c r="BH52">
        <f>2*PI()*47/72</f>
        <v>4.101523742186675</v>
      </c>
      <c r="BI52">
        <f t="shared" si="8"/>
        <v>-1.6383040885779843</v>
      </c>
      <c r="BJ52">
        <f t="shared" si="9"/>
        <v>-1.1471528727020914</v>
      </c>
      <c r="BK52">
        <f t="shared" si="10"/>
        <v>-2.4574561328669766</v>
      </c>
      <c r="BL52">
        <f t="shared" si="11"/>
        <v>-1.7207293090531373</v>
      </c>
      <c r="BM52">
        <f t="shared" si="12"/>
        <v>-3.2766081771559685</v>
      </c>
      <c r="BN52">
        <f t="shared" si="13"/>
        <v>-2.2943057454041829</v>
      </c>
      <c r="BO52">
        <f t="shared" si="14"/>
        <v>-4.0957602214449604</v>
      </c>
      <c r="BP52">
        <f t="shared" si="15"/>
        <v>-2.8678821817552285</v>
      </c>
    </row>
    <row r="53" spans="1:68" ht="3" customHeight="1" x14ac:dyDescent="0.4">
      <c r="A53" s="103" t="str">
        <f>IF($V53="","",INDEX(Classifica!$B$5:$B$19,$V53)&amp;CHAR(10)&amp;INDEX(Classifica!$C$5:$C$19,$V53)&amp;IF(INDEX(ANA_Attenzione_Supervisore,INDEX(Classifica!$U$5:$U$19,$V53))="Sì",CHAR(10)&amp;"◆ attenzione del supervisore",""))</f>
        <v/>
      </c>
      <c r="B53" s="98"/>
      <c r="C53" s="98"/>
      <c r="D53" s="25" t="str">
        <f>IF($V53="","",IF(LEFT(INDEX(Classifica!$H$5:$H$19,$V53),9)="AGIRE ORA","AGIRE ORA",IF(LEFT(INDEX(Classifica!$H$5:$H$19,$V53),11)="Agire entro","Entro l'anno",INDEX(Classifica!$H$5:$H$19,$V53))))</f>
        <v/>
      </c>
      <c r="E53" s="100" t="str">
        <f t="shared" si="16"/>
        <v/>
      </c>
      <c r="F53" s="98"/>
      <c r="G53" s="98"/>
      <c r="H53" s="98"/>
      <c r="I53" s="100" t="str">
        <f>IF($V53="","",IF(INDEX(Classifica!$G$5:$G$19,$V53)="Nuovo","Rischio nuovo nel ciclo.",IFERROR(IF(INDEX(RR_Variazioni,MATCH(cicloCorrente&amp;"|"&amp;INDEX(Classifica!$B$5:$B$19,$V53),RR_Chiave,0))&amp;""="[]","Nessun valore cambiato: confermato sulle fonti del ciclo precedente.",SUBSTITUTE(SUBSTITUTE(SUBSTITUTE(SUBSTITUTE(SUBSTITUTE(SUBSTITUTE(SUBSTITUTE(SUBSTITUTE(SUBSTITUTE(SUBSTITUTE(SUBSTITUTE(SUBSTITUTE(SUBSTITUTE(INDEX(RR_Variazioni,MATCH(cicloCorrente&amp;"|"&amp;INDEX(Classifica!$B$5:$B$19,$V53)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Probabilita")),"")))</f>
        <v/>
      </c>
      <c r="J53" s="98"/>
      <c r="K53" s="98"/>
      <c r="L53" s="98"/>
      <c r="M53" s="98"/>
      <c r="N53" s="98"/>
      <c r="O53" s="98"/>
      <c r="U53" t="str">
        <f>IF(Classifica!$B$14="","",IF(OR(10&lt;=3,LEFT(Classifica!$H$14,9)="AGIRE ORA",Classifica!$G$14="Variato",Classifica!$G$14="Nuovo"),10,""))</f>
        <v/>
      </c>
      <c r="V53" t="str">
        <f>IFERROR(_xlfn.AGGREGATE(15,6,$U$44:$U$58,10),"")</f>
        <v/>
      </c>
      <c r="W53" t="str">
        <f>IF($V53="","",IF($V53&lt;=3,$V53&amp;"° per score composito ("&amp;FIXED(INDEX(Classifica!$D$5:$D$19,$V53),2)&amp;IF(ISNUMBER(INDEX(Classifica!$F$5:$F$19,$V53)),IF(INDEX(Classifica!$F$5:$F$19,$V53)&lt;&gt;0,", "&amp;IF(INDEX(Classifica!$F$5:$F$19,$V53)&gt;0,"+","")&amp;FIXED(INDEX(Classifica!$F$5:$F$19,$V53),2)&amp;" sul ciclo prima",""),"")&amp;"); ","")&amp;IF(LEFT(INDEX(Classifica!$H$5:$H$19,$V53),9)="AGIRE ORA","AGIRE ORA: servono X + Y = "&amp;FIXED(INDEX(Classifica!$Y$5:$Y$19,$V53)+INDEX(Classifica!$Z$5:$Z$19,$V53),2)&amp;" anni per decidere e mitigare"&amp;IF(N(INDEX(ANA_Anni_Adeguamento,INDEX(Classifica!$U$5:$U$19,$V53)))&gt;0,", di cui "&amp;N(INDEX(ANA_Anni_Adeguamento,INDEX(Classifica!$U$5:$U$19,$V53)))&amp;" di adeguamento strutturale","")&amp;"; ne restano Z = "&amp;FIXED(INDEX(Classifica!$AA$5:$AA$19,$V53),1)&amp;" prima che possa manifestarsi; ",IF(AND($V53&lt;=3,LEFT(INDEX(Classifica!$H$5:$H$19,$V53),11)="Agire entro"),"margine di Mosca sotto l'anno ("&amp;FIXED(INDEX(Classifica!$I$5:$I$19,$V53),2)&amp;"); ",""))&amp;IF(INDEX(Classifica!$G$5:$G$19,$V53)="Variato","variato nel ciclo"&amp;IF(ISNUMBER(INDEX(Classifica!$F$5:$F$19,$V53)),IF(INDEX(Classifica!$F$5:$F$19,$V53)&gt;0,": peggiora",IF(INDEX(Classifica!$F$5:$F$19,$V53)&lt;0,": migliora","")),"")&amp;"; ",IF(INDEX(Classifica!$G$5:$G$19,$V53)="Nuovo","nuovo nel ciclo; ",""))&amp;IF(INDEX(ANA_Attenzione_Supervisore,INDEX(Classifica!$U$5:$U$19,$V53))="Sì","tema all'attenzione del supervisore; ","")&amp;IF(COUNTIFS(KRI_ID_Rischio,INDEX(Classifica!$B$5:$B$19,$V53),KRI_Ciclo,cicloCorrente,KRI_In_Vigore,"Sì",KRI_Stato,"Rosso")&gt;0,COUNTIFS(KRI_ID_Rischio,INDEX(Classifica!$B$5:$B$19,$V53),KRI_Ciclo,cicloCorrente,KRI_In_Vigore,"Sì",KRI_Stato,"Rosso")&amp;" KRI in rosso; ","")&amp;IF(INDEX(posNetti,INDEX(Classifica!$U$5:$U$19,$V53))&gt;=sogliaDirezione,"notizie in peggioramento (+"&amp;INDEX(posNetti,INDEX(Classifica!$U$5:$U$19,$V53))&amp;" segnali netti in 4 settimane); ",IF(INDEX(posNetti,INDEX(Classifica!$U$5:$U$19,$V53))&lt;=-sogliaDirezione,"notizie in miglioramento ("&amp;INDEX(posNetti,INDEX(Classifica!$U$5:$U$19,$V53))&amp;" segnali netti in 4 settimane); ","")))</f>
        <v/>
      </c>
      <c r="BH53">
        <f>2*PI()*48/72</f>
        <v>4.1887902047863905</v>
      </c>
      <c r="BI53">
        <f t="shared" si="8"/>
        <v>-1.7320508075688767</v>
      </c>
      <c r="BJ53">
        <f t="shared" si="9"/>
        <v>-1.0000000000000009</v>
      </c>
      <c r="BK53">
        <f t="shared" si="10"/>
        <v>-2.5980762113533151</v>
      </c>
      <c r="BL53">
        <f t="shared" si="11"/>
        <v>-1.5000000000000013</v>
      </c>
      <c r="BM53">
        <f t="shared" si="12"/>
        <v>-3.4641016151377535</v>
      </c>
      <c r="BN53">
        <f t="shared" si="13"/>
        <v>-2.0000000000000018</v>
      </c>
      <c r="BO53">
        <f t="shared" si="14"/>
        <v>-4.3301270189221919</v>
      </c>
      <c r="BP53">
        <f t="shared" si="15"/>
        <v>-2.5000000000000022</v>
      </c>
    </row>
    <row r="54" spans="1:68" ht="3" customHeight="1" x14ac:dyDescent="0.4">
      <c r="A54" s="103" t="str">
        <f>IF($V54="","",INDEX(Classifica!$B$5:$B$19,$V54)&amp;CHAR(10)&amp;INDEX(Classifica!$C$5:$C$19,$V54)&amp;IF(INDEX(ANA_Attenzione_Supervisore,INDEX(Classifica!$U$5:$U$19,$V54))="Sì",CHAR(10)&amp;"◆ attenzione del supervisore",""))</f>
        <v/>
      </c>
      <c r="B54" s="98"/>
      <c r="C54" s="98"/>
      <c r="D54" s="25" t="str">
        <f>IF($V54="","",IF(LEFT(INDEX(Classifica!$H$5:$H$19,$V54),9)="AGIRE ORA","AGIRE ORA",IF(LEFT(INDEX(Classifica!$H$5:$H$19,$V54),11)="Agire entro","Entro l'anno",INDEX(Classifica!$H$5:$H$19,$V54))))</f>
        <v/>
      </c>
      <c r="E54" s="100" t="str">
        <f t="shared" si="16"/>
        <v/>
      </c>
      <c r="F54" s="98"/>
      <c r="G54" s="98"/>
      <c r="H54" s="98"/>
      <c r="I54" s="100" t="str">
        <f>IF($V54="","",IF(INDEX(Classifica!$G$5:$G$19,$V54)="Nuovo","Rischio nuovo nel ciclo.",IFERROR(IF(INDEX(RR_Variazioni,MATCH(cicloCorrente&amp;"|"&amp;INDEX(Classifica!$B$5:$B$19,$V54),RR_Chiave,0))&amp;""="[]","Nessun valore cambiato: confermato sulle fonti del ciclo precedente.",SUBSTITUTE(SUBSTITUTE(SUBSTITUTE(SUBSTITUTE(SUBSTITUTE(SUBSTITUTE(SUBSTITUTE(SUBSTITUTE(SUBSTITUTE(SUBSTITUTE(SUBSTITUTE(SUBSTITUTE(SUBSTITUTE(INDEX(RR_Variazioni,MATCH(cicloCorrente&amp;"|"&amp;INDEX(Classifica!$B$5:$B$19,$V54)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Probabilita")),"")))</f>
        <v/>
      </c>
      <c r="J54" s="98"/>
      <c r="K54" s="98"/>
      <c r="L54" s="98"/>
      <c r="M54" s="98"/>
      <c r="N54" s="98"/>
      <c r="O54" s="98"/>
      <c r="U54" t="str">
        <f>IF(Classifica!$B$15="","",IF(OR(11&lt;=3,LEFT(Classifica!$H$15,9)="AGIRE ORA",Classifica!$G$15="Variato",Classifica!$G$15="Nuovo"),11,""))</f>
        <v/>
      </c>
      <c r="V54" t="str">
        <f>IFERROR(_xlfn.AGGREGATE(15,6,$U$44:$U$58,11),"")</f>
        <v/>
      </c>
      <c r="W54" t="str">
        <f>IF($V54="","",IF($V54&lt;=3,$V54&amp;"° per score composito ("&amp;FIXED(INDEX(Classifica!$D$5:$D$19,$V54),2)&amp;IF(ISNUMBER(INDEX(Classifica!$F$5:$F$19,$V54)),IF(INDEX(Classifica!$F$5:$F$19,$V54)&lt;&gt;0,", "&amp;IF(INDEX(Classifica!$F$5:$F$19,$V54)&gt;0,"+","")&amp;FIXED(INDEX(Classifica!$F$5:$F$19,$V54),2)&amp;" sul ciclo prima",""),"")&amp;"); ","")&amp;IF(LEFT(INDEX(Classifica!$H$5:$H$19,$V54),9)="AGIRE ORA","AGIRE ORA: servono X + Y = "&amp;FIXED(INDEX(Classifica!$Y$5:$Y$19,$V54)+INDEX(Classifica!$Z$5:$Z$19,$V54),2)&amp;" anni per decidere e mitigare"&amp;IF(N(INDEX(ANA_Anni_Adeguamento,INDEX(Classifica!$U$5:$U$19,$V54)))&gt;0,", di cui "&amp;N(INDEX(ANA_Anni_Adeguamento,INDEX(Classifica!$U$5:$U$19,$V54)))&amp;" di adeguamento strutturale","")&amp;"; ne restano Z = "&amp;FIXED(INDEX(Classifica!$AA$5:$AA$19,$V54),1)&amp;" prima che possa manifestarsi; ",IF(AND($V54&lt;=3,LEFT(INDEX(Classifica!$H$5:$H$19,$V54),11)="Agire entro"),"margine di Mosca sotto l'anno ("&amp;FIXED(INDEX(Classifica!$I$5:$I$19,$V54),2)&amp;"); ",""))&amp;IF(INDEX(Classifica!$G$5:$G$19,$V54)="Variato","variato nel ciclo"&amp;IF(ISNUMBER(INDEX(Classifica!$F$5:$F$19,$V54)),IF(INDEX(Classifica!$F$5:$F$19,$V54)&gt;0,": peggiora",IF(INDEX(Classifica!$F$5:$F$19,$V54)&lt;0,": migliora","")),"")&amp;"; ",IF(INDEX(Classifica!$G$5:$G$19,$V54)="Nuovo","nuovo nel ciclo; ",""))&amp;IF(INDEX(ANA_Attenzione_Supervisore,INDEX(Classifica!$U$5:$U$19,$V54))="Sì","tema all'attenzione del supervisore; ","")&amp;IF(COUNTIFS(KRI_ID_Rischio,INDEX(Classifica!$B$5:$B$19,$V54),KRI_Ciclo,cicloCorrente,KRI_In_Vigore,"Sì",KRI_Stato,"Rosso")&gt;0,COUNTIFS(KRI_ID_Rischio,INDEX(Classifica!$B$5:$B$19,$V54),KRI_Ciclo,cicloCorrente,KRI_In_Vigore,"Sì",KRI_Stato,"Rosso")&amp;" KRI in rosso; ","")&amp;IF(INDEX(posNetti,INDEX(Classifica!$U$5:$U$19,$V54))&gt;=sogliaDirezione,"notizie in peggioramento (+"&amp;INDEX(posNetti,INDEX(Classifica!$U$5:$U$19,$V54))&amp;" segnali netti in 4 settimane); ",IF(INDEX(posNetti,INDEX(Classifica!$U$5:$U$19,$V54))&lt;=-sogliaDirezione,"notizie in miglioramento ("&amp;INDEX(posNetti,INDEX(Classifica!$U$5:$U$19,$V54))&amp;" segnali netti in 4 settimane); ","")))</f>
        <v/>
      </c>
      <c r="BH54">
        <f>2*PI()*49/72</f>
        <v>4.2760566673861069</v>
      </c>
      <c r="BI54">
        <f t="shared" si="8"/>
        <v>-1.8126155740732994</v>
      </c>
      <c r="BJ54">
        <f t="shared" si="9"/>
        <v>-0.84523652348139988</v>
      </c>
      <c r="BK54">
        <f t="shared" si="10"/>
        <v>-2.7189233611099493</v>
      </c>
      <c r="BL54">
        <f t="shared" si="11"/>
        <v>-1.2678547852220998</v>
      </c>
      <c r="BM54">
        <f t="shared" si="12"/>
        <v>-3.6252311481465989</v>
      </c>
      <c r="BN54">
        <f t="shared" si="13"/>
        <v>-1.6904730469627998</v>
      </c>
      <c r="BO54">
        <f t="shared" si="14"/>
        <v>-4.5315389351832485</v>
      </c>
      <c r="BP54">
        <f t="shared" si="15"/>
        <v>-2.1130913087034999</v>
      </c>
    </row>
    <row r="55" spans="1:68" ht="3" customHeight="1" x14ac:dyDescent="0.4">
      <c r="A55" s="103" t="str">
        <f>IF($V55="","",INDEX(Classifica!$B$5:$B$19,$V55)&amp;CHAR(10)&amp;INDEX(Classifica!$C$5:$C$19,$V55)&amp;IF(INDEX(ANA_Attenzione_Supervisore,INDEX(Classifica!$U$5:$U$19,$V55))="Sì",CHAR(10)&amp;"◆ attenzione del supervisore",""))</f>
        <v/>
      </c>
      <c r="B55" s="98"/>
      <c r="C55" s="98"/>
      <c r="D55" s="25" t="str">
        <f>IF($V55="","",IF(LEFT(INDEX(Classifica!$H$5:$H$19,$V55),9)="AGIRE ORA","AGIRE ORA",IF(LEFT(INDEX(Classifica!$H$5:$H$19,$V55),11)="Agire entro","Entro l'anno",INDEX(Classifica!$H$5:$H$19,$V55))))</f>
        <v/>
      </c>
      <c r="E55" s="100" t="str">
        <f t="shared" si="16"/>
        <v/>
      </c>
      <c r="F55" s="98"/>
      <c r="G55" s="98"/>
      <c r="H55" s="98"/>
      <c r="I55" s="100" t="str">
        <f>IF($V55="","",IF(INDEX(Classifica!$G$5:$G$19,$V55)="Nuovo","Rischio nuovo nel ciclo.",IFERROR(IF(INDEX(RR_Variazioni,MATCH(cicloCorrente&amp;"|"&amp;INDEX(Classifica!$B$5:$B$19,$V55),RR_Chiave,0))&amp;""="[]","Nessun valore cambiato: confermato sulle fonti del ciclo precedente.",SUBSTITUTE(SUBSTITUTE(SUBSTITUTE(SUBSTITUTE(SUBSTITUTE(SUBSTITUTE(SUBSTITUTE(SUBSTITUTE(SUBSTITUTE(SUBSTITUTE(SUBSTITUTE(SUBSTITUTE(SUBSTITUTE(INDEX(RR_Variazioni,MATCH(cicloCorrente&amp;"|"&amp;INDEX(Classifica!$B$5:$B$19,$V55)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Probabilita")),"")))</f>
        <v/>
      </c>
      <c r="J55" s="98"/>
      <c r="K55" s="98"/>
      <c r="L55" s="98"/>
      <c r="M55" s="98"/>
      <c r="N55" s="98"/>
      <c r="O55" s="98"/>
      <c r="U55" t="str">
        <f>IF(Classifica!$B$16="","",IF(OR(12&lt;=3,LEFT(Classifica!$H$16,9)="AGIRE ORA",Classifica!$G$16="Variato",Classifica!$G$16="Nuovo"),12,""))</f>
        <v/>
      </c>
      <c r="V55" t="str">
        <f>IFERROR(_xlfn.AGGREGATE(15,6,$U$44:$U$58,12),"")</f>
        <v/>
      </c>
      <c r="W55" t="str">
        <f>IF($V55="","",IF($V55&lt;=3,$V55&amp;"° per score composito ("&amp;FIXED(INDEX(Classifica!$D$5:$D$19,$V55),2)&amp;IF(ISNUMBER(INDEX(Classifica!$F$5:$F$19,$V55)),IF(INDEX(Classifica!$F$5:$F$19,$V55)&lt;&gt;0,", "&amp;IF(INDEX(Classifica!$F$5:$F$19,$V55)&gt;0,"+","")&amp;FIXED(INDEX(Classifica!$F$5:$F$19,$V55),2)&amp;" sul ciclo prima",""),"")&amp;"); ","")&amp;IF(LEFT(INDEX(Classifica!$H$5:$H$19,$V55),9)="AGIRE ORA","AGIRE ORA: servono X + Y = "&amp;FIXED(INDEX(Classifica!$Y$5:$Y$19,$V55)+INDEX(Classifica!$Z$5:$Z$19,$V55),2)&amp;" anni per decidere e mitigare"&amp;IF(N(INDEX(ANA_Anni_Adeguamento,INDEX(Classifica!$U$5:$U$19,$V55)))&gt;0,", di cui "&amp;N(INDEX(ANA_Anni_Adeguamento,INDEX(Classifica!$U$5:$U$19,$V55)))&amp;" di adeguamento strutturale","")&amp;"; ne restano Z = "&amp;FIXED(INDEX(Classifica!$AA$5:$AA$19,$V55),1)&amp;" prima che possa manifestarsi; ",IF(AND($V55&lt;=3,LEFT(INDEX(Classifica!$H$5:$H$19,$V55),11)="Agire entro"),"margine di Mosca sotto l'anno ("&amp;FIXED(INDEX(Classifica!$I$5:$I$19,$V55),2)&amp;"); ",""))&amp;IF(INDEX(Classifica!$G$5:$G$19,$V55)="Variato","variato nel ciclo"&amp;IF(ISNUMBER(INDEX(Classifica!$F$5:$F$19,$V55)),IF(INDEX(Classifica!$F$5:$F$19,$V55)&gt;0,": peggiora",IF(INDEX(Classifica!$F$5:$F$19,$V55)&lt;0,": migliora","")),"")&amp;"; ",IF(INDEX(Classifica!$G$5:$G$19,$V55)="Nuovo","nuovo nel ciclo; ",""))&amp;IF(INDEX(ANA_Attenzione_Supervisore,INDEX(Classifica!$U$5:$U$19,$V55))="Sì","tema all'attenzione del supervisore; ","")&amp;IF(COUNTIFS(KRI_ID_Rischio,INDEX(Classifica!$B$5:$B$19,$V55),KRI_Ciclo,cicloCorrente,KRI_In_Vigore,"Sì",KRI_Stato,"Rosso")&gt;0,COUNTIFS(KRI_ID_Rischio,INDEX(Classifica!$B$5:$B$19,$V55),KRI_Ciclo,cicloCorrente,KRI_In_Vigore,"Sì",KRI_Stato,"Rosso")&amp;" KRI in rosso; ","")&amp;IF(INDEX(posNetti,INDEX(Classifica!$U$5:$U$19,$V55))&gt;=sogliaDirezione,"notizie in peggioramento (+"&amp;INDEX(posNetti,INDEX(Classifica!$U$5:$U$19,$V55))&amp;" segnali netti in 4 settimane); ",IF(INDEX(posNetti,INDEX(Classifica!$U$5:$U$19,$V55))&lt;=-sogliaDirezione,"notizie in miglioramento ("&amp;INDEX(posNetti,INDEX(Classifica!$U$5:$U$19,$V55))&amp;" segnali netti in 4 settimane); ","")))</f>
        <v/>
      </c>
      <c r="BH55">
        <f>2*PI()*50/72</f>
        <v>4.3633231299858242</v>
      </c>
      <c r="BI55">
        <f t="shared" si="8"/>
        <v>-1.8793852415718169</v>
      </c>
      <c r="BJ55">
        <f t="shared" si="9"/>
        <v>-0.68404028665133709</v>
      </c>
      <c r="BK55">
        <f t="shared" si="10"/>
        <v>-2.8190778623577253</v>
      </c>
      <c r="BL55">
        <f t="shared" si="11"/>
        <v>-1.0260604299770058</v>
      </c>
      <c r="BM55">
        <f t="shared" si="12"/>
        <v>-3.7587704831436337</v>
      </c>
      <c r="BN55">
        <f t="shared" si="13"/>
        <v>-1.3680805733026742</v>
      </c>
      <c r="BO55">
        <f t="shared" si="14"/>
        <v>-4.6984631039295426</v>
      </c>
      <c r="BP55">
        <f t="shared" si="15"/>
        <v>-1.7101007166283426</v>
      </c>
    </row>
    <row r="56" spans="1:68" ht="3" customHeight="1" x14ac:dyDescent="0.4">
      <c r="A56" s="103" t="str">
        <f>IF($V56="","",INDEX(Classifica!$B$5:$B$19,$V56)&amp;CHAR(10)&amp;INDEX(Classifica!$C$5:$C$19,$V56)&amp;IF(INDEX(ANA_Attenzione_Supervisore,INDEX(Classifica!$U$5:$U$19,$V56))="Sì",CHAR(10)&amp;"◆ attenzione del supervisore",""))</f>
        <v/>
      </c>
      <c r="B56" s="98"/>
      <c r="C56" s="98"/>
      <c r="D56" s="25" t="str">
        <f>IF($V56="","",IF(LEFT(INDEX(Classifica!$H$5:$H$19,$V56),9)="AGIRE ORA","AGIRE ORA",IF(LEFT(INDEX(Classifica!$H$5:$H$19,$V56),11)="Agire entro","Entro l'anno",INDEX(Classifica!$H$5:$H$19,$V56))))</f>
        <v/>
      </c>
      <c r="E56" s="100" t="str">
        <f t="shared" si="16"/>
        <v/>
      </c>
      <c r="F56" s="98"/>
      <c r="G56" s="98"/>
      <c r="H56" s="98"/>
      <c r="I56" s="100" t="str">
        <f>IF($V56="","",IF(INDEX(Classifica!$G$5:$G$19,$V56)="Nuovo","Rischio nuovo nel ciclo.",IFERROR(IF(INDEX(RR_Variazioni,MATCH(cicloCorrente&amp;"|"&amp;INDEX(Classifica!$B$5:$B$19,$V56),RR_Chiave,0))&amp;""="[]","Nessun valore cambiato: confermato sulle fonti del ciclo precedente.",SUBSTITUTE(SUBSTITUTE(SUBSTITUTE(SUBSTITUTE(SUBSTITUTE(SUBSTITUTE(SUBSTITUTE(SUBSTITUTE(SUBSTITUTE(SUBSTITUTE(SUBSTITUTE(SUBSTITUTE(SUBSTITUTE(INDEX(RR_Variazioni,MATCH(cicloCorrente&amp;"|"&amp;INDEX(Classifica!$B$5:$B$19,$V56)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Probabilita")),"")))</f>
        <v/>
      </c>
      <c r="J56" s="98"/>
      <c r="K56" s="98"/>
      <c r="L56" s="98"/>
      <c r="M56" s="98"/>
      <c r="N56" s="98"/>
      <c r="O56" s="98"/>
      <c r="U56" t="str">
        <f>IF(Classifica!$B$17="","",IF(OR(13&lt;=3,LEFT(Classifica!$H$17,9)="AGIRE ORA",Classifica!$G$17="Variato",Classifica!$G$17="Nuovo"),13,""))</f>
        <v/>
      </c>
      <c r="V56" t="str">
        <f>IFERROR(_xlfn.AGGREGATE(15,6,$U$44:$U$58,13),"")</f>
        <v/>
      </c>
      <c r="W56" t="str">
        <f>IF($V56="","",IF($V56&lt;=3,$V56&amp;"° per score composito ("&amp;FIXED(INDEX(Classifica!$D$5:$D$19,$V56),2)&amp;IF(ISNUMBER(INDEX(Classifica!$F$5:$F$19,$V56)),IF(INDEX(Classifica!$F$5:$F$19,$V56)&lt;&gt;0,", "&amp;IF(INDEX(Classifica!$F$5:$F$19,$V56)&gt;0,"+","")&amp;FIXED(INDEX(Classifica!$F$5:$F$19,$V56),2)&amp;" sul ciclo prima",""),"")&amp;"); ","")&amp;IF(LEFT(INDEX(Classifica!$H$5:$H$19,$V56),9)="AGIRE ORA","AGIRE ORA: servono X + Y = "&amp;FIXED(INDEX(Classifica!$Y$5:$Y$19,$V56)+INDEX(Classifica!$Z$5:$Z$19,$V56),2)&amp;" anni per decidere e mitigare"&amp;IF(N(INDEX(ANA_Anni_Adeguamento,INDEX(Classifica!$U$5:$U$19,$V56)))&gt;0,", di cui "&amp;N(INDEX(ANA_Anni_Adeguamento,INDEX(Classifica!$U$5:$U$19,$V56)))&amp;" di adeguamento strutturale","")&amp;"; ne restano Z = "&amp;FIXED(INDEX(Classifica!$AA$5:$AA$19,$V56),1)&amp;" prima che possa manifestarsi; ",IF(AND($V56&lt;=3,LEFT(INDEX(Classifica!$H$5:$H$19,$V56),11)="Agire entro"),"margine di Mosca sotto l'anno ("&amp;FIXED(INDEX(Classifica!$I$5:$I$19,$V56),2)&amp;"); ",""))&amp;IF(INDEX(Classifica!$G$5:$G$19,$V56)="Variato","variato nel ciclo"&amp;IF(ISNUMBER(INDEX(Classifica!$F$5:$F$19,$V56)),IF(INDEX(Classifica!$F$5:$F$19,$V56)&gt;0,": peggiora",IF(INDEX(Classifica!$F$5:$F$19,$V56)&lt;0,": migliora","")),"")&amp;"; ",IF(INDEX(Classifica!$G$5:$G$19,$V56)="Nuovo","nuovo nel ciclo; ",""))&amp;IF(INDEX(ANA_Attenzione_Supervisore,INDEX(Classifica!$U$5:$U$19,$V56))="Sì","tema all'attenzione del supervisore; ","")&amp;IF(COUNTIFS(KRI_ID_Rischio,INDEX(Classifica!$B$5:$B$19,$V56),KRI_Ciclo,cicloCorrente,KRI_In_Vigore,"Sì",KRI_Stato,"Rosso")&gt;0,COUNTIFS(KRI_ID_Rischio,INDEX(Classifica!$B$5:$B$19,$V56),KRI_Ciclo,cicloCorrente,KRI_In_Vigore,"Sì",KRI_Stato,"Rosso")&amp;" KRI in rosso; ","")&amp;IF(INDEX(posNetti,INDEX(Classifica!$U$5:$U$19,$V56))&gt;=sogliaDirezione,"notizie in peggioramento (+"&amp;INDEX(posNetti,INDEX(Classifica!$U$5:$U$19,$V56))&amp;" segnali netti in 4 settimane); ",IF(INDEX(posNetti,INDEX(Classifica!$U$5:$U$19,$V56))&lt;=-sogliaDirezione,"notizie in miglioramento ("&amp;INDEX(posNetti,INDEX(Classifica!$U$5:$U$19,$V56))&amp;" segnali netti in 4 settimane); ","")))</f>
        <v/>
      </c>
      <c r="BH56">
        <f>2*PI()*51/72</f>
        <v>4.4505895925855405</v>
      </c>
      <c r="BI56">
        <f t="shared" si="8"/>
        <v>-1.9318516525781366</v>
      </c>
      <c r="BJ56">
        <f t="shared" si="9"/>
        <v>-0.51763809020504126</v>
      </c>
      <c r="BK56">
        <f t="shared" si="10"/>
        <v>-2.897777478867205</v>
      </c>
      <c r="BL56">
        <f t="shared" si="11"/>
        <v>-0.77645713530756189</v>
      </c>
      <c r="BM56">
        <f t="shared" si="12"/>
        <v>-3.8637033051562732</v>
      </c>
      <c r="BN56">
        <f t="shared" si="13"/>
        <v>-1.0352761804100825</v>
      </c>
      <c r="BO56">
        <f t="shared" si="14"/>
        <v>-4.8296291314453415</v>
      </c>
      <c r="BP56">
        <f t="shared" si="15"/>
        <v>-1.2940952255126033</v>
      </c>
    </row>
    <row r="57" spans="1:68" ht="3" customHeight="1" x14ac:dyDescent="0.4">
      <c r="A57" s="103" t="str">
        <f>IF($V57="","",INDEX(Classifica!$B$5:$B$19,$V57)&amp;CHAR(10)&amp;INDEX(Classifica!$C$5:$C$19,$V57)&amp;IF(INDEX(ANA_Attenzione_Supervisore,INDEX(Classifica!$U$5:$U$19,$V57))="Sì",CHAR(10)&amp;"◆ attenzione del supervisore",""))</f>
        <v/>
      </c>
      <c r="B57" s="98"/>
      <c r="C57" s="98"/>
      <c r="D57" s="25" t="str">
        <f>IF($V57="","",IF(LEFT(INDEX(Classifica!$H$5:$H$19,$V57),9)="AGIRE ORA","AGIRE ORA",IF(LEFT(INDEX(Classifica!$H$5:$H$19,$V57),11)="Agire entro","Entro l'anno",INDEX(Classifica!$H$5:$H$19,$V57))))</f>
        <v/>
      </c>
      <c r="E57" s="100" t="str">
        <f t="shared" si="16"/>
        <v/>
      </c>
      <c r="F57" s="98"/>
      <c r="G57" s="98"/>
      <c r="H57" s="98"/>
      <c r="I57" s="100" t="str">
        <f>IF($V57="","",IF(INDEX(Classifica!$G$5:$G$19,$V57)="Nuovo","Rischio nuovo nel ciclo.",IFERROR(IF(INDEX(RR_Variazioni,MATCH(cicloCorrente&amp;"|"&amp;INDEX(Classifica!$B$5:$B$19,$V57),RR_Chiave,0))&amp;""="[]","Nessun valore cambiato: confermato sulle fonti del ciclo precedente.",SUBSTITUTE(SUBSTITUTE(SUBSTITUTE(SUBSTITUTE(SUBSTITUTE(SUBSTITUTE(SUBSTITUTE(SUBSTITUTE(SUBSTITUTE(SUBSTITUTE(SUBSTITUTE(SUBSTITUTE(SUBSTITUTE(INDEX(RR_Variazioni,MATCH(cicloCorrente&amp;"|"&amp;INDEX(Classifica!$B$5:$B$19,$V57)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Probabilita")),"")))</f>
        <v/>
      </c>
      <c r="J57" s="98"/>
      <c r="K57" s="98"/>
      <c r="L57" s="98"/>
      <c r="M57" s="98"/>
      <c r="N57" s="98"/>
      <c r="O57" s="98"/>
      <c r="U57" t="str">
        <f>IF(Classifica!$B$18="","",IF(OR(14&lt;=3,LEFT(Classifica!$H$18,9)="AGIRE ORA",Classifica!$G$18="Variato",Classifica!$G$18="Nuovo"),14,""))</f>
        <v/>
      </c>
      <c r="V57" t="str">
        <f>IFERROR(_xlfn.AGGREGATE(15,6,$U$44:$U$58,14),"")</f>
        <v/>
      </c>
      <c r="W57" t="str">
        <f>IF($V57="","",IF($V57&lt;=3,$V57&amp;"° per score composito ("&amp;FIXED(INDEX(Classifica!$D$5:$D$19,$V57),2)&amp;IF(ISNUMBER(INDEX(Classifica!$F$5:$F$19,$V57)),IF(INDEX(Classifica!$F$5:$F$19,$V57)&lt;&gt;0,", "&amp;IF(INDEX(Classifica!$F$5:$F$19,$V57)&gt;0,"+","")&amp;FIXED(INDEX(Classifica!$F$5:$F$19,$V57),2)&amp;" sul ciclo prima",""),"")&amp;"); ","")&amp;IF(LEFT(INDEX(Classifica!$H$5:$H$19,$V57),9)="AGIRE ORA","AGIRE ORA: servono X + Y = "&amp;FIXED(INDEX(Classifica!$Y$5:$Y$19,$V57)+INDEX(Classifica!$Z$5:$Z$19,$V57),2)&amp;" anni per decidere e mitigare"&amp;IF(N(INDEX(ANA_Anni_Adeguamento,INDEX(Classifica!$U$5:$U$19,$V57)))&gt;0,", di cui "&amp;N(INDEX(ANA_Anni_Adeguamento,INDEX(Classifica!$U$5:$U$19,$V57)))&amp;" di adeguamento strutturale","")&amp;"; ne restano Z = "&amp;FIXED(INDEX(Classifica!$AA$5:$AA$19,$V57),1)&amp;" prima che possa manifestarsi; ",IF(AND($V57&lt;=3,LEFT(INDEX(Classifica!$H$5:$H$19,$V57),11)="Agire entro"),"margine di Mosca sotto l'anno ("&amp;FIXED(INDEX(Classifica!$I$5:$I$19,$V57),2)&amp;"); ",""))&amp;IF(INDEX(Classifica!$G$5:$G$19,$V57)="Variato","variato nel ciclo"&amp;IF(ISNUMBER(INDEX(Classifica!$F$5:$F$19,$V57)),IF(INDEX(Classifica!$F$5:$F$19,$V57)&gt;0,": peggiora",IF(INDEX(Classifica!$F$5:$F$19,$V57)&lt;0,": migliora","")),"")&amp;"; ",IF(INDEX(Classifica!$G$5:$G$19,$V57)="Nuovo","nuovo nel ciclo; ",""))&amp;IF(INDEX(ANA_Attenzione_Supervisore,INDEX(Classifica!$U$5:$U$19,$V57))="Sì","tema all'attenzione del supervisore; ","")&amp;IF(COUNTIFS(KRI_ID_Rischio,INDEX(Classifica!$B$5:$B$19,$V57),KRI_Ciclo,cicloCorrente,KRI_In_Vigore,"Sì",KRI_Stato,"Rosso")&gt;0,COUNTIFS(KRI_ID_Rischio,INDEX(Classifica!$B$5:$B$19,$V57),KRI_Ciclo,cicloCorrente,KRI_In_Vigore,"Sì",KRI_Stato,"Rosso")&amp;" KRI in rosso; ","")&amp;IF(INDEX(posNetti,INDEX(Classifica!$U$5:$U$19,$V57))&gt;=sogliaDirezione,"notizie in peggioramento (+"&amp;INDEX(posNetti,INDEX(Classifica!$U$5:$U$19,$V57))&amp;" segnali netti in 4 settimane); ",IF(INDEX(posNetti,INDEX(Classifica!$U$5:$U$19,$V57))&lt;=-sogliaDirezione,"notizie in miglioramento ("&amp;INDEX(posNetti,INDEX(Classifica!$U$5:$U$19,$V57))&amp;" segnali netti in 4 settimane); ","")))</f>
        <v/>
      </c>
      <c r="BH57">
        <f>2*PI()*52/72</f>
        <v>4.5378560551852569</v>
      </c>
      <c r="BI57">
        <f t="shared" si="8"/>
        <v>-1.969615506024416</v>
      </c>
      <c r="BJ57">
        <f t="shared" si="9"/>
        <v>-0.34729635533386066</v>
      </c>
      <c r="BK57">
        <f t="shared" si="10"/>
        <v>-2.9544232590366239</v>
      </c>
      <c r="BL57">
        <f t="shared" si="11"/>
        <v>-0.52094453300079102</v>
      </c>
      <c r="BM57">
        <f t="shared" si="12"/>
        <v>-3.9392310120488321</v>
      </c>
      <c r="BN57">
        <f t="shared" si="13"/>
        <v>-0.69459271066772132</v>
      </c>
      <c r="BO57">
        <f t="shared" si="14"/>
        <v>-4.9240387650610398</v>
      </c>
      <c r="BP57">
        <f t="shared" si="15"/>
        <v>-0.86824088833465163</v>
      </c>
    </row>
    <row r="58" spans="1:68" ht="3" customHeight="1" x14ac:dyDescent="0.4">
      <c r="A58" s="103" t="str">
        <f>IF($V58="","",INDEX(Classifica!$B$5:$B$19,$V58)&amp;CHAR(10)&amp;INDEX(Classifica!$C$5:$C$19,$V58)&amp;IF(INDEX(ANA_Attenzione_Supervisore,INDEX(Classifica!$U$5:$U$19,$V58))="Sì",CHAR(10)&amp;"◆ attenzione del supervisore",""))</f>
        <v/>
      </c>
      <c r="B58" s="98"/>
      <c r="C58" s="98"/>
      <c r="D58" s="25" t="str">
        <f>IF($V58="","",IF(LEFT(INDEX(Classifica!$H$5:$H$19,$V58),9)="AGIRE ORA","AGIRE ORA",IF(LEFT(INDEX(Classifica!$H$5:$H$19,$V58),11)="Agire entro","Entro l'anno",INDEX(Classifica!$H$5:$H$19,$V58))))</f>
        <v/>
      </c>
      <c r="E58" s="100" t="str">
        <f t="shared" si="16"/>
        <v/>
      </c>
      <c r="F58" s="98"/>
      <c r="G58" s="98"/>
      <c r="H58" s="98"/>
      <c r="I58" s="100" t="str">
        <f>IF($V58="","",IF(INDEX(Classifica!$G$5:$G$19,$V58)="Nuovo","Rischio nuovo nel ciclo.",IFERROR(IF(INDEX(RR_Variazioni,MATCH(cicloCorrente&amp;"|"&amp;INDEX(Classifica!$B$5:$B$19,$V58),RR_Chiave,0))&amp;""="[]","Nessun valore cambiato: confermato sulle fonti del ciclo precedente.",SUBSTITUTE(SUBSTITUTE(SUBSTITUTE(SUBSTITUTE(SUBSTITUTE(SUBSTITUTE(SUBSTITUTE(SUBSTITUTE(SUBSTITUTE(SUBSTITUTE(SUBSTITUTE(SUBSTITUTE(SUBSTITUTE(INDEX(RR_Variazioni,MATCH(cicloCorrente&amp;"|"&amp;INDEX(Classifica!$B$5:$B$19,$V58)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Probabilita")),"")))</f>
        <v/>
      </c>
      <c r="J58" s="98"/>
      <c r="K58" s="98"/>
      <c r="L58" s="98"/>
      <c r="M58" s="98"/>
      <c r="N58" s="98"/>
      <c r="O58" s="98"/>
      <c r="U58" t="str">
        <f>IF(Classifica!$B$19="","",IF(OR(15&lt;=3,LEFT(Classifica!$H$19,9)="AGIRE ORA",Classifica!$G$19="Variato",Classifica!$G$19="Nuovo"),15,""))</f>
        <v/>
      </c>
      <c r="V58" t="str">
        <f>IFERROR(_xlfn.AGGREGATE(15,6,$U$44:$U$58,15),"")</f>
        <v/>
      </c>
      <c r="W58" t="str">
        <f>IF($V58="","",IF($V58&lt;=3,$V58&amp;"° per score composito ("&amp;FIXED(INDEX(Classifica!$D$5:$D$19,$V58),2)&amp;IF(ISNUMBER(INDEX(Classifica!$F$5:$F$19,$V58)),IF(INDEX(Classifica!$F$5:$F$19,$V58)&lt;&gt;0,", "&amp;IF(INDEX(Classifica!$F$5:$F$19,$V58)&gt;0,"+","")&amp;FIXED(INDEX(Classifica!$F$5:$F$19,$V58),2)&amp;" sul ciclo prima",""),"")&amp;"); ","")&amp;IF(LEFT(INDEX(Classifica!$H$5:$H$19,$V58),9)="AGIRE ORA","AGIRE ORA: servono X + Y = "&amp;FIXED(INDEX(Classifica!$Y$5:$Y$19,$V58)+INDEX(Classifica!$Z$5:$Z$19,$V58),2)&amp;" anni per decidere e mitigare"&amp;IF(N(INDEX(ANA_Anni_Adeguamento,INDEX(Classifica!$U$5:$U$19,$V58)))&gt;0,", di cui "&amp;N(INDEX(ANA_Anni_Adeguamento,INDEX(Classifica!$U$5:$U$19,$V58)))&amp;" di adeguamento strutturale","")&amp;"; ne restano Z = "&amp;FIXED(INDEX(Classifica!$AA$5:$AA$19,$V58),1)&amp;" prima che possa manifestarsi; ",IF(AND($V58&lt;=3,LEFT(INDEX(Classifica!$H$5:$H$19,$V58),11)="Agire entro"),"margine di Mosca sotto l'anno ("&amp;FIXED(INDEX(Classifica!$I$5:$I$19,$V58),2)&amp;"); ",""))&amp;IF(INDEX(Classifica!$G$5:$G$19,$V58)="Variato","variato nel ciclo"&amp;IF(ISNUMBER(INDEX(Classifica!$F$5:$F$19,$V58)),IF(INDEX(Classifica!$F$5:$F$19,$V58)&gt;0,": peggiora",IF(INDEX(Classifica!$F$5:$F$19,$V58)&lt;0,": migliora","")),"")&amp;"; ",IF(INDEX(Classifica!$G$5:$G$19,$V58)="Nuovo","nuovo nel ciclo; ",""))&amp;IF(INDEX(ANA_Attenzione_Supervisore,INDEX(Classifica!$U$5:$U$19,$V58))="Sì","tema all'attenzione del supervisore; ","")&amp;IF(COUNTIFS(KRI_ID_Rischio,INDEX(Classifica!$B$5:$B$19,$V58),KRI_Ciclo,cicloCorrente,KRI_In_Vigore,"Sì",KRI_Stato,"Rosso")&gt;0,COUNTIFS(KRI_ID_Rischio,INDEX(Classifica!$B$5:$B$19,$V58),KRI_Ciclo,cicloCorrente,KRI_In_Vigore,"Sì",KRI_Stato,"Rosso")&amp;" KRI in rosso; ","")&amp;IF(INDEX(posNetti,INDEX(Classifica!$U$5:$U$19,$V58))&gt;=sogliaDirezione,"notizie in peggioramento (+"&amp;INDEX(posNetti,INDEX(Classifica!$U$5:$U$19,$V58))&amp;" segnali netti in 4 settimane); ",IF(INDEX(posNetti,INDEX(Classifica!$U$5:$U$19,$V58))&lt;=-sogliaDirezione,"notizie in miglioramento ("&amp;INDEX(posNetti,INDEX(Classifica!$U$5:$U$19,$V58))&amp;" segnali netti in 4 settimane); ","")))</f>
        <v/>
      </c>
      <c r="BH58">
        <f>2*PI()*53/72</f>
        <v>4.6251225177849733</v>
      </c>
      <c r="BI58">
        <f t="shared" si="8"/>
        <v>-1.9923893961834911</v>
      </c>
      <c r="BJ58">
        <f t="shared" si="9"/>
        <v>-0.1743114854953165</v>
      </c>
      <c r="BK58">
        <f t="shared" si="10"/>
        <v>-2.9885840942752369</v>
      </c>
      <c r="BL58">
        <f t="shared" si="11"/>
        <v>-0.26146722824297475</v>
      </c>
      <c r="BM58">
        <f t="shared" si="12"/>
        <v>-3.9847787923669822</v>
      </c>
      <c r="BN58">
        <f t="shared" si="13"/>
        <v>-0.348622970990633</v>
      </c>
      <c r="BO58">
        <f t="shared" si="14"/>
        <v>-4.9809734904587275</v>
      </c>
      <c r="BP58">
        <f t="shared" si="15"/>
        <v>-0.43577871373829125</v>
      </c>
    </row>
    <row r="59" spans="1:68" x14ac:dyDescent="0.4">
      <c r="BH59">
        <f>2*PI()*54/72</f>
        <v>4.7123889803846897</v>
      </c>
      <c r="BI59">
        <f t="shared" si="8"/>
        <v>-2</v>
      </c>
      <c r="BJ59">
        <f t="shared" si="9"/>
        <v>-3.67544536472586E-16</v>
      </c>
      <c r="BK59">
        <f t="shared" si="10"/>
        <v>-3</v>
      </c>
      <c r="BL59">
        <f t="shared" si="11"/>
        <v>-5.51316804708879E-16</v>
      </c>
      <c r="BM59">
        <f t="shared" si="12"/>
        <v>-4</v>
      </c>
      <c r="BN59">
        <f t="shared" si="13"/>
        <v>-7.3508907294517201E-16</v>
      </c>
      <c r="BO59">
        <f t="shared" si="14"/>
        <v>-5</v>
      </c>
      <c r="BP59">
        <f t="shared" si="15"/>
        <v>-9.1886134118146501E-16</v>
      </c>
    </row>
    <row r="60" spans="1:68" ht="34" customHeight="1" x14ac:dyDescent="0.4">
      <c r="A60" s="123" t="s">
        <v>43</v>
      </c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BH60">
        <f>2*PI()*55/72</f>
        <v>4.7996554429844061</v>
      </c>
      <c r="BI60">
        <f t="shared" si="8"/>
        <v>-1.9923893961834911</v>
      </c>
      <c r="BJ60">
        <f t="shared" si="9"/>
        <v>0.17431148549531578</v>
      </c>
      <c r="BK60">
        <f t="shared" si="10"/>
        <v>-2.9885840942752369</v>
      </c>
      <c r="BL60">
        <f t="shared" si="11"/>
        <v>0.26146722824297364</v>
      </c>
      <c r="BM60">
        <f t="shared" si="12"/>
        <v>-3.9847787923669822</v>
      </c>
      <c r="BN60">
        <f t="shared" si="13"/>
        <v>0.34862297099063155</v>
      </c>
      <c r="BO60">
        <f t="shared" si="14"/>
        <v>-4.9809734904587275</v>
      </c>
      <c r="BP60">
        <f t="shared" si="15"/>
        <v>0.43577871373828947</v>
      </c>
    </row>
    <row r="61" spans="1:68" ht="37" customHeight="1" x14ac:dyDescent="0.4">
      <c r="A61" s="123" t="s">
        <v>44</v>
      </c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BH61">
        <f>2*PI()*56/72</f>
        <v>4.8869219055841224</v>
      </c>
      <c r="BI61">
        <f t="shared" si="8"/>
        <v>-1.9696155060244163</v>
      </c>
      <c r="BJ61">
        <f t="shared" si="9"/>
        <v>0.34729635533385994</v>
      </c>
      <c r="BK61">
        <f t="shared" si="10"/>
        <v>-2.9544232590366244</v>
      </c>
      <c r="BL61">
        <f t="shared" si="11"/>
        <v>0.52094453300078991</v>
      </c>
      <c r="BM61">
        <f t="shared" si="12"/>
        <v>-3.9392310120488325</v>
      </c>
      <c r="BN61">
        <f t="shared" si="13"/>
        <v>0.69459271066771988</v>
      </c>
      <c r="BO61">
        <f t="shared" si="14"/>
        <v>-4.9240387650610407</v>
      </c>
      <c r="BP61">
        <f t="shared" si="15"/>
        <v>0.86824088833464985</v>
      </c>
    </row>
    <row r="62" spans="1:68" x14ac:dyDescent="0.4">
      <c r="BH62">
        <f>2*PI()*57/72</f>
        <v>4.9741883681838388</v>
      </c>
      <c r="BI62">
        <f t="shared" si="8"/>
        <v>-1.9318516525781368</v>
      </c>
      <c r="BJ62">
        <f t="shared" si="9"/>
        <v>0.51763809020504059</v>
      </c>
      <c r="BK62">
        <f t="shared" si="10"/>
        <v>-2.897777478867205</v>
      </c>
      <c r="BL62">
        <f t="shared" si="11"/>
        <v>0.77645713530756089</v>
      </c>
      <c r="BM62">
        <f t="shared" si="12"/>
        <v>-3.8637033051562737</v>
      </c>
      <c r="BN62">
        <f t="shared" si="13"/>
        <v>1.0352761804100812</v>
      </c>
      <c r="BO62">
        <f t="shared" si="14"/>
        <v>-4.8296291314453423</v>
      </c>
      <c r="BP62">
        <f t="shared" si="15"/>
        <v>1.2940952255126015</v>
      </c>
    </row>
    <row r="63" spans="1:68" x14ac:dyDescent="0.4">
      <c r="BH63">
        <f>2*PI()*58/72</f>
        <v>5.0614548307835561</v>
      </c>
      <c r="BI63">
        <f t="shared" si="8"/>
        <v>-1.8793852415718166</v>
      </c>
      <c r="BJ63">
        <f t="shared" si="9"/>
        <v>0.68404028665133798</v>
      </c>
      <c r="BK63">
        <f t="shared" si="10"/>
        <v>-2.8190778623577248</v>
      </c>
      <c r="BL63">
        <f t="shared" si="11"/>
        <v>1.0260604299770071</v>
      </c>
      <c r="BM63">
        <f t="shared" si="12"/>
        <v>-3.7587704831436333</v>
      </c>
      <c r="BN63">
        <f t="shared" si="13"/>
        <v>1.368080573302676</v>
      </c>
      <c r="BO63">
        <f t="shared" si="14"/>
        <v>-4.6984631039295417</v>
      </c>
      <c r="BP63">
        <f t="shared" si="15"/>
        <v>1.7101007166283448</v>
      </c>
    </row>
    <row r="64" spans="1:68" x14ac:dyDescent="0.4">
      <c r="BH64">
        <f>2*PI()*59/72</f>
        <v>5.1487212933832716</v>
      </c>
      <c r="BI64">
        <f t="shared" si="8"/>
        <v>-1.8126155740733005</v>
      </c>
      <c r="BJ64">
        <f t="shared" si="9"/>
        <v>0.84523652348139766</v>
      </c>
      <c r="BK64">
        <f t="shared" si="10"/>
        <v>-2.718923361109951</v>
      </c>
      <c r="BL64">
        <f t="shared" si="11"/>
        <v>1.2678547852220965</v>
      </c>
      <c r="BM64">
        <f t="shared" si="12"/>
        <v>-3.6252311481466011</v>
      </c>
      <c r="BN64">
        <f t="shared" si="13"/>
        <v>1.6904730469627953</v>
      </c>
      <c r="BO64">
        <f t="shared" si="14"/>
        <v>-4.5315389351832511</v>
      </c>
      <c r="BP64">
        <f t="shared" si="15"/>
        <v>2.1130913087034942</v>
      </c>
    </row>
    <row r="65" spans="60:68" x14ac:dyDescent="0.4">
      <c r="BH65">
        <f>2*PI()*60/72</f>
        <v>5.2359877559829879</v>
      </c>
      <c r="BI65">
        <f t="shared" si="8"/>
        <v>-1.7320508075688781</v>
      </c>
      <c r="BJ65">
        <f t="shared" si="9"/>
        <v>0.99999999999999867</v>
      </c>
      <c r="BK65">
        <f t="shared" si="10"/>
        <v>-2.5980762113533169</v>
      </c>
      <c r="BL65">
        <f t="shared" si="11"/>
        <v>1.499999999999998</v>
      </c>
      <c r="BM65">
        <f t="shared" si="12"/>
        <v>-3.4641016151377562</v>
      </c>
      <c r="BN65">
        <f t="shared" si="13"/>
        <v>1.9999999999999973</v>
      </c>
      <c r="BO65">
        <f t="shared" si="14"/>
        <v>-4.3301270189221954</v>
      </c>
      <c r="BP65">
        <f t="shared" si="15"/>
        <v>2.4999999999999964</v>
      </c>
    </row>
    <row r="66" spans="60:68" x14ac:dyDescent="0.4">
      <c r="BH66">
        <f>2*PI()*61/72</f>
        <v>5.3232542185827052</v>
      </c>
      <c r="BI66">
        <f t="shared" si="8"/>
        <v>-1.6383040885779836</v>
      </c>
      <c r="BJ66">
        <f t="shared" si="9"/>
        <v>1.1471528727020921</v>
      </c>
      <c r="BK66">
        <f t="shared" si="10"/>
        <v>-2.4574561328669753</v>
      </c>
      <c r="BL66">
        <f t="shared" si="11"/>
        <v>1.7207293090531381</v>
      </c>
      <c r="BM66">
        <f t="shared" si="12"/>
        <v>-3.2766081771559672</v>
      </c>
      <c r="BN66">
        <f t="shared" si="13"/>
        <v>2.2943057454041842</v>
      </c>
      <c r="BO66">
        <f t="shared" si="14"/>
        <v>-4.0957602214449587</v>
      </c>
      <c r="BP66">
        <f t="shared" si="15"/>
        <v>2.8678821817552302</v>
      </c>
    </row>
    <row r="67" spans="60:68" x14ac:dyDescent="0.4">
      <c r="BH67">
        <f>2*PI()*62/72</f>
        <v>5.4105206811824216</v>
      </c>
      <c r="BI67">
        <f t="shared" si="8"/>
        <v>-1.5320888862379562</v>
      </c>
      <c r="BJ67">
        <f t="shared" si="9"/>
        <v>1.2855752193730785</v>
      </c>
      <c r="BK67">
        <f t="shared" si="10"/>
        <v>-2.2981333293569346</v>
      </c>
      <c r="BL67">
        <f t="shared" si="11"/>
        <v>1.9283628290596178</v>
      </c>
      <c r="BM67">
        <f t="shared" si="12"/>
        <v>-3.0641777724759125</v>
      </c>
      <c r="BN67">
        <f t="shared" si="13"/>
        <v>2.571150438746157</v>
      </c>
      <c r="BO67">
        <f t="shared" si="14"/>
        <v>-3.8302222155948904</v>
      </c>
      <c r="BP67">
        <f t="shared" si="15"/>
        <v>3.2139380484326963</v>
      </c>
    </row>
    <row r="68" spans="60:68" x14ac:dyDescent="0.4">
      <c r="BH68">
        <f>2*PI()*63/72</f>
        <v>5.497787143782138</v>
      </c>
      <c r="BI68">
        <f t="shared" si="8"/>
        <v>-1.4142135623730954</v>
      </c>
      <c r="BJ68">
        <f t="shared" si="9"/>
        <v>1.4142135623730947</v>
      </c>
      <c r="BK68">
        <f t="shared" si="10"/>
        <v>-2.1213203435596428</v>
      </c>
      <c r="BL68">
        <f t="shared" si="11"/>
        <v>2.1213203435596419</v>
      </c>
      <c r="BM68">
        <f t="shared" si="12"/>
        <v>-2.8284271247461907</v>
      </c>
      <c r="BN68">
        <f t="shared" si="13"/>
        <v>2.8284271247461894</v>
      </c>
      <c r="BO68">
        <f t="shared" si="14"/>
        <v>-3.5355339059327386</v>
      </c>
      <c r="BP68">
        <f t="shared" si="15"/>
        <v>3.5355339059327369</v>
      </c>
    </row>
    <row r="69" spans="60:68" x14ac:dyDescent="0.4">
      <c r="BH69">
        <f>2*PI()*64/72</f>
        <v>5.5850536063818543</v>
      </c>
      <c r="BI69">
        <f t="shared" ref="BI69:BI77" si="17">2*SIN($BH69)</f>
        <v>-1.2855752193730792</v>
      </c>
      <c r="BJ69">
        <f t="shared" ref="BJ69:BJ77" si="18">2*COS($BH69)</f>
        <v>1.5320888862379556</v>
      </c>
      <c r="BK69">
        <f t="shared" ref="BK69:BK77" si="19">3*SIN($BH69)</f>
        <v>-1.9283628290596186</v>
      </c>
      <c r="BL69">
        <f t="shared" ref="BL69:BL77" si="20">3*COS($BH69)</f>
        <v>2.2981333293569333</v>
      </c>
      <c r="BM69">
        <f t="shared" ref="BM69:BM77" si="21">4*SIN($BH69)</f>
        <v>-2.5711504387461583</v>
      </c>
      <c r="BN69">
        <f t="shared" ref="BN69:BN77" si="22">4*COS($BH69)</f>
        <v>3.0641777724759112</v>
      </c>
      <c r="BO69">
        <f t="shared" ref="BO69:BO77" si="23">5*SIN($BH69)</f>
        <v>-3.213938048432698</v>
      </c>
      <c r="BP69">
        <f t="shared" ref="BP69:BP77" si="24">5*COS($BH69)</f>
        <v>3.8302222155948891</v>
      </c>
    </row>
    <row r="70" spans="60:68" x14ac:dyDescent="0.4">
      <c r="BH70">
        <f>2*PI()*65/72</f>
        <v>5.6723200689815707</v>
      </c>
      <c r="BI70">
        <f t="shared" si="17"/>
        <v>-1.147152872702093</v>
      </c>
      <c r="BJ70">
        <f t="shared" si="18"/>
        <v>1.6383040885779832</v>
      </c>
      <c r="BK70">
        <f t="shared" si="19"/>
        <v>-1.7207293090531395</v>
      </c>
      <c r="BL70">
        <f t="shared" si="20"/>
        <v>2.4574561328669748</v>
      </c>
      <c r="BM70">
        <f t="shared" si="21"/>
        <v>-2.294305745404186</v>
      </c>
      <c r="BN70">
        <f t="shared" si="22"/>
        <v>3.2766081771559663</v>
      </c>
      <c r="BO70">
        <f t="shared" si="23"/>
        <v>-2.8678821817552325</v>
      </c>
      <c r="BP70">
        <f t="shared" si="24"/>
        <v>4.0957602214449578</v>
      </c>
    </row>
    <row r="71" spans="60:68" x14ac:dyDescent="0.4">
      <c r="BH71">
        <f>2*PI()*66/72</f>
        <v>5.759586531581288</v>
      </c>
      <c r="BI71">
        <f t="shared" si="17"/>
        <v>-0.99999999999999933</v>
      </c>
      <c r="BJ71">
        <f t="shared" si="18"/>
        <v>1.7320508075688776</v>
      </c>
      <c r="BK71">
        <f t="shared" si="19"/>
        <v>-1.4999999999999991</v>
      </c>
      <c r="BL71">
        <f t="shared" si="20"/>
        <v>2.5980762113533165</v>
      </c>
      <c r="BM71">
        <f t="shared" si="21"/>
        <v>-1.9999999999999987</v>
      </c>
      <c r="BN71">
        <f t="shared" si="22"/>
        <v>3.4641016151377553</v>
      </c>
      <c r="BO71">
        <f t="shared" si="23"/>
        <v>-2.4999999999999982</v>
      </c>
      <c r="BP71">
        <f t="shared" si="24"/>
        <v>4.3301270189221945</v>
      </c>
    </row>
    <row r="72" spans="60:68" x14ac:dyDescent="0.4">
      <c r="BH72">
        <f>2*PI()*67/72</f>
        <v>5.8468529941810035</v>
      </c>
      <c r="BI72">
        <f t="shared" si="17"/>
        <v>-0.84523652348139999</v>
      </c>
      <c r="BJ72">
        <f t="shared" si="18"/>
        <v>1.8126155740732994</v>
      </c>
      <c r="BK72">
        <f t="shared" si="19"/>
        <v>-1.2678547852221</v>
      </c>
      <c r="BL72">
        <f t="shared" si="20"/>
        <v>2.7189233611099493</v>
      </c>
      <c r="BM72">
        <f t="shared" si="21"/>
        <v>-1.6904730469628</v>
      </c>
      <c r="BN72">
        <f t="shared" si="22"/>
        <v>3.6252311481465989</v>
      </c>
      <c r="BO72">
        <f t="shared" si="23"/>
        <v>-2.1130913087034999</v>
      </c>
      <c r="BP72">
        <f t="shared" si="24"/>
        <v>4.5315389351832485</v>
      </c>
    </row>
    <row r="73" spans="60:68" x14ac:dyDescent="0.4">
      <c r="BH73">
        <f>2*PI()*68/72</f>
        <v>5.9341194567807207</v>
      </c>
      <c r="BI73">
        <f t="shared" si="17"/>
        <v>-0.6840402866513372</v>
      </c>
      <c r="BJ73">
        <f t="shared" si="18"/>
        <v>1.8793852415718169</v>
      </c>
      <c r="BK73">
        <f t="shared" si="19"/>
        <v>-1.0260604299770058</v>
      </c>
      <c r="BL73">
        <f t="shared" si="20"/>
        <v>2.8190778623577253</v>
      </c>
      <c r="BM73">
        <f t="shared" si="21"/>
        <v>-1.3680805733026744</v>
      </c>
      <c r="BN73">
        <f t="shared" si="22"/>
        <v>3.7587704831436337</v>
      </c>
      <c r="BO73">
        <f t="shared" si="23"/>
        <v>-1.7101007166283431</v>
      </c>
      <c r="BP73">
        <f t="shared" si="24"/>
        <v>4.6984631039295426</v>
      </c>
    </row>
    <row r="74" spans="60:68" x14ac:dyDescent="0.4">
      <c r="BH74">
        <f>2*PI()*69/72</f>
        <v>6.0213859193804371</v>
      </c>
      <c r="BI74">
        <f t="shared" si="17"/>
        <v>-0.51763809020504137</v>
      </c>
      <c r="BJ74">
        <f t="shared" si="18"/>
        <v>1.9318516525781366</v>
      </c>
      <c r="BK74">
        <f t="shared" si="19"/>
        <v>-0.776457135307562</v>
      </c>
      <c r="BL74">
        <f t="shared" si="20"/>
        <v>2.897777478867205</v>
      </c>
      <c r="BM74">
        <f t="shared" si="21"/>
        <v>-1.0352761804100827</v>
      </c>
      <c r="BN74">
        <f t="shared" si="22"/>
        <v>3.8637033051562732</v>
      </c>
      <c r="BO74">
        <f t="shared" si="23"/>
        <v>-1.2940952255126035</v>
      </c>
      <c r="BP74">
        <f t="shared" si="24"/>
        <v>4.8296291314453415</v>
      </c>
    </row>
    <row r="75" spans="60:68" x14ac:dyDescent="0.4">
      <c r="BH75">
        <f>2*PI()*70/72</f>
        <v>6.1086523819801535</v>
      </c>
      <c r="BI75">
        <f t="shared" si="17"/>
        <v>-0.34729635533386077</v>
      </c>
      <c r="BJ75">
        <f t="shared" si="18"/>
        <v>1.969615506024416</v>
      </c>
      <c r="BK75">
        <f t="shared" si="19"/>
        <v>-0.52094453300079113</v>
      </c>
      <c r="BL75">
        <f t="shared" si="20"/>
        <v>2.9544232590366239</v>
      </c>
      <c r="BM75">
        <f t="shared" si="21"/>
        <v>-0.69459271066772155</v>
      </c>
      <c r="BN75">
        <f t="shared" si="22"/>
        <v>3.9392310120488321</v>
      </c>
      <c r="BO75">
        <f t="shared" si="23"/>
        <v>-0.86824088833465196</v>
      </c>
      <c r="BP75">
        <f t="shared" si="24"/>
        <v>4.9240387650610398</v>
      </c>
    </row>
    <row r="76" spans="60:68" x14ac:dyDescent="0.4">
      <c r="BH76">
        <f>2*PI()*71/72</f>
        <v>6.1959188445798699</v>
      </c>
      <c r="BI76">
        <f t="shared" si="17"/>
        <v>-0.17431148549531664</v>
      </c>
      <c r="BJ76">
        <f t="shared" si="18"/>
        <v>1.9923893961834911</v>
      </c>
      <c r="BK76">
        <f t="shared" si="19"/>
        <v>-0.26146722824297497</v>
      </c>
      <c r="BL76">
        <f t="shared" si="20"/>
        <v>2.9885840942752369</v>
      </c>
      <c r="BM76">
        <f t="shared" si="21"/>
        <v>-0.34862297099063327</v>
      </c>
      <c r="BN76">
        <f t="shared" si="22"/>
        <v>3.9847787923669822</v>
      </c>
      <c r="BO76">
        <f t="shared" si="23"/>
        <v>-0.43577871373829158</v>
      </c>
      <c r="BP76">
        <f t="shared" si="24"/>
        <v>4.9809734904587275</v>
      </c>
    </row>
    <row r="77" spans="60:68" x14ac:dyDescent="0.4">
      <c r="BH77">
        <f>2*PI()*72/72</f>
        <v>6.2831853071795862</v>
      </c>
      <c r="BI77">
        <f t="shared" si="17"/>
        <v>-4.90059381963448E-16</v>
      </c>
      <c r="BJ77">
        <f t="shared" si="18"/>
        <v>2</v>
      </c>
      <c r="BK77">
        <f t="shared" si="19"/>
        <v>-7.3508907294517201E-16</v>
      </c>
      <c r="BL77">
        <f t="shared" si="20"/>
        <v>3</v>
      </c>
      <c r="BM77">
        <f t="shared" si="21"/>
        <v>-9.8011876392689601E-16</v>
      </c>
      <c r="BN77">
        <f t="shared" si="22"/>
        <v>4</v>
      </c>
      <c r="BO77">
        <f t="shared" si="23"/>
        <v>-1.22514845490862E-15</v>
      </c>
      <c r="BP77">
        <f t="shared" si="24"/>
        <v>5</v>
      </c>
    </row>
  </sheetData>
  <mergeCells count="102">
    <mergeCell ref="A1:O1"/>
    <mergeCell ref="E46:H46"/>
    <mergeCell ref="D36:O36"/>
    <mergeCell ref="I55:O55"/>
    <mergeCell ref="D6:F6"/>
    <mergeCell ref="A54:C54"/>
    <mergeCell ref="B9:E9"/>
    <mergeCell ref="I48:O48"/>
    <mergeCell ref="E57:H57"/>
    <mergeCell ref="K24:O24"/>
    <mergeCell ref="E54:H54"/>
    <mergeCell ref="A56:C56"/>
    <mergeCell ref="K21:O21"/>
    <mergeCell ref="K26:O26"/>
    <mergeCell ref="E56:H56"/>
    <mergeCell ref="E43:H43"/>
    <mergeCell ref="D4:F4"/>
    <mergeCell ref="A53:C53"/>
    <mergeCell ref="E44:H44"/>
    <mergeCell ref="A39:C39"/>
    <mergeCell ref="A48:C48"/>
    <mergeCell ref="A36:C36"/>
    <mergeCell ref="A45:C45"/>
    <mergeCell ref="K28:O28"/>
    <mergeCell ref="A61:O61"/>
    <mergeCell ref="K18:O18"/>
    <mergeCell ref="J6:L6"/>
    <mergeCell ref="A41:O41"/>
    <mergeCell ref="I51:O51"/>
    <mergeCell ref="J4:L4"/>
    <mergeCell ref="A50:C50"/>
    <mergeCell ref="E53:H53"/>
    <mergeCell ref="A47:C47"/>
    <mergeCell ref="G5:I5"/>
    <mergeCell ref="E50:H50"/>
    <mergeCell ref="E55:H55"/>
    <mergeCell ref="I49:O49"/>
    <mergeCell ref="E52:H52"/>
    <mergeCell ref="A35:O35"/>
    <mergeCell ref="A8:H8"/>
    <mergeCell ref="A17:H17"/>
    <mergeCell ref="I53:O53"/>
    <mergeCell ref="E58:H58"/>
    <mergeCell ref="I58:O58"/>
    <mergeCell ref="B10:E10"/>
    <mergeCell ref="A60:O60"/>
    <mergeCell ref="E49:H49"/>
    <mergeCell ref="A55:C55"/>
    <mergeCell ref="A2:O2"/>
    <mergeCell ref="A5:C5"/>
    <mergeCell ref="G4:I4"/>
    <mergeCell ref="K22:O22"/>
    <mergeCell ref="A4:C4"/>
    <mergeCell ref="K31:O31"/>
    <mergeCell ref="A38:C38"/>
    <mergeCell ref="I45:O45"/>
    <mergeCell ref="E48:H48"/>
    <mergeCell ref="A44:C44"/>
    <mergeCell ref="D5:F5"/>
    <mergeCell ref="M4:O4"/>
    <mergeCell ref="B11:E11"/>
    <mergeCell ref="I47:O47"/>
    <mergeCell ref="J8:O8"/>
    <mergeCell ref="K23:O23"/>
    <mergeCell ref="J5:L5"/>
    <mergeCell ref="A6:C6"/>
    <mergeCell ref="M5:O5"/>
    <mergeCell ref="I43:O43"/>
    <mergeCell ref="K19:O19"/>
    <mergeCell ref="E45:H45"/>
    <mergeCell ref="G6:I6"/>
    <mergeCell ref="K25:O25"/>
    <mergeCell ref="A58:C58"/>
    <mergeCell ref="A51:C51"/>
    <mergeCell ref="B12:E12"/>
    <mergeCell ref="D38:O38"/>
    <mergeCell ref="E51:H51"/>
    <mergeCell ref="I57:O57"/>
    <mergeCell ref="J17:O17"/>
    <mergeCell ref="K27:O27"/>
    <mergeCell ref="I54:O54"/>
    <mergeCell ref="B14:E14"/>
    <mergeCell ref="A49:C49"/>
    <mergeCell ref="B13:E13"/>
    <mergeCell ref="I56:O56"/>
    <mergeCell ref="I52:O52"/>
    <mergeCell ref="K30:O30"/>
    <mergeCell ref="A37:C37"/>
    <mergeCell ref="A46:C46"/>
    <mergeCell ref="I44:O44"/>
    <mergeCell ref="A57:C57"/>
    <mergeCell ref="E47:H47"/>
    <mergeCell ref="D37:O37"/>
    <mergeCell ref="K32:O32"/>
    <mergeCell ref="I46:O46"/>
    <mergeCell ref="A43:C43"/>
    <mergeCell ref="D39:O39"/>
    <mergeCell ref="A52:C52"/>
    <mergeCell ref="M6:O6"/>
    <mergeCell ref="I50:O50"/>
    <mergeCell ref="K20:O20"/>
    <mergeCell ref="K29:O29"/>
  </mergeCells>
  <conditionalFormatting sqref="A44:O58">
    <cfRule type="expression" dxfId="80" priority="14">
      <formula>$V44&lt;&gt;""</formula>
    </cfRule>
  </conditionalFormatting>
  <conditionalFormatting sqref="D44:D58">
    <cfRule type="expression" dxfId="79" priority="11">
      <formula>LEFT(D44,9)="AGIRE ORA"</formula>
    </cfRule>
    <cfRule type="expression" dxfId="78" priority="12">
      <formula>OR(LEFT(D44,11)="Agire entro",LEFT(D44,12)="Entro l'anno")</formula>
    </cfRule>
    <cfRule type="expression" dxfId="77" priority="13">
      <formula>LEFT(D44,7)="Margine"</formula>
    </cfRule>
  </conditionalFormatting>
  <conditionalFormatting sqref="D4:F6">
    <cfRule type="expression" dxfId="76" priority="1">
      <formula>$D$5=0</formula>
    </cfRule>
  </conditionalFormatting>
  <conditionalFormatting sqref="D39:O39">
    <cfRule type="expression" dxfId="75" priority="10">
      <formula>$D$39&lt;&gt;""</formula>
    </cfRule>
  </conditionalFormatting>
  <conditionalFormatting sqref="F10:F14">
    <cfRule type="dataBar" priority="4">
      <dataBar>
        <cfvo type="num" val="0"/>
        <cfvo type="num" val="5"/>
        <color rgb="FF8EA9DB"/>
      </dataBar>
    </cfRule>
  </conditionalFormatting>
  <conditionalFormatting sqref="G10:G14">
    <cfRule type="expression" dxfId="74" priority="5">
      <formula>AND(ISNUMBER(G10),G10&gt;0)</formula>
    </cfRule>
    <cfRule type="expression" dxfId="73" priority="6">
      <formula>AND(ISNUMBER(G10),G10&lt;0)</formula>
    </cfRule>
  </conditionalFormatting>
  <conditionalFormatting sqref="H10:H14">
    <cfRule type="expression" dxfId="72" priority="7">
      <formula>LEFT(H10,9)="AGIRE ORA"</formula>
    </cfRule>
    <cfRule type="expression" dxfId="71" priority="8">
      <formula>OR(LEFT(H10,11)="Agire entro",LEFT(H10,12)="Entro l'anno")</formula>
    </cfRule>
    <cfRule type="expression" dxfId="70" priority="9">
      <formula>LEFT(H10,7)="Margine"</formula>
    </cfRule>
  </conditionalFormatting>
  <conditionalFormatting sqref="J4:L6">
    <cfRule type="expression" dxfId="69" priority="2">
      <formula>$J$5=0</formula>
    </cfRule>
  </conditionalFormatting>
  <conditionalFormatting sqref="M4:O6">
    <cfRule type="expression" dxfId="68" priority="3">
      <formula>decisioniDaPrendere&gt;0</formula>
    </cfRule>
  </conditionalFormatting>
  <pageMargins left="0.4" right="0.4" top="0.5" bottom="0.5" header="0.2" footer="0.2"/>
  <pageSetup paperSize="9" scale="78" fitToHeight="0" orientation="landscape"/>
  <headerFooter>
    <oddHeader>&amp;L&amp;A&amp;CUso interno&amp;RHorizon Scan NFR</oddHeader>
    <oddFooter>&amp;L&amp;F&amp;RPagina &amp;P di &amp;N</oddFooter>
  </headerFooter>
  <rowBreaks count="1" manualBreakCount="1">
    <brk id="33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  <pageSetUpPr fitToPage="1"/>
  </sheetPr>
  <dimension ref="A1:AL49"/>
  <sheetViews>
    <sheetView showGridLines="0" workbookViewId="0"/>
  </sheetViews>
  <sheetFormatPr defaultRowHeight="14.6" x14ac:dyDescent="0.4"/>
  <cols>
    <col min="1" max="1" width="6" customWidth="1"/>
    <col min="2" max="2" width="9" customWidth="1"/>
    <col min="3" max="3" width="46" customWidth="1"/>
    <col min="4" max="5" width="11" customWidth="1"/>
    <col min="6" max="6" width="9" customWidth="1"/>
    <col min="7" max="7" width="12" customWidth="1"/>
    <col min="8" max="8" width="20" customWidth="1"/>
    <col min="9" max="9" width="12" customWidth="1"/>
    <col min="10" max="10" width="28" customWidth="1"/>
    <col min="11" max="11" width="36" customWidth="1"/>
    <col min="20" max="36" width="13" hidden="1" customWidth="1"/>
    <col min="38" max="38" width="13" hidden="1" customWidth="1"/>
  </cols>
  <sheetData>
    <row r="1" spans="1:38" ht="28" customHeight="1" x14ac:dyDescent="0.4">
      <c r="A1" s="126" t="str">
        <f>"Horizon Scan NFR — Classifica e lente di Mosca   ·   "&amp;etichettaCiclo</f>
        <v>Horizon Scan NFR — Classifica e lente di Mosca   ·   Ciclo 2026Q3 · dati al 30/09/2026 · validato · Uso interno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38" ht="45.55" customHeight="1" x14ac:dyDescent="0.4">
      <c r="A2" s="112" t="s">
        <v>145</v>
      </c>
      <c r="B2" s="98"/>
      <c r="C2" s="98"/>
      <c r="D2" s="98"/>
      <c r="E2" s="98"/>
      <c r="F2" s="98"/>
      <c r="G2" s="98"/>
      <c r="H2" s="98"/>
      <c r="I2" s="98"/>
      <c r="J2" s="98"/>
      <c r="K2" s="98"/>
      <c r="AL2" t="str">
        <f>IF(COUNTIF(H5:H19,"AGIRE ORA*")=0,"Nessun rischio da affrontare subito",COUNTIF(H5:H19,"AGIRE ORA*")&amp;" da affrontare subito: "&amp;_xlfn.TEXTJOIN(", ",TRUE,AB5:AB19))</f>
        <v>2 da affrontare subito: NFR-01, NFR-11</v>
      </c>
    </row>
    <row r="3" spans="1:38" x14ac:dyDescent="0.4">
      <c r="AL3" t="s">
        <v>146</v>
      </c>
    </row>
    <row r="4" spans="1:38" ht="30" customHeight="1" x14ac:dyDescent="0.4">
      <c r="A4" s="26" t="s">
        <v>147</v>
      </c>
      <c r="B4" s="26" t="s">
        <v>148</v>
      </c>
      <c r="C4" s="26" t="s">
        <v>149</v>
      </c>
      <c r="D4" s="26" t="s">
        <v>150</v>
      </c>
      <c r="E4" s="26" t="s">
        <v>151</v>
      </c>
      <c r="F4" s="26" t="s">
        <v>152</v>
      </c>
      <c r="G4" s="26" t="s">
        <v>153</v>
      </c>
      <c r="H4" s="26" t="s">
        <v>154</v>
      </c>
      <c r="I4" s="26" t="s">
        <v>155</v>
      </c>
      <c r="J4" s="26" t="s">
        <v>156</v>
      </c>
      <c r="K4" s="26" t="s">
        <v>157</v>
      </c>
      <c r="T4" t="s">
        <v>158</v>
      </c>
      <c r="U4" t="s">
        <v>159</v>
      </c>
      <c r="V4" t="s">
        <v>160</v>
      </c>
      <c r="W4" t="s">
        <v>161</v>
      </c>
      <c r="X4" t="s">
        <v>162</v>
      </c>
      <c r="Y4" t="s">
        <v>163</v>
      </c>
      <c r="Z4" t="s">
        <v>164</v>
      </c>
      <c r="AA4" t="s">
        <v>165</v>
      </c>
      <c r="AB4" t="s">
        <v>4</v>
      </c>
      <c r="AD4" t="s">
        <v>166</v>
      </c>
      <c r="AE4" t="s">
        <v>167</v>
      </c>
      <c r="AF4" t="s">
        <v>168</v>
      </c>
      <c r="AG4" t="s">
        <v>169</v>
      </c>
      <c r="AH4" t="s">
        <v>170</v>
      </c>
      <c r="AI4" t="s">
        <v>171</v>
      </c>
      <c r="AJ4" t="s">
        <v>172</v>
      </c>
    </row>
    <row r="5" spans="1:38" x14ac:dyDescent="0.4">
      <c r="A5">
        <f>IF($U5="","",1)</f>
        <v>1</v>
      </c>
      <c r="B5" t="str">
        <f t="shared" ref="B5:B19" si="0">IF($U5="","",INDEX(posID,$U5))</f>
        <v>NFR-01</v>
      </c>
      <c r="C5" t="str">
        <f t="shared" ref="C5:C19" si="1">IF($U5="","",INDEX(posNome,$U5))</f>
        <v>Frodi su pagamenti istantanei abilitate da AI generativa</v>
      </c>
      <c r="D5" s="27">
        <f t="shared" ref="D5:D19" si="2">IF($U5="","",INDEX(posScore,$U5))</f>
        <v>3.8</v>
      </c>
      <c r="E5" s="27">
        <f t="shared" ref="E5:E19" si="3">IF($U5="","",IFERROR(INDEX(posScorePrec,$U5),"—"))</f>
        <v>3.8</v>
      </c>
      <c r="F5" s="28">
        <f t="shared" ref="F5:F19" si="4">IF(AND(ISNUMBER(D5),ISNUMBER(E5)),D5-E5,"")</f>
        <v>0</v>
      </c>
      <c r="G5" t="str">
        <f t="shared" ref="G5:G19" si="5">IF($U5="","",IFERROR(INDEX(RR_Esito,MATCH(cicloCorrente&amp;"|"&amp;B5,RR_Chiave,0))&amp;"",""))</f>
        <v>Confermato</v>
      </c>
      <c r="H5" t="str">
        <f>IF($U5="","",INDEX(Radar_Mosca!$L$5:$L$19,$U5))</f>
        <v>AGIRE ORA: X+Y &gt; Z</v>
      </c>
      <c r="I5" s="27">
        <f>IF($U5="","",IFERROR(INDEX(Radar_Mosca!$K$5:$K$19,$U5),""))</f>
        <v>-0.25</v>
      </c>
      <c r="J5" t="str">
        <f t="shared" ref="J5:J19" si="6">IF($U5="","",INDEX(ANA_Owner,$U5)&amp;"")</f>
        <v>Funzione Antifrode</v>
      </c>
      <c r="K5" t="str">
        <f t="shared" ref="K5:K19" si="7">IF($U5="","",B5&amp;" "&amp;IF(ISNUMBER(F5),IF(F5&gt;0,"▲",IF(F5&lt;0,"▼","●")),"○")&amp;"  "&amp;LEFT(C5,34)&amp;IF(LEN(C5)&gt;34,"…",""))</f>
        <v>NFR-01 ●  Frodi su pagamenti istantanei abil…</v>
      </c>
      <c r="T5">
        <f>IF(ISNUMBER(INDEX(posScore,1)),INDEX(posScore,1)-1/100000,"")</f>
        <v>3.7999899999999998</v>
      </c>
      <c r="U5">
        <f>IFERROR(MATCH(_xlfn.AGGREGATE(14,6,$T$5:$T$19,1),$T$5:$T$19,0),"")</f>
        <v>1</v>
      </c>
      <c r="V5" s="29">
        <f t="shared" ref="V5:V19" si="8">IF($U5="",NA(),IF(LEFT(H5,9)="AGIRE ORA",D5,0))</f>
        <v>3.8</v>
      </c>
      <c r="W5" s="29">
        <f t="shared" ref="W5:W19" si="9">IF($U5="",NA(),IF(LEFT(H5,11)="Agire entro",D5,0))</f>
        <v>0</v>
      </c>
      <c r="X5" s="29">
        <f t="shared" ref="X5:X19" si="10">IF($U5="",NA(),IF(OR(LEFT(H5,9)="AGIRE ORA",LEFT(H5,11)="Agire entro"),0,D5))</f>
        <v>0</v>
      </c>
      <c r="Y5">
        <f>IF($U5="",NA(),INDEX(Radar_Mosca!$I$5:$I$19,$U5))</f>
        <v>0.25</v>
      </c>
      <c r="Z5">
        <f>IF($U5="",NA(),INDEX(Radar_Mosca!$J$5:$J$19,$U5))</f>
        <v>0.5</v>
      </c>
      <c r="AA5">
        <f>IF($U5="",NA(),INDEX(Radar_Mosca!$H$5:$H$19,$U5))</f>
        <v>0.5</v>
      </c>
      <c r="AB5" t="str">
        <f t="shared" ref="AB5:AB19" si="11">IF(LEFT(H5,9)="AGIRE ORA",B5,"")</f>
        <v>NFR-01</v>
      </c>
      <c r="AD5">
        <f>IF(ISNUMBER(I5),I5+1/100000,"")</f>
        <v>-0.24998999999999999</v>
      </c>
      <c r="AE5">
        <f>IFERROR(MATCH(_xlfn.AGGREGATE(15,6,$AD$5:$AD$19,1),$AD$5:$AD$19,0),"")</f>
        <v>6</v>
      </c>
      <c r="AF5" t="str">
        <f t="shared" ref="AF5:AF19" si="12">IF($AE5="","",INDEX($B$5:$B$19,$AE5)&amp;" ("&amp;IF(INDEX($I$5:$I$19,$AE5)&lt;0,"−","+")&amp;FIXED(ABS(INDEX($I$5:$I$19,$AE5)),2)&amp;")")</f>
        <v>NFR-11 (−1,75)</v>
      </c>
      <c r="AG5">
        <f t="shared" ref="AG5:AG19" si="13">IF($AE5="",NA(),INDEX($Y$5:$Y$19,$AE5))</f>
        <v>0.25</v>
      </c>
      <c r="AH5" t="e">
        <f t="shared" ref="AH5:AH19" si="14">IF($AE5="",NA(),IF(INDEX($Y$5:$Y$19,$AE5)+INDEX($Z$5:$Z$19,$AE5)&gt;INDEX($AA$5:$AA$19,$AE5),NA(),INDEX($Z$5:$Z$19,$AE5)))</f>
        <v>#N/A</v>
      </c>
      <c r="AI5">
        <f t="shared" ref="AI5:AI19" si="15">IF($AE5="",NA(),IF(INDEX($Y$5:$Y$19,$AE5)+INDEX($Z$5:$Z$19,$AE5)&gt;INDEX($AA$5:$AA$19,$AE5),INDEX($Z$5:$Z$19,$AE5),NA()))</f>
        <v>3</v>
      </c>
      <c r="AJ5">
        <f t="shared" ref="AJ5:AJ19" si="16">IF($AE5="",NA(),INDEX($AA$5:$AA$19,$AE5))</f>
        <v>1.5</v>
      </c>
    </row>
    <row r="6" spans="1:38" x14ac:dyDescent="0.4">
      <c r="A6">
        <f>IF($U6="","",2)</f>
        <v>2</v>
      </c>
      <c r="B6" t="str">
        <f t="shared" si="0"/>
        <v>NFR-07</v>
      </c>
      <c r="C6" t="str">
        <f t="shared" si="1"/>
        <v>Ransomware presso un fornitore di servizi di pagamento</v>
      </c>
      <c r="D6" s="27">
        <f t="shared" si="2"/>
        <v>3.6</v>
      </c>
      <c r="E6" s="27">
        <f t="shared" si="3"/>
        <v>3.6</v>
      </c>
      <c r="F6" s="28">
        <f t="shared" si="4"/>
        <v>0</v>
      </c>
      <c r="G6" t="str">
        <f t="shared" si="5"/>
        <v>Confermato</v>
      </c>
      <c r="H6" t="str">
        <f>IF($U6="","",INDEX(Radar_Mosca!$L$5:$L$19,$U6))</f>
        <v>Agire entro l'anno</v>
      </c>
      <c r="I6" s="27">
        <f>IF($U6="","",IFERROR(INDEX(Radar_Mosca!$K$5:$K$19,$U6),""))</f>
        <v>0.75</v>
      </c>
      <c r="J6" t="str">
        <f t="shared" si="6"/>
        <v>Funzione ICT &amp; Security Risk</v>
      </c>
      <c r="K6" t="str">
        <f t="shared" si="7"/>
        <v>NFR-07 ●  Ransomware presso un fornitore di …</v>
      </c>
      <c r="T6">
        <f>IF(ISNUMBER(INDEX(posScore,2)),INDEX(posScore,2)-2/100000,"")</f>
        <v>3.2499799999999999</v>
      </c>
      <c r="U6">
        <f>IFERROR(MATCH(_xlfn.AGGREGATE(14,6,$T$5:$T$19,2),$T$5:$T$19,0),"")</f>
        <v>7</v>
      </c>
      <c r="V6" s="29">
        <f t="shared" si="8"/>
        <v>0</v>
      </c>
      <c r="W6" s="29">
        <f t="shared" si="9"/>
        <v>3.6</v>
      </c>
      <c r="X6" s="29">
        <f t="shared" si="10"/>
        <v>0</v>
      </c>
      <c r="Y6">
        <f>IF($U6="",NA(),INDEX(Radar_Mosca!$I$5:$I$19,$U6))</f>
        <v>0.25</v>
      </c>
      <c r="Z6">
        <f>IF($U6="",NA(),INDEX(Radar_Mosca!$J$5:$J$19,$U6))</f>
        <v>0.5</v>
      </c>
      <c r="AA6">
        <f>IF($U6="",NA(),INDEX(Radar_Mosca!$H$5:$H$19,$U6))</f>
        <v>1.5</v>
      </c>
      <c r="AB6" t="str">
        <f t="shared" si="11"/>
        <v/>
      </c>
      <c r="AD6">
        <f>IF(ISNUMBER(I6),I6+2/100000,"")</f>
        <v>0.75002000000000002</v>
      </c>
      <c r="AE6">
        <f>IFERROR(MATCH(_xlfn.AGGREGATE(15,6,$AD$5:$AD$19,2),$AD$5:$AD$19,0),"")</f>
        <v>1</v>
      </c>
      <c r="AF6" t="str">
        <f t="shared" si="12"/>
        <v>NFR-01 (−0,25)</v>
      </c>
      <c r="AG6">
        <f t="shared" si="13"/>
        <v>0.25</v>
      </c>
      <c r="AH6" t="e">
        <f t="shared" si="14"/>
        <v>#N/A</v>
      </c>
      <c r="AI6">
        <f t="shared" si="15"/>
        <v>0.5</v>
      </c>
      <c r="AJ6">
        <f t="shared" si="16"/>
        <v>0.5</v>
      </c>
    </row>
    <row r="7" spans="1:38" x14ac:dyDescent="0.4">
      <c r="A7">
        <f>IF($U7="","",3)</f>
        <v>3</v>
      </c>
      <c r="B7" t="str">
        <f t="shared" si="0"/>
        <v>NFR-12</v>
      </c>
      <c r="C7" t="str">
        <f t="shared" si="1"/>
        <v>Errori operativi nei pagamenti istantanei obbligatori</v>
      </c>
      <c r="D7" s="27">
        <f t="shared" si="2"/>
        <v>3.5</v>
      </c>
      <c r="E7" s="27">
        <f t="shared" si="3"/>
        <v>3.5</v>
      </c>
      <c r="F7" s="28">
        <f t="shared" si="4"/>
        <v>0</v>
      </c>
      <c r="G7" t="str">
        <f t="shared" si="5"/>
        <v>Confermato</v>
      </c>
      <c r="H7" t="str">
        <f>IF($U7="","",INDEX(Radar_Mosca!$L$5:$L$19,$U7))</f>
        <v>Agire entro l'anno</v>
      </c>
      <c r="I7" s="27">
        <f>IF($U7="","",IFERROR(INDEX(Radar_Mosca!$K$5:$K$19,$U7),""))</f>
        <v>0</v>
      </c>
      <c r="J7" t="str">
        <f t="shared" si="6"/>
        <v>Funzione Operations</v>
      </c>
      <c r="K7" t="str">
        <f t="shared" si="7"/>
        <v>NFR-12 ●  Errori operativi nei pagamenti ist…</v>
      </c>
      <c r="T7">
        <f>IF(ISNUMBER(INDEX(posScore,3)),INDEX(posScore,3)-3/100000,"")</f>
        <v>2.9999699999999998</v>
      </c>
      <c r="U7">
        <f>IFERROR(MATCH(_xlfn.AGGREGATE(14,6,$T$5:$T$19,3),$T$5:$T$19,0),"")</f>
        <v>12</v>
      </c>
      <c r="V7" s="29">
        <f t="shared" si="8"/>
        <v>0</v>
      </c>
      <c r="W7" s="29">
        <f t="shared" si="9"/>
        <v>3.5</v>
      </c>
      <c r="X7" s="29">
        <f t="shared" si="10"/>
        <v>0</v>
      </c>
      <c r="Y7">
        <f>IF($U7="",NA(),INDEX(Radar_Mosca!$I$5:$I$19,$U7))</f>
        <v>0.25</v>
      </c>
      <c r="Z7">
        <f>IF($U7="",NA(),INDEX(Radar_Mosca!$J$5:$J$19,$U7))</f>
        <v>0.25</v>
      </c>
      <c r="AA7">
        <f>IF($U7="",NA(),INDEX(Radar_Mosca!$H$5:$H$19,$U7))</f>
        <v>0.5</v>
      </c>
      <c r="AB7" t="str">
        <f t="shared" si="11"/>
        <v/>
      </c>
      <c r="AD7">
        <f>IF(ISNUMBER(I7),I7+3/100000,"")</f>
        <v>3.0000000000000001E-5</v>
      </c>
      <c r="AE7">
        <f>IFERROR(MATCH(_xlfn.AGGREGATE(15,6,$AD$5:$AD$19,3),$AD$5:$AD$19,0),"")</f>
        <v>3</v>
      </c>
      <c r="AF7" t="str">
        <f t="shared" si="12"/>
        <v>NFR-12 (+0,00)</v>
      </c>
      <c r="AG7">
        <f t="shared" si="13"/>
        <v>0.25</v>
      </c>
      <c r="AH7">
        <f t="shared" si="14"/>
        <v>0.25</v>
      </c>
      <c r="AI7" t="e">
        <f t="shared" si="15"/>
        <v>#N/A</v>
      </c>
      <c r="AJ7">
        <f t="shared" si="16"/>
        <v>0.5</v>
      </c>
    </row>
    <row r="8" spans="1:38" x14ac:dyDescent="0.4">
      <c r="A8">
        <f>IF($U8="","",4)</f>
        <v>4</v>
      </c>
      <c r="B8" t="str">
        <f t="shared" si="0"/>
        <v>NFR-02</v>
      </c>
      <c r="C8" t="str">
        <f t="shared" si="1"/>
        <v>Concentrazione su un fornitore cloud critico</v>
      </c>
      <c r="D8" s="27">
        <f t="shared" si="2"/>
        <v>3.25</v>
      </c>
      <c r="E8" s="27">
        <f t="shared" si="3"/>
        <v>3.45</v>
      </c>
      <c r="F8" s="28">
        <f t="shared" si="4"/>
        <v>-0.20000000000000018</v>
      </c>
      <c r="G8" t="str">
        <f t="shared" si="5"/>
        <v>Variato</v>
      </c>
      <c r="H8" t="str">
        <f>IF($U8="","",INDEX(Radar_Mosca!$L$5:$L$19,$U8))</f>
        <v>Agire entro l'anno</v>
      </c>
      <c r="I8" s="27">
        <f>IF($U8="","",IFERROR(INDEX(Radar_Mosca!$K$5:$K$19,$U8),""))</f>
        <v>0.25</v>
      </c>
      <c r="J8" t="str">
        <f t="shared" si="6"/>
        <v>Funzione ICT &amp; Security Risk</v>
      </c>
      <c r="K8" t="str">
        <f t="shared" si="7"/>
        <v>NFR-02 ▼  Concentrazione su un fornitore clo…</v>
      </c>
      <c r="T8">
        <f>IF(ISNUMBER(INDEX(posScore,4)),INDEX(posScore,4)-4/100000,"")</f>
        <v>2.8499600000000003</v>
      </c>
      <c r="U8">
        <f>IFERROR(MATCH(_xlfn.AGGREGATE(14,6,$T$5:$T$19,4),$T$5:$T$19,0),"")</f>
        <v>2</v>
      </c>
      <c r="V8" s="29">
        <f t="shared" si="8"/>
        <v>0</v>
      </c>
      <c r="W8" s="29">
        <f t="shared" si="9"/>
        <v>3.25</v>
      </c>
      <c r="X8" s="29">
        <f t="shared" si="10"/>
        <v>0</v>
      </c>
      <c r="Y8">
        <f>IF($U8="",NA(),INDEX(Radar_Mosca!$I$5:$I$19,$U8))</f>
        <v>0.25</v>
      </c>
      <c r="Z8">
        <f>IF($U8="",NA(),INDEX(Radar_Mosca!$J$5:$J$19,$U8))</f>
        <v>1</v>
      </c>
      <c r="AA8">
        <f>IF($U8="",NA(),INDEX(Radar_Mosca!$H$5:$H$19,$U8))</f>
        <v>1.5</v>
      </c>
      <c r="AB8" t="str">
        <f t="shared" si="11"/>
        <v/>
      </c>
      <c r="AD8">
        <f>IF(ISNUMBER(I8),I8+4/100000,"")</f>
        <v>0.25003999999999998</v>
      </c>
      <c r="AE8">
        <f>IFERROR(MATCH(_xlfn.AGGREGATE(15,6,$AD$5:$AD$19,4),$AD$5:$AD$19,0),"")</f>
        <v>7</v>
      </c>
      <c r="AF8" t="str">
        <f t="shared" si="12"/>
        <v>NFR-03 (+0,00)</v>
      </c>
      <c r="AG8">
        <f t="shared" si="13"/>
        <v>0.25</v>
      </c>
      <c r="AH8">
        <f t="shared" si="14"/>
        <v>0.25</v>
      </c>
      <c r="AI8" t="e">
        <f t="shared" si="15"/>
        <v>#N/A</v>
      </c>
      <c r="AJ8">
        <f t="shared" si="16"/>
        <v>0.5</v>
      </c>
    </row>
    <row r="9" spans="1:38" x14ac:dyDescent="0.4">
      <c r="A9">
        <f>IF($U9="","",5)</f>
        <v>5</v>
      </c>
      <c r="B9" t="str">
        <f t="shared" si="0"/>
        <v>NFR-10</v>
      </c>
      <c r="C9" t="str">
        <f t="shared" si="1"/>
        <v>Informazioni errate ai clienti da assistenti di AI generativa</v>
      </c>
      <c r="D9" s="27">
        <f t="shared" si="2"/>
        <v>3.2</v>
      </c>
      <c r="E9" s="27">
        <f t="shared" si="3"/>
        <v>3.2</v>
      </c>
      <c r="F9" s="28">
        <f t="shared" si="4"/>
        <v>0</v>
      </c>
      <c r="G9" t="str">
        <f t="shared" si="5"/>
        <v>Confermato</v>
      </c>
      <c r="H9" t="str">
        <f>IF($U9="","",INDEX(Radar_Mosca!$L$5:$L$19,$U9))</f>
        <v>Margine 1 anno</v>
      </c>
      <c r="I9" s="27">
        <f>IF($U9="","",IFERROR(INDEX(Radar_Mosca!$K$5:$K$19,$U9),""))</f>
        <v>1</v>
      </c>
      <c r="J9" t="str">
        <f t="shared" si="6"/>
        <v>Funzione Customer Experience</v>
      </c>
      <c r="K9" t="str">
        <f t="shared" si="7"/>
        <v>NFR-10 ●  Informazioni errate ai clienti da …</v>
      </c>
      <c r="T9">
        <f>IF(ISNUMBER(INDEX(posScore,5)),INDEX(posScore,5)-5/100000,"")</f>
        <v>2.9999500000000001</v>
      </c>
      <c r="U9">
        <f>IFERROR(MATCH(_xlfn.AGGREGATE(14,6,$T$5:$T$19,5),$T$5:$T$19,0),"")</f>
        <v>10</v>
      </c>
      <c r="V9" s="29">
        <f t="shared" si="8"/>
        <v>0</v>
      </c>
      <c r="W9" s="29">
        <f t="shared" si="9"/>
        <v>0</v>
      </c>
      <c r="X9" s="29">
        <f t="shared" si="10"/>
        <v>3.2</v>
      </c>
      <c r="Y9">
        <f>IF($U9="",NA(),INDEX(Radar_Mosca!$I$5:$I$19,$U9))</f>
        <v>0.25</v>
      </c>
      <c r="Z9">
        <f>IF($U9="",NA(),INDEX(Radar_Mosca!$J$5:$J$19,$U9))</f>
        <v>0.25</v>
      </c>
      <c r="AA9">
        <f>IF($U9="",NA(),INDEX(Radar_Mosca!$H$5:$H$19,$U9))</f>
        <v>1.5</v>
      </c>
      <c r="AB9" t="str">
        <f t="shared" si="11"/>
        <v/>
      </c>
      <c r="AD9">
        <f>IF(ISNUMBER(I9),I9+5/100000,"")</f>
        <v>1.0000500000000001</v>
      </c>
      <c r="AE9">
        <f>IFERROR(MATCH(_xlfn.AGGREGATE(15,6,$AD$5:$AD$19,5),$AD$5:$AD$19,0),"")</f>
        <v>4</v>
      </c>
      <c r="AF9" t="str">
        <f t="shared" si="12"/>
        <v>NFR-02 (+0,25)</v>
      </c>
      <c r="AG9">
        <f t="shared" si="13"/>
        <v>0.25</v>
      </c>
      <c r="AH9">
        <f t="shared" si="14"/>
        <v>1</v>
      </c>
      <c r="AI9" t="e">
        <f t="shared" si="15"/>
        <v>#N/A</v>
      </c>
      <c r="AJ9">
        <f t="shared" si="16"/>
        <v>1.5</v>
      </c>
    </row>
    <row r="10" spans="1:38" x14ac:dyDescent="0.4">
      <c r="A10">
        <f>IF($U10="","",6)</f>
        <v>6</v>
      </c>
      <c r="B10" t="str">
        <f t="shared" si="0"/>
        <v>NFR-11</v>
      </c>
      <c r="C10" t="str">
        <f t="shared" si="1"/>
        <v>Fine del supporto dei sistemi di pagamento legacy</v>
      </c>
      <c r="D10" s="27">
        <f t="shared" si="2"/>
        <v>3.05</v>
      </c>
      <c r="E10" s="27">
        <f t="shared" si="3"/>
        <v>3.05</v>
      </c>
      <c r="F10" s="28">
        <f t="shared" si="4"/>
        <v>0</v>
      </c>
      <c r="G10" t="str">
        <f t="shared" si="5"/>
        <v>Confermato</v>
      </c>
      <c r="H10" t="str">
        <f>IF($U10="","",INDEX(Radar_Mosca!$L$5:$L$19,$U10))</f>
        <v>AGIRE ORA: X+Y &gt; Z</v>
      </c>
      <c r="I10" s="27">
        <f>IF($U10="","",IFERROR(INDEX(Radar_Mosca!$K$5:$K$19,$U10),""))</f>
        <v>-1.75</v>
      </c>
      <c r="J10" t="str">
        <f t="shared" si="6"/>
        <v>Funzione IT Operations</v>
      </c>
      <c r="K10" t="str">
        <f t="shared" si="7"/>
        <v>NFR-11 ●  Fine del supporto dei sistemi di p…</v>
      </c>
      <c r="T10">
        <f>IF(ISNUMBER(INDEX(posScore,6)),INDEX(posScore,6)-6/100000,"")</f>
        <v>2.9999400000000001</v>
      </c>
      <c r="U10">
        <f>IFERROR(MATCH(_xlfn.AGGREGATE(14,6,$T$5:$T$19,6),$T$5:$T$19,0),"")</f>
        <v>11</v>
      </c>
      <c r="V10" s="29">
        <f t="shared" si="8"/>
        <v>3.05</v>
      </c>
      <c r="W10" s="29">
        <f t="shared" si="9"/>
        <v>0</v>
      </c>
      <c r="X10" s="29">
        <f t="shared" si="10"/>
        <v>0</v>
      </c>
      <c r="Y10">
        <f>IF($U10="",NA(),INDEX(Radar_Mosca!$I$5:$I$19,$U10))</f>
        <v>0.25</v>
      </c>
      <c r="Z10">
        <f>IF($U10="",NA(),INDEX(Radar_Mosca!$J$5:$J$19,$U10))</f>
        <v>3</v>
      </c>
      <c r="AA10">
        <f>IF($U10="",NA(),INDEX(Radar_Mosca!$H$5:$H$19,$U10))</f>
        <v>1.5</v>
      </c>
      <c r="AB10" t="str">
        <f t="shared" si="11"/>
        <v>NFR-11</v>
      </c>
      <c r="AD10">
        <f>IF(ISNUMBER(I10),I10+6/100000,"")</f>
        <v>-1.7499400000000001</v>
      </c>
      <c r="AE10">
        <f>IFERROR(MATCH(_xlfn.AGGREGATE(15,6,$AD$5:$AD$19,6),$AD$5:$AD$19,0),"")</f>
        <v>12</v>
      </c>
      <c r="AF10" t="str">
        <f t="shared" si="12"/>
        <v>NFR-08 (+0,25)</v>
      </c>
      <c r="AG10">
        <f t="shared" si="13"/>
        <v>0.25</v>
      </c>
      <c r="AH10">
        <f t="shared" si="14"/>
        <v>1</v>
      </c>
      <c r="AI10" t="e">
        <f t="shared" si="15"/>
        <v>#N/A</v>
      </c>
      <c r="AJ10">
        <f t="shared" si="16"/>
        <v>1.5</v>
      </c>
    </row>
    <row r="11" spans="1:38" x14ac:dyDescent="0.4">
      <c r="A11">
        <f>IF($U11="","",7)</f>
        <v>7</v>
      </c>
      <c r="B11" t="str">
        <f t="shared" si="0"/>
        <v>NFR-03</v>
      </c>
      <c r="C11" t="str">
        <f t="shared" si="1"/>
        <v>Greenwashing nella commercializzazione di prodotti ESG</v>
      </c>
      <c r="D11" s="27">
        <f t="shared" si="2"/>
        <v>3</v>
      </c>
      <c r="E11" s="27">
        <f t="shared" si="3"/>
        <v>2.85</v>
      </c>
      <c r="F11" s="28">
        <f t="shared" si="4"/>
        <v>0.14999999999999991</v>
      </c>
      <c r="G11" t="str">
        <f t="shared" si="5"/>
        <v>Variato</v>
      </c>
      <c r="H11" t="str">
        <f>IF($U11="","",INDEX(Radar_Mosca!$L$5:$L$19,$U11))</f>
        <v>Agire entro l'anno</v>
      </c>
      <c r="I11" s="27">
        <f>IF($U11="","",IFERROR(INDEX(Radar_Mosca!$K$5:$K$19,$U11),""))</f>
        <v>0</v>
      </c>
      <c r="J11" t="str">
        <f t="shared" si="6"/>
        <v>Funzione Compliance</v>
      </c>
      <c r="K11" t="str">
        <f t="shared" si="7"/>
        <v>NFR-03 ▲  Greenwashing nella commercializzaz…</v>
      </c>
      <c r="T11">
        <f>IF(ISNUMBER(INDEX(posScore,7)),INDEX(posScore,7)-7/100000,"")</f>
        <v>3.5999300000000001</v>
      </c>
      <c r="U11">
        <f>IFERROR(MATCH(_xlfn.AGGREGATE(14,6,$T$5:$T$19,7),$T$5:$T$19,0),"")</f>
        <v>3</v>
      </c>
      <c r="V11" s="29">
        <f t="shared" si="8"/>
        <v>0</v>
      </c>
      <c r="W11" s="29">
        <f t="shared" si="9"/>
        <v>3</v>
      </c>
      <c r="X11" s="29">
        <f t="shared" si="10"/>
        <v>0</v>
      </c>
      <c r="Y11">
        <f>IF($U11="",NA(),INDEX(Radar_Mosca!$I$5:$I$19,$U11))</f>
        <v>0.25</v>
      </c>
      <c r="Z11">
        <f>IF($U11="",NA(),INDEX(Radar_Mosca!$J$5:$J$19,$U11))</f>
        <v>0.25</v>
      </c>
      <c r="AA11">
        <f>IF($U11="",NA(),INDEX(Radar_Mosca!$H$5:$H$19,$U11))</f>
        <v>0.5</v>
      </c>
      <c r="AB11" t="str">
        <f t="shared" si="11"/>
        <v/>
      </c>
      <c r="AD11">
        <f>IF(ISNUMBER(I11),I11+7/100000,"")</f>
        <v>6.9999999999999994E-5</v>
      </c>
      <c r="AE11">
        <f>IFERROR(MATCH(_xlfn.AGGREGATE(15,6,$AD$5:$AD$19,7),$AD$5:$AD$19,0),"")</f>
        <v>2</v>
      </c>
      <c r="AF11" t="str">
        <f t="shared" si="12"/>
        <v>NFR-07 (+0,75)</v>
      </c>
      <c r="AG11">
        <f t="shared" si="13"/>
        <v>0.25</v>
      </c>
      <c r="AH11">
        <f t="shared" si="14"/>
        <v>0.5</v>
      </c>
      <c r="AI11" t="e">
        <f t="shared" si="15"/>
        <v>#N/A</v>
      </c>
      <c r="AJ11">
        <f t="shared" si="16"/>
        <v>1.5</v>
      </c>
    </row>
    <row r="12" spans="1:38" x14ac:dyDescent="0.4">
      <c r="A12">
        <f>IF($U12="","",8)</f>
        <v>8</v>
      </c>
      <c r="B12" t="str">
        <f t="shared" si="0"/>
        <v>NFR-05</v>
      </c>
      <c r="C12" t="str">
        <f t="shared" si="1"/>
        <v>Errori di processo nella migrazione del core banking</v>
      </c>
      <c r="D12" s="27">
        <f t="shared" si="2"/>
        <v>3</v>
      </c>
      <c r="E12" s="27">
        <f t="shared" si="3"/>
        <v>3</v>
      </c>
      <c r="F12" s="28">
        <f t="shared" si="4"/>
        <v>0</v>
      </c>
      <c r="G12" t="str">
        <f t="shared" si="5"/>
        <v>Confermato</v>
      </c>
      <c r="H12" t="str">
        <f>IF($U12="","",INDEX(Radar_Mosca!$L$5:$L$19,$U12))</f>
        <v>Margine 1 anno</v>
      </c>
      <c r="I12" s="27">
        <f>IF($U12="","",IFERROR(INDEX(Radar_Mosca!$K$5:$K$19,$U12),""))</f>
        <v>1</v>
      </c>
      <c r="J12" t="str">
        <f t="shared" si="6"/>
        <v>Funzione Operations</v>
      </c>
      <c r="K12" t="str">
        <f t="shared" si="7"/>
        <v>NFR-05 ●  Errori di processo nella migrazion…</v>
      </c>
      <c r="T12">
        <f>IF(ISNUMBER(INDEX(posScore,8)),INDEX(posScore,8)-8/100000,"")</f>
        <v>2.7999199999999997</v>
      </c>
      <c r="U12">
        <f>IFERROR(MATCH(_xlfn.AGGREGATE(14,6,$T$5:$T$19,8),$T$5:$T$19,0),"")</f>
        <v>5</v>
      </c>
      <c r="V12" s="29">
        <f t="shared" si="8"/>
        <v>0</v>
      </c>
      <c r="W12" s="29">
        <f t="shared" si="9"/>
        <v>0</v>
      </c>
      <c r="X12" s="29">
        <f t="shared" si="10"/>
        <v>3</v>
      </c>
      <c r="Y12">
        <f>IF($U12="",NA(),INDEX(Radar_Mosca!$I$5:$I$19,$U12))</f>
        <v>0.25</v>
      </c>
      <c r="Z12">
        <f>IF($U12="",NA(),INDEX(Radar_Mosca!$J$5:$J$19,$U12))</f>
        <v>0.25</v>
      </c>
      <c r="AA12">
        <f>IF($U12="",NA(),INDEX(Radar_Mosca!$H$5:$H$19,$U12))</f>
        <v>1.5</v>
      </c>
      <c r="AB12" t="str">
        <f t="shared" si="11"/>
        <v/>
      </c>
      <c r="AD12">
        <f>IF(ISNUMBER(I12),I12+8/100000,"")</f>
        <v>1.0000800000000001</v>
      </c>
      <c r="AE12">
        <f>IFERROR(MATCH(_xlfn.AGGREGATE(15,6,$AD$5:$AD$19,8),$AD$5:$AD$19,0),"")</f>
        <v>9</v>
      </c>
      <c r="AF12" t="str">
        <f t="shared" si="12"/>
        <v>NFR-06 (+0,75)</v>
      </c>
      <c r="AG12">
        <f t="shared" si="13"/>
        <v>0.25</v>
      </c>
      <c r="AH12">
        <f t="shared" si="14"/>
        <v>0.5</v>
      </c>
      <c r="AI12" t="e">
        <f t="shared" si="15"/>
        <v>#N/A</v>
      </c>
      <c r="AJ12">
        <f t="shared" si="16"/>
        <v>1.5</v>
      </c>
    </row>
    <row r="13" spans="1:38" x14ac:dyDescent="0.4">
      <c r="A13">
        <f>IF($U13="","",9)</f>
        <v>9</v>
      </c>
      <c r="B13" t="str">
        <f t="shared" si="0"/>
        <v>NFR-06</v>
      </c>
      <c r="C13" t="str">
        <f t="shared" si="1"/>
        <v>Esfiltrazione di dati tramite strumenti di AI non autorizzati</v>
      </c>
      <c r="D13" s="27">
        <f t="shared" si="2"/>
        <v>3</v>
      </c>
      <c r="E13" s="27">
        <f t="shared" si="3"/>
        <v>3.2</v>
      </c>
      <c r="F13" s="28">
        <f t="shared" si="4"/>
        <v>-0.20000000000000018</v>
      </c>
      <c r="G13" t="str">
        <f t="shared" si="5"/>
        <v>Variato</v>
      </c>
      <c r="H13" t="str">
        <f>IF($U13="","",INDEX(Radar_Mosca!$L$5:$L$19,$U13))</f>
        <v>Agire entro l'anno</v>
      </c>
      <c r="I13" s="27">
        <f>IF($U13="","",IFERROR(INDEX(Radar_Mosca!$K$5:$K$19,$U13),""))</f>
        <v>0.75</v>
      </c>
      <c r="J13" t="str">
        <f t="shared" si="6"/>
        <v>Funzione Sicurezza delle Informazioni</v>
      </c>
      <c r="K13" t="str">
        <f t="shared" si="7"/>
        <v>NFR-06 ▼  Esfiltrazione di dati tramite stru…</v>
      </c>
      <c r="T13">
        <f>IF(ISNUMBER(INDEX(posScore,9)),INDEX(posScore,9)-9/100000,"")</f>
        <v>2.94991</v>
      </c>
      <c r="U13">
        <f>IFERROR(MATCH(_xlfn.AGGREGATE(14,6,$T$5:$T$19,9),$T$5:$T$19,0),"")</f>
        <v>6</v>
      </c>
      <c r="V13" s="29">
        <f t="shared" si="8"/>
        <v>0</v>
      </c>
      <c r="W13" s="29">
        <f t="shared" si="9"/>
        <v>3</v>
      </c>
      <c r="X13" s="29">
        <f t="shared" si="10"/>
        <v>0</v>
      </c>
      <c r="Y13">
        <f>IF($U13="",NA(),INDEX(Radar_Mosca!$I$5:$I$19,$U13))</f>
        <v>0.25</v>
      </c>
      <c r="Z13">
        <f>IF($U13="",NA(),INDEX(Radar_Mosca!$J$5:$J$19,$U13))</f>
        <v>0.5</v>
      </c>
      <c r="AA13">
        <f>IF($U13="",NA(),INDEX(Radar_Mosca!$H$5:$H$19,$U13))</f>
        <v>1.5</v>
      </c>
      <c r="AB13" t="str">
        <f t="shared" si="11"/>
        <v/>
      </c>
      <c r="AD13">
        <f>IF(ISNUMBER(I13),I13+9/100000,"")</f>
        <v>0.75009000000000003</v>
      </c>
      <c r="AE13">
        <f>IFERROR(MATCH(_xlfn.AGGREGATE(15,6,$AD$5:$AD$19,9),$AD$5:$AD$19,0),"")</f>
        <v>11</v>
      </c>
      <c r="AF13" t="str">
        <f t="shared" si="12"/>
        <v>NFR-04 (+0,75)</v>
      </c>
      <c r="AG13">
        <f t="shared" si="13"/>
        <v>0.25</v>
      </c>
      <c r="AH13">
        <f t="shared" si="14"/>
        <v>0.5</v>
      </c>
      <c r="AI13" t="e">
        <f t="shared" si="15"/>
        <v>#N/A</v>
      </c>
      <c r="AJ13">
        <f t="shared" si="16"/>
        <v>1.5</v>
      </c>
    </row>
    <row r="14" spans="1:38" x14ac:dyDescent="0.4">
      <c r="A14">
        <f>IF($U14="","",10)</f>
        <v>10</v>
      </c>
      <c r="B14" t="str">
        <f t="shared" si="0"/>
        <v>NFR-09</v>
      </c>
      <c r="C14" t="str">
        <f t="shared" si="1"/>
        <v>Violazione di sanzioni internazionali tramite triangolazioni</v>
      </c>
      <c r="D14" s="27">
        <f t="shared" si="2"/>
        <v>2.95</v>
      </c>
      <c r="E14" s="27">
        <f t="shared" si="3"/>
        <v>2.95</v>
      </c>
      <c r="F14" s="28">
        <f t="shared" si="4"/>
        <v>0</v>
      </c>
      <c r="G14" t="str">
        <f t="shared" si="5"/>
        <v>Confermato</v>
      </c>
      <c r="H14" t="str">
        <f>IF($U14="","",INDEX(Radar_Mosca!$L$5:$L$19,$U14))</f>
        <v>Margine 1,3 anni</v>
      </c>
      <c r="I14" s="27">
        <f>IF($U14="","",IFERROR(INDEX(Radar_Mosca!$K$5:$K$19,$U14),""))</f>
        <v>1.25</v>
      </c>
      <c r="J14" t="str">
        <f t="shared" si="6"/>
        <v>Funzione Compliance</v>
      </c>
      <c r="K14" t="str">
        <f t="shared" si="7"/>
        <v>NFR-09 ●  Violazione di sanzioni internazion…</v>
      </c>
      <c r="T14">
        <f>IF(ISNUMBER(INDEX(posScore,10)),INDEX(posScore,10)-10/100000,"")</f>
        <v>3.1999</v>
      </c>
      <c r="U14">
        <f>IFERROR(MATCH(_xlfn.AGGREGATE(14,6,$T$5:$T$19,10),$T$5:$T$19,0),"")</f>
        <v>9</v>
      </c>
      <c r="V14" s="29">
        <f t="shared" si="8"/>
        <v>0</v>
      </c>
      <c r="W14" s="29">
        <f t="shared" si="9"/>
        <v>0</v>
      </c>
      <c r="X14" s="29">
        <f t="shared" si="10"/>
        <v>2.95</v>
      </c>
      <c r="Y14">
        <f>IF($U14="",NA(),INDEX(Radar_Mosca!$I$5:$I$19,$U14))</f>
        <v>0.25</v>
      </c>
      <c r="Z14">
        <f>IF($U14="",NA(),INDEX(Radar_Mosca!$J$5:$J$19,$U14))</f>
        <v>1</v>
      </c>
      <c r="AA14">
        <f>IF($U14="",NA(),INDEX(Radar_Mosca!$H$5:$H$19,$U14))</f>
        <v>2.5</v>
      </c>
      <c r="AB14" t="str">
        <f t="shared" si="11"/>
        <v/>
      </c>
      <c r="AD14">
        <f>IF(ISNUMBER(I14),I14+10/100000,"")</f>
        <v>1.2501</v>
      </c>
      <c r="AE14">
        <f>IFERROR(MATCH(_xlfn.AGGREGATE(15,6,$AD$5:$AD$19,10),$AD$5:$AD$19,0),"")</f>
        <v>5</v>
      </c>
      <c r="AF14" t="str">
        <f t="shared" si="12"/>
        <v>NFR-10 (+1,00)</v>
      </c>
      <c r="AG14">
        <f t="shared" si="13"/>
        <v>0.25</v>
      </c>
      <c r="AH14">
        <f t="shared" si="14"/>
        <v>0.25</v>
      </c>
      <c r="AI14" t="e">
        <f t="shared" si="15"/>
        <v>#N/A</v>
      </c>
      <c r="AJ14">
        <f t="shared" si="16"/>
        <v>1.5</v>
      </c>
    </row>
    <row r="15" spans="1:38" x14ac:dyDescent="0.4">
      <c r="A15">
        <f>IF($U15="","",11)</f>
        <v>11</v>
      </c>
      <c r="B15" t="str">
        <f t="shared" si="0"/>
        <v>NFR-04</v>
      </c>
      <c r="C15" t="str">
        <f t="shared" si="1"/>
        <v>Eventi climatici estremi su sedi e data center</v>
      </c>
      <c r="D15" s="27">
        <f t="shared" si="2"/>
        <v>2.85</v>
      </c>
      <c r="E15" s="27">
        <f t="shared" si="3"/>
        <v>2.85</v>
      </c>
      <c r="F15" s="28">
        <f t="shared" si="4"/>
        <v>0</v>
      </c>
      <c r="G15" t="str">
        <f t="shared" si="5"/>
        <v>Confermato</v>
      </c>
      <c r="H15" t="str">
        <f>IF($U15="","",INDEX(Radar_Mosca!$L$5:$L$19,$U15))</f>
        <v>Agire entro l'anno</v>
      </c>
      <c r="I15" s="27">
        <f>IF($U15="","",IFERROR(INDEX(Radar_Mosca!$K$5:$K$19,$U15),""))</f>
        <v>0.75</v>
      </c>
      <c r="J15" t="str">
        <f t="shared" si="6"/>
        <v>Funzione Business Continuity</v>
      </c>
      <c r="K15" t="str">
        <f t="shared" si="7"/>
        <v>NFR-04 ●  Eventi climatici estremi su sedi e…</v>
      </c>
      <c r="T15">
        <f>IF(ISNUMBER(INDEX(posScore,11)),INDEX(posScore,11)-11/100000,"")</f>
        <v>3.04989</v>
      </c>
      <c r="U15">
        <f>IFERROR(MATCH(_xlfn.AGGREGATE(14,6,$T$5:$T$19,11),$T$5:$T$19,0),"")</f>
        <v>4</v>
      </c>
      <c r="V15" s="29">
        <f t="shared" si="8"/>
        <v>0</v>
      </c>
      <c r="W15" s="29">
        <f t="shared" si="9"/>
        <v>2.85</v>
      </c>
      <c r="X15" s="29">
        <f t="shared" si="10"/>
        <v>0</v>
      </c>
      <c r="Y15">
        <f>IF($U15="",NA(),INDEX(Radar_Mosca!$I$5:$I$19,$U15))</f>
        <v>0.25</v>
      </c>
      <c r="Z15">
        <f>IF($U15="",NA(),INDEX(Radar_Mosca!$J$5:$J$19,$U15))</f>
        <v>0.5</v>
      </c>
      <c r="AA15">
        <f>IF($U15="",NA(),INDEX(Radar_Mosca!$H$5:$H$19,$U15))</f>
        <v>1.5</v>
      </c>
      <c r="AB15" t="str">
        <f t="shared" si="11"/>
        <v/>
      </c>
      <c r="AD15">
        <f>IF(ISNUMBER(I15),I15+11/100000,"")</f>
        <v>0.75011000000000005</v>
      </c>
      <c r="AE15">
        <f>IFERROR(MATCH(_xlfn.AGGREGATE(15,6,$AD$5:$AD$19,11),$AD$5:$AD$19,0),"")</f>
        <v>8</v>
      </c>
      <c r="AF15" t="str">
        <f t="shared" si="12"/>
        <v>NFR-05 (+1,00)</v>
      </c>
      <c r="AG15">
        <f t="shared" si="13"/>
        <v>0.25</v>
      </c>
      <c r="AH15">
        <f t="shared" si="14"/>
        <v>0.25</v>
      </c>
      <c r="AI15" t="e">
        <f t="shared" si="15"/>
        <v>#N/A</v>
      </c>
      <c r="AJ15">
        <f t="shared" si="16"/>
        <v>1.5</v>
      </c>
    </row>
    <row r="16" spans="1:38" x14ac:dyDescent="0.4">
      <c r="A16">
        <f>IF($U16="","",12)</f>
        <v>12</v>
      </c>
      <c r="B16" t="str">
        <f t="shared" si="0"/>
        <v>NFR-08</v>
      </c>
      <c r="C16" t="str">
        <f t="shared" si="1"/>
        <v>Accessi impropri di dipendenti ai dati dei clienti</v>
      </c>
      <c r="D16" s="27">
        <f t="shared" si="2"/>
        <v>2.8</v>
      </c>
      <c r="E16" s="27">
        <f t="shared" si="3"/>
        <v>2.8</v>
      </c>
      <c r="F16" s="28">
        <f t="shared" si="4"/>
        <v>0</v>
      </c>
      <c r="G16" t="str">
        <f t="shared" si="5"/>
        <v>Confermato</v>
      </c>
      <c r="H16" t="str">
        <f>IF($U16="","",INDEX(Radar_Mosca!$L$5:$L$19,$U16))</f>
        <v>Agire entro l'anno</v>
      </c>
      <c r="I16" s="27">
        <f>IF($U16="","",IFERROR(INDEX(Radar_Mosca!$K$5:$K$19,$U16),""))</f>
        <v>0.25</v>
      </c>
      <c r="J16" t="str">
        <f t="shared" si="6"/>
        <v>Funzione Sicurezza delle Informazioni</v>
      </c>
      <c r="K16" t="str">
        <f t="shared" si="7"/>
        <v>NFR-08 ●  Accessi impropri di dipendenti ai …</v>
      </c>
      <c r="T16">
        <f>IF(ISNUMBER(INDEX(posScore,12)),INDEX(posScore,12)-12/100000,"")</f>
        <v>3.4998800000000001</v>
      </c>
      <c r="U16">
        <f>IFERROR(MATCH(_xlfn.AGGREGATE(14,6,$T$5:$T$19,12),$T$5:$T$19,0),"")</f>
        <v>8</v>
      </c>
      <c r="V16" s="29">
        <f t="shared" si="8"/>
        <v>0</v>
      </c>
      <c r="W16" s="29">
        <f t="shared" si="9"/>
        <v>2.8</v>
      </c>
      <c r="X16" s="29">
        <f t="shared" si="10"/>
        <v>0</v>
      </c>
      <c r="Y16">
        <f>IF($U16="",NA(),INDEX(Radar_Mosca!$I$5:$I$19,$U16))</f>
        <v>0.25</v>
      </c>
      <c r="Z16">
        <f>IF($U16="",NA(),INDEX(Radar_Mosca!$J$5:$J$19,$U16))</f>
        <v>1</v>
      </c>
      <c r="AA16">
        <f>IF($U16="",NA(),INDEX(Radar_Mosca!$H$5:$H$19,$U16))</f>
        <v>1.5</v>
      </c>
      <c r="AB16" t="str">
        <f t="shared" si="11"/>
        <v/>
      </c>
      <c r="AD16">
        <f>IF(ISNUMBER(I16),I16+12/100000,"")</f>
        <v>0.25012000000000001</v>
      </c>
      <c r="AE16">
        <f>IFERROR(MATCH(_xlfn.AGGREGATE(15,6,$AD$5:$AD$19,12),$AD$5:$AD$19,0),"")</f>
        <v>10</v>
      </c>
      <c r="AF16" t="str">
        <f t="shared" si="12"/>
        <v>NFR-09 (+1,25)</v>
      </c>
      <c r="AG16">
        <f t="shared" si="13"/>
        <v>0.25</v>
      </c>
      <c r="AH16">
        <f t="shared" si="14"/>
        <v>1</v>
      </c>
      <c r="AI16" t="e">
        <f t="shared" si="15"/>
        <v>#N/A</v>
      </c>
      <c r="AJ16">
        <f t="shared" si="16"/>
        <v>2.5</v>
      </c>
    </row>
    <row r="17" spans="1:36" x14ac:dyDescent="0.4">
      <c r="A17" t="str">
        <f>IF($U17="","",13)</f>
        <v/>
      </c>
      <c r="B17" t="str">
        <f t="shared" si="0"/>
        <v/>
      </c>
      <c r="C17" t="str">
        <f t="shared" si="1"/>
        <v/>
      </c>
      <c r="D17" s="27" t="str">
        <f t="shared" si="2"/>
        <v/>
      </c>
      <c r="E17" s="27" t="str">
        <f t="shared" si="3"/>
        <v/>
      </c>
      <c r="F17" s="28" t="str">
        <f t="shared" si="4"/>
        <v/>
      </c>
      <c r="G17" t="str">
        <f t="shared" si="5"/>
        <v/>
      </c>
      <c r="H17" t="str">
        <f>IF($U17="","",INDEX(Radar_Mosca!$L$5:$L$19,$U17))</f>
        <v/>
      </c>
      <c r="I17" s="27" t="str">
        <f>IF($U17="","",IFERROR(INDEX(Radar_Mosca!$K$5:$K$19,$U17),""))</f>
        <v/>
      </c>
      <c r="J17" t="str">
        <f t="shared" si="6"/>
        <v/>
      </c>
      <c r="K17" t="str">
        <f t="shared" si="7"/>
        <v/>
      </c>
      <c r="T17" t="str">
        <f>IF(ISNUMBER(INDEX(posScore,13)),INDEX(posScore,13)-13/100000,"")</f>
        <v/>
      </c>
      <c r="U17" t="str">
        <f>IFERROR(MATCH(_xlfn.AGGREGATE(14,6,$T$5:$T$19,13),$T$5:$T$19,0),"")</f>
        <v/>
      </c>
      <c r="V17" s="29" t="e">
        <f t="shared" si="8"/>
        <v>#N/A</v>
      </c>
      <c r="W17" s="29" t="e">
        <f t="shared" si="9"/>
        <v>#N/A</v>
      </c>
      <c r="X17" s="29" t="e">
        <f t="shared" si="10"/>
        <v>#N/A</v>
      </c>
      <c r="Y17" t="e">
        <f>IF($U17="",NA(),INDEX(Radar_Mosca!$I$5:$I$19,$U17))</f>
        <v>#N/A</v>
      </c>
      <c r="Z17" t="e">
        <f>IF($U17="",NA(),INDEX(Radar_Mosca!$J$5:$J$19,$U17))</f>
        <v>#N/A</v>
      </c>
      <c r="AA17" t="e">
        <f>IF($U17="",NA(),INDEX(Radar_Mosca!$H$5:$H$19,$U17))</f>
        <v>#N/A</v>
      </c>
      <c r="AB17" t="str">
        <f t="shared" si="11"/>
        <v/>
      </c>
      <c r="AD17" t="str">
        <f>IF(ISNUMBER(I17),I17+13/100000,"")</f>
        <v/>
      </c>
      <c r="AE17" t="str">
        <f>IFERROR(MATCH(_xlfn.AGGREGATE(15,6,$AD$5:$AD$19,13),$AD$5:$AD$19,0),"")</f>
        <v/>
      </c>
      <c r="AF17" t="str">
        <f t="shared" si="12"/>
        <v/>
      </c>
      <c r="AG17" t="e">
        <f t="shared" si="13"/>
        <v>#N/A</v>
      </c>
      <c r="AH17" t="e">
        <f t="shared" si="14"/>
        <v>#N/A</v>
      </c>
      <c r="AI17" t="e">
        <f t="shared" si="15"/>
        <v>#N/A</v>
      </c>
      <c r="AJ17" t="e">
        <f t="shared" si="16"/>
        <v>#N/A</v>
      </c>
    </row>
    <row r="18" spans="1:36" x14ac:dyDescent="0.4">
      <c r="A18" t="str">
        <f>IF($U18="","",14)</f>
        <v/>
      </c>
      <c r="B18" t="str">
        <f t="shared" si="0"/>
        <v/>
      </c>
      <c r="C18" t="str">
        <f t="shared" si="1"/>
        <v/>
      </c>
      <c r="D18" s="27" t="str">
        <f t="shared" si="2"/>
        <v/>
      </c>
      <c r="E18" s="27" t="str">
        <f t="shared" si="3"/>
        <v/>
      </c>
      <c r="F18" s="28" t="str">
        <f t="shared" si="4"/>
        <v/>
      </c>
      <c r="G18" t="str">
        <f t="shared" si="5"/>
        <v/>
      </c>
      <c r="H18" t="str">
        <f>IF($U18="","",INDEX(Radar_Mosca!$L$5:$L$19,$U18))</f>
        <v/>
      </c>
      <c r="I18" s="27" t="str">
        <f>IF($U18="","",IFERROR(INDEX(Radar_Mosca!$K$5:$K$19,$U18),""))</f>
        <v/>
      </c>
      <c r="J18" t="str">
        <f t="shared" si="6"/>
        <v/>
      </c>
      <c r="K18" t="str">
        <f t="shared" si="7"/>
        <v/>
      </c>
      <c r="T18" t="str">
        <f>IF(ISNUMBER(INDEX(posScore,14)),INDEX(posScore,14)-14/100000,"")</f>
        <v/>
      </c>
      <c r="U18" t="str">
        <f>IFERROR(MATCH(_xlfn.AGGREGATE(14,6,$T$5:$T$19,14),$T$5:$T$19,0),"")</f>
        <v/>
      </c>
      <c r="V18" s="29" t="e">
        <f t="shared" si="8"/>
        <v>#N/A</v>
      </c>
      <c r="W18" s="29" t="e">
        <f t="shared" si="9"/>
        <v>#N/A</v>
      </c>
      <c r="X18" s="29" t="e">
        <f t="shared" si="10"/>
        <v>#N/A</v>
      </c>
      <c r="Y18" t="e">
        <f>IF($U18="",NA(),INDEX(Radar_Mosca!$I$5:$I$19,$U18))</f>
        <v>#N/A</v>
      </c>
      <c r="Z18" t="e">
        <f>IF($U18="",NA(),INDEX(Radar_Mosca!$J$5:$J$19,$U18))</f>
        <v>#N/A</v>
      </c>
      <c r="AA18" t="e">
        <f>IF($U18="",NA(),INDEX(Radar_Mosca!$H$5:$H$19,$U18))</f>
        <v>#N/A</v>
      </c>
      <c r="AB18" t="str">
        <f t="shared" si="11"/>
        <v/>
      </c>
      <c r="AD18" t="str">
        <f>IF(ISNUMBER(I18),I18+14/100000,"")</f>
        <v/>
      </c>
      <c r="AE18" t="str">
        <f>IFERROR(MATCH(_xlfn.AGGREGATE(15,6,$AD$5:$AD$19,14),$AD$5:$AD$19,0),"")</f>
        <v/>
      </c>
      <c r="AF18" t="str">
        <f t="shared" si="12"/>
        <v/>
      </c>
      <c r="AG18" t="e">
        <f t="shared" si="13"/>
        <v>#N/A</v>
      </c>
      <c r="AH18" t="e">
        <f t="shared" si="14"/>
        <v>#N/A</v>
      </c>
      <c r="AI18" t="e">
        <f t="shared" si="15"/>
        <v>#N/A</v>
      </c>
      <c r="AJ18" t="e">
        <f t="shared" si="16"/>
        <v>#N/A</v>
      </c>
    </row>
    <row r="19" spans="1:36" x14ac:dyDescent="0.4">
      <c r="A19" t="str">
        <f>IF($U19="","",15)</f>
        <v/>
      </c>
      <c r="B19" t="str">
        <f t="shared" si="0"/>
        <v/>
      </c>
      <c r="C19" t="str">
        <f t="shared" si="1"/>
        <v/>
      </c>
      <c r="D19" s="27" t="str">
        <f t="shared" si="2"/>
        <v/>
      </c>
      <c r="E19" s="27" t="str">
        <f t="shared" si="3"/>
        <v/>
      </c>
      <c r="F19" s="28" t="str">
        <f t="shared" si="4"/>
        <v/>
      </c>
      <c r="G19" t="str">
        <f t="shared" si="5"/>
        <v/>
      </c>
      <c r="H19" t="str">
        <f>IF($U19="","",INDEX(Radar_Mosca!$L$5:$L$19,$U19))</f>
        <v/>
      </c>
      <c r="I19" s="27" t="str">
        <f>IF($U19="","",IFERROR(INDEX(Radar_Mosca!$K$5:$K$19,$U19),""))</f>
        <v/>
      </c>
      <c r="J19" t="str">
        <f t="shared" si="6"/>
        <v/>
      </c>
      <c r="K19" t="str">
        <f t="shared" si="7"/>
        <v/>
      </c>
      <c r="T19" t="str">
        <f>IF(ISNUMBER(INDEX(posScore,15)),INDEX(posScore,15)-15/100000,"")</f>
        <v/>
      </c>
      <c r="U19" t="str">
        <f>IFERROR(MATCH(_xlfn.AGGREGATE(14,6,$T$5:$T$19,15),$T$5:$T$19,0),"")</f>
        <v/>
      </c>
      <c r="V19" s="29" t="e">
        <f t="shared" si="8"/>
        <v>#N/A</v>
      </c>
      <c r="W19" s="29" t="e">
        <f t="shared" si="9"/>
        <v>#N/A</v>
      </c>
      <c r="X19" s="29" t="e">
        <f t="shared" si="10"/>
        <v>#N/A</v>
      </c>
      <c r="Y19" t="e">
        <f>IF($U19="",NA(),INDEX(Radar_Mosca!$I$5:$I$19,$U19))</f>
        <v>#N/A</v>
      </c>
      <c r="Z19" t="e">
        <f>IF($U19="",NA(),INDEX(Radar_Mosca!$J$5:$J$19,$U19))</f>
        <v>#N/A</v>
      </c>
      <c r="AA19" t="e">
        <f>IF($U19="",NA(),INDEX(Radar_Mosca!$H$5:$H$19,$U19))</f>
        <v>#N/A</v>
      </c>
      <c r="AB19" t="str">
        <f t="shared" si="11"/>
        <v/>
      </c>
      <c r="AD19" t="str">
        <f>IF(ISNUMBER(I19),I19+15/100000,"")</f>
        <v/>
      </c>
      <c r="AE19" t="str">
        <f>IFERROR(MATCH(_xlfn.AGGREGATE(15,6,$AD$5:$AD$19,15),$AD$5:$AD$19,0),"")</f>
        <v/>
      </c>
      <c r="AF19" t="str">
        <f t="shared" si="12"/>
        <v/>
      </c>
      <c r="AG19" t="e">
        <f t="shared" si="13"/>
        <v>#N/A</v>
      </c>
      <c r="AH19" t="e">
        <f t="shared" si="14"/>
        <v>#N/A</v>
      </c>
      <c r="AI19" t="e">
        <f t="shared" si="15"/>
        <v>#N/A</v>
      </c>
      <c r="AJ19" t="e">
        <f t="shared" si="16"/>
        <v>#N/A</v>
      </c>
    </row>
    <row r="48" spans="1:11" ht="30" customHeight="1" x14ac:dyDescent="0.4">
      <c r="A48" s="133" t="s">
        <v>173</v>
      </c>
      <c r="B48" s="98"/>
      <c r="C48" s="98"/>
      <c r="D48" s="98"/>
      <c r="E48" s="98"/>
      <c r="F48" s="98"/>
      <c r="G48" s="98"/>
      <c r="H48" s="98"/>
      <c r="I48" s="98"/>
      <c r="J48" s="98"/>
      <c r="K48" s="98"/>
    </row>
    <row r="49" spans="1:11" ht="26.05" customHeight="1" x14ac:dyDescent="0.4">
      <c r="A49" s="123" t="s">
        <v>174</v>
      </c>
      <c r="B49" s="98"/>
      <c r="C49" s="98"/>
      <c r="D49" s="98"/>
      <c r="E49" s="98"/>
      <c r="F49" s="98"/>
      <c r="G49" s="98"/>
      <c r="H49" s="98"/>
      <c r="I49" s="98"/>
      <c r="J49" s="98"/>
      <c r="K49" s="98"/>
    </row>
  </sheetData>
  <mergeCells count="4">
    <mergeCell ref="A2:K2"/>
    <mergeCell ref="A49:K49"/>
    <mergeCell ref="A1:K1"/>
    <mergeCell ref="A48:K48"/>
  </mergeCells>
  <conditionalFormatting sqref="F5:F19">
    <cfRule type="expression" dxfId="67" priority="4">
      <formula>AND(ISNUMBER(F5),F5&gt;0)</formula>
    </cfRule>
    <cfRule type="expression" dxfId="66" priority="5">
      <formula>AND(ISNUMBER(F5),F5&lt;0)</formula>
    </cfRule>
  </conditionalFormatting>
  <conditionalFormatting sqref="H5:H19">
    <cfRule type="expression" dxfId="65" priority="1">
      <formula>LEFT(H5,9)="AGIRE ORA"</formula>
    </cfRule>
    <cfRule type="expression" dxfId="64" priority="2">
      <formula>OR(LEFT(H5,11)="Agire entro",LEFT(H5,12)="Entro l'anno")</formula>
    </cfRule>
    <cfRule type="expression" dxfId="63" priority="3">
      <formula>LEFT(H5,7)="Margine"</formula>
    </cfRule>
  </conditionalFormatting>
  <pageMargins left="0.4" right="0.4" top="1" bottom="1" header="0.5" footer="0.5"/>
  <pageSetup paperSize="9" orientation="landscape"/>
  <headerFooter>
    <oddHeader>&amp;L&amp;A&amp;CUso interno&amp;RHorizon Scan NFR</oddHeader>
    <oddFooter>&amp;L&amp;F&amp;RPagina &amp;P di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  <pageSetUpPr fitToPage="1"/>
  </sheetPr>
  <dimension ref="A1:BS77"/>
  <sheetViews>
    <sheetView showGridLines="0" workbookViewId="0"/>
  </sheetViews>
  <sheetFormatPr defaultRowHeight="14.6" x14ac:dyDescent="0.4"/>
  <cols>
    <col min="1" max="1" width="9" customWidth="1"/>
    <col min="2" max="2" width="40" customWidth="1"/>
    <col min="3" max="3" width="9" customWidth="1"/>
    <col min="4" max="4" width="10" customWidth="1"/>
    <col min="5" max="5" width="11" customWidth="1"/>
    <col min="6" max="6" width="7" customWidth="1"/>
    <col min="7" max="7" width="11" customWidth="1"/>
    <col min="8" max="8" width="13" customWidth="1"/>
    <col min="9" max="11" width="11" customWidth="1"/>
    <col min="12" max="12" width="20" customWidth="1"/>
    <col min="21" max="71" width="13" hidden="1" customWidth="1"/>
  </cols>
  <sheetData>
    <row r="1" spans="1:71" ht="28" customHeight="1" x14ac:dyDescent="0.4">
      <c r="A1" s="126" t="str">
        <f>"Horizon Scan NFR — Radar di Mosca: quanto presto agire, e quanto e' grande ogni rischio   ·   "&amp;etichettaCiclo</f>
        <v>Horizon Scan NFR — Radar di Mosca: quanto presto agire, e quanto e' grande ogni rischio   ·   Ciclo 2026Q3 · dati al 30/09/2026 · validato · Uso interno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71" ht="45.55" customHeight="1" x14ac:dyDescent="0.4">
      <c r="A2" s="112" t="s">
        <v>175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</row>
    <row r="3" spans="1:71" x14ac:dyDescent="0.4">
      <c r="U3" t="s">
        <v>1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</row>
    <row r="4" spans="1:71" ht="45" customHeight="1" x14ac:dyDescent="0.4">
      <c r="A4" s="26" t="s">
        <v>148</v>
      </c>
      <c r="B4" s="26" t="s">
        <v>149</v>
      </c>
      <c r="C4" s="26" t="s">
        <v>176</v>
      </c>
      <c r="D4" s="26" t="s">
        <v>177</v>
      </c>
      <c r="E4" s="26" t="s">
        <v>178</v>
      </c>
      <c r="F4" s="26" t="s">
        <v>179</v>
      </c>
      <c r="G4" s="26" t="s">
        <v>180</v>
      </c>
      <c r="H4" s="26" t="s">
        <v>181</v>
      </c>
      <c r="I4" s="26" t="s">
        <v>182</v>
      </c>
      <c r="J4" s="26" t="s">
        <v>183</v>
      </c>
      <c r="K4" s="26" t="s">
        <v>184</v>
      </c>
      <c r="L4" s="26" t="s">
        <v>21</v>
      </c>
      <c r="M4" s="26" t="s">
        <v>185</v>
      </c>
      <c r="N4" s="26" t="s">
        <v>186</v>
      </c>
      <c r="O4" s="26" t="s">
        <v>187</v>
      </c>
      <c r="P4" s="26" t="s">
        <v>188</v>
      </c>
      <c r="Q4" s="26" t="s">
        <v>189</v>
      </c>
      <c r="R4" s="26" t="s">
        <v>190</v>
      </c>
      <c r="S4" s="26" t="s">
        <v>191</v>
      </c>
      <c r="T4" s="26" t="s">
        <v>192</v>
      </c>
      <c r="AL4">
        <v>1</v>
      </c>
      <c r="AM4">
        <v>2</v>
      </c>
      <c r="AN4">
        <v>3</v>
      </c>
      <c r="AO4">
        <v>4</v>
      </c>
      <c r="AP4">
        <v>5</v>
      </c>
      <c r="AQ4">
        <v>6</v>
      </c>
      <c r="AR4">
        <v>8</v>
      </c>
      <c r="AS4">
        <v>9</v>
      </c>
      <c r="AT4">
        <v>10</v>
      </c>
      <c r="AU4">
        <v>12</v>
      </c>
      <c r="AV4">
        <v>15</v>
      </c>
      <c r="AW4">
        <v>16</v>
      </c>
      <c r="AX4">
        <v>20</v>
      </c>
      <c r="AY4">
        <v>25</v>
      </c>
      <c r="AZ4">
        <v>1</v>
      </c>
      <c r="BA4">
        <v>2</v>
      </c>
      <c r="BB4">
        <v>3</v>
      </c>
      <c r="BC4">
        <v>4</v>
      </c>
      <c r="BD4">
        <v>5</v>
      </c>
      <c r="BE4">
        <v>6</v>
      </c>
      <c r="BF4">
        <v>8</v>
      </c>
      <c r="BG4">
        <v>9</v>
      </c>
      <c r="BH4">
        <v>10</v>
      </c>
      <c r="BI4">
        <v>12</v>
      </c>
      <c r="BJ4">
        <v>15</v>
      </c>
      <c r="BK4">
        <v>16</v>
      </c>
      <c r="BL4">
        <v>20</v>
      </c>
      <c r="BM4">
        <v>25</v>
      </c>
    </row>
    <row r="5" spans="1:71" x14ac:dyDescent="0.4">
      <c r="A5" t="str">
        <f>IF(Parametri!$H4="","",Parametri!$H4)</f>
        <v>NFR-01</v>
      </c>
      <c r="B5" t="str">
        <f>IF($A5="","",Parametri!$I4)</f>
        <v>Frodi su pagamenti istantanei abilitate da AI generativa</v>
      </c>
      <c r="C5" t="str">
        <f>IF($A5="","",Parametri!$J4)</f>
        <v>L1-02</v>
      </c>
      <c r="D5">
        <f t="shared" ref="D5:D19" si="0">IF($A5="",NA(),IF(COUNTIFS(RR_ID_Rischio,$A5,RR_Ciclo,cicloCorrente)=0,NA(),SUMIFS(RR_Severity,RR_ID_Rischio,$A5,RR_Ciclo,cicloCorrente)))</f>
        <v>4</v>
      </c>
      <c r="E5">
        <f t="shared" ref="E5:E19" si="1">IF($A5="",NA(),IF(COUNTIFS(RR_ID_Rischio,$A5,RR_Ciclo,cicloCorrente)=0,NA(),SUMIFS(RR_Probabilita,RR_ID_Rischio,$A5,RR_Ciclo,cicloCorrente)))</f>
        <v>4</v>
      </c>
      <c r="F5">
        <f t="shared" ref="F5:F19" si="2">IF(AND(ISNUMBER(D5),ISNUMBER(E5)),D5*E5,NA())</f>
        <v>16</v>
      </c>
      <c r="G5">
        <f t="shared" ref="G5:G19" si="3">IF($A5="",NA(),IF(COUNTIFS(RR_ID_Rischio,$A5,RR_Ciclo,cicloCorrente)=0,NA(),SUMIFS(RR_Prossimita,RR_ID_Rischio,$A5,RR_Ciclo,cicloCorrente)))</f>
        <v>4</v>
      </c>
      <c r="H5" s="27">
        <f t="shared" ref="H5:H19" si="4">IF(ISNUMBER(G5),INDEX(anniProssimita,G5),NA())</f>
        <v>0.5</v>
      </c>
      <c r="I5" s="27">
        <f t="shared" ref="I5:I19" si="5">IF($A5="",NA(),moscaX)</f>
        <v>0.25</v>
      </c>
      <c r="J5" s="27">
        <f>IF($A5="",NA(),MAX(IF(COUNTIFS(AZ_ID_Rischio,$A5,AZ_Ciclo,cicloCorrente,AZ_Stato,"&lt;&gt;Respinta",AZ_Mesi_Orizzonte,"&gt;0")=0,moscaYDefault,_xlfn.MAXIFS(AZ_Mesi_Orizzonte,AZ_ID_Rischio,$A5,AZ_Ciclo,cicloCorrente,AZ_Stato,"&lt;&gt;Respinta")/12),N(Parametri!$M4)))</f>
        <v>0.5</v>
      </c>
      <c r="K5" s="27">
        <f t="shared" ref="K5:K19" si="6">IF(AND(ISNUMBER(H5),ISNUMBER(J5)),H5-(I5+J5),NA())</f>
        <v>-0.25</v>
      </c>
      <c r="L5" t="str">
        <f t="shared" ref="L5:L19" si="7">IF(NOT(ISNUMBER(K5)),"",IF(K5&lt;0,"AGIRE ORA: X+Y &gt; Z",IF(K5&lt;1,"Agire entro l'anno","Margine "&amp;ROUND(K5,1)&amp;IF(ROUND(K5,1)=1," anno"," anni"))))</f>
        <v>AGIRE ORA: X+Y &gt; Z</v>
      </c>
      <c r="M5">
        <f t="shared" ref="M5:M19" si="8">IF($A5="",NA(),MATCH(C5,codiciL1,0)-1)</f>
        <v>1</v>
      </c>
      <c r="N5">
        <f>IF($A5="",NA(),COUNTIF($C$4:C4,C5))</f>
        <v>0</v>
      </c>
      <c r="O5">
        <f t="shared" ref="O5:O19" si="9">IF($A5="",NA(),COUNTIF(ANA_Event_Type,C5))</f>
        <v>1</v>
      </c>
      <c r="P5" s="27">
        <f t="shared" ref="P5:P19" si="10">IF($A5="",NA(),2*PI()*(M5+(N5+0.5)/O5)/ROWS(codiciL1))</f>
        <v>1.3463968515384828</v>
      </c>
      <c r="Q5" s="27">
        <f t="shared" ref="Q5:Q19" si="11">IF(ISNUMBER(K5),MAX(0.6,MIN(6,K5+2)),NA())</f>
        <v>1.75</v>
      </c>
      <c r="R5" s="27">
        <f t="shared" ref="R5:R19" si="12">IF(AND(ISNUMBER(Q5),ISNUMBER(P5)),Q5*SIN(P5),NA())</f>
        <v>1.7061238463181914</v>
      </c>
      <c r="S5" s="27">
        <f t="shared" ref="S5:S19" si="13">IF(AND(ISNUMBER(Q5),ISNUMBER(P5)),Q5*COS(P5),NA())</f>
        <v>0.38941163442355031</v>
      </c>
      <c r="T5" t="str">
        <f>IF($A5="","",IF(Parametri!$N4="Sì","Sì",""))</f>
        <v>Sì</v>
      </c>
      <c r="U5">
        <f>2*PI()*0/72</f>
        <v>0</v>
      </c>
      <c r="V5">
        <f t="shared" ref="V5:V36" si="14">2*SIN($U5)</f>
        <v>0</v>
      </c>
      <c r="W5">
        <f t="shared" ref="W5:W36" si="15">2*COS($U5)</f>
        <v>2</v>
      </c>
      <c r="X5">
        <f t="shared" ref="X5:X36" si="16">3*SIN($U5)</f>
        <v>0</v>
      </c>
      <c r="Y5">
        <f t="shared" ref="Y5:Y36" si="17">3*COS($U5)</f>
        <v>3</v>
      </c>
      <c r="Z5">
        <f t="shared" ref="Z5:Z36" si="18">4*SIN($U5)</f>
        <v>0</v>
      </c>
      <c r="AA5">
        <f t="shared" ref="AA5:AA36" si="19">4*COS($U5)</f>
        <v>4</v>
      </c>
      <c r="AB5">
        <f t="shared" ref="AB5:AB36" si="20">5*SIN($U5)</f>
        <v>0</v>
      </c>
      <c r="AC5">
        <f t="shared" ref="AC5:AC36" si="21">5*COS($U5)</f>
        <v>5</v>
      </c>
      <c r="AE5">
        <v>0</v>
      </c>
      <c r="AF5">
        <v>0</v>
      </c>
      <c r="AH5" t="s">
        <v>8</v>
      </c>
      <c r="AI5">
        <f>6.95*SIN(2*PI()*(0+0.5)/ROWS(codiciL1))</f>
        <v>3.0154919868670289</v>
      </c>
      <c r="AJ5">
        <f>6.95*COS(2*PI()*(0+0.5)/ROWS(codiciL1))</f>
        <v>6.2617336319218131</v>
      </c>
      <c r="AL5" t="e">
        <f t="shared" ref="AL5:AY19" si="22">IF(AND(ISNUMBER($F5),ISNUMBER($S5)),IF(AND($F5=AL$4,$T5&lt;&gt;"Sì"),$S5,NA()),NA())</f>
        <v>#N/A</v>
      </c>
      <c r="AM5" t="e">
        <f t="shared" si="22"/>
        <v>#N/A</v>
      </c>
      <c r="AN5" t="e">
        <f t="shared" si="22"/>
        <v>#N/A</v>
      </c>
      <c r="AO5" t="e">
        <f t="shared" si="22"/>
        <v>#N/A</v>
      </c>
      <c r="AP5" t="e">
        <f t="shared" si="22"/>
        <v>#N/A</v>
      </c>
      <c r="AQ5" t="e">
        <f t="shared" si="22"/>
        <v>#N/A</v>
      </c>
      <c r="AR5" t="e">
        <f t="shared" si="22"/>
        <v>#N/A</v>
      </c>
      <c r="AS5" t="e">
        <f t="shared" si="22"/>
        <v>#N/A</v>
      </c>
      <c r="AT5" t="e">
        <f t="shared" si="22"/>
        <v>#N/A</v>
      </c>
      <c r="AU5" t="e">
        <f t="shared" si="22"/>
        <v>#N/A</v>
      </c>
      <c r="AV5" t="e">
        <f t="shared" si="22"/>
        <v>#N/A</v>
      </c>
      <c r="AW5" t="e">
        <f t="shared" si="22"/>
        <v>#N/A</v>
      </c>
      <c r="AX5" t="e">
        <f t="shared" si="22"/>
        <v>#N/A</v>
      </c>
      <c r="AY5" t="e">
        <f t="shared" si="22"/>
        <v>#N/A</v>
      </c>
      <c r="AZ5" t="e">
        <f t="shared" ref="AZ5:BM19" si="23">IF(AND(ISNUMBER($F5),ISNUMBER($S5)),IF(AND($F5=AZ$4,$T5="Sì"),$S5,NA()),NA())</f>
        <v>#N/A</v>
      </c>
      <c r="BA5" t="e">
        <f t="shared" si="23"/>
        <v>#N/A</v>
      </c>
      <c r="BB5" t="e">
        <f t="shared" si="23"/>
        <v>#N/A</v>
      </c>
      <c r="BC5" t="e">
        <f t="shared" si="23"/>
        <v>#N/A</v>
      </c>
      <c r="BD5" t="e">
        <f t="shared" si="23"/>
        <v>#N/A</v>
      </c>
      <c r="BE5" t="e">
        <f t="shared" si="23"/>
        <v>#N/A</v>
      </c>
      <c r="BF5" t="e">
        <f t="shared" si="23"/>
        <v>#N/A</v>
      </c>
      <c r="BG5" t="e">
        <f t="shared" si="23"/>
        <v>#N/A</v>
      </c>
      <c r="BH5" t="e">
        <f t="shared" si="23"/>
        <v>#N/A</v>
      </c>
      <c r="BI5" t="e">
        <f t="shared" si="23"/>
        <v>#N/A</v>
      </c>
      <c r="BJ5" t="e">
        <f t="shared" si="23"/>
        <v>#N/A</v>
      </c>
      <c r="BK5">
        <f t="shared" si="23"/>
        <v>0.38941163442355031</v>
      </c>
      <c r="BL5" t="e">
        <f t="shared" si="23"/>
        <v>#N/A</v>
      </c>
      <c r="BM5" t="e">
        <f t="shared" si="23"/>
        <v>#N/A</v>
      </c>
      <c r="BN5">
        <f t="shared" ref="BN5:BN19" si="24">IF(ISNUMBER($R5),$R5,NA())</f>
        <v>1.7061238463181914</v>
      </c>
      <c r="BO5" t="str">
        <f t="shared" ref="BO5:BO19" si="25">IF($A5="","",$A5)</f>
        <v>NFR-01</v>
      </c>
      <c r="BP5">
        <f t="shared" ref="BP5:BP19" si="26">IF(ISNUMBER($S5),$S5,NA())</f>
        <v>0.38941163442355031</v>
      </c>
      <c r="BQ5" t="s">
        <v>193</v>
      </c>
      <c r="BR5">
        <v>-6.9</v>
      </c>
      <c r="BS5">
        <v>-6.35</v>
      </c>
    </row>
    <row r="6" spans="1:71" x14ac:dyDescent="0.4">
      <c r="A6" t="str">
        <f>IF(Parametri!$H5="","",Parametri!$H5)</f>
        <v>NFR-02</v>
      </c>
      <c r="B6" t="str">
        <f>IF($A6="","",Parametri!$I5)</f>
        <v>Concentrazione su un fornitore cloud critico</v>
      </c>
      <c r="C6" t="str">
        <f>IF($A6="","",Parametri!$J5)</f>
        <v>L1-06</v>
      </c>
      <c r="D6">
        <f t="shared" si="0"/>
        <v>4</v>
      </c>
      <c r="E6">
        <f t="shared" si="1"/>
        <v>2</v>
      </c>
      <c r="F6">
        <f t="shared" si="2"/>
        <v>8</v>
      </c>
      <c r="G6">
        <f t="shared" si="3"/>
        <v>3</v>
      </c>
      <c r="H6" s="27">
        <f t="shared" si="4"/>
        <v>1.5</v>
      </c>
      <c r="I6" s="27">
        <f t="shared" si="5"/>
        <v>0.25</v>
      </c>
      <c r="J6" s="27">
        <f>IF($A6="",NA(),MAX(IF(COUNTIFS(AZ_ID_Rischio,$A6,AZ_Ciclo,cicloCorrente,AZ_Stato,"&lt;&gt;Respinta",AZ_Mesi_Orizzonte,"&gt;0")=0,moscaYDefault,_xlfn.MAXIFS(AZ_Mesi_Orizzonte,AZ_ID_Rischio,$A6,AZ_Ciclo,cicloCorrente,AZ_Stato,"&lt;&gt;Respinta")/12),N(Parametri!$M5)))</f>
        <v>1</v>
      </c>
      <c r="K6" s="27">
        <f t="shared" si="6"/>
        <v>0.25</v>
      </c>
      <c r="L6" t="str">
        <f t="shared" si="7"/>
        <v>Agire entro l'anno</v>
      </c>
      <c r="M6">
        <f t="shared" si="8"/>
        <v>5</v>
      </c>
      <c r="N6">
        <f>IF($A6="",NA(),COUNTIF($C$4:C5,C6))</f>
        <v>0</v>
      </c>
      <c r="O6">
        <f t="shared" si="9"/>
        <v>3</v>
      </c>
      <c r="P6" s="27">
        <f t="shared" si="10"/>
        <v>4.6375891552992181</v>
      </c>
      <c r="Q6" s="27">
        <f t="shared" si="11"/>
        <v>2.25</v>
      </c>
      <c r="R6" s="27">
        <f t="shared" si="12"/>
        <v>-2.2437085436576552</v>
      </c>
      <c r="S6" s="27">
        <f t="shared" si="13"/>
        <v>-0.16814271056945562</v>
      </c>
      <c r="T6" t="str">
        <f>IF($A6="","",IF(Parametri!$N5="Sì","Sì",""))</f>
        <v>Sì</v>
      </c>
      <c r="U6">
        <f>2*PI()*1/72</f>
        <v>8.7266462599716474E-2</v>
      </c>
      <c r="V6">
        <f t="shared" si="14"/>
        <v>0.17431148549531633</v>
      </c>
      <c r="W6">
        <f t="shared" si="15"/>
        <v>1.9923893961834911</v>
      </c>
      <c r="X6">
        <f t="shared" si="16"/>
        <v>0.26146722824297453</v>
      </c>
      <c r="Y6">
        <f t="shared" si="17"/>
        <v>2.9885840942752369</v>
      </c>
      <c r="Z6">
        <f t="shared" si="18"/>
        <v>0.34862297099063266</v>
      </c>
      <c r="AA6">
        <f t="shared" si="19"/>
        <v>3.9847787923669822</v>
      </c>
      <c r="AB6">
        <f t="shared" si="20"/>
        <v>0.4357787137382908</v>
      </c>
      <c r="AC6">
        <f t="shared" si="21"/>
        <v>4.9809734904587275</v>
      </c>
      <c r="AE6">
        <f>6.3*SIN(2*PI()*0/ROWS(codiciL1))</f>
        <v>0</v>
      </c>
      <c r="AF6">
        <f>6.3*COS(2*PI()*0/ROWS(codiciL1))</f>
        <v>6.3</v>
      </c>
      <c r="AH6" t="s">
        <v>10</v>
      </c>
      <c r="AI6">
        <f>6.95*SIN(2*PI()*(1+0.5)/ROWS(codiciL1))</f>
        <v>6.7757489896636747</v>
      </c>
      <c r="AJ6">
        <f>6.95*COS(2*PI()*(1+0.5)/ROWS(codiciL1))</f>
        <v>1.5465204909963854</v>
      </c>
      <c r="AL6" t="e">
        <f t="shared" si="22"/>
        <v>#N/A</v>
      </c>
      <c r="AM6" t="e">
        <f t="shared" si="22"/>
        <v>#N/A</v>
      </c>
      <c r="AN6" t="e">
        <f t="shared" si="22"/>
        <v>#N/A</v>
      </c>
      <c r="AO6" t="e">
        <f t="shared" si="22"/>
        <v>#N/A</v>
      </c>
      <c r="AP6" t="e">
        <f t="shared" si="22"/>
        <v>#N/A</v>
      </c>
      <c r="AQ6" t="e">
        <f t="shared" si="22"/>
        <v>#N/A</v>
      </c>
      <c r="AR6" t="e">
        <f t="shared" si="22"/>
        <v>#N/A</v>
      </c>
      <c r="AS6" t="e">
        <f t="shared" si="22"/>
        <v>#N/A</v>
      </c>
      <c r="AT6" t="e">
        <f t="shared" si="22"/>
        <v>#N/A</v>
      </c>
      <c r="AU6" t="e">
        <f t="shared" si="22"/>
        <v>#N/A</v>
      </c>
      <c r="AV6" t="e">
        <f t="shared" si="22"/>
        <v>#N/A</v>
      </c>
      <c r="AW6" t="e">
        <f t="shared" si="22"/>
        <v>#N/A</v>
      </c>
      <c r="AX6" t="e">
        <f t="shared" si="22"/>
        <v>#N/A</v>
      </c>
      <c r="AY6" t="e">
        <f t="shared" si="22"/>
        <v>#N/A</v>
      </c>
      <c r="AZ6" t="e">
        <f t="shared" si="23"/>
        <v>#N/A</v>
      </c>
      <c r="BA6" t="e">
        <f t="shared" si="23"/>
        <v>#N/A</v>
      </c>
      <c r="BB6" t="e">
        <f t="shared" si="23"/>
        <v>#N/A</v>
      </c>
      <c r="BC6" t="e">
        <f t="shared" si="23"/>
        <v>#N/A</v>
      </c>
      <c r="BD6" t="e">
        <f t="shared" si="23"/>
        <v>#N/A</v>
      </c>
      <c r="BE6" t="e">
        <f t="shared" si="23"/>
        <v>#N/A</v>
      </c>
      <c r="BF6">
        <f t="shared" si="23"/>
        <v>-0.16814271056945562</v>
      </c>
      <c r="BG6" t="e">
        <f t="shared" si="23"/>
        <v>#N/A</v>
      </c>
      <c r="BH6" t="e">
        <f t="shared" si="23"/>
        <v>#N/A</v>
      </c>
      <c r="BI6" t="e">
        <f t="shared" si="23"/>
        <v>#N/A</v>
      </c>
      <c r="BJ6" t="e">
        <f t="shared" si="23"/>
        <v>#N/A</v>
      </c>
      <c r="BK6" t="e">
        <f t="shared" si="23"/>
        <v>#N/A</v>
      </c>
      <c r="BL6" t="e">
        <f t="shared" si="23"/>
        <v>#N/A</v>
      </c>
      <c r="BM6" t="e">
        <f t="shared" si="23"/>
        <v>#N/A</v>
      </c>
      <c r="BN6">
        <f t="shared" si="24"/>
        <v>-2.2437085436576552</v>
      </c>
      <c r="BO6" t="str">
        <f t="shared" si="25"/>
        <v>NFR-02</v>
      </c>
      <c r="BP6">
        <f t="shared" si="26"/>
        <v>-0.16814271056945562</v>
      </c>
      <c r="BQ6" t="s">
        <v>194</v>
      </c>
      <c r="BR6">
        <v>-7.35</v>
      </c>
      <c r="BS6">
        <v>-7.35</v>
      </c>
    </row>
    <row r="7" spans="1:71" x14ac:dyDescent="0.4">
      <c r="A7" t="str">
        <f>IF(Parametri!$H6="","",Parametri!$H6)</f>
        <v>NFR-03</v>
      </c>
      <c r="B7" t="str">
        <f>IF($A7="","",Parametri!$I6)</f>
        <v>Greenwashing nella commercializzazione di prodotti ESG</v>
      </c>
      <c r="C7" t="str">
        <f>IF($A7="","",Parametri!$J6)</f>
        <v>L1-04</v>
      </c>
      <c r="D7">
        <f t="shared" si="0"/>
        <v>3</v>
      </c>
      <c r="E7">
        <f t="shared" si="1"/>
        <v>3</v>
      </c>
      <c r="F7">
        <f t="shared" si="2"/>
        <v>9</v>
      </c>
      <c r="G7">
        <f t="shared" si="3"/>
        <v>4</v>
      </c>
      <c r="H7" s="27">
        <f t="shared" si="4"/>
        <v>0.5</v>
      </c>
      <c r="I7" s="27">
        <f t="shared" si="5"/>
        <v>0.25</v>
      </c>
      <c r="J7" s="27">
        <f>IF($A7="",NA(),MAX(IF(COUNTIFS(AZ_ID_Rischio,$A7,AZ_Ciclo,cicloCorrente,AZ_Stato,"&lt;&gt;Respinta",AZ_Mesi_Orizzonte,"&gt;0")=0,moscaYDefault,_xlfn.MAXIFS(AZ_Mesi_Orizzonte,AZ_ID_Rischio,$A7,AZ_Ciclo,cicloCorrente,AZ_Stato,"&lt;&gt;Respinta")/12),N(Parametri!$M6)))</f>
        <v>0.25</v>
      </c>
      <c r="K7" s="27">
        <f t="shared" si="6"/>
        <v>0</v>
      </c>
      <c r="L7" t="str">
        <f t="shared" si="7"/>
        <v>Agire entro l'anno</v>
      </c>
      <c r="M7">
        <f t="shared" si="8"/>
        <v>3</v>
      </c>
      <c r="N7">
        <f>IF($A7="",NA(),COUNTIF($C$4:C6,C7))</f>
        <v>0</v>
      </c>
      <c r="O7">
        <f t="shared" si="9"/>
        <v>3</v>
      </c>
      <c r="P7" s="27">
        <f t="shared" si="10"/>
        <v>2.8423933532479078</v>
      </c>
      <c r="Q7" s="27">
        <f t="shared" si="11"/>
        <v>2</v>
      </c>
      <c r="R7" s="27">
        <f t="shared" si="12"/>
        <v>0.58951034882180919</v>
      </c>
      <c r="S7" s="27">
        <f t="shared" si="13"/>
        <v>-1.9111456115722811</v>
      </c>
      <c r="T7" t="str">
        <f>IF($A7="","",IF(Parametri!$N6="Sì","Sì",""))</f>
        <v/>
      </c>
      <c r="U7">
        <f>2*PI()*2/72</f>
        <v>0.17453292519943295</v>
      </c>
      <c r="V7">
        <f t="shared" si="14"/>
        <v>0.34729635533386066</v>
      </c>
      <c r="W7">
        <f t="shared" si="15"/>
        <v>1.969615506024416</v>
      </c>
      <c r="X7">
        <f t="shared" si="16"/>
        <v>0.52094453300079102</v>
      </c>
      <c r="Y7">
        <f t="shared" si="17"/>
        <v>2.9544232590366239</v>
      </c>
      <c r="Z7">
        <f t="shared" si="18"/>
        <v>0.69459271066772132</v>
      </c>
      <c r="AA7">
        <f t="shared" si="19"/>
        <v>3.9392310120488321</v>
      </c>
      <c r="AB7">
        <f t="shared" si="20"/>
        <v>0.86824088833465163</v>
      </c>
      <c r="AC7">
        <f t="shared" si="21"/>
        <v>4.9240387650610398</v>
      </c>
      <c r="AE7">
        <v>0</v>
      </c>
      <c r="AF7">
        <v>0</v>
      </c>
      <c r="AH7" t="s">
        <v>12</v>
      </c>
      <c r="AI7">
        <f>6.95*SIN(2*PI()*(2+0.5)/ROWS(codiciL1))</f>
        <v>5.4337288031528077</v>
      </c>
      <c r="AJ7">
        <f>6.95*COS(2*PI()*(2+0.5)/ROWS(codiciL1))</f>
        <v>-4.3332541229181976</v>
      </c>
      <c r="AL7" t="e">
        <f t="shared" si="22"/>
        <v>#N/A</v>
      </c>
      <c r="AM7" t="e">
        <f t="shared" si="22"/>
        <v>#N/A</v>
      </c>
      <c r="AN7" t="e">
        <f t="shared" si="22"/>
        <v>#N/A</v>
      </c>
      <c r="AO7" t="e">
        <f t="shared" si="22"/>
        <v>#N/A</v>
      </c>
      <c r="AP7" t="e">
        <f t="shared" si="22"/>
        <v>#N/A</v>
      </c>
      <c r="AQ7" t="e">
        <f t="shared" si="22"/>
        <v>#N/A</v>
      </c>
      <c r="AR7" t="e">
        <f t="shared" si="22"/>
        <v>#N/A</v>
      </c>
      <c r="AS7">
        <f t="shared" si="22"/>
        <v>-1.9111456115722811</v>
      </c>
      <c r="AT7" t="e">
        <f t="shared" si="22"/>
        <v>#N/A</v>
      </c>
      <c r="AU7" t="e">
        <f t="shared" si="22"/>
        <v>#N/A</v>
      </c>
      <c r="AV7" t="e">
        <f t="shared" si="22"/>
        <v>#N/A</v>
      </c>
      <c r="AW7" t="e">
        <f t="shared" si="22"/>
        <v>#N/A</v>
      </c>
      <c r="AX7" t="e">
        <f t="shared" si="22"/>
        <v>#N/A</v>
      </c>
      <c r="AY7" t="e">
        <f t="shared" si="22"/>
        <v>#N/A</v>
      </c>
      <c r="AZ7" t="e">
        <f t="shared" si="23"/>
        <v>#N/A</v>
      </c>
      <c r="BA7" t="e">
        <f t="shared" si="23"/>
        <v>#N/A</v>
      </c>
      <c r="BB7" t="e">
        <f t="shared" si="23"/>
        <v>#N/A</v>
      </c>
      <c r="BC7" t="e">
        <f t="shared" si="23"/>
        <v>#N/A</v>
      </c>
      <c r="BD7" t="e">
        <f t="shared" si="23"/>
        <v>#N/A</v>
      </c>
      <c r="BE7" t="e">
        <f t="shared" si="23"/>
        <v>#N/A</v>
      </c>
      <c r="BF7" t="e">
        <f t="shared" si="23"/>
        <v>#N/A</v>
      </c>
      <c r="BG7" t="e">
        <f t="shared" si="23"/>
        <v>#N/A</v>
      </c>
      <c r="BH7" t="e">
        <f t="shared" si="23"/>
        <v>#N/A</v>
      </c>
      <c r="BI7" t="e">
        <f t="shared" si="23"/>
        <v>#N/A</v>
      </c>
      <c r="BJ7" t="e">
        <f t="shared" si="23"/>
        <v>#N/A</v>
      </c>
      <c r="BK7" t="e">
        <f t="shared" si="23"/>
        <v>#N/A</v>
      </c>
      <c r="BL7" t="e">
        <f t="shared" si="23"/>
        <v>#N/A</v>
      </c>
      <c r="BM7" t="e">
        <f t="shared" si="23"/>
        <v>#N/A</v>
      </c>
      <c r="BN7">
        <f t="shared" si="24"/>
        <v>0.58951034882180919</v>
      </c>
      <c r="BO7" t="str">
        <f t="shared" si="25"/>
        <v>NFR-03</v>
      </c>
      <c r="BP7">
        <f t="shared" si="26"/>
        <v>-1.9111456115722811</v>
      </c>
      <c r="BR7">
        <v>-6.45</v>
      </c>
      <c r="BS7">
        <v>-7.35</v>
      </c>
    </row>
    <row r="8" spans="1:71" x14ac:dyDescent="0.4">
      <c r="A8" t="str">
        <f>IF(Parametri!$H7="","",Parametri!$H7)</f>
        <v>NFR-04</v>
      </c>
      <c r="B8" t="str">
        <f>IF($A8="","",Parametri!$I7)</f>
        <v>Eventi climatici estremi su sedi e data center</v>
      </c>
      <c r="C8" t="str">
        <f>IF($A8="","",Parametri!$J7)</f>
        <v>L1-05</v>
      </c>
      <c r="D8">
        <f t="shared" si="0"/>
        <v>3</v>
      </c>
      <c r="E8">
        <f t="shared" si="1"/>
        <v>3</v>
      </c>
      <c r="F8">
        <f t="shared" si="2"/>
        <v>9</v>
      </c>
      <c r="G8">
        <f t="shared" si="3"/>
        <v>3</v>
      </c>
      <c r="H8" s="27">
        <f t="shared" si="4"/>
        <v>1.5</v>
      </c>
      <c r="I8" s="27">
        <f t="shared" si="5"/>
        <v>0.25</v>
      </c>
      <c r="J8" s="27">
        <f>IF($A8="",NA(),MAX(IF(COUNTIFS(AZ_ID_Rischio,$A8,AZ_Ciclo,cicloCorrente,AZ_Stato,"&lt;&gt;Respinta",AZ_Mesi_Orizzonte,"&gt;0")=0,moscaYDefault,_xlfn.MAXIFS(AZ_Mesi_Orizzonte,AZ_ID_Rischio,$A8,AZ_Ciclo,cicloCorrente,AZ_Stato,"&lt;&gt;Respinta")/12),N(Parametri!$M7)))</f>
        <v>0.5</v>
      </c>
      <c r="K8" s="27">
        <f t="shared" si="6"/>
        <v>0.75</v>
      </c>
      <c r="L8" t="str">
        <f t="shared" si="7"/>
        <v>Agire entro l'anno</v>
      </c>
      <c r="M8">
        <f t="shared" si="8"/>
        <v>4</v>
      </c>
      <c r="N8">
        <f>IF($A8="",NA(),COUNTIF($C$4:C7,C8))</f>
        <v>0</v>
      </c>
      <c r="O8">
        <f t="shared" si="9"/>
        <v>1</v>
      </c>
      <c r="P8" s="27">
        <f t="shared" si="10"/>
        <v>4.0391905546154483</v>
      </c>
      <c r="Q8" s="27">
        <f t="shared" si="11"/>
        <v>2.75</v>
      </c>
      <c r="R8" s="27">
        <f t="shared" si="12"/>
        <v>-2.1500365767870817</v>
      </c>
      <c r="S8" s="27">
        <f t="shared" si="13"/>
        <v>-1.7145969551115177</v>
      </c>
      <c r="T8" t="str">
        <f>IF($A8="","",IF(Parametri!$N7="Sì","Sì",""))</f>
        <v/>
      </c>
      <c r="U8">
        <f>2*PI()*3/72</f>
        <v>0.26179938779914941</v>
      </c>
      <c r="V8">
        <f t="shared" si="14"/>
        <v>0.51763809020504148</v>
      </c>
      <c r="W8">
        <f t="shared" si="15"/>
        <v>1.9318516525781366</v>
      </c>
      <c r="X8">
        <f t="shared" si="16"/>
        <v>0.77645713530756222</v>
      </c>
      <c r="Y8">
        <f t="shared" si="17"/>
        <v>2.897777478867205</v>
      </c>
      <c r="Z8">
        <f t="shared" si="18"/>
        <v>1.035276180410083</v>
      </c>
      <c r="AA8">
        <f t="shared" si="19"/>
        <v>3.8637033051562732</v>
      </c>
      <c r="AB8">
        <f t="shared" si="20"/>
        <v>1.2940952255126037</v>
      </c>
      <c r="AC8">
        <f t="shared" si="21"/>
        <v>4.8296291314453415</v>
      </c>
      <c r="AE8">
        <f>6.3*SIN(2*PI()*1/ROWS(codiciL1))</f>
        <v>4.9255383395485879</v>
      </c>
      <c r="AF8">
        <f>6.3*COS(2*PI()*1/ROWS(codiciL1))</f>
        <v>3.9279857517100214</v>
      </c>
      <c r="AH8" t="s">
        <v>15</v>
      </c>
      <c r="AI8">
        <f>6.95*SIN(2*PI()*(3+0.5)/ROWS(codiciL1))</f>
        <v>8.5147817616149091E-16</v>
      </c>
      <c r="AJ8">
        <f>6.95*COS(2*PI()*(3+0.5)/ROWS(codiciL1))</f>
        <v>-6.95</v>
      </c>
      <c r="AL8" t="e">
        <f t="shared" si="22"/>
        <v>#N/A</v>
      </c>
      <c r="AM8" t="e">
        <f t="shared" si="22"/>
        <v>#N/A</v>
      </c>
      <c r="AN8" t="e">
        <f t="shared" si="22"/>
        <v>#N/A</v>
      </c>
      <c r="AO8" t="e">
        <f t="shared" si="22"/>
        <v>#N/A</v>
      </c>
      <c r="AP8" t="e">
        <f t="shared" si="22"/>
        <v>#N/A</v>
      </c>
      <c r="AQ8" t="e">
        <f t="shared" si="22"/>
        <v>#N/A</v>
      </c>
      <c r="AR8" t="e">
        <f t="shared" si="22"/>
        <v>#N/A</v>
      </c>
      <c r="AS8">
        <f t="shared" si="22"/>
        <v>-1.7145969551115177</v>
      </c>
      <c r="AT8" t="e">
        <f t="shared" si="22"/>
        <v>#N/A</v>
      </c>
      <c r="AU8" t="e">
        <f t="shared" si="22"/>
        <v>#N/A</v>
      </c>
      <c r="AV8" t="e">
        <f t="shared" si="22"/>
        <v>#N/A</v>
      </c>
      <c r="AW8" t="e">
        <f t="shared" si="22"/>
        <v>#N/A</v>
      </c>
      <c r="AX8" t="e">
        <f t="shared" si="22"/>
        <v>#N/A</v>
      </c>
      <c r="AY8" t="e">
        <f t="shared" si="22"/>
        <v>#N/A</v>
      </c>
      <c r="AZ8" t="e">
        <f t="shared" si="23"/>
        <v>#N/A</v>
      </c>
      <c r="BA8" t="e">
        <f t="shared" si="23"/>
        <v>#N/A</v>
      </c>
      <c r="BB8" t="e">
        <f t="shared" si="23"/>
        <v>#N/A</v>
      </c>
      <c r="BC8" t="e">
        <f t="shared" si="23"/>
        <v>#N/A</v>
      </c>
      <c r="BD8" t="e">
        <f t="shared" si="23"/>
        <v>#N/A</v>
      </c>
      <c r="BE8" t="e">
        <f t="shared" si="23"/>
        <v>#N/A</v>
      </c>
      <c r="BF8" t="e">
        <f t="shared" si="23"/>
        <v>#N/A</v>
      </c>
      <c r="BG8" t="e">
        <f t="shared" si="23"/>
        <v>#N/A</v>
      </c>
      <c r="BH8" t="e">
        <f t="shared" si="23"/>
        <v>#N/A</v>
      </c>
      <c r="BI8" t="e">
        <f t="shared" si="23"/>
        <v>#N/A</v>
      </c>
      <c r="BJ8" t="e">
        <f t="shared" si="23"/>
        <v>#N/A</v>
      </c>
      <c r="BK8" t="e">
        <f t="shared" si="23"/>
        <v>#N/A</v>
      </c>
      <c r="BL8" t="e">
        <f t="shared" si="23"/>
        <v>#N/A</v>
      </c>
      <c r="BM8" t="e">
        <f t="shared" si="23"/>
        <v>#N/A</v>
      </c>
      <c r="BN8">
        <f t="shared" si="24"/>
        <v>-2.1500365767870817</v>
      </c>
      <c r="BO8" t="str">
        <f t="shared" si="25"/>
        <v>NFR-04</v>
      </c>
      <c r="BP8">
        <f t="shared" si="26"/>
        <v>-1.7145969551115177</v>
      </c>
      <c r="BQ8" t="s">
        <v>16</v>
      </c>
      <c r="BR8">
        <v>4.4000000000000004</v>
      </c>
      <c r="BS8">
        <v>-5.6</v>
      </c>
    </row>
    <row r="9" spans="1:71" x14ac:dyDescent="0.4">
      <c r="A9" t="str">
        <f>IF(Parametri!$H8="","",Parametri!$H8)</f>
        <v>NFR-05</v>
      </c>
      <c r="B9" t="str">
        <f>IF($A9="","",Parametri!$I8)</f>
        <v>Errori di processo nella migrazione del core banking</v>
      </c>
      <c r="C9" t="str">
        <f>IF($A9="","",Parametri!$J8)</f>
        <v>L1-07</v>
      </c>
      <c r="D9">
        <f t="shared" si="0"/>
        <v>3</v>
      </c>
      <c r="E9">
        <f t="shared" si="1"/>
        <v>3</v>
      </c>
      <c r="F9">
        <f t="shared" si="2"/>
        <v>9</v>
      </c>
      <c r="G9">
        <f t="shared" si="3"/>
        <v>3</v>
      </c>
      <c r="H9" s="27">
        <f t="shared" si="4"/>
        <v>1.5</v>
      </c>
      <c r="I9" s="27">
        <f t="shared" si="5"/>
        <v>0.25</v>
      </c>
      <c r="J9" s="27">
        <f>IF($A9="",NA(),MAX(IF(COUNTIFS(AZ_ID_Rischio,$A9,AZ_Ciclo,cicloCorrente,AZ_Stato,"&lt;&gt;Respinta",AZ_Mesi_Orizzonte,"&gt;0")=0,moscaYDefault,_xlfn.MAXIFS(AZ_Mesi_Orizzonte,AZ_ID_Rischio,$A9,AZ_Ciclo,cicloCorrente,AZ_Stato,"&lt;&gt;Respinta")/12),N(Parametri!$M8)))</f>
        <v>0.25</v>
      </c>
      <c r="K9" s="27">
        <f t="shared" si="6"/>
        <v>1</v>
      </c>
      <c r="L9" t="str">
        <f t="shared" si="7"/>
        <v>Margine 1 anno</v>
      </c>
      <c r="M9">
        <f t="shared" si="8"/>
        <v>6</v>
      </c>
      <c r="N9">
        <f>IF($A9="",NA(),COUNTIF($C$4:C8,C9))</f>
        <v>0</v>
      </c>
      <c r="O9">
        <f t="shared" si="9"/>
        <v>2</v>
      </c>
      <c r="P9" s="27">
        <f t="shared" si="10"/>
        <v>5.6099868814103448</v>
      </c>
      <c r="Q9" s="27">
        <f t="shared" si="11"/>
        <v>3</v>
      </c>
      <c r="R9" s="27">
        <f t="shared" si="12"/>
        <v>-1.870469405576201</v>
      </c>
      <c r="S9" s="27">
        <f t="shared" si="13"/>
        <v>2.3454944474040893</v>
      </c>
      <c r="T9" t="str">
        <f>IF($A9="","",IF(Parametri!$N8="Sì","Sì",""))</f>
        <v/>
      </c>
      <c r="U9">
        <f>2*PI()*4/72</f>
        <v>0.3490658503988659</v>
      </c>
      <c r="V9">
        <f t="shared" si="14"/>
        <v>0.68404028665133743</v>
      </c>
      <c r="W9">
        <f t="shared" si="15"/>
        <v>1.8793852415718169</v>
      </c>
      <c r="X9">
        <f t="shared" si="16"/>
        <v>1.0260604299770062</v>
      </c>
      <c r="Y9">
        <f t="shared" si="17"/>
        <v>2.8190778623577253</v>
      </c>
      <c r="Z9">
        <f t="shared" si="18"/>
        <v>1.3680805733026749</v>
      </c>
      <c r="AA9">
        <f t="shared" si="19"/>
        <v>3.7587704831436337</v>
      </c>
      <c r="AB9">
        <f t="shared" si="20"/>
        <v>1.7101007166283435</v>
      </c>
      <c r="AC9">
        <f t="shared" si="21"/>
        <v>4.6984631039295426</v>
      </c>
      <c r="AE9">
        <v>0</v>
      </c>
      <c r="AF9">
        <v>0</v>
      </c>
      <c r="AH9" t="s">
        <v>23</v>
      </c>
      <c r="AI9">
        <f>6.95*SIN(2*PI()*(4+0.5)/ROWS(codiciL1))</f>
        <v>-5.4337288031528068</v>
      </c>
      <c r="AJ9">
        <f>6.95*COS(2*PI()*(4+0.5)/ROWS(codiciL1))</f>
        <v>-4.3332541229181993</v>
      </c>
      <c r="AL9" t="e">
        <f t="shared" si="22"/>
        <v>#N/A</v>
      </c>
      <c r="AM9" t="e">
        <f t="shared" si="22"/>
        <v>#N/A</v>
      </c>
      <c r="AN9" t="e">
        <f t="shared" si="22"/>
        <v>#N/A</v>
      </c>
      <c r="AO9" t="e">
        <f t="shared" si="22"/>
        <v>#N/A</v>
      </c>
      <c r="AP9" t="e">
        <f t="shared" si="22"/>
        <v>#N/A</v>
      </c>
      <c r="AQ9" t="e">
        <f t="shared" si="22"/>
        <v>#N/A</v>
      </c>
      <c r="AR9" t="e">
        <f t="shared" si="22"/>
        <v>#N/A</v>
      </c>
      <c r="AS9">
        <f t="shared" si="22"/>
        <v>2.3454944474040893</v>
      </c>
      <c r="AT9" t="e">
        <f t="shared" si="22"/>
        <v>#N/A</v>
      </c>
      <c r="AU9" t="e">
        <f t="shared" si="22"/>
        <v>#N/A</v>
      </c>
      <c r="AV9" t="e">
        <f t="shared" si="22"/>
        <v>#N/A</v>
      </c>
      <c r="AW9" t="e">
        <f t="shared" si="22"/>
        <v>#N/A</v>
      </c>
      <c r="AX9" t="e">
        <f t="shared" si="22"/>
        <v>#N/A</v>
      </c>
      <c r="AY9" t="e">
        <f t="shared" si="22"/>
        <v>#N/A</v>
      </c>
      <c r="AZ9" t="e">
        <f t="shared" si="23"/>
        <v>#N/A</v>
      </c>
      <c r="BA9" t="e">
        <f t="shared" si="23"/>
        <v>#N/A</v>
      </c>
      <c r="BB9" t="e">
        <f t="shared" si="23"/>
        <v>#N/A</v>
      </c>
      <c r="BC9" t="e">
        <f t="shared" si="23"/>
        <v>#N/A</v>
      </c>
      <c r="BD9" t="e">
        <f t="shared" si="23"/>
        <v>#N/A</v>
      </c>
      <c r="BE9" t="e">
        <f t="shared" si="23"/>
        <v>#N/A</v>
      </c>
      <c r="BF9" t="e">
        <f t="shared" si="23"/>
        <v>#N/A</v>
      </c>
      <c r="BG9" t="e">
        <f t="shared" si="23"/>
        <v>#N/A</v>
      </c>
      <c r="BH9" t="e">
        <f t="shared" si="23"/>
        <v>#N/A</v>
      </c>
      <c r="BI9" t="e">
        <f t="shared" si="23"/>
        <v>#N/A</v>
      </c>
      <c r="BJ9" t="e">
        <f t="shared" si="23"/>
        <v>#N/A</v>
      </c>
      <c r="BK9" t="e">
        <f t="shared" si="23"/>
        <v>#N/A</v>
      </c>
      <c r="BL9" t="e">
        <f t="shared" si="23"/>
        <v>#N/A</v>
      </c>
      <c r="BM9" t="e">
        <f t="shared" si="23"/>
        <v>#N/A</v>
      </c>
      <c r="BN9">
        <f t="shared" si="24"/>
        <v>-1.870469405576201</v>
      </c>
      <c r="BO9" t="str">
        <f t="shared" si="25"/>
        <v>NFR-05</v>
      </c>
      <c r="BP9">
        <f t="shared" si="26"/>
        <v>2.3454944474040893</v>
      </c>
      <c r="BQ9" t="s">
        <v>24</v>
      </c>
      <c r="BR9">
        <v>3.5</v>
      </c>
      <c r="BS9">
        <v>-6.6</v>
      </c>
    </row>
    <row r="10" spans="1:71" x14ac:dyDescent="0.4">
      <c r="A10" t="str">
        <f>IF(Parametri!$H9="","",Parametri!$H9)</f>
        <v>NFR-06</v>
      </c>
      <c r="B10" t="str">
        <f>IF($A10="","",Parametri!$I9)</f>
        <v>Esfiltrazione di dati tramite strumenti di AI non autorizzati</v>
      </c>
      <c r="C10" t="str">
        <f>IF($A10="","",Parametri!$J9)</f>
        <v>L1-01</v>
      </c>
      <c r="D10">
        <f t="shared" si="0"/>
        <v>3</v>
      </c>
      <c r="E10">
        <f t="shared" si="1"/>
        <v>3</v>
      </c>
      <c r="F10">
        <f t="shared" si="2"/>
        <v>9</v>
      </c>
      <c r="G10">
        <f t="shared" si="3"/>
        <v>3</v>
      </c>
      <c r="H10" s="27">
        <f t="shared" si="4"/>
        <v>1.5</v>
      </c>
      <c r="I10" s="27">
        <f t="shared" si="5"/>
        <v>0.25</v>
      </c>
      <c r="J10" s="27">
        <f>IF($A10="",NA(),MAX(IF(COUNTIFS(AZ_ID_Rischio,$A10,AZ_Ciclo,cicloCorrente,AZ_Stato,"&lt;&gt;Respinta",AZ_Mesi_Orizzonte,"&gt;0")=0,moscaYDefault,_xlfn.MAXIFS(AZ_Mesi_Orizzonte,AZ_ID_Rischio,$A10,AZ_Ciclo,cicloCorrente,AZ_Stato,"&lt;&gt;Respinta")/12),N(Parametri!$M9)))</f>
        <v>0.5</v>
      </c>
      <c r="K10" s="27">
        <f t="shared" si="6"/>
        <v>0.75</v>
      </c>
      <c r="L10" t="str">
        <f t="shared" si="7"/>
        <v>Agire entro l'anno</v>
      </c>
      <c r="M10">
        <f t="shared" si="8"/>
        <v>0</v>
      </c>
      <c r="N10">
        <f>IF($A10="",NA(),COUNTIF($C$4:C9,C10))</f>
        <v>0</v>
      </c>
      <c r="O10">
        <f t="shared" si="9"/>
        <v>2</v>
      </c>
      <c r="P10" s="27">
        <f t="shared" si="10"/>
        <v>0.22439947525641379</v>
      </c>
      <c r="Q10" s="27">
        <f t="shared" si="11"/>
        <v>2.75</v>
      </c>
      <c r="R10" s="27">
        <f t="shared" si="12"/>
        <v>0.61193256837986454</v>
      </c>
      <c r="S10" s="27">
        <f t="shared" si="13"/>
        <v>2.6810517585000149</v>
      </c>
      <c r="T10" t="str">
        <f>IF($A10="","",IF(Parametri!$N9="Sì","Sì",""))</f>
        <v/>
      </c>
      <c r="U10">
        <f>2*PI()*5/72</f>
        <v>0.43633231299858238</v>
      </c>
      <c r="V10">
        <f t="shared" si="14"/>
        <v>0.84523652348139888</v>
      </c>
      <c r="W10">
        <f t="shared" si="15"/>
        <v>1.8126155740732999</v>
      </c>
      <c r="X10">
        <f t="shared" si="16"/>
        <v>1.2678547852220983</v>
      </c>
      <c r="Y10">
        <f t="shared" si="17"/>
        <v>2.7189233611099497</v>
      </c>
      <c r="Z10">
        <f t="shared" si="18"/>
        <v>1.6904730469627978</v>
      </c>
      <c r="AA10">
        <f t="shared" si="19"/>
        <v>3.6252311481465997</v>
      </c>
      <c r="AB10">
        <f t="shared" si="20"/>
        <v>2.1130913087034973</v>
      </c>
      <c r="AC10">
        <f t="shared" si="21"/>
        <v>4.5315389351832494</v>
      </c>
      <c r="AE10">
        <f>6.3*SIN(2*PI()*2/ROWS(codiciL1))</f>
        <v>6.1420458467454884</v>
      </c>
      <c r="AF10">
        <f>6.3*COS(2*PI()*2/ROWS(codiciL1))</f>
        <v>-1.4018818839247802</v>
      </c>
      <c r="AH10" t="s">
        <v>25</v>
      </c>
      <c r="AI10">
        <f>6.95*SIN(2*PI()*(5+0.5)/ROWS(codiciL1))</f>
        <v>-6.7757489896636756</v>
      </c>
      <c r="AJ10">
        <f>6.95*COS(2*PI()*(5+0.5)/ROWS(codiciL1))</f>
        <v>1.5465204909963777</v>
      </c>
      <c r="AL10" t="e">
        <f t="shared" si="22"/>
        <v>#N/A</v>
      </c>
      <c r="AM10" t="e">
        <f t="shared" si="22"/>
        <v>#N/A</v>
      </c>
      <c r="AN10" t="e">
        <f t="shared" si="22"/>
        <v>#N/A</v>
      </c>
      <c r="AO10" t="e">
        <f t="shared" si="22"/>
        <v>#N/A</v>
      </c>
      <c r="AP10" t="e">
        <f t="shared" si="22"/>
        <v>#N/A</v>
      </c>
      <c r="AQ10" t="e">
        <f t="shared" si="22"/>
        <v>#N/A</v>
      </c>
      <c r="AR10" t="e">
        <f t="shared" si="22"/>
        <v>#N/A</v>
      </c>
      <c r="AS10">
        <f t="shared" si="22"/>
        <v>2.6810517585000149</v>
      </c>
      <c r="AT10" t="e">
        <f t="shared" si="22"/>
        <v>#N/A</v>
      </c>
      <c r="AU10" t="e">
        <f t="shared" si="22"/>
        <v>#N/A</v>
      </c>
      <c r="AV10" t="e">
        <f t="shared" si="22"/>
        <v>#N/A</v>
      </c>
      <c r="AW10" t="e">
        <f t="shared" si="22"/>
        <v>#N/A</v>
      </c>
      <c r="AX10" t="e">
        <f t="shared" si="22"/>
        <v>#N/A</v>
      </c>
      <c r="AY10" t="e">
        <f t="shared" si="22"/>
        <v>#N/A</v>
      </c>
      <c r="AZ10" t="e">
        <f t="shared" si="23"/>
        <v>#N/A</v>
      </c>
      <c r="BA10" t="e">
        <f t="shared" si="23"/>
        <v>#N/A</v>
      </c>
      <c r="BB10" t="e">
        <f t="shared" si="23"/>
        <v>#N/A</v>
      </c>
      <c r="BC10" t="e">
        <f t="shared" si="23"/>
        <v>#N/A</v>
      </c>
      <c r="BD10" t="e">
        <f t="shared" si="23"/>
        <v>#N/A</v>
      </c>
      <c r="BE10" t="e">
        <f t="shared" si="23"/>
        <v>#N/A</v>
      </c>
      <c r="BF10" t="e">
        <f t="shared" si="23"/>
        <v>#N/A</v>
      </c>
      <c r="BG10" t="e">
        <f t="shared" si="23"/>
        <v>#N/A</v>
      </c>
      <c r="BH10" t="e">
        <f t="shared" si="23"/>
        <v>#N/A</v>
      </c>
      <c r="BI10" t="e">
        <f t="shared" si="23"/>
        <v>#N/A</v>
      </c>
      <c r="BJ10" t="e">
        <f t="shared" si="23"/>
        <v>#N/A</v>
      </c>
      <c r="BK10" t="e">
        <f t="shared" si="23"/>
        <v>#N/A</v>
      </c>
      <c r="BL10" t="e">
        <f t="shared" si="23"/>
        <v>#N/A</v>
      </c>
      <c r="BM10" t="e">
        <f t="shared" si="23"/>
        <v>#N/A</v>
      </c>
      <c r="BN10">
        <f t="shared" si="24"/>
        <v>0.61193256837986454</v>
      </c>
      <c r="BO10" t="str">
        <f t="shared" si="25"/>
        <v>NFR-06</v>
      </c>
      <c r="BP10">
        <f t="shared" si="26"/>
        <v>2.6810517585000149</v>
      </c>
      <c r="BQ10" t="s">
        <v>26</v>
      </c>
      <c r="BR10">
        <v>4.8</v>
      </c>
      <c r="BS10">
        <v>-6.6</v>
      </c>
    </row>
    <row r="11" spans="1:71" x14ac:dyDescent="0.4">
      <c r="A11" t="str">
        <f>IF(Parametri!$H10="","",Parametri!$H10)</f>
        <v>NFR-07</v>
      </c>
      <c r="B11" t="str">
        <f>IF($A11="","",Parametri!$I10)</f>
        <v>Ransomware presso un fornitore di servizi di pagamento</v>
      </c>
      <c r="C11" t="str">
        <f>IF($A11="","",Parametri!$J10)</f>
        <v>L1-06</v>
      </c>
      <c r="D11">
        <f t="shared" si="0"/>
        <v>4</v>
      </c>
      <c r="E11">
        <f t="shared" si="1"/>
        <v>3</v>
      </c>
      <c r="F11">
        <f t="shared" si="2"/>
        <v>12</v>
      </c>
      <c r="G11">
        <f t="shared" si="3"/>
        <v>3</v>
      </c>
      <c r="H11" s="27">
        <f t="shared" si="4"/>
        <v>1.5</v>
      </c>
      <c r="I11" s="27">
        <f t="shared" si="5"/>
        <v>0.25</v>
      </c>
      <c r="J11" s="27">
        <f>IF($A11="",NA(),MAX(IF(COUNTIFS(AZ_ID_Rischio,$A11,AZ_Ciclo,cicloCorrente,AZ_Stato,"&lt;&gt;Respinta",AZ_Mesi_Orizzonte,"&gt;0")=0,moscaYDefault,_xlfn.MAXIFS(AZ_Mesi_Orizzonte,AZ_ID_Rischio,$A11,AZ_Ciclo,cicloCorrente,AZ_Stato,"&lt;&gt;Respinta")/12),N(Parametri!$M10)))</f>
        <v>0.5</v>
      </c>
      <c r="K11" s="27">
        <f t="shared" si="6"/>
        <v>0.75</v>
      </c>
      <c r="L11" t="str">
        <f t="shared" si="7"/>
        <v>Agire entro l'anno</v>
      </c>
      <c r="M11">
        <f t="shared" si="8"/>
        <v>5</v>
      </c>
      <c r="N11">
        <f>IF($A11="",NA(),COUNTIF($C$4:C10,C11))</f>
        <v>1</v>
      </c>
      <c r="O11">
        <f t="shared" si="9"/>
        <v>3</v>
      </c>
      <c r="P11" s="27">
        <f t="shared" si="10"/>
        <v>4.9367884556411026</v>
      </c>
      <c r="Q11" s="27">
        <f t="shared" si="11"/>
        <v>2.75</v>
      </c>
      <c r="R11" s="27">
        <f t="shared" si="12"/>
        <v>-2.6810517585000158</v>
      </c>
      <c r="S11" s="27">
        <f t="shared" si="13"/>
        <v>0.61193256837986165</v>
      </c>
      <c r="T11" t="str">
        <f>IF($A11="","",IF(Parametri!$N10="Sì","Sì",""))</f>
        <v>Sì</v>
      </c>
      <c r="U11">
        <f>2*PI()*6/72</f>
        <v>0.52359877559829882</v>
      </c>
      <c r="V11">
        <f t="shared" si="14"/>
        <v>0.99999999999999989</v>
      </c>
      <c r="W11">
        <f t="shared" si="15"/>
        <v>1.7320508075688774</v>
      </c>
      <c r="X11">
        <f t="shared" si="16"/>
        <v>1.4999999999999998</v>
      </c>
      <c r="Y11">
        <f t="shared" si="17"/>
        <v>2.598076211353316</v>
      </c>
      <c r="Z11">
        <f t="shared" si="18"/>
        <v>1.9999999999999998</v>
      </c>
      <c r="AA11">
        <f t="shared" si="19"/>
        <v>3.4641016151377548</v>
      </c>
      <c r="AB11">
        <f t="shared" si="20"/>
        <v>2.4999999999999996</v>
      </c>
      <c r="AC11">
        <f t="shared" si="21"/>
        <v>4.3301270189221936</v>
      </c>
      <c r="AE11">
        <v>0</v>
      </c>
      <c r="AF11">
        <v>0</v>
      </c>
      <c r="AH11" t="s">
        <v>27</v>
      </c>
      <c r="AI11">
        <f>6.95*SIN(2*PI()*(6+0.5)/ROWS(codiciL1))</f>
        <v>-3.0154919868670249</v>
      </c>
      <c r="AJ11">
        <f>6.95*COS(2*PI()*(6+0.5)/ROWS(codiciL1))</f>
        <v>6.2617336319218149</v>
      </c>
      <c r="AL11" t="e">
        <f t="shared" si="22"/>
        <v>#N/A</v>
      </c>
      <c r="AM11" t="e">
        <f t="shared" si="22"/>
        <v>#N/A</v>
      </c>
      <c r="AN11" t="e">
        <f t="shared" si="22"/>
        <v>#N/A</v>
      </c>
      <c r="AO11" t="e">
        <f t="shared" si="22"/>
        <v>#N/A</v>
      </c>
      <c r="AP11" t="e">
        <f t="shared" si="22"/>
        <v>#N/A</v>
      </c>
      <c r="AQ11" t="e">
        <f t="shared" si="22"/>
        <v>#N/A</v>
      </c>
      <c r="AR11" t="e">
        <f t="shared" si="22"/>
        <v>#N/A</v>
      </c>
      <c r="AS11" t="e">
        <f t="shared" si="22"/>
        <v>#N/A</v>
      </c>
      <c r="AT11" t="e">
        <f t="shared" si="22"/>
        <v>#N/A</v>
      </c>
      <c r="AU11" t="e">
        <f t="shared" si="22"/>
        <v>#N/A</v>
      </c>
      <c r="AV11" t="e">
        <f t="shared" si="22"/>
        <v>#N/A</v>
      </c>
      <c r="AW11" t="e">
        <f t="shared" si="22"/>
        <v>#N/A</v>
      </c>
      <c r="AX11" t="e">
        <f t="shared" si="22"/>
        <v>#N/A</v>
      </c>
      <c r="AY11" t="e">
        <f t="shared" si="22"/>
        <v>#N/A</v>
      </c>
      <c r="AZ11" t="e">
        <f t="shared" si="23"/>
        <v>#N/A</v>
      </c>
      <c r="BA11" t="e">
        <f t="shared" si="23"/>
        <v>#N/A</v>
      </c>
      <c r="BB11" t="e">
        <f t="shared" si="23"/>
        <v>#N/A</v>
      </c>
      <c r="BC11" t="e">
        <f t="shared" si="23"/>
        <v>#N/A</v>
      </c>
      <c r="BD11" t="e">
        <f t="shared" si="23"/>
        <v>#N/A</v>
      </c>
      <c r="BE11" t="e">
        <f t="shared" si="23"/>
        <v>#N/A</v>
      </c>
      <c r="BF11" t="e">
        <f t="shared" si="23"/>
        <v>#N/A</v>
      </c>
      <c r="BG11" t="e">
        <f t="shared" si="23"/>
        <v>#N/A</v>
      </c>
      <c r="BH11" t="e">
        <f t="shared" si="23"/>
        <v>#N/A</v>
      </c>
      <c r="BI11">
        <f t="shared" si="23"/>
        <v>0.61193256837986165</v>
      </c>
      <c r="BJ11" t="e">
        <f t="shared" si="23"/>
        <v>#N/A</v>
      </c>
      <c r="BK11" t="e">
        <f t="shared" si="23"/>
        <v>#N/A</v>
      </c>
      <c r="BL11" t="e">
        <f t="shared" si="23"/>
        <v>#N/A</v>
      </c>
      <c r="BM11" t="e">
        <f t="shared" si="23"/>
        <v>#N/A</v>
      </c>
      <c r="BN11">
        <f t="shared" si="24"/>
        <v>-2.6810517585000158</v>
      </c>
      <c r="BO11" t="str">
        <f t="shared" si="25"/>
        <v>NFR-07</v>
      </c>
      <c r="BP11">
        <f t="shared" si="26"/>
        <v>0.61193256837986165</v>
      </c>
      <c r="BQ11" t="s">
        <v>28</v>
      </c>
      <c r="BR11">
        <v>6.5</v>
      </c>
      <c r="BS11">
        <v>-6.6</v>
      </c>
    </row>
    <row r="12" spans="1:71" x14ac:dyDescent="0.4">
      <c r="A12" t="str">
        <f>IF(Parametri!$H11="","",Parametri!$H11)</f>
        <v>NFR-08</v>
      </c>
      <c r="B12" t="str">
        <f>IF($A12="","",Parametri!$I11)</f>
        <v>Accessi impropri di dipendenti ai dati dei clienti</v>
      </c>
      <c r="C12" t="str">
        <f>IF($A12="","",Parametri!$J11)</f>
        <v>L1-01</v>
      </c>
      <c r="D12">
        <f t="shared" si="0"/>
        <v>3</v>
      </c>
      <c r="E12">
        <f t="shared" si="1"/>
        <v>2</v>
      </c>
      <c r="F12">
        <f t="shared" si="2"/>
        <v>6</v>
      </c>
      <c r="G12">
        <f t="shared" si="3"/>
        <v>3</v>
      </c>
      <c r="H12" s="27">
        <f t="shared" si="4"/>
        <v>1.5</v>
      </c>
      <c r="I12" s="27">
        <f t="shared" si="5"/>
        <v>0.25</v>
      </c>
      <c r="J12" s="27">
        <f>IF($A12="",NA(),MAX(IF(COUNTIFS(AZ_ID_Rischio,$A12,AZ_Ciclo,cicloCorrente,AZ_Stato,"&lt;&gt;Respinta",AZ_Mesi_Orizzonte,"&gt;0")=0,moscaYDefault,_xlfn.MAXIFS(AZ_Mesi_Orizzonte,AZ_ID_Rischio,$A12,AZ_Ciclo,cicloCorrente,AZ_Stato,"&lt;&gt;Respinta")/12),N(Parametri!$M11)))</f>
        <v>1</v>
      </c>
      <c r="K12" s="27">
        <f t="shared" si="6"/>
        <v>0.25</v>
      </c>
      <c r="L12" t="str">
        <f t="shared" si="7"/>
        <v>Agire entro l'anno</v>
      </c>
      <c r="M12">
        <f t="shared" si="8"/>
        <v>0</v>
      </c>
      <c r="N12">
        <f>IF($A12="",NA(),COUNTIF($C$4:C11,C12))</f>
        <v>1</v>
      </c>
      <c r="O12">
        <f t="shared" si="9"/>
        <v>2</v>
      </c>
      <c r="P12" s="27">
        <f t="shared" si="10"/>
        <v>0.67319842576924138</v>
      </c>
      <c r="Q12" s="27">
        <f t="shared" si="11"/>
        <v>2.25</v>
      </c>
      <c r="R12" s="27">
        <f t="shared" si="12"/>
        <v>1.4028520541821503</v>
      </c>
      <c r="S12" s="27">
        <f t="shared" si="13"/>
        <v>1.759120835553067</v>
      </c>
      <c r="T12" t="str">
        <f>IF($A12="","",IF(Parametri!$N11="Sì","Sì",""))</f>
        <v/>
      </c>
      <c r="U12">
        <f>2*PI()*7/72</f>
        <v>0.6108652381980153</v>
      </c>
      <c r="V12">
        <f t="shared" si="14"/>
        <v>1.1471528727020921</v>
      </c>
      <c r="W12">
        <f t="shared" si="15"/>
        <v>1.6383040885779836</v>
      </c>
      <c r="X12">
        <f t="shared" si="16"/>
        <v>1.7207293090531381</v>
      </c>
      <c r="Y12">
        <f t="shared" si="17"/>
        <v>2.4574561328669753</v>
      </c>
      <c r="Z12">
        <f t="shared" si="18"/>
        <v>2.2943057454041842</v>
      </c>
      <c r="AA12">
        <f t="shared" si="19"/>
        <v>3.2766081771559672</v>
      </c>
      <c r="AB12">
        <f t="shared" si="20"/>
        <v>2.8678821817552302</v>
      </c>
      <c r="AC12">
        <f t="shared" si="21"/>
        <v>4.0957602214449587</v>
      </c>
      <c r="AE12">
        <f>6.3*SIN(2*PI()*3/ROWS(codiciL1))</f>
        <v>2.7334675564406168</v>
      </c>
      <c r="AF12">
        <f>6.3*COS(2*PI()*3/ROWS(codiciL1))</f>
        <v>-5.6761038677852396</v>
      </c>
      <c r="AL12" t="e">
        <f t="shared" si="22"/>
        <v>#N/A</v>
      </c>
      <c r="AM12" t="e">
        <f t="shared" si="22"/>
        <v>#N/A</v>
      </c>
      <c r="AN12" t="e">
        <f t="shared" si="22"/>
        <v>#N/A</v>
      </c>
      <c r="AO12" t="e">
        <f t="shared" si="22"/>
        <v>#N/A</v>
      </c>
      <c r="AP12" t="e">
        <f t="shared" si="22"/>
        <v>#N/A</v>
      </c>
      <c r="AQ12">
        <f t="shared" si="22"/>
        <v>1.759120835553067</v>
      </c>
      <c r="AR12" t="e">
        <f t="shared" si="22"/>
        <v>#N/A</v>
      </c>
      <c r="AS12" t="e">
        <f t="shared" si="22"/>
        <v>#N/A</v>
      </c>
      <c r="AT12" t="e">
        <f t="shared" si="22"/>
        <v>#N/A</v>
      </c>
      <c r="AU12" t="e">
        <f t="shared" si="22"/>
        <v>#N/A</v>
      </c>
      <c r="AV12" t="e">
        <f t="shared" si="22"/>
        <v>#N/A</v>
      </c>
      <c r="AW12" t="e">
        <f t="shared" si="22"/>
        <v>#N/A</v>
      </c>
      <c r="AX12" t="e">
        <f t="shared" si="22"/>
        <v>#N/A</v>
      </c>
      <c r="AY12" t="e">
        <f t="shared" si="22"/>
        <v>#N/A</v>
      </c>
      <c r="AZ12" t="e">
        <f t="shared" si="23"/>
        <v>#N/A</v>
      </c>
      <c r="BA12" t="e">
        <f t="shared" si="23"/>
        <v>#N/A</v>
      </c>
      <c r="BB12" t="e">
        <f t="shared" si="23"/>
        <v>#N/A</v>
      </c>
      <c r="BC12" t="e">
        <f t="shared" si="23"/>
        <v>#N/A</v>
      </c>
      <c r="BD12" t="e">
        <f t="shared" si="23"/>
        <v>#N/A</v>
      </c>
      <c r="BE12" t="e">
        <f t="shared" si="23"/>
        <v>#N/A</v>
      </c>
      <c r="BF12" t="e">
        <f t="shared" si="23"/>
        <v>#N/A</v>
      </c>
      <c r="BG12" t="e">
        <f t="shared" si="23"/>
        <v>#N/A</v>
      </c>
      <c r="BH12" t="e">
        <f t="shared" si="23"/>
        <v>#N/A</v>
      </c>
      <c r="BI12" t="e">
        <f t="shared" si="23"/>
        <v>#N/A</v>
      </c>
      <c r="BJ12" t="e">
        <f t="shared" si="23"/>
        <v>#N/A</v>
      </c>
      <c r="BK12" t="e">
        <f t="shared" si="23"/>
        <v>#N/A</v>
      </c>
      <c r="BL12" t="e">
        <f t="shared" si="23"/>
        <v>#N/A</v>
      </c>
      <c r="BM12" t="e">
        <f t="shared" si="23"/>
        <v>#N/A</v>
      </c>
      <c r="BN12">
        <f t="shared" si="24"/>
        <v>1.4028520541821503</v>
      </c>
      <c r="BO12" t="str">
        <f t="shared" si="25"/>
        <v>NFR-08</v>
      </c>
      <c r="BP12">
        <f t="shared" si="26"/>
        <v>1.759120835553067</v>
      </c>
    </row>
    <row r="13" spans="1:71" x14ac:dyDescent="0.4">
      <c r="A13" t="str">
        <f>IF(Parametri!$H12="","",Parametri!$H12)</f>
        <v>NFR-09</v>
      </c>
      <c r="B13" t="str">
        <f>IF($A13="","",Parametri!$I12)</f>
        <v>Violazione di sanzioni internazionali tramite triangolazioni</v>
      </c>
      <c r="C13" t="str">
        <f>IF($A13="","",Parametri!$J12)</f>
        <v>L1-04</v>
      </c>
      <c r="D13">
        <f t="shared" si="0"/>
        <v>4</v>
      </c>
      <c r="E13">
        <f t="shared" si="1"/>
        <v>2</v>
      </c>
      <c r="F13">
        <f t="shared" si="2"/>
        <v>8</v>
      </c>
      <c r="G13">
        <f t="shared" si="3"/>
        <v>2</v>
      </c>
      <c r="H13" s="27">
        <f t="shared" si="4"/>
        <v>2.5</v>
      </c>
      <c r="I13" s="27">
        <f t="shared" si="5"/>
        <v>0.25</v>
      </c>
      <c r="J13" s="27">
        <f>IF($A13="",NA(),MAX(IF(COUNTIFS(AZ_ID_Rischio,$A13,AZ_Ciclo,cicloCorrente,AZ_Stato,"&lt;&gt;Respinta",AZ_Mesi_Orizzonte,"&gt;0")=0,moscaYDefault,_xlfn.MAXIFS(AZ_Mesi_Orizzonte,AZ_ID_Rischio,$A13,AZ_Ciclo,cicloCorrente,AZ_Stato,"&lt;&gt;Respinta")/12),N(Parametri!$M12)))</f>
        <v>1</v>
      </c>
      <c r="K13" s="27">
        <f t="shared" si="6"/>
        <v>1.25</v>
      </c>
      <c r="L13" t="str">
        <f t="shared" si="7"/>
        <v>Margine 1,3 anni</v>
      </c>
      <c r="M13">
        <f t="shared" si="8"/>
        <v>3</v>
      </c>
      <c r="N13">
        <f>IF($A13="",NA(),COUNTIF($C$4:C12,C13))</f>
        <v>1</v>
      </c>
      <c r="O13">
        <f t="shared" si="9"/>
        <v>3</v>
      </c>
      <c r="P13" s="27">
        <f t="shared" si="10"/>
        <v>3.1415926535897931</v>
      </c>
      <c r="Q13" s="27">
        <f t="shared" si="11"/>
        <v>3.25</v>
      </c>
      <c r="R13" s="27">
        <f t="shared" si="12"/>
        <v>3.981732478453015E-16</v>
      </c>
      <c r="S13" s="27">
        <f t="shared" si="13"/>
        <v>-3.25</v>
      </c>
      <c r="T13" t="str">
        <f>IF($A13="","",IF(Parametri!$N12="Sì","Sì",""))</f>
        <v>Sì</v>
      </c>
      <c r="U13">
        <f>2*PI()*8/72</f>
        <v>0.69813170079773179</v>
      </c>
      <c r="V13">
        <f t="shared" si="14"/>
        <v>1.2855752193730785</v>
      </c>
      <c r="W13">
        <f t="shared" si="15"/>
        <v>1.532088886237956</v>
      </c>
      <c r="X13">
        <f t="shared" si="16"/>
        <v>1.9283628290596178</v>
      </c>
      <c r="Y13">
        <f t="shared" si="17"/>
        <v>2.2981333293569342</v>
      </c>
      <c r="Z13">
        <f t="shared" si="18"/>
        <v>2.571150438746157</v>
      </c>
      <c r="AA13">
        <f t="shared" si="19"/>
        <v>3.0641777724759121</v>
      </c>
      <c r="AB13">
        <f t="shared" si="20"/>
        <v>3.2139380484326963</v>
      </c>
      <c r="AC13">
        <f t="shared" si="21"/>
        <v>3.83022221559489</v>
      </c>
      <c r="AE13">
        <v>0</v>
      </c>
      <c r="AF13">
        <v>0</v>
      </c>
      <c r="AL13" t="e">
        <f t="shared" si="22"/>
        <v>#N/A</v>
      </c>
      <c r="AM13" t="e">
        <f t="shared" si="22"/>
        <v>#N/A</v>
      </c>
      <c r="AN13" t="e">
        <f t="shared" si="22"/>
        <v>#N/A</v>
      </c>
      <c r="AO13" t="e">
        <f t="shared" si="22"/>
        <v>#N/A</v>
      </c>
      <c r="AP13" t="e">
        <f t="shared" si="22"/>
        <v>#N/A</v>
      </c>
      <c r="AQ13" t="e">
        <f t="shared" si="22"/>
        <v>#N/A</v>
      </c>
      <c r="AR13" t="e">
        <f t="shared" si="22"/>
        <v>#N/A</v>
      </c>
      <c r="AS13" t="e">
        <f t="shared" si="22"/>
        <v>#N/A</v>
      </c>
      <c r="AT13" t="e">
        <f t="shared" si="22"/>
        <v>#N/A</v>
      </c>
      <c r="AU13" t="e">
        <f t="shared" si="22"/>
        <v>#N/A</v>
      </c>
      <c r="AV13" t="e">
        <f t="shared" si="22"/>
        <v>#N/A</v>
      </c>
      <c r="AW13" t="e">
        <f t="shared" si="22"/>
        <v>#N/A</v>
      </c>
      <c r="AX13" t="e">
        <f t="shared" si="22"/>
        <v>#N/A</v>
      </c>
      <c r="AY13" t="e">
        <f t="shared" si="22"/>
        <v>#N/A</v>
      </c>
      <c r="AZ13" t="e">
        <f t="shared" si="23"/>
        <v>#N/A</v>
      </c>
      <c r="BA13" t="e">
        <f t="shared" si="23"/>
        <v>#N/A</v>
      </c>
      <c r="BB13" t="e">
        <f t="shared" si="23"/>
        <v>#N/A</v>
      </c>
      <c r="BC13" t="e">
        <f t="shared" si="23"/>
        <v>#N/A</v>
      </c>
      <c r="BD13" t="e">
        <f t="shared" si="23"/>
        <v>#N/A</v>
      </c>
      <c r="BE13" t="e">
        <f t="shared" si="23"/>
        <v>#N/A</v>
      </c>
      <c r="BF13">
        <f t="shared" si="23"/>
        <v>-3.25</v>
      </c>
      <c r="BG13" t="e">
        <f t="shared" si="23"/>
        <v>#N/A</v>
      </c>
      <c r="BH13" t="e">
        <f t="shared" si="23"/>
        <v>#N/A</v>
      </c>
      <c r="BI13" t="e">
        <f t="shared" si="23"/>
        <v>#N/A</v>
      </c>
      <c r="BJ13" t="e">
        <f t="shared" si="23"/>
        <v>#N/A</v>
      </c>
      <c r="BK13" t="e">
        <f t="shared" si="23"/>
        <v>#N/A</v>
      </c>
      <c r="BL13" t="e">
        <f t="shared" si="23"/>
        <v>#N/A</v>
      </c>
      <c r="BM13" t="e">
        <f t="shared" si="23"/>
        <v>#N/A</v>
      </c>
      <c r="BN13">
        <f t="shared" si="24"/>
        <v>3.981732478453015E-16</v>
      </c>
      <c r="BO13" t="str">
        <f t="shared" si="25"/>
        <v>NFR-09</v>
      </c>
      <c r="BP13">
        <f t="shared" si="26"/>
        <v>-3.25</v>
      </c>
    </row>
    <row r="14" spans="1:71" x14ac:dyDescent="0.4">
      <c r="A14" t="str">
        <f>IF(Parametri!$H13="","",Parametri!$H13)</f>
        <v>NFR-10</v>
      </c>
      <c r="B14" t="str">
        <f>IF($A14="","",Parametri!$I13)</f>
        <v>Informazioni errate ai clienti da assistenti di AI generativa</v>
      </c>
      <c r="C14" t="str">
        <f>IF($A14="","",Parametri!$J13)</f>
        <v>L1-04</v>
      </c>
      <c r="D14">
        <f t="shared" si="0"/>
        <v>3</v>
      </c>
      <c r="E14">
        <f t="shared" si="1"/>
        <v>3</v>
      </c>
      <c r="F14">
        <f t="shared" si="2"/>
        <v>9</v>
      </c>
      <c r="G14">
        <f t="shared" si="3"/>
        <v>3</v>
      </c>
      <c r="H14" s="27">
        <f t="shared" si="4"/>
        <v>1.5</v>
      </c>
      <c r="I14" s="27">
        <f t="shared" si="5"/>
        <v>0.25</v>
      </c>
      <c r="J14" s="27">
        <f>IF($A14="",NA(),MAX(IF(COUNTIFS(AZ_ID_Rischio,$A14,AZ_Ciclo,cicloCorrente,AZ_Stato,"&lt;&gt;Respinta",AZ_Mesi_Orizzonte,"&gt;0")=0,moscaYDefault,_xlfn.MAXIFS(AZ_Mesi_Orizzonte,AZ_ID_Rischio,$A14,AZ_Ciclo,cicloCorrente,AZ_Stato,"&lt;&gt;Respinta")/12),N(Parametri!$M13)))</f>
        <v>0.25</v>
      </c>
      <c r="K14" s="27">
        <f t="shared" si="6"/>
        <v>1</v>
      </c>
      <c r="L14" t="str">
        <f t="shared" si="7"/>
        <v>Margine 1 anno</v>
      </c>
      <c r="M14">
        <f t="shared" si="8"/>
        <v>3</v>
      </c>
      <c r="N14">
        <f>IF($A14="",NA(),COUNTIF($C$4:C13,C14))</f>
        <v>2</v>
      </c>
      <c r="O14">
        <f t="shared" si="9"/>
        <v>3</v>
      </c>
      <c r="P14" s="27">
        <f t="shared" si="10"/>
        <v>3.4407919539316785</v>
      </c>
      <c r="Q14" s="27">
        <f t="shared" si="11"/>
        <v>3</v>
      </c>
      <c r="R14" s="27">
        <f t="shared" si="12"/>
        <v>-0.88426552323271312</v>
      </c>
      <c r="S14" s="27">
        <f t="shared" si="13"/>
        <v>-2.8667184173584221</v>
      </c>
      <c r="T14" t="str">
        <f>IF($A14="","",IF(Parametri!$N13="Sì","Sì",""))</f>
        <v/>
      </c>
      <c r="U14">
        <f>2*PI()*9/72</f>
        <v>0.78539816339744828</v>
      </c>
      <c r="V14">
        <f t="shared" si="14"/>
        <v>1.4142135623730949</v>
      </c>
      <c r="W14">
        <f t="shared" si="15"/>
        <v>1.4142135623730951</v>
      </c>
      <c r="X14">
        <f t="shared" si="16"/>
        <v>2.1213203435596424</v>
      </c>
      <c r="Y14">
        <f t="shared" si="17"/>
        <v>2.1213203435596428</v>
      </c>
      <c r="Z14">
        <f t="shared" si="18"/>
        <v>2.8284271247461898</v>
      </c>
      <c r="AA14">
        <f t="shared" si="19"/>
        <v>2.8284271247461903</v>
      </c>
      <c r="AB14">
        <f t="shared" si="20"/>
        <v>3.5355339059327373</v>
      </c>
      <c r="AC14">
        <f t="shared" si="21"/>
        <v>3.5355339059327378</v>
      </c>
      <c r="AE14">
        <f>6.3*SIN(2*PI()*4/ROWS(codiciL1))</f>
        <v>-2.7334675564406155</v>
      </c>
      <c r="AF14">
        <f>6.3*COS(2*PI()*4/ROWS(codiciL1))</f>
        <v>-5.6761038677852405</v>
      </c>
      <c r="AL14" t="e">
        <f t="shared" si="22"/>
        <v>#N/A</v>
      </c>
      <c r="AM14" t="e">
        <f t="shared" si="22"/>
        <v>#N/A</v>
      </c>
      <c r="AN14" t="e">
        <f t="shared" si="22"/>
        <v>#N/A</v>
      </c>
      <c r="AO14" t="e">
        <f t="shared" si="22"/>
        <v>#N/A</v>
      </c>
      <c r="AP14" t="e">
        <f t="shared" si="22"/>
        <v>#N/A</v>
      </c>
      <c r="AQ14" t="e">
        <f t="shared" si="22"/>
        <v>#N/A</v>
      </c>
      <c r="AR14" t="e">
        <f t="shared" si="22"/>
        <v>#N/A</v>
      </c>
      <c r="AS14">
        <f t="shared" si="22"/>
        <v>-2.8667184173584221</v>
      </c>
      <c r="AT14" t="e">
        <f t="shared" si="22"/>
        <v>#N/A</v>
      </c>
      <c r="AU14" t="e">
        <f t="shared" si="22"/>
        <v>#N/A</v>
      </c>
      <c r="AV14" t="e">
        <f t="shared" si="22"/>
        <v>#N/A</v>
      </c>
      <c r="AW14" t="e">
        <f t="shared" si="22"/>
        <v>#N/A</v>
      </c>
      <c r="AX14" t="e">
        <f t="shared" si="22"/>
        <v>#N/A</v>
      </c>
      <c r="AY14" t="e">
        <f t="shared" si="22"/>
        <v>#N/A</v>
      </c>
      <c r="AZ14" t="e">
        <f t="shared" si="23"/>
        <v>#N/A</v>
      </c>
      <c r="BA14" t="e">
        <f t="shared" si="23"/>
        <v>#N/A</v>
      </c>
      <c r="BB14" t="e">
        <f t="shared" si="23"/>
        <v>#N/A</v>
      </c>
      <c r="BC14" t="e">
        <f t="shared" si="23"/>
        <v>#N/A</v>
      </c>
      <c r="BD14" t="e">
        <f t="shared" si="23"/>
        <v>#N/A</v>
      </c>
      <c r="BE14" t="e">
        <f t="shared" si="23"/>
        <v>#N/A</v>
      </c>
      <c r="BF14" t="e">
        <f t="shared" si="23"/>
        <v>#N/A</v>
      </c>
      <c r="BG14" t="e">
        <f t="shared" si="23"/>
        <v>#N/A</v>
      </c>
      <c r="BH14" t="e">
        <f t="shared" si="23"/>
        <v>#N/A</v>
      </c>
      <c r="BI14" t="e">
        <f t="shared" si="23"/>
        <v>#N/A</v>
      </c>
      <c r="BJ14" t="e">
        <f t="shared" si="23"/>
        <v>#N/A</v>
      </c>
      <c r="BK14" t="e">
        <f t="shared" si="23"/>
        <v>#N/A</v>
      </c>
      <c r="BL14" t="e">
        <f t="shared" si="23"/>
        <v>#N/A</v>
      </c>
      <c r="BM14" t="e">
        <f t="shared" si="23"/>
        <v>#N/A</v>
      </c>
      <c r="BN14">
        <f t="shared" si="24"/>
        <v>-0.88426552323271312</v>
      </c>
      <c r="BO14" t="str">
        <f t="shared" si="25"/>
        <v>NFR-10</v>
      </c>
      <c r="BP14">
        <f t="shared" si="26"/>
        <v>-2.8667184173584221</v>
      </c>
    </row>
    <row r="15" spans="1:71" x14ac:dyDescent="0.4">
      <c r="A15" t="str">
        <f>IF(Parametri!$H14="","",Parametri!$H14)</f>
        <v>NFR-11</v>
      </c>
      <c r="B15" t="str">
        <f>IF($A15="","",Parametri!$I14)</f>
        <v>Fine del supporto dei sistemi di pagamento legacy</v>
      </c>
      <c r="C15" t="str">
        <f>IF($A15="","",Parametri!$J14)</f>
        <v>L1-06</v>
      </c>
      <c r="D15">
        <f t="shared" si="0"/>
        <v>3</v>
      </c>
      <c r="E15">
        <f t="shared" si="1"/>
        <v>3</v>
      </c>
      <c r="F15">
        <f t="shared" si="2"/>
        <v>9</v>
      </c>
      <c r="G15">
        <f t="shared" si="3"/>
        <v>3</v>
      </c>
      <c r="H15" s="27">
        <f t="shared" si="4"/>
        <v>1.5</v>
      </c>
      <c r="I15" s="27">
        <f t="shared" si="5"/>
        <v>0.25</v>
      </c>
      <c r="J15" s="27">
        <f>IF($A15="",NA(),MAX(IF(COUNTIFS(AZ_ID_Rischio,$A15,AZ_Ciclo,cicloCorrente,AZ_Stato,"&lt;&gt;Respinta",AZ_Mesi_Orizzonte,"&gt;0")=0,moscaYDefault,_xlfn.MAXIFS(AZ_Mesi_Orizzonte,AZ_ID_Rischio,$A15,AZ_Ciclo,cicloCorrente,AZ_Stato,"&lt;&gt;Respinta")/12),N(Parametri!$M14)))</f>
        <v>3</v>
      </c>
      <c r="K15" s="27">
        <f t="shared" si="6"/>
        <v>-1.75</v>
      </c>
      <c r="L15" t="str">
        <f t="shared" si="7"/>
        <v>AGIRE ORA: X+Y &gt; Z</v>
      </c>
      <c r="M15">
        <f t="shared" si="8"/>
        <v>5</v>
      </c>
      <c r="N15">
        <f>IF($A15="",NA(),COUNTIF($C$4:C14,C15))</f>
        <v>2</v>
      </c>
      <c r="O15">
        <f t="shared" si="9"/>
        <v>3</v>
      </c>
      <c r="P15" s="27">
        <f t="shared" si="10"/>
        <v>5.2359877559829888</v>
      </c>
      <c r="Q15" s="27">
        <f t="shared" si="11"/>
        <v>0.6</v>
      </c>
      <c r="R15" s="27">
        <f t="shared" si="12"/>
        <v>-0.51961524227066314</v>
      </c>
      <c r="S15" s="27">
        <f t="shared" si="13"/>
        <v>0.30000000000000004</v>
      </c>
      <c r="T15" t="str">
        <f>IF($A15="","",IF(Parametri!$N14="Sì","Sì",""))</f>
        <v/>
      </c>
      <c r="U15">
        <f>2*PI()*10/72</f>
        <v>0.87266462599716477</v>
      </c>
      <c r="V15">
        <f t="shared" si="14"/>
        <v>1.532088886237956</v>
      </c>
      <c r="W15">
        <f t="shared" si="15"/>
        <v>1.2855752193730787</v>
      </c>
      <c r="X15">
        <f t="shared" si="16"/>
        <v>2.2981333293569342</v>
      </c>
      <c r="Y15">
        <f t="shared" si="17"/>
        <v>1.9283628290596182</v>
      </c>
      <c r="Z15">
        <f t="shared" si="18"/>
        <v>3.0641777724759121</v>
      </c>
      <c r="AA15">
        <f t="shared" si="19"/>
        <v>2.5711504387461575</v>
      </c>
      <c r="AB15">
        <f t="shared" si="20"/>
        <v>3.83022221559489</v>
      </c>
      <c r="AC15">
        <f t="shared" si="21"/>
        <v>3.2139380484326967</v>
      </c>
      <c r="AE15">
        <v>0</v>
      </c>
      <c r="AF15">
        <v>0</v>
      </c>
      <c r="AL15" t="e">
        <f t="shared" si="22"/>
        <v>#N/A</v>
      </c>
      <c r="AM15" t="e">
        <f t="shared" si="22"/>
        <v>#N/A</v>
      </c>
      <c r="AN15" t="e">
        <f t="shared" si="22"/>
        <v>#N/A</v>
      </c>
      <c r="AO15" t="e">
        <f t="shared" si="22"/>
        <v>#N/A</v>
      </c>
      <c r="AP15" t="e">
        <f t="shared" si="22"/>
        <v>#N/A</v>
      </c>
      <c r="AQ15" t="e">
        <f t="shared" si="22"/>
        <v>#N/A</v>
      </c>
      <c r="AR15" t="e">
        <f t="shared" si="22"/>
        <v>#N/A</v>
      </c>
      <c r="AS15">
        <f t="shared" si="22"/>
        <v>0.30000000000000004</v>
      </c>
      <c r="AT15" t="e">
        <f t="shared" si="22"/>
        <v>#N/A</v>
      </c>
      <c r="AU15" t="e">
        <f t="shared" si="22"/>
        <v>#N/A</v>
      </c>
      <c r="AV15" t="e">
        <f t="shared" si="22"/>
        <v>#N/A</v>
      </c>
      <c r="AW15" t="e">
        <f t="shared" si="22"/>
        <v>#N/A</v>
      </c>
      <c r="AX15" t="e">
        <f t="shared" si="22"/>
        <v>#N/A</v>
      </c>
      <c r="AY15" t="e">
        <f t="shared" si="22"/>
        <v>#N/A</v>
      </c>
      <c r="AZ15" t="e">
        <f t="shared" si="23"/>
        <v>#N/A</v>
      </c>
      <c r="BA15" t="e">
        <f t="shared" si="23"/>
        <v>#N/A</v>
      </c>
      <c r="BB15" t="e">
        <f t="shared" si="23"/>
        <v>#N/A</v>
      </c>
      <c r="BC15" t="e">
        <f t="shared" si="23"/>
        <v>#N/A</v>
      </c>
      <c r="BD15" t="e">
        <f t="shared" si="23"/>
        <v>#N/A</v>
      </c>
      <c r="BE15" t="e">
        <f t="shared" si="23"/>
        <v>#N/A</v>
      </c>
      <c r="BF15" t="e">
        <f t="shared" si="23"/>
        <v>#N/A</v>
      </c>
      <c r="BG15" t="e">
        <f t="shared" si="23"/>
        <v>#N/A</v>
      </c>
      <c r="BH15" t="e">
        <f t="shared" si="23"/>
        <v>#N/A</v>
      </c>
      <c r="BI15" t="e">
        <f t="shared" si="23"/>
        <v>#N/A</v>
      </c>
      <c r="BJ15" t="e">
        <f t="shared" si="23"/>
        <v>#N/A</v>
      </c>
      <c r="BK15" t="e">
        <f t="shared" si="23"/>
        <v>#N/A</v>
      </c>
      <c r="BL15" t="e">
        <f t="shared" si="23"/>
        <v>#N/A</v>
      </c>
      <c r="BM15" t="e">
        <f t="shared" si="23"/>
        <v>#N/A</v>
      </c>
      <c r="BN15">
        <f t="shared" si="24"/>
        <v>-0.51961524227066314</v>
      </c>
      <c r="BO15" t="str">
        <f t="shared" si="25"/>
        <v>NFR-11</v>
      </c>
      <c r="BP15">
        <f t="shared" si="26"/>
        <v>0.30000000000000004</v>
      </c>
    </row>
    <row r="16" spans="1:71" x14ac:dyDescent="0.4">
      <c r="A16" t="str">
        <f>IF(Parametri!$H15="","",Parametri!$H15)</f>
        <v>NFR-12</v>
      </c>
      <c r="B16" t="str">
        <f>IF($A16="","",Parametri!$I15)</f>
        <v>Errori operativi nei pagamenti istantanei obbligatori</v>
      </c>
      <c r="C16" t="str">
        <f>IF($A16="","",Parametri!$J15)</f>
        <v>L1-07</v>
      </c>
      <c r="D16">
        <f t="shared" si="0"/>
        <v>3</v>
      </c>
      <c r="E16">
        <f t="shared" si="1"/>
        <v>4</v>
      </c>
      <c r="F16">
        <f t="shared" si="2"/>
        <v>12</v>
      </c>
      <c r="G16">
        <f t="shared" si="3"/>
        <v>4</v>
      </c>
      <c r="H16" s="27">
        <f t="shared" si="4"/>
        <v>0.5</v>
      </c>
      <c r="I16" s="27">
        <f t="shared" si="5"/>
        <v>0.25</v>
      </c>
      <c r="J16" s="27">
        <f>IF($A16="",NA(),MAX(IF(COUNTIFS(AZ_ID_Rischio,$A16,AZ_Ciclo,cicloCorrente,AZ_Stato,"&lt;&gt;Respinta",AZ_Mesi_Orizzonte,"&gt;0")=0,moscaYDefault,_xlfn.MAXIFS(AZ_Mesi_Orizzonte,AZ_ID_Rischio,$A16,AZ_Ciclo,cicloCorrente,AZ_Stato,"&lt;&gt;Respinta")/12),N(Parametri!$M15)))</f>
        <v>0.25</v>
      </c>
      <c r="K16" s="27">
        <f t="shared" si="6"/>
        <v>0</v>
      </c>
      <c r="L16" t="str">
        <f t="shared" si="7"/>
        <v>Agire entro l'anno</v>
      </c>
      <c r="M16">
        <f t="shared" si="8"/>
        <v>6</v>
      </c>
      <c r="N16">
        <f>IF($A16="",NA(),COUNTIF($C$4:C15,C16))</f>
        <v>1</v>
      </c>
      <c r="O16">
        <f t="shared" si="9"/>
        <v>2</v>
      </c>
      <c r="P16" s="27">
        <f t="shared" si="10"/>
        <v>6.0587858319231724</v>
      </c>
      <c r="Q16" s="27">
        <f t="shared" si="11"/>
        <v>2</v>
      </c>
      <c r="R16" s="27">
        <f t="shared" si="12"/>
        <v>-0.44504186791262929</v>
      </c>
      <c r="S16" s="27">
        <f t="shared" si="13"/>
        <v>1.949855824363647</v>
      </c>
      <c r="T16" t="str">
        <f>IF($A16="","",IF(Parametri!$N15="Sì","Sì",""))</f>
        <v/>
      </c>
      <c r="U16">
        <f>2*PI()*11/72</f>
        <v>0.95993108859688114</v>
      </c>
      <c r="V16">
        <f t="shared" si="14"/>
        <v>1.6383040885779834</v>
      </c>
      <c r="W16">
        <f t="shared" si="15"/>
        <v>1.1471528727020923</v>
      </c>
      <c r="X16">
        <f t="shared" si="16"/>
        <v>2.4574561328669748</v>
      </c>
      <c r="Y16">
        <f t="shared" si="17"/>
        <v>1.7207293090531386</v>
      </c>
      <c r="Z16">
        <f t="shared" si="18"/>
        <v>3.2766081771559668</v>
      </c>
      <c r="AA16">
        <f t="shared" si="19"/>
        <v>2.2943057454041846</v>
      </c>
      <c r="AB16">
        <f t="shared" si="20"/>
        <v>4.0957602214449587</v>
      </c>
      <c r="AC16">
        <f t="shared" si="21"/>
        <v>2.8678821817552307</v>
      </c>
      <c r="AE16">
        <f>6.3*SIN(2*PI()*5/ROWS(codiciL1))</f>
        <v>-6.1420458467454884</v>
      </c>
      <c r="AF16">
        <f>6.3*COS(2*PI()*5/ROWS(codiciL1))</f>
        <v>-1.401881883924782</v>
      </c>
      <c r="AL16" t="e">
        <f t="shared" si="22"/>
        <v>#N/A</v>
      </c>
      <c r="AM16" t="e">
        <f t="shared" si="22"/>
        <v>#N/A</v>
      </c>
      <c r="AN16" t="e">
        <f t="shared" si="22"/>
        <v>#N/A</v>
      </c>
      <c r="AO16" t="e">
        <f t="shared" si="22"/>
        <v>#N/A</v>
      </c>
      <c r="AP16" t="e">
        <f t="shared" si="22"/>
        <v>#N/A</v>
      </c>
      <c r="AQ16" t="e">
        <f t="shared" si="22"/>
        <v>#N/A</v>
      </c>
      <c r="AR16" t="e">
        <f t="shared" si="22"/>
        <v>#N/A</v>
      </c>
      <c r="AS16" t="e">
        <f t="shared" si="22"/>
        <v>#N/A</v>
      </c>
      <c r="AT16" t="e">
        <f t="shared" si="22"/>
        <v>#N/A</v>
      </c>
      <c r="AU16">
        <f t="shared" si="22"/>
        <v>1.949855824363647</v>
      </c>
      <c r="AV16" t="e">
        <f t="shared" si="22"/>
        <v>#N/A</v>
      </c>
      <c r="AW16" t="e">
        <f t="shared" si="22"/>
        <v>#N/A</v>
      </c>
      <c r="AX16" t="e">
        <f t="shared" si="22"/>
        <v>#N/A</v>
      </c>
      <c r="AY16" t="e">
        <f t="shared" si="22"/>
        <v>#N/A</v>
      </c>
      <c r="AZ16" t="e">
        <f t="shared" si="23"/>
        <v>#N/A</v>
      </c>
      <c r="BA16" t="e">
        <f t="shared" si="23"/>
        <v>#N/A</v>
      </c>
      <c r="BB16" t="e">
        <f t="shared" si="23"/>
        <v>#N/A</v>
      </c>
      <c r="BC16" t="e">
        <f t="shared" si="23"/>
        <v>#N/A</v>
      </c>
      <c r="BD16" t="e">
        <f t="shared" si="23"/>
        <v>#N/A</v>
      </c>
      <c r="BE16" t="e">
        <f t="shared" si="23"/>
        <v>#N/A</v>
      </c>
      <c r="BF16" t="e">
        <f t="shared" si="23"/>
        <v>#N/A</v>
      </c>
      <c r="BG16" t="e">
        <f t="shared" si="23"/>
        <v>#N/A</v>
      </c>
      <c r="BH16" t="e">
        <f t="shared" si="23"/>
        <v>#N/A</v>
      </c>
      <c r="BI16" t="e">
        <f t="shared" si="23"/>
        <v>#N/A</v>
      </c>
      <c r="BJ16" t="e">
        <f t="shared" si="23"/>
        <v>#N/A</v>
      </c>
      <c r="BK16" t="e">
        <f t="shared" si="23"/>
        <v>#N/A</v>
      </c>
      <c r="BL16" t="e">
        <f t="shared" si="23"/>
        <v>#N/A</v>
      </c>
      <c r="BM16" t="e">
        <f t="shared" si="23"/>
        <v>#N/A</v>
      </c>
      <c r="BN16">
        <f t="shared" si="24"/>
        <v>-0.44504186791262929</v>
      </c>
      <c r="BO16" t="str">
        <f t="shared" si="25"/>
        <v>NFR-12</v>
      </c>
      <c r="BP16">
        <f t="shared" si="26"/>
        <v>1.949855824363647</v>
      </c>
    </row>
    <row r="17" spans="1:68" x14ac:dyDescent="0.4">
      <c r="A17" t="str">
        <f>IF(Parametri!$H16="","",Parametri!$H16)</f>
        <v/>
      </c>
      <c r="B17" t="str">
        <f>IF($A17="","",Parametri!$I16)</f>
        <v/>
      </c>
      <c r="C17" t="str">
        <f>IF($A17="","",Parametri!$J16)</f>
        <v/>
      </c>
      <c r="D17" t="e">
        <f t="shared" si="0"/>
        <v>#N/A</v>
      </c>
      <c r="E17" t="e">
        <f t="shared" si="1"/>
        <v>#N/A</v>
      </c>
      <c r="F17" t="e">
        <f t="shared" si="2"/>
        <v>#N/A</v>
      </c>
      <c r="G17" t="e">
        <f t="shared" si="3"/>
        <v>#N/A</v>
      </c>
      <c r="H17" s="27" t="e">
        <f t="shared" si="4"/>
        <v>#N/A</v>
      </c>
      <c r="I17" s="27" t="e">
        <f t="shared" si="5"/>
        <v>#N/A</v>
      </c>
      <c r="J17" s="27" t="e">
        <f>IF($A17="",NA(),MAX(IF(COUNTIFS(AZ_ID_Rischio,$A17,AZ_Ciclo,cicloCorrente,AZ_Stato,"&lt;&gt;Respinta",AZ_Mesi_Orizzonte,"&gt;0")=0,moscaYDefault,_xlfn.MAXIFS(AZ_Mesi_Orizzonte,AZ_ID_Rischio,$A17,AZ_Ciclo,cicloCorrente,AZ_Stato,"&lt;&gt;Respinta")/12),N(Parametri!$M16)))</f>
        <v>#N/A</v>
      </c>
      <c r="K17" s="27" t="e">
        <f t="shared" si="6"/>
        <v>#N/A</v>
      </c>
      <c r="L17" t="str">
        <f t="shared" si="7"/>
        <v/>
      </c>
      <c r="M17" t="e">
        <f t="shared" si="8"/>
        <v>#N/A</v>
      </c>
      <c r="N17" t="e">
        <f>IF($A17="",NA(),COUNTIF($C$4:C16,C17))</f>
        <v>#N/A</v>
      </c>
      <c r="O17" t="e">
        <f t="shared" si="9"/>
        <v>#N/A</v>
      </c>
      <c r="P17" s="27" t="e">
        <f t="shared" si="10"/>
        <v>#N/A</v>
      </c>
      <c r="Q17" s="27" t="e">
        <f t="shared" si="11"/>
        <v>#N/A</v>
      </c>
      <c r="R17" s="27" t="e">
        <f t="shared" si="12"/>
        <v>#N/A</v>
      </c>
      <c r="S17" s="27" t="e">
        <f t="shared" si="13"/>
        <v>#N/A</v>
      </c>
      <c r="T17" t="str">
        <f>IF($A17="","",IF(Parametri!$N16="Sì","Sì",""))</f>
        <v/>
      </c>
      <c r="U17">
        <f>2*PI()*12/72</f>
        <v>1.0471975511965976</v>
      </c>
      <c r="V17">
        <f t="shared" si="14"/>
        <v>1.7320508075688772</v>
      </c>
      <c r="W17">
        <f t="shared" si="15"/>
        <v>1.0000000000000002</v>
      </c>
      <c r="X17">
        <f t="shared" si="16"/>
        <v>2.598076211353316</v>
      </c>
      <c r="Y17">
        <f t="shared" si="17"/>
        <v>1.5000000000000004</v>
      </c>
      <c r="Z17">
        <f t="shared" si="18"/>
        <v>3.4641016151377544</v>
      </c>
      <c r="AA17">
        <f t="shared" si="19"/>
        <v>2.0000000000000004</v>
      </c>
      <c r="AB17">
        <f t="shared" si="20"/>
        <v>4.3301270189221928</v>
      </c>
      <c r="AC17">
        <f t="shared" si="21"/>
        <v>2.5000000000000004</v>
      </c>
      <c r="AE17">
        <v>0</v>
      </c>
      <c r="AF17">
        <v>0</v>
      </c>
      <c r="AL17" t="e">
        <f t="shared" si="22"/>
        <v>#N/A</v>
      </c>
      <c r="AM17" t="e">
        <f t="shared" si="22"/>
        <v>#N/A</v>
      </c>
      <c r="AN17" t="e">
        <f t="shared" si="22"/>
        <v>#N/A</v>
      </c>
      <c r="AO17" t="e">
        <f t="shared" si="22"/>
        <v>#N/A</v>
      </c>
      <c r="AP17" t="e">
        <f t="shared" si="22"/>
        <v>#N/A</v>
      </c>
      <c r="AQ17" t="e">
        <f t="shared" si="22"/>
        <v>#N/A</v>
      </c>
      <c r="AR17" t="e">
        <f t="shared" si="22"/>
        <v>#N/A</v>
      </c>
      <c r="AS17" t="e">
        <f t="shared" si="22"/>
        <v>#N/A</v>
      </c>
      <c r="AT17" t="e">
        <f t="shared" si="22"/>
        <v>#N/A</v>
      </c>
      <c r="AU17" t="e">
        <f t="shared" si="22"/>
        <v>#N/A</v>
      </c>
      <c r="AV17" t="e">
        <f t="shared" si="22"/>
        <v>#N/A</v>
      </c>
      <c r="AW17" t="e">
        <f t="shared" si="22"/>
        <v>#N/A</v>
      </c>
      <c r="AX17" t="e">
        <f t="shared" si="22"/>
        <v>#N/A</v>
      </c>
      <c r="AY17" t="e">
        <f t="shared" si="22"/>
        <v>#N/A</v>
      </c>
      <c r="AZ17" t="e">
        <f t="shared" si="23"/>
        <v>#N/A</v>
      </c>
      <c r="BA17" t="e">
        <f t="shared" si="23"/>
        <v>#N/A</v>
      </c>
      <c r="BB17" t="e">
        <f t="shared" si="23"/>
        <v>#N/A</v>
      </c>
      <c r="BC17" t="e">
        <f t="shared" si="23"/>
        <v>#N/A</v>
      </c>
      <c r="BD17" t="e">
        <f t="shared" si="23"/>
        <v>#N/A</v>
      </c>
      <c r="BE17" t="e">
        <f t="shared" si="23"/>
        <v>#N/A</v>
      </c>
      <c r="BF17" t="e">
        <f t="shared" si="23"/>
        <v>#N/A</v>
      </c>
      <c r="BG17" t="e">
        <f t="shared" si="23"/>
        <v>#N/A</v>
      </c>
      <c r="BH17" t="e">
        <f t="shared" si="23"/>
        <v>#N/A</v>
      </c>
      <c r="BI17" t="e">
        <f t="shared" si="23"/>
        <v>#N/A</v>
      </c>
      <c r="BJ17" t="e">
        <f t="shared" si="23"/>
        <v>#N/A</v>
      </c>
      <c r="BK17" t="e">
        <f t="shared" si="23"/>
        <v>#N/A</v>
      </c>
      <c r="BL17" t="e">
        <f t="shared" si="23"/>
        <v>#N/A</v>
      </c>
      <c r="BM17" t="e">
        <f t="shared" si="23"/>
        <v>#N/A</v>
      </c>
      <c r="BN17" t="e">
        <f t="shared" si="24"/>
        <v>#N/A</v>
      </c>
      <c r="BO17" t="str">
        <f t="shared" si="25"/>
        <v/>
      </c>
      <c r="BP17" t="e">
        <f t="shared" si="26"/>
        <v>#N/A</v>
      </c>
    </row>
    <row r="18" spans="1:68" x14ac:dyDescent="0.4">
      <c r="A18" t="str">
        <f>IF(Parametri!$H17="","",Parametri!$H17)</f>
        <v/>
      </c>
      <c r="B18" t="str">
        <f>IF($A18="","",Parametri!$I17)</f>
        <v/>
      </c>
      <c r="C18" t="str">
        <f>IF($A18="","",Parametri!$J17)</f>
        <v/>
      </c>
      <c r="D18" t="e">
        <f t="shared" si="0"/>
        <v>#N/A</v>
      </c>
      <c r="E18" t="e">
        <f t="shared" si="1"/>
        <v>#N/A</v>
      </c>
      <c r="F18" t="e">
        <f t="shared" si="2"/>
        <v>#N/A</v>
      </c>
      <c r="G18" t="e">
        <f t="shared" si="3"/>
        <v>#N/A</v>
      </c>
      <c r="H18" s="27" t="e">
        <f t="shared" si="4"/>
        <v>#N/A</v>
      </c>
      <c r="I18" s="27" t="e">
        <f t="shared" si="5"/>
        <v>#N/A</v>
      </c>
      <c r="J18" s="27" t="e">
        <f>IF($A18="",NA(),MAX(IF(COUNTIFS(AZ_ID_Rischio,$A18,AZ_Ciclo,cicloCorrente,AZ_Stato,"&lt;&gt;Respinta",AZ_Mesi_Orizzonte,"&gt;0")=0,moscaYDefault,_xlfn.MAXIFS(AZ_Mesi_Orizzonte,AZ_ID_Rischio,$A18,AZ_Ciclo,cicloCorrente,AZ_Stato,"&lt;&gt;Respinta")/12),N(Parametri!$M17)))</f>
        <v>#N/A</v>
      </c>
      <c r="K18" s="27" t="e">
        <f t="shared" si="6"/>
        <v>#N/A</v>
      </c>
      <c r="L18" t="str">
        <f t="shared" si="7"/>
        <v/>
      </c>
      <c r="M18" t="e">
        <f t="shared" si="8"/>
        <v>#N/A</v>
      </c>
      <c r="N18" t="e">
        <f>IF($A18="",NA(),COUNTIF($C$4:C17,C18))</f>
        <v>#N/A</v>
      </c>
      <c r="O18" t="e">
        <f t="shared" si="9"/>
        <v>#N/A</v>
      </c>
      <c r="P18" s="27" t="e">
        <f t="shared" si="10"/>
        <v>#N/A</v>
      </c>
      <c r="Q18" s="27" t="e">
        <f t="shared" si="11"/>
        <v>#N/A</v>
      </c>
      <c r="R18" s="27" t="e">
        <f t="shared" si="12"/>
        <v>#N/A</v>
      </c>
      <c r="S18" s="27" t="e">
        <f t="shared" si="13"/>
        <v>#N/A</v>
      </c>
      <c r="T18" t="str">
        <f>IF($A18="","",IF(Parametri!$N17="Sì","Sì",""))</f>
        <v/>
      </c>
      <c r="U18">
        <f>2*PI()*13/72</f>
        <v>1.1344640137963142</v>
      </c>
      <c r="V18">
        <f t="shared" si="14"/>
        <v>1.8126155740732999</v>
      </c>
      <c r="W18">
        <f t="shared" si="15"/>
        <v>0.84523652348139888</v>
      </c>
      <c r="X18">
        <f t="shared" si="16"/>
        <v>2.7189233611099497</v>
      </c>
      <c r="Y18">
        <f t="shared" si="17"/>
        <v>1.2678547852220983</v>
      </c>
      <c r="Z18">
        <f t="shared" si="18"/>
        <v>3.6252311481465997</v>
      </c>
      <c r="AA18">
        <f t="shared" si="19"/>
        <v>1.6904730469627978</v>
      </c>
      <c r="AB18">
        <f t="shared" si="20"/>
        <v>4.5315389351832494</v>
      </c>
      <c r="AC18">
        <f t="shared" si="21"/>
        <v>2.1130913087034973</v>
      </c>
      <c r="AE18">
        <f>6.3*SIN(2*PI()*6/ROWS(codiciL1))</f>
        <v>-4.9255383395485879</v>
      </c>
      <c r="AF18">
        <f>6.3*COS(2*PI()*6/ROWS(codiciL1))</f>
        <v>3.9279857517100201</v>
      </c>
      <c r="AL18" t="e">
        <f t="shared" si="22"/>
        <v>#N/A</v>
      </c>
      <c r="AM18" t="e">
        <f t="shared" si="22"/>
        <v>#N/A</v>
      </c>
      <c r="AN18" t="e">
        <f t="shared" si="22"/>
        <v>#N/A</v>
      </c>
      <c r="AO18" t="e">
        <f t="shared" si="22"/>
        <v>#N/A</v>
      </c>
      <c r="AP18" t="e">
        <f t="shared" si="22"/>
        <v>#N/A</v>
      </c>
      <c r="AQ18" t="e">
        <f t="shared" si="22"/>
        <v>#N/A</v>
      </c>
      <c r="AR18" t="e">
        <f t="shared" si="22"/>
        <v>#N/A</v>
      </c>
      <c r="AS18" t="e">
        <f t="shared" si="22"/>
        <v>#N/A</v>
      </c>
      <c r="AT18" t="e">
        <f t="shared" si="22"/>
        <v>#N/A</v>
      </c>
      <c r="AU18" t="e">
        <f t="shared" si="22"/>
        <v>#N/A</v>
      </c>
      <c r="AV18" t="e">
        <f t="shared" si="22"/>
        <v>#N/A</v>
      </c>
      <c r="AW18" t="e">
        <f t="shared" si="22"/>
        <v>#N/A</v>
      </c>
      <c r="AX18" t="e">
        <f t="shared" si="22"/>
        <v>#N/A</v>
      </c>
      <c r="AY18" t="e">
        <f t="shared" si="22"/>
        <v>#N/A</v>
      </c>
      <c r="AZ18" t="e">
        <f t="shared" si="23"/>
        <v>#N/A</v>
      </c>
      <c r="BA18" t="e">
        <f t="shared" si="23"/>
        <v>#N/A</v>
      </c>
      <c r="BB18" t="e">
        <f t="shared" si="23"/>
        <v>#N/A</v>
      </c>
      <c r="BC18" t="e">
        <f t="shared" si="23"/>
        <v>#N/A</v>
      </c>
      <c r="BD18" t="e">
        <f t="shared" si="23"/>
        <v>#N/A</v>
      </c>
      <c r="BE18" t="e">
        <f t="shared" si="23"/>
        <v>#N/A</v>
      </c>
      <c r="BF18" t="e">
        <f t="shared" si="23"/>
        <v>#N/A</v>
      </c>
      <c r="BG18" t="e">
        <f t="shared" si="23"/>
        <v>#N/A</v>
      </c>
      <c r="BH18" t="e">
        <f t="shared" si="23"/>
        <v>#N/A</v>
      </c>
      <c r="BI18" t="e">
        <f t="shared" si="23"/>
        <v>#N/A</v>
      </c>
      <c r="BJ18" t="e">
        <f t="shared" si="23"/>
        <v>#N/A</v>
      </c>
      <c r="BK18" t="e">
        <f t="shared" si="23"/>
        <v>#N/A</v>
      </c>
      <c r="BL18" t="e">
        <f t="shared" si="23"/>
        <v>#N/A</v>
      </c>
      <c r="BM18" t="e">
        <f t="shared" si="23"/>
        <v>#N/A</v>
      </c>
      <c r="BN18" t="e">
        <f t="shared" si="24"/>
        <v>#N/A</v>
      </c>
      <c r="BO18" t="str">
        <f t="shared" si="25"/>
        <v/>
      </c>
      <c r="BP18" t="e">
        <f t="shared" si="26"/>
        <v>#N/A</v>
      </c>
    </row>
    <row r="19" spans="1:68" x14ac:dyDescent="0.4">
      <c r="A19" t="str">
        <f>IF(Parametri!$H18="","",Parametri!$H18)</f>
        <v/>
      </c>
      <c r="B19" t="str">
        <f>IF($A19="","",Parametri!$I18)</f>
        <v/>
      </c>
      <c r="C19" t="str">
        <f>IF($A19="","",Parametri!$J18)</f>
        <v/>
      </c>
      <c r="D19" t="e">
        <f t="shared" si="0"/>
        <v>#N/A</v>
      </c>
      <c r="E19" t="e">
        <f t="shared" si="1"/>
        <v>#N/A</v>
      </c>
      <c r="F19" t="e">
        <f t="shared" si="2"/>
        <v>#N/A</v>
      </c>
      <c r="G19" t="e">
        <f t="shared" si="3"/>
        <v>#N/A</v>
      </c>
      <c r="H19" s="27" t="e">
        <f t="shared" si="4"/>
        <v>#N/A</v>
      </c>
      <c r="I19" s="27" t="e">
        <f t="shared" si="5"/>
        <v>#N/A</v>
      </c>
      <c r="J19" s="27" t="e">
        <f>IF($A19="",NA(),MAX(IF(COUNTIFS(AZ_ID_Rischio,$A19,AZ_Ciclo,cicloCorrente,AZ_Stato,"&lt;&gt;Respinta",AZ_Mesi_Orizzonte,"&gt;0")=0,moscaYDefault,_xlfn.MAXIFS(AZ_Mesi_Orizzonte,AZ_ID_Rischio,$A19,AZ_Ciclo,cicloCorrente,AZ_Stato,"&lt;&gt;Respinta")/12),N(Parametri!$M18)))</f>
        <v>#N/A</v>
      </c>
      <c r="K19" s="27" t="e">
        <f t="shared" si="6"/>
        <v>#N/A</v>
      </c>
      <c r="L19" t="str">
        <f t="shared" si="7"/>
        <v/>
      </c>
      <c r="M19" t="e">
        <f t="shared" si="8"/>
        <v>#N/A</v>
      </c>
      <c r="N19" t="e">
        <f>IF($A19="",NA(),COUNTIF($C$4:C18,C19))</f>
        <v>#N/A</v>
      </c>
      <c r="O19" t="e">
        <f t="shared" si="9"/>
        <v>#N/A</v>
      </c>
      <c r="P19" s="27" t="e">
        <f t="shared" si="10"/>
        <v>#N/A</v>
      </c>
      <c r="Q19" s="27" t="e">
        <f t="shared" si="11"/>
        <v>#N/A</v>
      </c>
      <c r="R19" s="27" t="e">
        <f t="shared" si="12"/>
        <v>#N/A</v>
      </c>
      <c r="S19" s="27" t="e">
        <f t="shared" si="13"/>
        <v>#N/A</v>
      </c>
      <c r="T19" t="str">
        <f>IF($A19="","",IF(Parametri!$N18="Sì","Sì",""))</f>
        <v/>
      </c>
      <c r="U19">
        <f>2*PI()*14/72</f>
        <v>1.2217304763960306</v>
      </c>
      <c r="V19">
        <f t="shared" si="14"/>
        <v>1.8793852415718166</v>
      </c>
      <c r="W19">
        <f t="shared" si="15"/>
        <v>0.68404028665133765</v>
      </c>
      <c r="X19">
        <f t="shared" si="16"/>
        <v>2.8190778623577248</v>
      </c>
      <c r="Y19">
        <f t="shared" si="17"/>
        <v>1.0260604299770064</v>
      </c>
      <c r="Z19">
        <f t="shared" si="18"/>
        <v>3.7587704831436333</v>
      </c>
      <c r="AA19">
        <f t="shared" si="19"/>
        <v>1.3680805733026753</v>
      </c>
      <c r="AB19">
        <f t="shared" si="20"/>
        <v>4.6984631039295417</v>
      </c>
      <c r="AC19">
        <f t="shared" si="21"/>
        <v>1.7101007166283442</v>
      </c>
      <c r="AL19" t="e">
        <f t="shared" si="22"/>
        <v>#N/A</v>
      </c>
      <c r="AM19" t="e">
        <f t="shared" si="22"/>
        <v>#N/A</v>
      </c>
      <c r="AN19" t="e">
        <f t="shared" si="22"/>
        <v>#N/A</v>
      </c>
      <c r="AO19" t="e">
        <f t="shared" si="22"/>
        <v>#N/A</v>
      </c>
      <c r="AP19" t="e">
        <f t="shared" si="22"/>
        <v>#N/A</v>
      </c>
      <c r="AQ19" t="e">
        <f t="shared" si="22"/>
        <v>#N/A</v>
      </c>
      <c r="AR19" t="e">
        <f t="shared" si="22"/>
        <v>#N/A</v>
      </c>
      <c r="AS19" t="e">
        <f t="shared" si="22"/>
        <v>#N/A</v>
      </c>
      <c r="AT19" t="e">
        <f t="shared" si="22"/>
        <v>#N/A</v>
      </c>
      <c r="AU19" t="e">
        <f t="shared" si="22"/>
        <v>#N/A</v>
      </c>
      <c r="AV19" t="e">
        <f t="shared" si="22"/>
        <v>#N/A</v>
      </c>
      <c r="AW19" t="e">
        <f t="shared" si="22"/>
        <v>#N/A</v>
      </c>
      <c r="AX19" t="e">
        <f t="shared" si="22"/>
        <v>#N/A</v>
      </c>
      <c r="AY19" t="e">
        <f t="shared" si="22"/>
        <v>#N/A</v>
      </c>
      <c r="AZ19" t="e">
        <f t="shared" si="23"/>
        <v>#N/A</v>
      </c>
      <c r="BA19" t="e">
        <f t="shared" si="23"/>
        <v>#N/A</v>
      </c>
      <c r="BB19" t="e">
        <f t="shared" si="23"/>
        <v>#N/A</v>
      </c>
      <c r="BC19" t="e">
        <f t="shared" si="23"/>
        <v>#N/A</v>
      </c>
      <c r="BD19" t="e">
        <f t="shared" si="23"/>
        <v>#N/A</v>
      </c>
      <c r="BE19" t="e">
        <f t="shared" si="23"/>
        <v>#N/A</v>
      </c>
      <c r="BF19" t="e">
        <f t="shared" si="23"/>
        <v>#N/A</v>
      </c>
      <c r="BG19" t="e">
        <f t="shared" si="23"/>
        <v>#N/A</v>
      </c>
      <c r="BH19" t="e">
        <f t="shared" si="23"/>
        <v>#N/A</v>
      </c>
      <c r="BI19" t="e">
        <f t="shared" si="23"/>
        <v>#N/A</v>
      </c>
      <c r="BJ19" t="e">
        <f t="shared" si="23"/>
        <v>#N/A</v>
      </c>
      <c r="BK19" t="e">
        <f t="shared" si="23"/>
        <v>#N/A</v>
      </c>
      <c r="BL19" t="e">
        <f t="shared" si="23"/>
        <v>#N/A</v>
      </c>
      <c r="BM19" t="e">
        <f t="shared" si="23"/>
        <v>#N/A</v>
      </c>
      <c r="BN19" t="e">
        <f t="shared" si="24"/>
        <v>#N/A</v>
      </c>
      <c r="BO19" t="str">
        <f t="shared" si="25"/>
        <v/>
      </c>
      <c r="BP19" t="e">
        <f t="shared" si="26"/>
        <v>#N/A</v>
      </c>
    </row>
    <row r="20" spans="1:68" x14ac:dyDescent="0.4">
      <c r="U20">
        <f>2*PI()*15/72</f>
        <v>1.308996938995747</v>
      </c>
      <c r="V20">
        <f t="shared" si="14"/>
        <v>1.9318516525781364</v>
      </c>
      <c r="W20">
        <f t="shared" si="15"/>
        <v>0.51763809020504192</v>
      </c>
      <c r="X20">
        <f t="shared" si="16"/>
        <v>2.8977774788672046</v>
      </c>
      <c r="Y20">
        <f t="shared" si="17"/>
        <v>0.77645713530756288</v>
      </c>
      <c r="Z20">
        <f t="shared" si="18"/>
        <v>3.8637033051562728</v>
      </c>
      <c r="AA20">
        <f t="shared" si="19"/>
        <v>1.0352761804100838</v>
      </c>
      <c r="AB20">
        <f t="shared" si="20"/>
        <v>4.8296291314453406</v>
      </c>
      <c r="AC20">
        <f t="shared" si="21"/>
        <v>1.2940952255126048</v>
      </c>
    </row>
    <row r="21" spans="1:68" ht="37" customHeight="1" x14ac:dyDescent="0.4">
      <c r="A21" s="123" t="s">
        <v>195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U21">
        <f>2*PI()*16/72</f>
        <v>1.3962634015954636</v>
      </c>
      <c r="V21">
        <f t="shared" si="14"/>
        <v>1.969615506024416</v>
      </c>
      <c r="W21">
        <f t="shared" si="15"/>
        <v>0.34729635533386083</v>
      </c>
      <c r="X21">
        <f t="shared" si="16"/>
        <v>2.9544232590366239</v>
      </c>
      <c r="Y21">
        <f t="shared" si="17"/>
        <v>0.52094453300079124</v>
      </c>
      <c r="Z21">
        <f t="shared" si="18"/>
        <v>3.9392310120488321</v>
      </c>
      <c r="AA21">
        <f t="shared" si="19"/>
        <v>0.69459271066772166</v>
      </c>
      <c r="AB21">
        <f t="shared" si="20"/>
        <v>4.9240387650610398</v>
      </c>
      <c r="AC21">
        <f t="shared" si="21"/>
        <v>0.86824088833465207</v>
      </c>
    </row>
    <row r="22" spans="1:68" x14ac:dyDescent="0.4">
      <c r="U22">
        <f>2*PI()*17/72</f>
        <v>1.4835298641951802</v>
      </c>
      <c r="V22">
        <f t="shared" si="14"/>
        <v>1.9923893961834911</v>
      </c>
      <c r="W22">
        <f t="shared" si="15"/>
        <v>0.17431148549531628</v>
      </c>
      <c r="X22">
        <f t="shared" si="16"/>
        <v>2.9885840942752369</v>
      </c>
      <c r="Y22">
        <f t="shared" si="17"/>
        <v>0.26146722824297441</v>
      </c>
      <c r="Z22">
        <f t="shared" si="18"/>
        <v>3.9847787923669822</v>
      </c>
      <c r="AA22">
        <f t="shared" si="19"/>
        <v>0.34862297099063255</v>
      </c>
      <c r="AB22">
        <f t="shared" si="20"/>
        <v>4.9809734904587275</v>
      </c>
      <c r="AC22">
        <f t="shared" si="21"/>
        <v>0.43577871373829069</v>
      </c>
    </row>
    <row r="23" spans="1:68" x14ac:dyDescent="0.4">
      <c r="U23">
        <f>2*PI()*18/72</f>
        <v>1.5707963267948966</v>
      </c>
      <c r="V23">
        <f t="shared" si="14"/>
        <v>2</v>
      </c>
      <c r="W23">
        <f t="shared" si="15"/>
        <v>1.22514845490862E-16</v>
      </c>
      <c r="X23">
        <f t="shared" si="16"/>
        <v>3</v>
      </c>
      <c r="Y23">
        <f t="shared" si="17"/>
        <v>1.83772268236293E-16</v>
      </c>
      <c r="Z23">
        <f t="shared" si="18"/>
        <v>4</v>
      </c>
      <c r="AA23">
        <f t="shared" si="19"/>
        <v>2.45029690981724E-16</v>
      </c>
      <c r="AB23">
        <f t="shared" si="20"/>
        <v>5</v>
      </c>
      <c r="AC23">
        <f t="shared" si="21"/>
        <v>3.06287113727155E-16</v>
      </c>
    </row>
    <row r="24" spans="1:68" x14ac:dyDescent="0.4">
      <c r="U24">
        <f>2*PI()*19/72</f>
        <v>1.6580627893946129</v>
      </c>
      <c r="V24">
        <f t="shared" si="14"/>
        <v>1.9923893961834911</v>
      </c>
      <c r="W24">
        <f t="shared" si="15"/>
        <v>-0.17431148549531603</v>
      </c>
      <c r="X24">
        <f t="shared" si="16"/>
        <v>2.9885840942752369</v>
      </c>
      <c r="Y24">
        <f t="shared" si="17"/>
        <v>-0.26146722824297403</v>
      </c>
      <c r="Z24">
        <f t="shared" si="18"/>
        <v>3.9847787923669822</v>
      </c>
      <c r="AA24">
        <f t="shared" si="19"/>
        <v>-0.34862297099063205</v>
      </c>
      <c r="AB24">
        <f t="shared" si="20"/>
        <v>4.9809734904587275</v>
      </c>
      <c r="AC24">
        <f t="shared" si="21"/>
        <v>-0.43577871373829008</v>
      </c>
    </row>
    <row r="25" spans="1:68" x14ac:dyDescent="0.4">
      <c r="U25">
        <f>2*PI()*20/72</f>
        <v>1.7453292519943295</v>
      </c>
      <c r="V25">
        <f t="shared" si="14"/>
        <v>1.969615506024416</v>
      </c>
      <c r="W25">
        <f t="shared" si="15"/>
        <v>-0.34729635533386061</v>
      </c>
      <c r="X25">
        <f t="shared" si="16"/>
        <v>2.9544232590366239</v>
      </c>
      <c r="Y25">
        <f t="shared" si="17"/>
        <v>-0.52094453300079091</v>
      </c>
      <c r="Z25">
        <f t="shared" si="18"/>
        <v>3.9392310120488321</v>
      </c>
      <c r="AA25">
        <f t="shared" si="19"/>
        <v>-0.69459271066772121</v>
      </c>
      <c r="AB25">
        <f t="shared" si="20"/>
        <v>4.9240387650610398</v>
      </c>
      <c r="AC25">
        <f t="shared" si="21"/>
        <v>-0.86824088833465152</v>
      </c>
    </row>
    <row r="26" spans="1:68" x14ac:dyDescent="0.4">
      <c r="U26">
        <f>2*PI()*21/72</f>
        <v>1.8325957145940461</v>
      </c>
      <c r="V26">
        <f t="shared" si="14"/>
        <v>1.9318516525781366</v>
      </c>
      <c r="W26">
        <f t="shared" si="15"/>
        <v>-0.5176380902050417</v>
      </c>
      <c r="X26">
        <f t="shared" si="16"/>
        <v>2.897777478867205</v>
      </c>
      <c r="Y26">
        <f t="shared" si="17"/>
        <v>-0.77645713530756255</v>
      </c>
      <c r="Z26">
        <f t="shared" si="18"/>
        <v>3.8637033051562732</v>
      </c>
      <c r="AA26">
        <f t="shared" si="19"/>
        <v>-1.0352761804100834</v>
      </c>
      <c r="AB26">
        <f t="shared" si="20"/>
        <v>4.8296291314453415</v>
      </c>
      <c r="AC26">
        <f t="shared" si="21"/>
        <v>-1.2940952255126041</v>
      </c>
    </row>
    <row r="27" spans="1:68" x14ac:dyDescent="0.4">
      <c r="U27">
        <f>2*PI()*22/72</f>
        <v>1.9198621771937623</v>
      </c>
      <c r="V27">
        <f t="shared" si="14"/>
        <v>1.8793852415718169</v>
      </c>
      <c r="W27">
        <f t="shared" si="15"/>
        <v>-0.68404028665133698</v>
      </c>
      <c r="X27">
        <f t="shared" si="16"/>
        <v>2.8190778623577253</v>
      </c>
      <c r="Y27">
        <f t="shared" si="17"/>
        <v>-1.0260604299770055</v>
      </c>
      <c r="Z27">
        <f t="shared" si="18"/>
        <v>3.7587704831436337</v>
      </c>
      <c r="AA27">
        <f t="shared" si="19"/>
        <v>-1.368080573302674</v>
      </c>
      <c r="AB27">
        <f t="shared" si="20"/>
        <v>4.6984631039295426</v>
      </c>
      <c r="AC27">
        <f t="shared" si="21"/>
        <v>-1.7101007166283424</v>
      </c>
    </row>
    <row r="28" spans="1:68" x14ac:dyDescent="0.4">
      <c r="U28">
        <f>2*PI()*23/72</f>
        <v>2.0071286397934789</v>
      </c>
      <c r="V28">
        <f t="shared" si="14"/>
        <v>1.8126155740733001</v>
      </c>
      <c r="W28">
        <f t="shared" si="15"/>
        <v>-0.84523652348139866</v>
      </c>
      <c r="X28">
        <f t="shared" si="16"/>
        <v>2.7189233611099501</v>
      </c>
      <c r="Y28">
        <f t="shared" si="17"/>
        <v>-1.267854785222098</v>
      </c>
      <c r="Z28">
        <f t="shared" si="18"/>
        <v>3.6252311481466002</v>
      </c>
      <c r="AA28">
        <f t="shared" si="19"/>
        <v>-1.6904730469627973</v>
      </c>
      <c r="AB28">
        <f t="shared" si="20"/>
        <v>4.5315389351832502</v>
      </c>
      <c r="AC28">
        <f t="shared" si="21"/>
        <v>-2.1130913087034968</v>
      </c>
    </row>
    <row r="29" spans="1:68" x14ac:dyDescent="0.4">
      <c r="U29">
        <f>2*PI()*24/72</f>
        <v>2.0943951023931953</v>
      </c>
      <c r="V29">
        <f t="shared" si="14"/>
        <v>1.7320508075688774</v>
      </c>
      <c r="W29">
        <f t="shared" si="15"/>
        <v>-0.99999999999999956</v>
      </c>
      <c r="X29">
        <f t="shared" si="16"/>
        <v>2.598076211353316</v>
      </c>
      <c r="Y29">
        <f t="shared" si="17"/>
        <v>-1.4999999999999993</v>
      </c>
      <c r="Z29">
        <f t="shared" si="18"/>
        <v>3.4641016151377548</v>
      </c>
      <c r="AA29">
        <f t="shared" si="19"/>
        <v>-1.9999999999999991</v>
      </c>
      <c r="AB29">
        <f t="shared" si="20"/>
        <v>4.3301270189221936</v>
      </c>
      <c r="AC29">
        <f t="shared" si="21"/>
        <v>-2.4999999999999991</v>
      </c>
    </row>
    <row r="30" spans="1:68" x14ac:dyDescent="0.4">
      <c r="U30">
        <f>2*PI()*25/72</f>
        <v>2.1816615649929121</v>
      </c>
      <c r="V30">
        <f t="shared" si="14"/>
        <v>1.6383040885779834</v>
      </c>
      <c r="W30">
        <f t="shared" si="15"/>
        <v>-1.1471528727020923</v>
      </c>
      <c r="X30">
        <f t="shared" si="16"/>
        <v>2.4574561328669748</v>
      </c>
      <c r="Y30">
        <f t="shared" si="17"/>
        <v>-1.7207293090531386</v>
      </c>
      <c r="Z30">
        <f t="shared" si="18"/>
        <v>3.2766081771559668</v>
      </c>
      <c r="AA30">
        <f t="shared" si="19"/>
        <v>-2.2943057454041846</v>
      </c>
      <c r="AB30">
        <f t="shared" si="20"/>
        <v>4.0957602214449587</v>
      </c>
      <c r="AC30">
        <f t="shared" si="21"/>
        <v>-2.8678821817552307</v>
      </c>
    </row>
    <row r="31" spans="1:68" x14ac:dyDescent="0.4">
      <c r="U31">
        <f>2*PI()*26/72</f>
        <v>2.2689280275926285</v>
      </c>
      <c r="V31">
        <f t="shared" si="14"/>
        <v>1.532088886237956</v>
      </c>
      <c r="W31">
        <f t="shared" si="15"/>
        <v>-1.2855752193730787</v>
      </c>
      <c r="X31">
        <f t="shared" si="16"/>
        <v>2.2981333293569342</v>
      </c>
      <c r="Y31">
        <f t="shared" si="17"/>
        <v>-1.9283628290596182</v>
      </c>
      <c r="Z31">
        <f t="shared" si="18"/>
        <v>3.0641777724759121</v>
      </c>
      <c r="AA31">
        <f t="shared" si="19"/>
        <v>-2.5711504387461575</v>
      </c>
      <c r="AB31">
        <f t="shared" si="20"/>
        <v>3.83022221559489</v>
      </c>
      <c r="AC31">
        <f t="shared" si="21"/>
        <v>-3.2139380484326967</v>
      </c>
    </row>
    <row r="32" spans="1:68" x14ac:dyDescent="0.4">
      <c r="U32">
        <f>2*PI()*27/72</f>
        <v>2.3561944901923448</v>
      </c>
      <c r="V32">
        <f t="shared" si="14"/>
        <v>1.4142135623730951</v>
      </c>
      <c r="W32">
        <f t="shared" si="15"/>
        <v>-1.4142135623730949</v>
      </c>
      <c r="X32">
        <f t="shared" si="16"/>
        <v>2.1213203435596428</v>
      </c>
      <c r="Y32">
        <f t="shared" si="17"/>
        <v>-2.1213203435596424</v>
      </c>
      <c r="Z32">
        <f t="shared" si="18"/>
        <v>2.8284271247461903</v>
      </c>
      <c r="AA32">
        <f t="shared" si="19"/>
        <v>-2.8284271247461898</v>
      </c>
      <c r="AB32">
        <f t="shared" si="20"/>
        <v>3.5355339059327378</v>
      </c>
      <c r="AC32">
        <f t="shared" si="21"/>
        <v>-3.5355339059327373</v>
      </c>
    </row>
    <row r="33" spans="21:29" x14ac:dyDescent="0.4">
      <c r="U33">
        <f>2*PI()*28/72</f>
        <v>2.4434609527920612</v>
      </c>
      <c r="V33">
        <f t="shared" si="14"/>
        <v>1.2855752193730789</v>
      </c>
      <c r="W33">
        <f t="shared" si="15"/>
        <v>-1.5320888862379558</v>
      </c>
      <c r="X33">
        <f t="shared" si="16"/>
        <v>1.9283628290596184</v>
      </c>
      <c r="Y33">
        <f t="shared" si="17"/>
        <v>-2.2981333293569337</v>
      </c>
      <c r="Z33">
        <f t="shared" si="18"/>
        <v>2.5711504387461579</v>
      </c>
      <c r="AA33">
        <f t="shared" si="19"/>
        <v>-3.0641777724759116</v>
      </c>
      <c r="AB33">
        <f t="shared" si="20"/>
        <v>3.2139380484326976</v>
      </c>
      <c r="AC33">
        <f t="shared" si="21"/>
        <v>-3.8302222155948895</v>
      </c>
    </row>
    <row r="34" spans="21:29" x14ac:dyDescent="0.4">
      <c r="U34">
        <f>2*PI()*29/72</f>
        <v>2.530727415391778</v>
      </c>
      <c r="V34">
        <f t="shared" si="14"/>
        <v>1.1471528727020919</v>
      </c>
      <c r="W34">
        <f t="shared" si="15"/>
        <v>-1.6383040885779838</v>
      </c>
      <c r="X34">
        <f t="shared" si="16"/>
        <v>1.7207293090531377</v>
      </c>
      <c r="Y34">
        <f t="shared" si="17"/>
        <v>-2.4574561328669757</v>
      </c>
      <c r="Z34">
        <f t="shared" si="18"/>
        <v>2.2943057454041837</v>
      </c>
      <c r="AA34">
        <f t="shared" si="19"/>
        <v>-3.2766081771559676</v>
      </c>
      <c r="AB34">
        <f t="shared" si="20"/>
        <v>2.8678821817552298</v>
      </c>
      <c r="AC34">
        <f t="shared" si="21"/>
        <v>-4.0957602214449595</v>
      </c>
    </row>
    <row r="35" spans="21:29" x14ac:dyDescent="0.4">
      <c r="U35">
        <f>2*PI()*30/72</f>
        <v>2.617993877991494</v>
      </c>
      <c r="V35">
        <f t="shared" si="14"/>
        <v>1.0000000000000007</v>
      </c>
      <c r="W35">
        <f t="shared" si="15"/>
        <v>-1.732050807568877</v>
      </c>
      <c r="X35">
        <f t="shared" si="16"/>
        <v>1.5000000000000009</v>
      </c>
      <c r="Y35">
        <f t="shared" si="17"/>
        <v>-2.5980762113533156</v>
      </c>
      <c r="Z35">
        <f t="shared" si="18"/>
        <v>2.0000000000000013</v>
      </c>
      <c r="AA35">
        <f t="shared" si="19"/>
        <v>-3.4641016151377539</v>
      </c>
      <c r="AB35">
        <f t="shared" si="20"/>
        <v>2.5000000000000018</v>
      </c>
      <c r="AC35">
        <f t="shared" si="21"/>
        <v>-4.3301270189221928</v>
      </c>
    </row>
    <row r="36" spans="21:29" x14ac:dyDescent="0.4">
      <c r="U36">
        <f>2*PI()*31/72</f>
        <v>2.7052603405912108</v>
      </c>
      <c r="V36">
        <f t="shared" si="14"/>
        <v>0.84523652348139899</v>
      </c>
      <c r="W36">
        <f t="shared" si="15"/>
        <v>-1.8126155740732999</v>
      </c>
      <c r="X36">
        <f t="shared" si="16"/>
        <v>1.2678547852220985</v>
      </c>
      <c r="Y36">
        <f t="shared" si="17"/>
        <v>-2.7189233611099497</v>
      </c>
      <c r="Z36">
        <f t="shared" si="18"/>
        <v>1.690473046962798</v>
      </c>
      <c r="AA36">
        <f t="shared" si="19"/>
        <v>-3.6252311481465997</v>
      </c>
      <c r="AB36">
        <f t="shared" si="20"/>
        <v>2.1130913087034973</v>
      </c>
      <c r="AC36">
        <f t="shared" si="21"/>
        <v>-4.5315389351832494</v>
      </c>
    </row>
    <row r="37" spans="21:29" x14ac:dyDescent="0.4">
      <c r="U37">
        <f>2*PI()*32/72</f>
        <v>2.7925268031909272</v>
      </c>
      <c r="V37">
        <f t="shared" ref="V37:V68" si="27">2*SIN($U37)</f>
        <v>0.68404028665133776</v>
      </c>
      <c r="W37">
        <f t="shared" ref="W37:W68" si="28">2*COS($U37)</f>
        <v>-1.8793852415718166</v>
      </c>
      <c r="X37">
        <f t="shared" ref="X37:X68" si="29">3*SIN($U37)</f>
        <v>1.0260604299770066</v>
      </c>
      <c r="Y37">
        <f t="shared" ref="Y37:Y68" si="30">3*COS($U37)</f>
        <v>-2.8190778623577248</v>
      </c>
      <c r="Z37">
        <f t="shared" ref="Z37:Z68" si="31">4*SIN($U37)</f>
        <v>1.3680805733026755</v>
      </c>
      <c r="AA37">
        <f t="shared" ref="AA37:AA68" si="32">4*COS($U37)</f>
        <v>-3.7587704831436333</v>
      </c>
      <c r="AB37">
        <f t="shared" ref="AB37:AB68" si="33">5*SIN($U37)</f>
        <v>1.7101007166283444</v>
      </c>
      <c r="AC37">
        <f t="shared" ref="AC37:AC68" si="34">5*COS($U37)</f>
        <v>-4.6984631039295417</v>
      </c>
    </row>
    <row r="38" spans="21:29" x14ac:dyDescent="0.4">
      <c r="U38">
        <f>2*PI()*33/72</f>
        <v>2.879793265790644</v>
      </c>
      <c r="V38">
        <f t="shared" si="27"/>
        <v>0.51763809020504115</v>
      </c>
      <c r="W38">
        <f t="shared" si="28"/>
        <v>-1.9318516525781366</v>
      </c>
      <c r="X38">
        <f t="shared" si="29"/>
        <v>0.77645713530756177</v>
      </c>
      <c r="Y38">
        <f t="shared" si="30"/>
        <v>-2.897777478867205</v>
      </c>
      <c r="Z38">
        <f t="shared" si="31"/>
        <v>1.0352761804100823</v>
      </c>
      <c r="AA38">
        <f t="shared" si="32"/>
        <v>-3.8637033051562732</v>
      </c>
      <c r="AB38">
        <f t="shared" si="33"/>
        <v>1.2940952255126028</v>
      </c>
      <c r="AC38">
        <f t="shared" si="34"/>
        <v>-4.8296291314453415</v>
      </c>
    </row>
    <row r="39" spans="21:29" x14ac:dyDescent="0.4">
      <c r="U39">
        <f>2*PI()*34/72</f>
        <v>2.9670597283903604</v>
      </c>
      <c r="V39">
        <f t="shared" si="27"/>
        <v>0.34729635533386055</v>
      </c>
      <c r="W39">
        <f t="shared" si="28"/>
        <v>-1.969615506024416</v>
      </c>
      <c r="X39">
        <f t="shared" si="29"/>
        <v>0.5209445330007908</v>
      </c>
      <c r="Y39">
        <f t="shared" si="30"/>
        <v>-2.9544232590366239</v>
      </c>
      <c r="Z39">
        <f t="shared" si="31"/>
        <v>0.6945927106677211</v>
      </c>
      <c r="AA39">
        <f t="shared" si="32"/>
        <v>-3.9392310120488321</v>
      </c>
      <c r="AB39">
        <f t="shared" si="33"/>
        <v>0.86824088833465141</v>
      </c>
      <c r="AC39">
        <f t="shared" si="34"/>
        <v>-4.9240387650610398</v>
      </c>
    </row>
    <row r="40" spans="21:29" x14ac:dyDescent="0.4">
      <c r="U40">
        <f>2*PI()*35/72</f>
        <v>3.0543261909900767</v>
      </c>
      <c r="V40">
        <f t="shared" si="27"/>
        <v>0.17431148549531639</v>
      </c>
      <c r="W40">
        <f t="shared" si="28"/>
        <v>-1.9923893961834911</v>
      </c>
      <c r="X40">
        <f t="shared" si="29"/>
        <v>0.26146722824297458</v>
      </c>
      <c r="Y40">
        <f t="shared" si="30"/>
        <v>-2.9885840942752369</v>
      </c>
      <c r="Z40">
        <f t="shared" si="31"/>
        <v>0.34862297099063277</v>
      </c>
      <c r="AA40">
        <f t="shared" si="32"/>
        <v>-3.9847787923669822</v>
      </c>
      <c r="AB40">
        <f t="shared" si="33"/>
        <v>0.43577871373829097</v>
      </c>
      <c r="AC40">
        <f t="shared" si="34"/>
        <v>-4.9809734904587275</v>
      </c>
    </row>
    <row r="41" spans="21:29" x14ac:dyDescent="0.4">
      <c r="U41">
        <f>2*PI()*36/72</f>
        <v>3.1415926535897931</v>
      </c>
      <c r="V41">
        <f t="shared" si="27"/>
        <v>2.45029690981724E-16</v>
      </c>
      <c r="W41">
        <f t="shared" si="28"/>
        <v>-2</v>
      </c>
      <c r="X41">
        <f t="shared" si="29"/>
        <v>3.67544536472586E-16</v>
      </c>
      <c r="Y41">
        <f t="shared" si="30"/>
        <v>-3</v>
      </c>
      <c r="Z41">
        <f t="shared" si="31"/>
        <v>4.90059381963448E-16</v>
      </c>
      <c r="AA41">
        <f t="shared" si="32"/>
        <v>-4</v>
      </c>
      <c r="AB41">
        <f t="shared" si="33"/>
        <v>6.1257422745431001E-16</v>
      </c>
      <c r="AC41">
        <f t="shared" si="34"/>
        <v>-5</v>
      </c>
    </row>
    <row r="42" spans="21:29" x14ac:dyDescent="0.4">
      <c r="U42">
        <f>2*PI()*37/72</f>
        <v>3.2288591161895095</v>
      </c>
      <c r="V42">
        <f t="shared" si="27"/>
        <v>-0.17431148549531589</v>
      </c>
      <c r="W42">
        <f t="shared" si="28"/>
        <v>-1.9923893961834911</v>
      </c>
      <c r="X42">
        <f t="shared" si="29"/>
        <v>-0.26146722824297386</v>
      </c>
      <c r="Y42">
        <f t="shared" si="30"/>
        <v>-2.9885840942752369</v>
      </c>
      <c r="Z42">
        <f t="shared" si="31"/>
        <v>-0.34862297099063178</v>
      </c>
      <c r="AA42">
        <f t="shared" si="32"/>
        <v>-3.9847787923669822</v>
      </c>
      <c r="AB42">
        <f t="shared" si="33"/>
        <v>-0.43577871373828969</v>
      </c>
      <c r="AC42">
        <f t="shared" si="34"/>
        <v>-4.9809734904587275</v>
      </c>
    </row>
    <row r="43" spans="21:29" x14ac:dyDescent="0.4">
      <c r="U43">
        <f>2*PI()*38/72</f>
        <v>3.3161255787892259</v>
      </c>
      <c r="V43">
        <f t="shared" si="27"/>
        <v>-0.34729635533386005</v>
      </c>
      <c r="W43">
        <f t="shared" si="28"/>
        <v>-1.9696155060244163</v>
      </c>
      <c r="X43">
        <f t="shared" si="29"/>
        <v>-0.52094453300079002</v>
      </c>
      <c r="Y43">
        <f t="shared" si="30"/>
        <v>-2.9544232590366244</v>
      </c>
      <c r="Z43">
        <f t="shared" si="31"/>
        <v>-0.6945927106677201</v>
      </c>
      <c r="AA43">
        <f t="shared" si="32"/>
        <v>-3.9392310120488325</v>
      </c>
      <c r="AB43">
        <f t="shared" si="33"/>
        <v>-0.86824088833465018</v>
      </c>
      <c r="AC43">
        <f t="shared" si="34"/>
        <v>-4.9240387650610407</v>
      </c>
    </row>
    <row r="44" spans="21:29" x14ac:dyDescent="0.4">
      <c r="U44">
        <f>2*PI()*39/72</f>
        <v>3.4033920413889422</v>
      </c>
      <c r="V44">
        <f t="shared" si="27"/>
        <v>-0.5176380902050407</v>
      </c>
      <c r="W44">
        <f t="shared" si="28"/>
        <v>-1.9318516525781368</v>
      </c>
      <c r="X44">
        <f t="shared" si="29"/>
        <v>-0.77645713530756111</v>
      </c>
      <c r="Y44">
        <f t="shared" si="30"/>
        <v>-2.897777478867205</v>
      </c>
      <c r="Z44">
        <f t="shared" si="31"/>
        <v>-1.0352761804100814</v>
      </c>
      <c r="AA44">
        <f t="shared" si="32"/>
        <v>-3.8637033051562737</v>
      </c>
      <c r="AB44">
        <f t="shared" si="33"/>
        <v>-1.2940952255126017</v>
      </c>
      <c r="AC44">
        <f t="shared" si="34"/>
        <v>-4.8296291314453423</v>
      </c>
    </row>
    <row r="45" spans="21:29" x14ac:dyDescent="0.4">
      <c r="U45">
        <f>2*PI()*40/72</f>
        <v>3.4906585039886591</v>
      </c>
      <c r="V45">
        <f t="shared" si="27"/>
        <v>-0.68404028665133731</v>
      </c>
      <c r="W45">
        <f t="shared" si="28"/>
        <v>-1.8793852415718169</v>
      </c>
      <c r="X45">
        <f t="shared" si="29"/>
        <v>-1.026060429977006</v>
      </c>
      <c r="Y45">
        <f t="shared" si="30"/>
        <v>-2.8190778623577253</v>
      </c>
      <c r="Z45">
        <f t="shared" si="31"/>
        <v>-1.3680805733026746</v>
      </c>
      <c r="AA45">
        <f t="shared" si="32"/>
        <v>-3.7587704831436337</v>
      </c>
      <c r="AB45">
        <f t="shared" si="33"/>
        <v>-1.7101007166283433</v>
      </c>
      <c r="AC45">
        <f t="shared" si="34"/>
        <v>-4.6984631039295426</v>
      </c>
    </row>
    <row r="46" spans="21:29" x14ac:dyDescent="0.4">
      <c r="U46">
        <f>2*PI()*41/72</f>
        <v>3.577924966588375</v>
      </c>
      <c r="V46">
        <f t="shared" si="27"/>
        <v>-0.84523652348139777</v>
      </c>
      <c r="W46">
        <f t="shared" si="28"/>
        <v>-1.8126155740733005</v>
      </c>
      <c r="X46">
        <f t="shared" si="29"/>
        <v>-1.2678547852220967</v>
      </c>
      <c r="Y46">
        <f t="shared" si="30"/>
        <v>-2.718923361109951</v>
      </c>
      <c r="Z46">
        <f t="shared" si="31"/>
        <v>-1.6904730469627955</v>
      </c>
      <c r="AA46">
        <f t="shared" si="32"/>
        <v>-3.6252311481466011</v>
      </c>
      <c r="AB46">
        <f t="shared" si="33"/>
        <v>-2.1130913087034946</v>
      </c>
      <c r="AC46">
        <f t="shared" si="34"/>
        <v>-4.5315389351832511</v>
      </c>
    </row>
    <row r="47" spans="21:29" x14ac:dyDescent="0.4">
      <c r="U47">
        <f>2*PI()*42/72</f>
        <v>3.6651914291880923</v>
      </c>
      <c r="V47">
        <f t="shared" si="27"/>
        <v>-1.0000000000000002</v>
      </c>
      <c r="W47">
        <f t="shared" si="28"/>
        <v>-1.7320508075688772</v>
      </c>
      <c r="X47">
        <f t="shared" si="29"/>
        <v>-1.5000000000000004</v>
      </c>
      <c r="Y47">
        <f t="shared" si="30"/>
        <v>-2.598076211353316</v>
      </c>
      <c r="Z47">
        <f t="shared" si="31"/>
        <v>-2.0000000000000004</v>
      </c>
      <c r="AA47">
        <f t="shared" si="32"/>
        <v>-3.4641016151377544</v>
      </c>
      <c r="AB47">
        <f t="shared" si="33"/>
        <v>-2.5000000000000004</v>
      </c>
      <c r="AC47">
        <f t="shared" si="34"/>
        <v>-4.3301270189221928</v>
      </c>
    </row>
    <row r="48" spans="21:29" x14ac:dyDescent="0.4">
      <c r="U48">
        <f>2*PI()*43/72</f>
        <v>3.7524578917878082</v>
      </c>
      <c r="V48">
        <f t="shared" si="27"/>
        <v>-1.1471528727020917</v>
      </c>
      <c r="W48">
        <f t="shared" si="28"/>
        <v>-1.638304088577984</v>
      </c>
      <c r="X48">
        <f t="shared" si="29"/>
        <v>-1.7207293090531375</v>
      </c>
      <c r="Y48">
        <f t="shared" si="30"/>
        <v>-2.4574561328669762</v>
      </c>
      <c r="Z48">
        <f t="shared" si="31"/>
        <v>-2.2943057454041833</v>
      </c>
      <c r="AA48">
        <f t="shared" si="32"/>
        <v>-3.2766081771559681</v>
      </c>
      <c r="AB48">
        <f t="shared" si="33"/>
        <v>-2.8678821817552294</v>
      </c>
      <c r="AC48">
        <f t="shared" si="34"/>
        <v>-4.0957602214449604</v>
      </c>
    </row>
    <row r="49" spans="21:29" x14ac:dyDescent="0.4">
      <c r="U49">
        <f>2*PI()*44/72</f>
        <v>3.8397243543875246</v>
      </c>
      <c r="V49">
        <f t="shared" si="27"/>
        <v>-1.2855752193730778</v>
      </c>
      <c r="W49">
        <f t="shared" si="28"/>
        <v>-1.5320888862379567</v>
      </c>
      <c r="X49">
        <f t="shared" si="29"/>
        <v>-1.9283628290596169</v>
      </c>
      <c r="Y49">
        <f t="shared" si="30"/>
        <v>-2.298133329356935</v>
      </c>
      <c r="Z49">
        <f t="shared" si="31"/>
        <v>-2.5711504387461557</v>
      </c>
      <c r="AA49">
        <f t="shared" si="32"/>
        <v>-3.0641777724759134</v>
      </c>
      <c r="AB49">
        <f t="shared" si="33"/>
        <v>-3.2139380484326945</v>
      </c>
      <c r="AC49">
        <f t="shared" si="34"/>
        <v>-3.8302222155948917</v>
      </c>
    </row>
    <row r="50" spans="21:29" x14ac:dyDescent="0.4">
      <c r="U50">
        <f>2*PI()*45/72</f>
        <v>3.9269908169872414</v>
      </c>
      <c r="V50">
        <f t="shared" si="27"/>
        <v>-1.4142135623730949</v>
      </c>
      <c r="W50">
        <f t="shared" si="28"/>
        <v>-1.4142135623730954</v>
      </c>
      <c r="X50">
        <f t="shared" si="29"/>
        <v>-2.1213203435596424</v>
      </c>
      <c r="Y50">
        <f t="shared" si="30"/>
        <v>-2.1213203435596428</v>
      </c>
      <c r="Z50">
        <f t="shared" si="31"/>
        <v>-2.8284271247461898</v>
      </c>
      <c r="AA50">
        <f t="shared" si="32"/>
        <v>-2.8284271247461907</v>
      </c>
      <c r="AB50">
        <f t="shared" si="33"/>
        <v>-3.5355339059327373</v>
      </c>
      <c r="AC50">
        <f t="shared" si="34"/>
        <v>-3.5355339059327386</v>
      </c>
    </row>
    <row r="51" spans="21:29" x14ac:dyDescent="0.4">
      <c r="U51">
        <f>2*PI()*46/72</f>
        <v>4.0142572795869578</v>
      </c>
      <c r="V51">
        <f t="shared" si="27"/>
        <v>-1.5320888862379558</v>
      </c>
      <c r="W51">
        <f t="shared" si="28"/>
        <v>-1.2855752193730789</v>
      </c>
      <c r="X51">
        <f t="shared" si="29"/>
        <v>-2.2981333293569337</v>
      </c>
      <c r="Y51">
        <f t="shared" si="30"/>
        <v>-1.9283628290596184</v>
      </c>
      <c r="Z51">
        <f t="shared" si="31"/>
        <v>-3.0641777724759116</v>
      </c>
      <c r="AA51">
        <f t="shared" si="32"/>
        <v>-2.5711504387461579</v>
      </c>
      <c r="AB51">
        <f t="shared" si="33"/>
        <v>-3.8302222155948895</v>
      </c>
      <c r="AC51">
        <f t="shared" si="34"/>
        <v>-3.2139380484326976</v>
      </c>
    </row>
    <row r="52" spans="21:29" x14ac:dyDescent="0.4">
      <c r="U52">
        <f>2*PI()*47/72</f>
        <v>4.101523742186675</v>
      </c>
      <c r="V52">
        <f t="shared" si="27"/>
        <v>-1.6383040885779843</v>
      </c>
      <c r="W52">
        <f t="shared" si="28"/>
        <v>-1.1471528727020914</v>
      </c>
      <c r="X52">
        <f t="shared" si="29"/>
        <v>-2.4574561328669766</v>
      </c>
      <c r="Y52">
        <f t="shared" si="30"/>
        <v>-1.7207293090531373</v>
      </c>
      <c r="Z52">
        <f t="shared" si="31"/>
        <v>-3.2766081771559685</v>
      </c>
      <c r="AA52">
        <f t="shared" si="32"/>
        <v>-2.2943057454041829</v>
      </c>
      <c r="AB52">
        <f t="shared" si="33"/>
        <v>-4.0957602214449604</v>
      </c>
      <c r="AC52">
        <f t="shared" si="34"/>
        <v>-2.8678821817552285</v>
      </c>
    </row>
    <row r="53" spans="21:29" x14ac:dyDescent="0.4">
      <c r="U53">
        <f>2*PI()*48/72</f>
        <v>4.1887902047863905</v>
      </c>
      <c r="V53">
        <f t="shared" si="27"/>
        <v>-1.7320508075688767</v>
      </c>
      <c r="W53">
        <f t="shared" si="28"/>
        <v>-1.0000000000000009</v>
      </c>
      <c r="X53">
        <f t="shared" si="29"/>
        <v>-2.5980762113533151</v>
      </c>
      <c r="Y53">
        <f t="shared" si="30"/>
        <v>-1.5000000000000013</v>
      </c>
      <c r="Z53">
        <f t="shared" si="31"/>
        <v>-3.4641016151377535</v>
      </c>
      <c r="AA53">
        <f t="shared" si="32"/>
        <v>-2.0000000000000018</v>
      </c>
      <c r="AB53">
        <f t="shared" si="33"/>
        <v>-4.3301270189221919</v>
      </c>
      <c r="AC53">
        <f t="shared" si="34"/>
        <v>-2.5000000000000022</v>
      </c>
    </row>
    <row r="54" spans="21:29" x14ac:dyDescent="0.4">
      <c r="U54">
        <f>2*PI()*49/72</f>
        <v>4.2760566673861069</v>
      </c>
      <c r="V54">
        <f t="shared" si="27"/>
        <v>-1.8126155740732994</v>
      </c>
      <c r="W54">
        <f t="shared" si="28"/>
        <v>-0.84523652348139988</v>
      </c>
      <c r="X54">
        <f t="shared" si="29"/>
        <v>-2.7189233611099493</v>
      </c>
      <c r="Y54">
        <f t="shared" si="30"/>
        <v>-1.2678547852220998</v>
      </c>
      <c r="Z54">
        <f t="shared" si="31"/>
        <v>-3.6252311481465989</v>
      </c>
      <c r="AA54">
        <f t="shared" si="32"/>
        <v>-1.6904730469627998</v>
      </c>
      <c r="AB54">
        <f t="shared" si="33"/>
        <v>-4.5315389351832485</v>
      </c>
      <c r="AC54">
        <f t="shared" si="34"/>
        <v>-2.1130913087034999</v>
      </c>
    </row>
    <row r="55" spans="21:29" x14ac:dyDescent="0.4">
      <c r="U55">
        <f>2*PI()*50/72</f>
        <v>4.3633231299858242</v>
      </c>
      <c r="V55">
        <f t="shared" si="27"/>
        <v>-1.8793852415718169</v>
      </c>
      <c r="W55">
        <f t="shared" si="28"/>
        <v>-0.68404028665133709</v>
      </c>
      <c r="X55">
        <f t="shared" si="29"/>
        <v>-2.8190778623577253</v>
      </c>
      <c r="Y55">
        <f t="shared" si="30"/>
        <v>-1.0260604299770058</v>
      </c>
      <c r="Z55">
        <f t="shared" si="31"/>
        <v>-3.7587704831436337</v>
      </c>
      <c r="AA55">
        <f t="shared" si="32"/>
        <v>-1.3680805733026742</v>
      </c>
      <c r="AB55">
        <f t="shared" si="33"/>
        <v>-4.6984631039295426</v>
      </c>
      <c r="AC55">
        <f t="shared" si="34"/>
        <v>-1.7101007166283426</v>
      </c>
    </row>
    <row r="56" spans="21:29" x14ac:dyDescent="0.4">
      <c r="U56">
        <f>2*PI()*51/72</f>
        <v>4.4505895925855405</v>
      </c>
      <c r="V56">
        <f t="shared" si="27"/>
        <v>-1.9318516525781366</v>
      </c>
      <c r="W56">
        <f t="shared" si="28"/>
        <v>-0.51763809020504126</v>
      </c>
      <c r="X56">
        <f t="shared" si="29"/>
        <v>-2.897777478867205</v>
      </c>
      <c r="Y56">
        <f t="shared" si="30"/>
        <v>-0.77645713530756189</v>
      </c>
      <c r="Z56">
        <f t="shared" si="31"/>
        <v>-3.8637033051562732</v>
      </c>
      <c r="AA56">
        <f t="shared" si="32"/>
        <v>-1.0352761804100825</v>
      </c>
      <c r="AB56">
        <f t="shared" si="33"/>
        <v>-4.8296291314453415</v>
      </c>
      <c r="AC56">
        <f t="shared" si="34"/>
        <v>-1.2940952255126033</v>
      </c>
    </row>
    <row r="57" spans="21:29" x14ac:dyDescent="0.4">
      <c r="U57">
        <f>2*PI()*52/72</f>
        <v>4.5378560551852569</v>
      </c>
      <c r="V57">
        <f t="shared" si="27"/>
        <v>-1.969615506024416</v>
      </c>
      <c r="W57">
        <f t="shared" si="28"/>
        <v>-0.34729635533386066</v>
      </c>
      <c r="X57">
        <f t="shared" si="29"/>
        <v>-2.9544232590366239</v>
      </c>
      <c r="Y57">
        <f t="shared" si="30"/>
        <v>-0.52094453300079102</v>
      </c>
      <c r="Z57">
        <f t="shared" si="31"/>
        <v>-3.9392310120488321</v>
      </c>
      <c r="AA57">
        <f t="shared" si="32"/>
        <v>-0.69459271066772132</v>
      </c>
      <c r="AB57">
        <f t="shared" si="33"/>
        <v>-4.9240387650610398</v>
      </c>
      <c r="AC57">
        <f t="shared" si="34"/>
        <v>-0.86824088833465163</v>
      </c>
    </row>
    <row r="58" spans="21:29" x14ac:dyDescent="0.4">
      <c r="U58">
        <f>2*PI()*53/72</f>
        <v>4.6251225177849733</v>
      </c>
      <c r="V58">
        <f t="shared" si="27"/>
        <v>-1.9923893961834911</v>
      </c>
      <c r="W58">
        <f t="shared" si="28"/>
        <v>-0.1743114854953165</v>
      </c>
      <c r="X58">
        <f t="shared" si="29"/>
        <v>-2.9885840942752369</v>
      </c>
      <c r="Y58">
        <f t="shared" si="30"/>
        <v>-0.26146722824297475</v>
      </c>
      <c r="Z58">
        <f t="shared" si="31"/>
        <v>-3.9847787923669822</v>
      </c>
      <c r="AA58">
        <f t="shared" si="32"/>
        <v>-0.348622970990633</v>
      </c>
      <c r="AB58">
        <f t="shared" si="33"/>
        <v>-4.9809734904587275</v>
      </c>
      <c r="AC58">
        <f t="shared" si="34"/>
        <v>-0.43577871373829125</v>
      </c>
    </row>
    <row r="59" spans="21:29" x14ac:dyDescent="0.4">
      <c r="U59">
        <f>2*PI()*54/72</f>
        <v>4.7123889803846897</v>
      </c>
      <c r="V59">
        <f t="shared" si="27"/>
        <v>-2</v>
      </c>
      <c r="W59">
        <f t="shared" si="28"/>
        <v>-3.67544536472586E-16</v>
      </c>
      <c r="X59">
        <f t="shared" si="29"/>
        <v>-3</v>
      </c>
      <c r="Y59">
        <f t="shared" si="30"/>
        <v>-5.51316804708879E-16</v>
      </c>
      <c r="Z59">
        <f t="shared" si="31"/>
        <v>-4</v>
      </c>
      <c r="AA59">
        <f t="shared" si="32"/>
        <v>-7.3508907294517201E-16</v>
      </c>
      <c r="AB59">
        <f t="shared" si="33"/>
        <v>-5</v>
      </c>
      <c r="AC59">
        <f t="shared" si="34"/>
        <v>-9.1886134118146501E-16</v>
      </c>
    </row>
    <row r="60" spans="21:29" x14ac:dyDescent="0.4">
      <c r="U60">
        <f>2*PI()*55/72</f>
        <v>4.7996554429844061</v>
      </c>
      <c r="V60">
        <f t="shared" si="27"/>
        <v>-1.9923893961834911</v>
      </c>
      <c r="W60">
        <f t="shared" si="28"/>
        <v>0.17431148549531578</v>
      </c>
      <c r="X60">
        <f t="shared" si="29"/>
        <v>-2.9885840942752369</v>
      </c>
      <c r="Y60">
        <f t="shared" si="30"/>
        <v>0.26146722824297364</v>
      </c>
      <c r="Z60">
        <f t="shared" si="31"/>
        <v>-3.9847787923669822</v>
      </c>
      <c r="AA60">
        <f t="shared" si="32"/>
        <v>0.34862297099063155</v>
      </c>
      <c r="AB60">
        <f t="shared" si="33"/>
        <v>-4.9809734904587275</v>
      </c>
      <c r="AC60">
        <f t="shared" si="34"/>
        <v>0.43577871373828947</v>
      </c>
    </row>
    <row r="61" spans="21:29" x14ac:dyDescent="0.4">
      <c r="U61">
        <f>2*PI()*56/72</f>
        <v>4.8869219055841224</v>
      </c>
      <c r="V61">
        <f t="shared" si="27"/>
        <v>-1.9696155060244163</v>
      </c>
      <c r="W61">
        <f t="shared" si="28"/>
        <v>0.34729635533385994</v>
      </c>
      <c r="X61">
        <f t="shared" si="29"/>
        <v>-2.9544232590366244</v>
      </c>
      <c r="Y61">
        <f t="shared" si="30"/>
        <v>0.52094453300078991</v>
      </c>
      <c r="Z61">
        <f t="shared" si="31"/>
        <v>-3.9392310120488325</v>
      </c>
      <c r="AA61">
        <f t="shared" si="32"/>
        <v>0.69459271066771988</v>
      </c>
      <c r="AB61">
        <f t="shared" si="33"/>
        <v>-4.9240387650610407</v>
      </c>
      <c r="AC61">
        <f t="shared" si="34"/>
        <v>0.86824088833464985</v>
      </c>
    </row>
    <row r="62" spans="21:29" x14ac:dyDescent="0.4">
      <c r="U62">
        <f>2*PI()*57/72</f>
        <v>4.9741883681838388</v>
      </c>
      <c r="V62">
        <f t="shared" si="27"/>
        <v>-1.9318516525781368</v>
      </c>
      <c r="W62">
        <f t="shared" si="28"/>
        <v>0.51763809020504059</v>
      </c>
      <c r="X62">
        <f t="shared" si="29"/>
        <v>-2.897777478867205</v>
      </c>
      <c r="Y62">
        <f t="shared" si="30"/>
        <v>0.77645713530756089</v>
      </c>
      <c r="Z62">
        <f t="shared" si="31"/>
        <v>-3.8637033051562737</v>
      </c>
      <c r="AA62">
        <f t="shared" si="32"/>
        <v>1.0352761804100812</v>
      </c>
      <c r="AB62">
        <f t="shared" si="33"/>
        <v>-4.8296291314453423</v>
      </c>
      <c r="AC62">
        <f t="shared" si="34"/>
        <v>1.2940952255126015</v>
      </c>
    </row>
    <row r="63" spans="21:29" x14ac:dyDescent="0.4">
      <c r="U63">
        <f>2*PI()*58/72</f>
        <v>5.0614548307835561</v>
      </c>
      <c r="V63">
        <f t="shared" si="27"/>
        <v>-1.8793852415718166</v>
      </c>
      <c r="W63">
        <f t="shared" si="28"/>
        <v>0.68404028665133798</v>
      </c>
      <c r="X63">
        <f t="shared" si="29"/>
        <v>-2.8190778623577248</v>
      </c>
      <c r="Y63">
        <f t="shared" si="30"/>
        <v>1.0260604299770071</v>
      </c>
      <c r="Z63">
        <f t="shared" si="31"/>
        <v>-3.7587704831436333</v>
      </c>
      <c r="AA63">
        <f t="shared" si="32"/>
        <v>1.368080573302676</v>
      </c>
      <c r="AB63">
        <f t="shared" si="33"/>
        <v>-4.6984631039295417</v>
      </c>
      <c r="AC63">
        <f t="shared" si="34"/>
        <v>1.7101007166283448</v>
      </c>
    </row>
    <row r="64" spans="21:29" x14ac:dyDescent="0.4">
      <c r="U64">
        <f>2*PI()*59/72</f>
        <v>5.1487212933832716</v>
      </c>
      <c r="V64">
        <f t="shared" si="27"/>
        <v>-1.8126155740733005</v>
      </c>
      <c r="W64">
        <f t="shared" si="28"/>
        <v>0.84523652348139766</v>
      </c>
      <c r="X64">
        <f t="shared" si="29"/>
        <v>-2.718923361109951</v>
      </c>
      <c r="Y64">
        <f t="shared" si="30"/>
        <v>1.2678547852220965</v>
      </c>
      <c r="Z64">
        <f t="shared" si="31"/>
        <v>-3.6252311481466011</v>
      </c>
      <c r="AA64">
        <f t="shared" si="32"/>
        <v>1.6904730469627953</v>
      </c>
      <c r="AB64">
        <f t="shared" si="33"/>
        <v>-4.5315389351832511</v>
      </c>
      <c r="AC64">
        <f t="shared" si="34"/>
        <v>2.1130913087034942</v>
      </c>
    </row>
    <row r="65" spans="21:29" x14ac:dyDescent="0.4">
      <c r="U65">
        <f>2*PI()*60/72</f>
        <v>5.2359877559829879</v>
      </c>
      <c r="V65">
        <f t="shared" si="27"/>
        <v>-1.7320508075688781</v>
      </c>
      <c r="W65">
        <f t="shared" si="28"/>
        <v>0.99999999999999867</v>
      </c>
      <c r="X65">
        <f t="shared" si="29"/>
        <v>-2.5980762113533169</v>
      </c>
      <c r="Y65">
        <f t="shared" si="30"/>
        <v>1.499999999999998</v>
      </c>
      <c r="Z65">
        <f t="shared" si="31"/>
        <v>-3.4641016151377562</v>
      </c>
      <c r="AA65">
        <f t="shared" si="32"/>
        <v>1.9999999999999973</v>
      </c>
      <c r="AB65">
        <f t="shared" si="33"/>
        <v>-4.3301270189221954</v>
      </c>
      <c r="AC65">
        <f t="shared" si="34"/>
        <v>2.4999999999999964</v>
      </c>
    </row>
    <row r="66" spans="21:29" x14ac:dyDescent="0.4">
      <c r="U66">
        <f>2*PI()*61/72</f>
        <v>5.3232542185827052</v>
      </c>
      <c r="V66">
        <f t="shared" si="27"/>
        <v>-1.6383040885779836</v>
      </c>
      <c r="W66">
        <f t="shared" si="28"/>
        <v>1.1471528727020921</v>
      </c>
      <c r="X66">
        <f t="shared" si="29"/>
        <v>-2.4574561328669753</v>
      </c>
      <c r="Y66">
        <f t="shared" si="30"/>
        <v>1.7207293090531381</v>
      </c>
      <c r="Z66">
        <f t="shared" si="31"/>
        <v>-3.2766081771559672</v>
      </c>
      <c r="AA66">
        <f t="shared" si="32"/>
        <v>2.2943057454041842</v>
      </c>
      <c r="AB66">
        <f t="shared" si="33"/>
        <v>-4.0957602214449587</v>
      </c>
      <c r="AC66">
        <f t="shared" si="34"/>
        <v>2.8678821817552302</v>
      </c>
    </row>
    <row r="67" spans="21:29" x14ac:dyDescent="0.4">
      <c r="U67">
        <f>2*PI()*62/72</f>
        <v>5.4105206811824216</v>
      </c>
      <c r="V67">
        <f t="shared" si="27"/>
        <v>-1.5320888862379562</v>
      </c>
      <c r="W67">
        <f t="shared" si="28"/>
        <v>1.2855752193730785</v>
      </c>
      <c r="X67">
        <f t="shared" si="29"/>
        <v>-2.2981333293569346</v>
      </c>
      <c r="Y67">
        <f t="shared" si="30"/>
        <v>1.9283628290596178</v>
      </c>
      <c r="Z67">
        <f t="shared" si="31"/>
        <v>-3.0641777724759125</v>
      </c>
      <c r="AA67">
        <f t="shared" si="32"/>
        <v>2.571150438746157</v>
      </c>
      <c r="AB67">
        <f t="shared" si="33"/>
        <v>-3.8302222155948904</v>
      </c>
      <c r="AC67">
        <f t="shared" si="34"/>
        <v>3.2139380484326963</v>
      </c>
    </row>
    <row r="68" spans="21:29" x14ac:dyDescent="0.4">
      <c r="U68">
        <f>2*PI()*63/72</f>
        <v>5.497787143782138</v>
      </c>
      <c r="V68">
        <f t="shared" si="27"/>
        <v>-1.4142135623730954</v>
      </c>
      <c r="W68">
        <f t="shared" si="28"/>
        <v>1.4142135623730947</v>
      </c>
      <c r="X68">
        <f t="shared" si="29"/>
        <v>-2.1213203435596428</v>
      </c>
      <c r="Y68">
        <f t="shared" si="30"/>
        <v>2.1213203435596419</v>
      </c>
      <c r="Z68">
        <f t="shared" si="31"/>
        <v>-2.8284271247461907</v>
      </c>
      <c r="AA68">
        <f t="shared" si="32"/>
        <v>2.8284271247461894</v>
      </c>
      <c r="AB68">
        <f t="shared" si="33"/>
        <v>-3.5355339059327386</v>
      </c>
      <c r="AC68">
        <f t="shared" si="34"/>
        <v>3.5355339059327369</v>
      </c>
    </row>
    <row r="69" spans="21:29" x14ac:dyDescent="0.4">
      <c r="U69">
        <f>2*PI()*64/72</f>
        <v>5.5850536063818543</v>
      </c>
      <c r="V69">
        <f t="shared" ref="V69:V77" si="35">2*SIN($U69)</f>
        <v>-1.2855752193730792</v>
      </c>
      <c r="W69">
        <f t="shared" ref="W69:W77" si="36">2*COS($U69)</f>
        <v>1.5320888862379556</v>
      </c>
      <c r="X69">
        <f t="shared" ref="X69:X77" si="37">3*SIN($U69)</f>
        <v>-1.9283628290596186</v>
      </c>
      <c r="Y69">
        <f t="shared" ref="Y69:Y77" si="38">3*COS($U69)</f>
        <v>2.2981333293569333</v>
      </c>
      <c r="Z69">
        <f t="shared" ref="Z69:Z77" si="39">4*SIN($U69)</f>
        <v>-2.5711504387461583</v>
      </c>
      <c r="AA69">
        <f t="shared" ref="AA69:AA77" si="40">4*COS($U69)</f>
        <v>3.0641777724759112</v>
      </c>
      <c r="AB69">
        <f t="shared" ref="AB69:AB77" si="41">5*SIN($U69)</f>
        <v>-3.213938048432698</v>
      </c>
      <c r="AC69">
        <f t="shared" ref="AC69:AC77" si="42">5*COS($U69)</f>
        <v>3.8302222155948891</v>
      </c>
    </row>
    <row r="70" spans="21:29" x14ac:dyDescent="0.4">
      <c r="U70">
        <f>2*PI()*65/72</f>
        <v>5.6723200689815707</v>
      </c>
      <c r="V70">
        <f t="shared" si="35"/>
        <v>-1.147152872702093</v>
      </c>
      <c r="W70">
        <f t="shared" si="36"/>
        <v>1.6383040885779832</v>
      </c>
      <c r="X70">
        <f t="shared" si="37"/>
        <v>-1.7207293090531395</v>
      </c>
      <c r="Y70">
        <f t="shared" si="38"/>
        <v>2.4574561328669748</v>
      </c>
      <c r="Z70">
        <f t="shared" si="39"/>
        <v>-2.294305745404186</v>
      </c>
      <c r="AA70">
        <f t="shared" si="40"/>
        <v>3.2766081771559663</v>
      </c>
      <c r="AB70">
        <f t="shared" si="41"/>
        <v>-2.8678821817552325</v>
      </c>
      <c r="AC70">
        <f t="shared" si="42"/>
        <v>4.0957602214449578</v>
      </c>
    </row>
    <row r="71" spans="21:29" x14ac:dyDescent="0.4">
      <c r="U71">
        <f>2*PI()*66/72</f>
        <v>5.759586531581288</v>
      </c>
      <c r="V71">
        <f t="shared" si="35"/>
        <v>-0.99999999999999933</v>
      </c>
      <c r="W71">
        <f t="shared" si="36"/>
        <v>1.7320508075688776</v>
      </c>
      <c r="X71">
        <f t="shared" si="37"/>
        <v>-1.4999999999999991</v>
      </c>
      <c r="Y71">
        <f t="shared" si="38"/>
        <v>2.5980762113533165</v>
      </c>
      <c r="Z71">
        <f t="shared" si="39"/>
        <v>-1.9999999999999987</v>
      </c>
      <c r="AA71">
        <f t="shared" si="40"/>
        <v>3.4641016151377553</v>
      </c>
      <c r="AB71">
        <f t="shared" si="41"/>
        <v>-2.4999999999999982</v>
      </c>
      <c r="AC71">
        <f t="shared" si="42"/>
        <v>4.3301270189221945</v>
      </c>
    </row>
    <row r="72" spans="21:29" x14ac:dyDescent="0.4">
      <c r="U72">
        <f>2*PI()*67/72</f>
        <v>5.8468529941810035</v>
      </c>
      <c r="V72">
        <f t="shared" si="35"/>
        <v>-0.84523652348139999</v>
      </c>
      <c r="W72">
        <f t="shared" si="36"/>
        <v>1.8126155740732994</v>
      </c>
      <c r="X72">
        <f t="shared" si="37"/>
        <v>-1.2678547852221</v>
      </c>
      <c r="Y72">
        <f t="shared" si="38"/>
        <v>2.7189233611099493</v>
      </c>
      <c r="Z72">
        <f t="shared" si="39"/>
        <v>-1.6904730469628</v>
      </c>
      <c r="AA72">
        <f t="shared" si="40"/>
        <v>3.6252311481465989</v>
      </c>
      <c r="AB72">
        <f t="shared" si="41"/>
        <v>-2.1130913087034999</v>
      </c>
      <c r="AC72">
        <f t="shared" si="42"/>
        <v>4.5315389351832485</v>
      </c>
    </row>
    <row r="73" spans="21:29" x14ac:dyDescent="0.4">
      <c r="U73">
        <f>2*PI()*68/72</f>
        <v>5.9341194567807207</v>
      </c>
      <c r="V73">
        <f t="shared" si="35"/>
        <v>-0.6840402866513372</v>
      </c>
      <c r="W73">
        <f t="shared" si="36"/>
        <v>1.8793852415718169</v>
      </c>
      <c r="X73">
        <f t="shared" si="37"/>
        <v>-1.0260604299770058</v>
      </c>
      <c r="Y73">
        <f t="shared" si="38"/>
        <v>2.8190778623577253</v>
      </c>
      <c r="Z73">
        <f t="shared" si="39"/>
        <v>-1.3680805733026744</v>
      </c>
      <c r="AA73">
        <f t="shared" si="40"/>
        <v>3.7587704831436337</v>
      </c>
      <c r="AB73">
        <f t="shared" si="41"/>
        <v>-1.7101007166283431</v>
      </c>
      <c r="AC73">
        <f t="shared" si="42"/>
        <v>4.6984631039295426</v>
      </c>
    </row>
    <row r="74" spans="21:29" x14ac:dyDescent="0.4">
      <c r="U74">
        <f>2*PI()*69/72</f>
        <v>6.0213859193804371</v>
      </c>
      <c r="V74">
        <f t="shared" si="35"/>
        <v>-0.51763809020504137</v>
      </c>
      <c r="W74">
        <f t="shared" si="36"/>
        <v>1.9318516525781366</v>
      </c>
      <c r="X74">
        <f t="shared" si="37"/>
        <v>-0.776457135307562</v>
      </c>
      <c r="Y74">
        <f t="shared" si="38"/>
        <v>2.897777478867205</v>
      </c>
      <c r="Z74">
        <f t="shared" si="39"/>
        <v>-1.0352761804100827</v>
      </c>
      <c r="AA74">
        <f t="shared" si="40"/>
        <v>3.8637033051562732</v>
      </c>
      <c r="AB74">
        <f t="shared" si="41"/>
        <v>-1.2940952255126035</v>
      </c>
      <c r="AC74">
        <f t="shared" si="42"/>
        <v>4.8296291314453415</v>
      </c>
    </row>
    <row r="75" spans="21:29" x14ac:dyDescent="0.4">
      <c r="U75">
        <f>2*PI()*70/72</f>
        <v>6.1086523819801535</v>
      </c>
      <c r="V75">
        <f t="shared" si="35"/>
        <v>-0.34729635533386077</v>
      </c>
      <c r="W75">
        <f t="shared" si="36"/>
        <v>1.969615506024416</v>
      </c>
      <c r="X75">
        <f t="shared" si="37"/>
        <v>-0.52094453300079113</v>
      </c>
      <c r="Y75">
        <f t="shared" si="38"/>
        <v>2.9544232590366239</v>
      </c>
      <c r="Z75">
        <f t="shared" si="39"/>
        <v>-0.69459271066772155</v>
      </c>
      <c r="AA75">
        <f t="shared" si="40"/>
        <v>3.9392310120488321</v>
      </c>
      <c r="AB75">
        <f t="shared" si="41"/>
        <v>-0.86824088833465196</v>
      </c>
      <c r="AC75">
        <f t="shared" si="42"/>
        <v>4.9240387650610398</v>
      </c>
    </row>
    <row r="76" spans="21:29" x14ac:dyDescent="0.4">
      <c r="U76">
        <f>2*PI()*71/72</f>
        <v>6.1959188445798699</v>
      </c>
      <c r="V76">
        <f t="shared" si="35"/>
        <v>-0.17431148549531664</v>
      </c>
      <c r="W76">
        <f t="shared" si="36"/>
        <v>1.9923893961834911</v>
      </c>
      <c r="X76">
        <f t="shared" si="37"/>
        <v>-0.26146722824297497</v>
      </c>
      <c r="Y76">
        <f t="shared" si="38"/>
        <v>2.9885840942752369</v>
      </c>
      <c r="Z76">
        <f t="shared" si="39"/>
        <v>-0.34862297099063327</v>
      </c>
      <c r="AA76">
        <f t="shared" si="40"/>
        <v>3.9847787923669822</v>
      </c>
      <c r="AB76">
        <f t="shared" si="41"/>
        <v>-0.43577871373829158</v>
      </c>
      <c r="AC76">
        <f t="shared" si="42"/>
        <v>4.9809734904587275</v>
      </c>
    </row>
    <row r="77" spans="21:29" x14ac:dyDescent="0.4">
      <c r="U77">
        <f>2*PI()*72/72</f>
        <v>6.2831853071795862</v>
      </c>
      <c r="V77">
        <f t="shared" si="35"/>
        <v>-4.90059381963448E-16</v>
      </c>
      <c r="W77">
        <f t="shared" si="36"/>
        <v>2</v>
      </c>
      <c r="X77">
        <f t="shared" si="37"/>
        <v>-7.3508907294517201E-16</v>
      </c>
      <c r="Y77">
        <f t="shared" si="38"/>
        <v>3</v>
      </c>
      <c r="Z77">
        <f t="shared" si="39"/>
        <v>-9.8011876392689601E-16</v>
      </c>
      <c r="AA77">
        <f t="shared" si="40"/>
        <v>4</v>
      </c>
      <c r="AB77">
        <f t="shared" si="41"/>
        <v>-1.22514845490862E-15</v>
      </c>
      <c r="AC77">
        <f t="shared" si="42"/>
        <v>5</v>
      </c>
    </row>
  </sheetData>
  <mergeCells count="3">
    <mergeCell ref="A21:L21"/>
    <mergeCell ref="A2:L2"/>
    <mergeCell ref="A1:L1"/>
  </mergeCells>
  <conditionalFormatting sqref="D5:S19">
    <cfRule type="expression" dxfId="62" priority="4">
      <formula>ISNA(D5)</formula>
    </cfRule>
  </conditionalFormatting>
  <conditionalFormatting sqref="L5:L19">
    <cfRule type="expression" dxfId="61" priority="1">
      <formula>LEFT(L5,9)="AGIRE ORA"</formula>
    </cfRule>
    <cfRule type="expression" dxfId="60" priority="2">
      <formula>OR(LEFT(L5,11)="Agire entro",LEFT(L5,12)="Entro l'anno")</formula>
    </cfRule>
    <cfRule type="expression" dxfId="59" priority="3">
      <formula>LEFT(L5,7)="Margine"</formula>
    </cfRule>
  </conditionalFormatting>
  <pageMargins left="0.4" right="0.4" top="1" bottom="1" header="0.5" footer="0.5"/>
  <pageSetup paperSize="9" fitToHeight="0" orientation="portrait"/>
  <headerFooter>
    <oddHeader>&amp;L&amp;A&amp;CUso interno&amp;RHorizon Scan NFR</oddHeader>
    <oddFooter>&amp;L&amp;F&amp;RPagina &amp;P di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  <pageSetUpPr fitToPage="1"/>
  </sheetPr>
  <dimension ref="A1:AQ32"/>
  <sheetViews>
    <sheetView showGridLines="0" workbookViewId="0"/>
  </sheetViews>
  <sheetFormatPr defaultRowHeight="14.6" x14ac:dyDescent="0.4"/>
  <cols>
    <col min="1" max="1" width="13" customWidth="1"/>
    <col min="2" max="2" width="5" customWidth="1"/>
    <col min="3" max="7" width="20" customWidth="1"/>
    <col min="12" max="43" width="13" hidden="1" customWidth="1"/>
  </cols>
  <sheetData>
    <row r="1" spans="1:43" ht="28" customHeight="1" x14ac:dyDescent="0.4">
      <c r="A1" s="126" t="str">
        <f>"Horizon Scan NFR — Matrice di gravita'   ·   "&amp;etichettaCiclo</f>
        <v>Horizon Scan NFR — Matrice di gravita'   ·   Ciclo 2026Q3 · dati al 30/09/2026 · validato · Uso interno</v>
      </c>
      <c r="B1" s="127"/>
      <c r="C1" s="127"/>
      <c r="D1" s="127"/>
      <c r="E1" s="127"/>
      <c r="F1" s="127"/>
      <c r="G1" s="127"/>
    </row>
    <row r="2" spans="1:43" ht="45.55" customHeight="1" x14ac:dyDescent="0.4">
      <c r="A2" s="112" t="s">
        <v>196</v>
      </c>
      <c r="B2" s="98"/>
      <c r="C2" s="98"/>
      <c r="D2" s="98"/>
      <c r="E2" s="98"/>
      <c r="F2" s="98"/>
      <c r="G2" s="98"/>
    </row>
    <row r="4" spans="1:43" x14ac:dyDescent="0.4">
      <c r="A4" s="30" t="s">
        <v>178</v>
      </c>
      <c r="S4">
        <v>51</v>
      </c>
      <c r="T4">
        <v>52</v>
      </c>
      <c r="U4">
        <v>53</v>
      </c>
      <c r="V4">
        <v>54</v>
      </c>
      <c r="W4">
        <v>55</v>
      </c>
      <c r="X4">
        <v>41</v>
      </c>
      <c r="Y4">
        <v>42</v>
      </c>
      <c r="Z4">
        <v>43</v>
      </c>
      <c r="AA4">
        <v>44</v>
      </c>
      <c r="AB4">
        <v>45</v>
      </c>
      <c r="AC4">
        <v>31</v>
      </c>
      <c r="AD4">
        <v>32</v>
      </c>
      <c r="AE4">
        <v>33</v>
      </c>
      <c r="AF4">
        <v>34</v>
      </c>
      <c r="AG4">
        <v>35</v>
      </c>
      <c r="AH4">
        <v>21</v>
      </c>
      <c r="AI4">
        <v>22</v>
      </c>
      <c r="AJ4">
        <v>23</v>
      </c>
      <c r="AK4">
        <v>24</v>
      </c>
      <c r="AL4">
        <v>25</v>
      </c>
      <c r="AM4">
        <v>11</v>
      </c>
      <c r="AN4">
        <v>12</v>
      </c>
      <c r="AO4">
        <v>13</v>
      </c>
      <c r="AP4">
        <v>14</v>
      </c>
      <c r="AQ4">
        <v>15</v>
      </c>
    </row>
    <row r="5" spans="1:43" ht="50.05" customHeight="1" x14ac:dyDescent="0.4">
      <c r="A5" s="31" t="s">
        <v>197</v>
      </c>
      <c r="B5" s="32">
        <v>5</v>
      </c>
      <c r="C5" s="33" t="str">
        <f>_xlfn.TEXTJOIN("   ",TRUE,S5:S19)</f>
        <v/>
      </c>
      <c r="D5" s="34" t="str">
        <f>_xlfn.TEXTJOIN("   ",TRUE,T5:T19)</f>
        <v/>
      </c>
      <c r="E5" s="35" t="str">
        <f>_xlfn.TEXTJOIN("   ",TRUE,U5:U19)</f>
        <v/>
      </c>
      <c r="F5" s="35" t="str">
        <f>_xlfn.TEXTJOIN("   ",TRUE,V5:V19)</f>
        <v/>
      </c>
      <c r="G5" s="35" t="str">
        <f>_xlfn.TEXTJOIN("   ",TRUE,W5:W19)</f>
        <v/>
      </c>
      <c r="L5" t="str">
        <f>INDEX(posID,1)&amp;""</f>
        <v>NFR-01</v>
      </c>
      <c r="M5">
        <f>IF(AND(ISNUMBER(INDEX(posProbabilita,1)),ISNUMBER(INDEX(posSeverity,1))),INDEX(posProbabilita,1)*10+INDEX(posSeverity,1),"")</f>
        <v>44</v>
      </c>
      <c r="N5">
        <f>IF(M5="","",INDEX(posProbabilita,1)*INDEX(posSeverity,1))</f>
        <v>16</v>
      </c>
      <c r="O5" t="str">
        <f>IF(M5="","",L5&amp;IF(INDEX(ANA_Attenzione_Supervisore,1)="Sì"," ◆",""))</f>
        <v>NFR-01 ◆</v>
      </c>
      <c r="P5">
        <f>IF(N5="","",N5-1/1000)</f>
        <v>15.999000000000001</v>
      </c>
      <c r="Q5">
        <f>IFERROR(MATCH(_xlfn.AGGREGATE(14,6,$P$5:$P$19,1),$P$5:$P$19,0),"")</f>
        <v>1</v>
      </c>
      <c r="S5" t="str">
        <f t="shared" ref="S5:AB19" si="0">IF($M5=S$4,$O5,"")</f>
        <v/>
      </c>
      <c r="T5" t="str">
        <f t="shared" si="0"/>
        <v/>
      </c>
      <c r="U5" t="str">
        <f t="shared" si="0"/>
        <v/>
      </c>
      <c r="V5" t="str">
        <f t="shared" si="0"/>
        <v/>
      </c>
      <c r="W5" t="str">
        <f t="shared" si="0"/>
        <v/>
      </c>
      <c r="X5" t="str">
        <f t="shared" si="0"/>
        <v/>
      </c>
      <c r="Y5" t="str">
        <f t="shared" si="0"/>
        <v/>
      </c>
      <c r="Z5" t="str">
        <f t="shared" si="0"/>
        <v/>
      </c>
      <c r="AA5" t="str">
        <f t="shared" si="0"/>
        <v>NFR-01 ◆</v>
      </c>
      <c r="AB5" t="str">
        <f t="shared" si="0"/>
        <v/>
      </c>
      <c r="AC5" t="str">
        <f t="shared" ref="AC5:AQ19" si="1">IF($M5=AC$4,$O5,"")</f>
        <v/>
      </c>
      <c r="AD5" t="str">
        <f t="shared" si="1"/>
        <v/>
      </c>
      <c r="AE5" t="str">
        <f t="shared" si="1"/>
        <v/>
      </c>
      <c r="AF5" t="str">
        <f t="shared" si="1"/>
        <v/>
      </c>
      <c r="AG5" t="str">
        <f t="shared" si="1"/>
        <v/>
      </c>
      <c r="AH5" t="str">
        <f t="shared" si="1"/>
        <v/>
      </c>
      <c r="AI5" t="str">
        <f t="shared" si="1"/>
        <v/>
      </c>
      <c r="AJ5" t="str">
        <f t="shared" si="1"/>
        <v/>
      </c>
      <c r="AK5" t="str">
        <f t="shared" si="1"/>
        <v/>
      </c>
      <c r="AL5" t="str">
        <f t="shared" si="1"/>
        <v/>
      </c>
      <c r="AM5" t="str">
        <f t="shared" si="1"/>
        <v/>
      </c>
      <c r="AN5" t="str">
        <f t="shared" si="1"/>
        <v/>
      </c>
      <c r="AO5" t="str">
        <f t="shared" si="1"/>
        <v/>
      </c>
      <c r="AP5" t="str">
        <f t="shared" si="1"/>
        <v/>
      </c>
      <c r="AQ5" t="str">
        <f t="shared" si="1"/>
        <v/>
      </c>
    </row>
    <row r="6" spans="1:43" ht="50.05" customHeight="1" x14ac:dyDescent="0.4">
      <c r="A6" s="31" t="s">
        <v>198</v>
      </c>
      <c r="B6" s="32">
        <v>4</v>
      </c>
      <c r="C6" s="33" t="str">
        <f>_xlfn.TEXTJOIN("   ",TRUE,X5:X19)</f>
        <v/>
      </c>
      <c r="D6" s="34" t="str">
        <f>_xlfn.TEXTJOIN("   ",TRUE,Y5:Y19)</f>
        <v/>
      </c>
      <c r="E6" s="34" t="str">
        <f>_xlfn.TEXTJOIN("   ",TRUE,Z5:Z19)</f>
        <v>NFR-12</v>
      </c>
      <c r="F6" s="35" t="str">
        <f>_xlfn.TEXTJOIN("   ",TRUE,AA5:AA19)</f>
        <v>NFR-01 ◆</v>
      </c>
      <c r="G6" s="35" t="str">
        <f>_xlfn.TEXTJOIN("   ",TRUE,AB5:AB19)</f>
        <v/>
      </c>
      <c r="L6" t="str">
        <f>INDEX(posID,2)&amp;""</f>
        <v>NFR-02</v>
      </c>
      <c r="M6">
        <f>IF(AND(ISNUMBER(INDEX(posProbabilita,2)),ISNUMBER(INDEX(posSeverity,2))),INDEX(posProbabilita,2)*10+INDEX(posSeverity,2),"")</f>
        <v>24</v>
      </c>
      <c r="N6">
        <f>IF(M6="","",INDEX(posProbabilita,2)*INDEX(posSeverity,2))</f>
        <v>8</v>
      </c>
      <c r="O6" t="str">
        <f>IF(M6="","",L6&amp;IF(INDEX(ANA_Attenzione_Supervisore,2)="Sì"," ◆",""))</f>
        <v>NFR-02 ◆</v>
      </c>
      <c r="P6">
        <f>IF(N6="","",N6-2/1000)</f>
        <v>7.9980000000000002</v>
      </c>
      <c r="Q6">
        <f>IFERROR(MATCH(_xlfn.AGGREGATE(14,6,$P$5:$P$19,2),$P$5:$P$19,0),"")</f>
        <v>7</v>
      </c>
      <c r="S6" t="str">
        <f t="shared" si="0"/>
        <v/>
      </c>
      <c r="T6" t="str">
        <f t="shared" si="0"/>
        <v/>
      </c>
      <c r="U6" t="str">
        <f t="shared" si="0"/>
        <v/>
      </c>
      <c r="V6" t="str">
        <f t="shared" si="0"/>
        <v/>
      </c>
      <c r="W6" t="str">
        <f t="shared" si="0"/>
        <v/>
      </c>
      <c r="X6" t="str">
        <f t="shared" si="0"/>
        <v/>
      </c>
      <c r="Y6" t="str">
        <f t="shared" si="0"/>
        <v/>
      </c>
      <c r="Z6" t="str">
        <f t="shared" si="0"/>
        <v/>
      </c>
      <c r="AA6" t="str">
        <f t="shared" si="0"/>
        <v/>
      </c>
      <c r="AB6" t="str">
        <f t="shared" si="0"/>
        <v/>
      </c>
      <c r="AC6" t="str">
        <f t="shared" si="1"/>
        <v/>
      </c>
      <c r="AD6" t="str">
        <f t="shared" si="1"/>
        <v/>
      </c>
      <c r="AE6" t="str">
        <f t="shared" si="1"/>
        <v/>
      </c>
      <c r="AF6" t="str">
        <f t="shared" si="1"/>
        <v/>
      </c>
      <c r="AG6" t="str">
        <f t="shared" si="1"/>
        <v/>
      </c>
      <c r="AH6" t="str">
        <f t="shared" si="1"/>
        <v/>
      </c>
      <c r="AI6" t="str">
        <f t="shared" si="1"/>
        <v/>
      </c>
      <c r="AJ6" t="str">
        <f t="shared" si="1"/>
        <v/>
      </c>
      <c r="AK6" t="str">
        <f t="shared" si="1"/>
        <v>NFR-02 ◆</v>
      </c>
      <c r="AL6" t="str">
        <f t="shared" si="1"/>
        <v/>
      </c>
      <c r="AM6" t="str">
        <f t="shared" si="1"/>
        <v/>
      </c>
      <c r="AN6" t="str">
        <f t="shared" si="1"/>
        <v/>
      </c>
      <c r="AO6" t="str">
        <f t="shared" si="1"/>
        <v/>
      </c>
      <c r="AP6" t="str">
        <f t="shared" si="1"/>
        <v/>
      </c>
      <c r="AQ6" t="str">
        <f t="shared" si="1"/>
        <v/>
      </c>
    </row>
    <row r="7" spans="1:43" ht="50.05" customHeight="1" x14ac:dyDescent="0.4">
      <c r="A7" s="31" t="s">
        <v>199</v>
      </c>
      <c r="B7" s="32">
        <v>3</v>
      </c>
      <c r="C7" s="33" t="str">
        <f>_xlfn.TEXTJOIN("   ",TRUE,AC5:AC19)</f>
        <v/>
      </c>
      <c r="D7" s="33" t="str">
        <f>_xlfn.TEXTJOIN("   ",TRUE,AD5:AD19)</f>
        <v/>
      </c>
      <c r="E7" s="34" t="str">
        <f>_xlfn.TEXTJOIN("   ",TRUE,AE5:AE19)</f>
        <v>NFR-03   NFR-04   NFR-05   NFR-06   NFR-10   NFR-11</v>
      </c>
      <c r="F7" s="34" t="str">
        <f>_xlfn.TEXTJOIN("   ",TRUE,AF5:AF19)</f>
        <v>NFR-07 ◆</v>
      </c>
      <c r="G7" s="35" t="str">
        <f>_xlfn.TEXTJOIN("   ",TRUE,AG5:AG19)</f>
        <v/>
      </c>
      <c r="L7" t="str">
        <f>INDEX(posID,3)&amp;""</f>
        <v>NFR-03</v>
      </c>
      <c r="M7">
        <f>IF(AND(ISNUMBER(INDEX(posProbabilita,3)),ISNUMBER(INDEX(posSeverity,3))),INDEX(posProbabilita,3)*10+INDEX(posSeverity,3),"")</f>
        <v>33</v>
      </c>
      <c r="N7">
        <f>IF(M7="","",INDEX(posProbabilita,3)*INDEX(posSeverity,3))</f>
        <v>9</v>
      </c>
      <c r="O7" t="str">
        <f>IF(M7="","",L7&amp;IF(INDEX(ANA_Attenzione_Supervisore,3)="Sì"," ◆",""))</f>
        <v>NFR-03</v>
      </c>
      <c r="P7">
        <f>IF(N7="","",N7-3/1000)</f>
        <v>8.9969999999999999</v>
      </c>
      <c r="Q7">
        <f>IFERROR(MATCH(_xlfn.AGGREGATE(14,6,$P$5:$P$19,3),$P$5:$P$19,0),"")</f>
        <v>12</v>
      </c>
      <c r="S7" t="str">
        <f t="shared" si="0"/>
        <v/>
      </c>
      <c r="T7" t="str">
        <f t="shared" si="0"/>
        <v/>
      </c>
      <c r="U7" t="str">
        <f t="shared" si="0"/>
        <v/>
      </c>
      <c r="V7" t="str">
        <f t="shared" si="0"/>
        <v/>
      </c>
      <c r="W7" t="str">
        <f t="shared" si="0"/>
        <v/>
      </c>
      <c r="X7" t="str">
        <f t="shared" si="0"/>
        <v/>
      </c>
      <c r="Y7" t="str">
        <f t="shared" si="0"/>
        <v/>
      </c>
      <c r="Z7" t="str">
        <f t="shared" si="0"/>
        <v/>
      </c>
      <c r="AA7" t="str">
        <f t="shared" si="0"/>
        <v/>
      </c>
      <c r="AB7" t="str">
        <f t="shared" si="0"/>
        <v/>
      </c>
      <c r="AC7" t="str">
        <f t="shared" si="1"/>
        <v/>
      </c>
      <c r="AD7" t="str">
        <f t="shared" si="1"/>
        <v/>
      </c>
      <c r="AE7" t="str">
        <f t="shared" si="1"/>
        <v>NFR-03</v>
      </c>
      <c r="AF7" t="str">
        <f t="shared" si="1"/>
        <v/>
      </c>
      <c r="AG7" t="str">
        <f t="shared" si="1"/>
        <v/>
      </c>
      <c r="AH7" t="str">
        <f t="shared" si="1"/>
        <v/>
      </c>
      <c r="AI7" t="str">
        <f t="shared" si="1"/>
        <v/>
      </c>
      <c r="AJ7" t="str">
        <f t="shared" si="1"/>
        <v/>
      </c>
      <c r="AK7" t="str">
        <f t="shared" si="1"/>
        <v/>
      </c>
      <c r="AL7" t="str">
        <f t="shared" si="1"/>
        <v/>
      </c>
      <c r="AM7" t="str">
        <f t="shared" si="1"/>
        <v/>
      </c>
      <c r="AN7" t="str">
        <f t="shared" si="1"/>
        <v/>
      </c>
      <c r="AO7" t="str">
        <f t="shared" si="1"/>
        <v/>
      </c>
      <c r="AP7" t="str">
        <f t="shared" si="1"/>
        <v/>
      </c>
      <c r="AQ7" t="str">
        <f t="shared" si="1"/>
        <v/>
      </c>
    </row>
    <row r="8" spans="1:43" ht="50.05" customHeight="1" x14ac:dyDescent="0.4">
      <c r="A8" s="31" t="s">
        <v>200</v>
      </c>
      <c r="B8" s="32">
        <v>2</v>
      </c>
      <c r="C8" s="33" t="str">
        <f>_xlfn.TEXTJOIN("   ",TRUE,AH5:AH19)</f>
        <v/>
      </c>
      <c r="D8" s="33" t="str">
        <f>_xlfn.TEXTJOIN("   ",TRUE,AI5:AI19)</f>
        <v/>
      </c>
      <c r="E8" s="33" t="str">
        <f>_xlfn.TEXTJOIN("   ",TRUE,AJ5:AJ19)</f>
        <v>NFR-08</v>
      </c>
      <c r="F8" s="34" t="str">
        <f>_xlfn.TEXTJOIN("   ",TRUE,AK5:AK19)</f>
        <v>NFR-02 ◆   NFR-09 ◆</v>
      </c>
      <c r="G8" s="34" t="str">
        <f>_xlfn.TEXTJOIN("   ",TRUE,AL5:AL19)</f>
        <v/>
      </c>
      <c r="L8" t="str">
        <f>INDEX(posID,4)&amp;""</f>
        <v>NFR-04</v>
      </c>
      <c r="M8">
        <f>IF(AND(ISNUMBER(INDEX(posProbabilita,4)),ISNUMBER(INDEX(posSeverity,4))),INDEX(posProbabilita,4)*10+INDEX(posSeverity,4),"")</f>
        <v>33</v>
      </c>
      <c r="N8">
        <f>IF(M8="","",INDEX(posProbabilita,4)*INDEX(posSeverity,4))</f>
        <v>9</v>
      </c>
      <c r="O8" t="str">
        <f>IF(M8="","",L8&amp;IF(INDEX(ANA_Attenzione_Supervisore,4)="Sì"," ◆",""))</f>
        <v>NFR-04</v>
      </c>
      <c r="P8">
        <f>IF(N8="","",N8-4/1000)</f>
        <v>8.9960000000000004</v>
      </c>
      <c r="Q8">
        <f>IFERROR(MATCH(_xlfn.AGGREGATE(14,6,$P$5:$P$19,4),$P$5:$P$19,0),"")</f>
        <v>3</v>
      </c>
      <c r="S8" t="str">
        <f t="shared" si="0"/>
        <v/>
      </c>
      <c r="T8" t="str">
        <f t="shared" si="0"/>
        <v/>
      </c>
      <c r="U8" t="str">
        <f t="shared" si="0"/>
        <v/>
      </c>
      <c r="V8" t="str">
        <f t="shared" si="0"/>
        <v/>
      </c>
      <c r="W8" t="str">
        <f t="shared" si="0"/>
        <v/>
      </c>
      <c r="X8" t="str">
        <f t="shared" si="0"/>
        <v/>
      </c>
      <c r="Y8" t="str">
        <f t="shared" si="0"/>
        <v/>
      </c>
      <c r="Z8" t="str">
        <f t="shared" si="0"/>
        <v/>
      </c>
      <c r="AA8" t="str">
        <f t="shared" si="0"/>
        <v/>
      </c>
      <c r="AB8" t="str">
        <f t="shared" si="0"/>
        <v/>
      </c>
      <c r="AC8" t="str">
        <f t="shared" si="1"/>
        <v/>
      </c>
      <c r="AD8" t="str">
        <f t="shared" si="1"/>
        <v/>
      </c>
      <c r="AE8" t="str">
        <f t="shared" si="1"/>
        <v>NFR-04</v>
      </c>
      <c r="AF8" t="str">
        <f t="shared" si="1"/>
        <v/>
      </c>
      <c r="AG8" t="str">
        <f t="shared" si="1"/>
        <v/>
      </c>
      <c r="AH8" t="str">
        <f t="shared" si="1"/>
        <v/>
      </c>
      <c r="AI8" t="str">
        <f t="shared" si="1"/>
        <v/>
      </c>
      <c r="AJ8" t="str">
        <f t="shared" si="1"/>
        <v/>
      </c>
      <c r="AK8" t="str">
        <f t="shared" si="1"/>
        <v/>
      </c>
      <c r="AL8" t="str">
        <f t="shared" si="1"/>
        <v/>
      </c>
      <c r="AM8" t="str">
        <f t="shared" si="1"/>
        <v/>
      </c>
      <c r="AN8" t="str">
        <f t="shared" si="1"/>
        <v/>
      </c>
      <c r="AO8" t="str">
        <f t="shared" si="1"/>
        <v/>
      </c>
      <c r="AP8" t="str">
        <f t="shared" si="1"/>
        <v/>
      </c>
      <c r="AQ8" t="str">
        <f t="shared" si="1"/>
        <v/>
      </c>
    </row>
    <row r="9" spans="1:43" ht="50.05" customHeight="1" x14ac:dyDescent="0.4">
      <c r="A9" s="31" t="s">
        <v>201</v>
      </c>
      <c r="B9" s="32">
        <v>1</v>
      </c>
      <c r="C9" s="33" t="str">
        <f>_xlfn.TEXTJOIN("   ",TRUE,AM5:AM19)</f>
        <v/>
      </c>
      <c r="D9" s="33" t="str">
        <f>_xlfn.TEXTJOIN("   ",TRUE,AN5:AN19)</f>
        <v/>
      </c>
      <c r="E9" s="33" t="str">
        <f>_xlfn.TEXTJOIN("   ",TRUE,AO5:AO19)</f>
        <v/>
      </c>
      <c r="F9" s="33" t="str">
        <f>_xlfn.TEXTJOIN("   ",TRUE,AP5:AP19)</f>
        <v/>
      </c>
      <c r="G9" s="33" t="str">
        <f>_xlfn.TEXTJOIN("   ",TRUE,AQ5:AQ19)</f>
        <v/>
      </c>
      <c r="L9" t="str">
        <f>INDEX(posID,5)&amp;""</f>
        <v>NFR-05</v>
      </c>
      <c r="M9">
        <f>IF(AND(ISNUMBER(INDEX(posProbabilita,5)),ISNUMBER(INDEX(posSeverity,5))),INDEX(posProbabilita,5)*10+INDEX(posSeverity,5),"")</f>
        <v>33</v>
      </c>
      <c r="N9">
        <f>IF(M9="","",INDEX(posProbabilita,5)*INDEX(posSeverity,5))</f>
        <v>9</v>
      </c>
      <c r="O9" t="str">
        <f>IF(M9="","",L9&amp;IF(INDEX(ANA_Attenzione_Supervisore,5)="Sì"," ◆",""))</f>
        <v>NFR-05</v>
      </c>
      <c r="P9">
        <f>IF(N9="","",N9-5/1000)</f>
        <v>8.9949999999999992</v>
      </c>
      <c r="Q9">
        <f>IFERROR(MATCH(_xlfn.AGGREGATE(14,6,$P$5:$P$19,5),$P$5:$P$19,0),"")</f>
        <v>4</v>
      </c>
      <c r="S9" t="str">
        <f t="shared" si="0"/>
        <v/>
      </c>
      <c r="T9" t="str">
        <f t="shared" si="0"/>
        <v/>
      </c>
      <c r="U9" t="str">
        <f t="shared" si="0"/>
        <v/>
      </c>
      <c r="V9" t="str">
        <f t="shared" si="0"/>
        <v/>
      </c>
      <c r="W9" t="str">
        <f t="shared" si="0"/>
        <v/>
      </c>
      <c r="X9" t="str">
        <f t="shared" si="0"/>
        <v/>
      </c>
      <c r="Y9" t="str">
        <f t="shared" si="0"/>
        <v/>
      </c>
      <c r="Z9" t="str">
        <f t="shared" si="0"/>
        <v/>
      </c>
      <c r="AA9" t="str">
        <f t="shared" si="0"/>
        <v/>
      </c>
      <c r="AB9" t="str">
        <f t="shared" si="0"/>
        <v/>
      </c>
      <c r="AC9" t="str">
        <f t="shared" si="1"/>
        <v/>
      </c>
      <c r="AD9" t="str">
        <f t="shared" si="1"/>
        <v/>
      </c>
      <c r="AE9" t="str">
        <f t="shared" si="1"/>
        <v>NFR-05</v>
      </c>
      <c r="AF9" t="str">
        <f t="shared" si="1"/>
        <v/>
      </c>
      <c r="AG9" t="str">
        <f t="shared" si="1"/>
        <v/>
      </c>
      <c r="AH9" t="str">
        <f t="shared" si="1"/>
        <v/>
      </c>
      <c r="AI9" t="str">
        <f t="shared" si="1"/>
        <v/>
      </c>
      <c r="AJ9" t="str">
        <f t="shared" si="1"/>
        <v/>
      </c>
      <c r="AK9" t="str">
        <f t="shared" si="1"/>
        <v/>
      </c>
      <c r="AL9" t="str">
        <f t="shared" si="1"/>
        <v/>
      </c>
      <c r="AM9" t="str">
        <f t="shared" si="1"/>
        <v/>
      </c>
      <c r="AN9" t="str">
        <f t="shared" si="1"/>
        <v/>
      </c>
      <c r="AO9" t="str">
        <f t="shared" si="1"/>
        <v/>
      </c>
      <c r="AP9" t="str">
        <f t="shared" si="1"/>
        <v/>
      </c>
      <c r="AQ9" t="str">
        <f t="shared" si="1"/>
        <v/>
      </c>
    </row>
    <row r="10" spans="1:43" x14ac:dyDescent="0.4">
      <c r="C10" s="36">
        <v>1</v>
      </c>
      <c r="D10" s="36">
        <v>2</v>
      </c>
      <c r="E10" s="36">
        <v>3</v>
      </c>
      <c r="F10" s="36">
        <v>4</v>
      </c>
      <c r="G10" s="36">
        <v>5</v>
      </c>
      <c r="L10" t="str">
        <f>INDEX(posID,6)&amp;""</f>
        <v>NFR-06</v>
      </c>
      <c r="M10">
        <f>IF(AND(ISNUMBER(INDEX(posProbabilita,6)),ISNUMBER(INDEX(posSeverity,6))),INDEX(posProbabilita,6)*10+INDEX(posSeverity,6),"")</f>
        <v>33</v>
      </c>
      <c r="N10">
        <f>IF(M10="","",INDEX(posProbabilita,6)*INDEX(posSeverity,6))</f>
        <v>9</v>
      </c>
      <c r="O10" t="str">
        <f>IF(M10="","",L10&amp;IF(INDEX(ANA_Attenzione_Supervisore,6)="Sì"," ◆",""))</f>
        <v>NFR-06</v>
      </c>
      <c r="P10">
        <f>IF(N10="","",N10-6/1000)</f>
        <v>8.9939999999999998</v>
      </c>
      <c r="Q10">
        <f>IFERROR(MATCH(_xlfn.AGGREGATE(14,6,$P$5:$P$19,6),$P$5:$P$19,0),"")</f>
        <v>5</v>
      </c>
      <c r="S10" t="str">
        <f t="shared" si="0"/>
        <v/>
      </c>
      <c r="T10" t="str">
        <f t="shared" si="0"/>
        <v/>
      </c>
      <c r="U10" t="str">
        <f t="shared" si="0"/>
        <v/>
      </c>
      <c r="V10" t="str">
        <f t="shared" si="0"/>
        <v/>
      </c>
      <c r="W10" t="str">
        <f t="shared" si="0"/>
        <v/>
      </c>
      <c r="X10" t="str">
        <f t="shared" si="0"/>
        <v/>
      </c>
      <c r="Y10" t="str">
        <f t="shared" si="0"/>
        <v/>
      </c>
      <c r="Z10" t="str">
        <f t="shared" si="0"/>
        <v/>
      </c>
      <c r="AA10" t="str">
        <f t="shared" si="0"/>
        <v/>
      </c>
      <c r="AB10" t="str">
        <f t="shared" si="0"/>
        <v/>
      </c>
      <c r="AC10" t="str">
        <f t="shared" si="1"/>
        <v/>
      </c>
      <c r="AD10" t="str">
        <f t="shared" si="1"/>
        <v/>
      </c>
      <c r="AE10" t="str">
        <f t="shared" si="1"/>
        <v>NFR-06</v>
      </c>
      <c r="AF10" t="str">
        <f t="shared" si="1"/>
        <v/>
      </c>
      <c r="AG10" t="str">
        <f t="shared" si="1"/>
        <v/>
      </c>
      <c r="AH10" t="str">
        <f t="shared" si="1"/>
        <v/>
      </c>
      <c r="AI10" t="str">
        <f t="shared" si="1"/>
        <v/>
      </c>
      <c r="AJ10" t="str">
        <f t="shared" si="1"/>
        <v/>
      </c>
      <c r="AK10" t="str">
        <f t="shared" si="1"/>
        <v/>
      </c>
      <c r="AL10" t="str">
        <f t="shared" si="1"/>
        <v/>
      </c>
      <c r="AM10" t="str">
        <f t="shared" si="1"/>
        <v/>
      </c>
      <c r="AN10" t="str">
        <f t="shared" si="1"/>
        <v/>
      </c>
      <c r="AO10" t="str">
        <f t="shared" si="1"/>
        <v/>
      </c>
      <c r="AP10" t="str">
        <f t="shared" si="1"/>
        <v/>
      </c>
      <c r="AQ10" t="str">
        <f t="shared" si="1"/>
        <v/>
      </c>
    </row>
    <row r="11" spans="1:43" x14ac:dyDescent="0.4">
      <c r="C11" s="37" t="s">
        <v>202</v>
      </c>
      <c r="D11" s="37" t="s">
        <v>203</v>
      </c>
      <c r="E11" s="37" t="s">
        <v>204</v>
      </c>
      <c r="F11" s="37" t="s">
        <v>205</v>
      </c>
      <c r="G11" s="37" t="s">
        <v>206</v>
      </c>
      <c r="L11" t="str">
        <f>INDEX(posID,7)&amp;""</f>
        <v>NFR-07</v>
      </c>
      <c r="M11">
        <f>IF(AND(ISNUMBER(INDEX(posProbabilita,7)),ISNUMBER(INDEX(posSeverity,7))),INDEX(posProbabilita,7)*10+INDEX(posSeverity,7),"")</f>
        <v>34</v>
      </c>
      <c r="N11">
        <f>IF(M11="","",INDEX(posProbabilita,7)*INDEX(posSeverity,7))</f>
        <v>12</v>
      </c>
      <c r="O11" t="str">
        <f>IF(M11="","",L11&amp;IF(INDEX(ANA_Attenzione_Supervisore,7)="Sì"," ◆",""))</f>
        <v>NFR-07 ◆</v>
      </c>
      <c r="P11">
        <f>IF(N11="","",N11-7/1000)</f>
        <v>11.993</v>
      </c>
      <c r="Q11">
        <f>IFERROR(MATCH(_xlfn.AGGREGATE(14,6,$P$5:$P$19,7),$P$5:$P$19,0),"")</f>
        <v>6</v>
      </c>
      <c r="S11" t="str">
        <f t="shared" si="0"/>
        <v/>
      </c>
      <c r="T11" t="str">
        <f t="shared" si="0"/>
        <v/>
      </c>
      <c r="U11" t="str">
        <f t="shared" si="0"/>
        <v/>
      </c>
      <c r="V11" t="str">
        <f t="shared" si="0"/>
        <v/>
      </c>
      <c r="W11" t="str">
        <f t="shared" si="0"/>
        <v/>
      </c>
      <c r="X11" t="str">
        <f t="shared" si="0"/>
        <v/>
      </c>
      <c r="Y11" t="str">
        <f t="shared" si="0"/>
        <v/>
      </c>
      <c r="Z11" t="str">
        <f t="shared" si="0"/>
        <v/>
      </c>
      <c r="AA11" t="str">
        <f t="shared" si="0"/>
        <v/>
      </c>
      <c r="AB11" t="str">
        <f t="shared" si="0"/>
        <v/>
      </c>
      <c r="AC11" t="str">
        <f t="shared" si="1"/>
        <v/>
      </c>
      <c r="AD11" t="str">
        <f t="shared" si="1"/>
        <v/>
      </c>
      <c r="AE11" t="str">
        <f t="shared" si="1"/>
        <v/>
      </c>
      <c r="AF11" t="str">
        <f t="shared" si="1"/>
        <v>NFR-07 ◆</v>
      </c>
      <c r="AG11" t="str">
        <f t="shared" si="1"/>
        <v/>
      </c>
      <c r="AH11" t="str">
        <f t="shared" si="1"/>
        <v/>
      </c>
      <c r="AI11" t="str">
        <f t="shared" si="1"/>
        <v/>
      </c>
      <c r="AJ11" t="str">
        <f t="shared" si="1"/>
        <v/>
      </c>
      <c r="AK11" t="str">
        <f t="shared" si="1"/>
        <v/>
      </c>
      <c r="AL11" t="str">
        <f t="shared" si="1"/>
        <v/>
      </c>
      <c r="AM11" t="str">
        <f t="shared" si="1"/>
        <v/>
      </c>
      <c r="AN11" t="str">
        <f t="shared" si="1"/>
        <v/>
      </c>
      <c r="AO11" t="str">
        <f t="shared" si="1"/>
        <v/>
      </c>
      <c r="AP11" t="str">
        <f t="shared" si="1"/>
        <v/>
      </c>
      <c r="AQ11" t="str">
        <f t="shared" si="1"/>
        <v/>
      </c>
    </row>
    <row r="12" spans="1:43" x14ac:dyDescent="0.4">
      <c r="E12" s="36" t="s">
        <v>207</v>
      </c>
      <c r="L12" t="str">
        <f>INDEX(posID,8)&amp;""</f>
        <v>NFR-08</v>
      </c>
      <c r="M12">
        <f>IF(AND(ISNUMBER(INDEX(posProbabilita,8)),ISNUMBER(INDEX(posSeverity,8))),INDEX(posProbabilita,8)*10+INDEX(posSeverity,8),"")</f>
        <v>23</v>
      </c>
      <c r="N12">
        <f>IF(M12="","",INDEX(posProbabilita,8)*INDEX(posSeverity,8))</f>
        <v>6</v>
      </c>
      <c r="O12" t="str">
        <f>IF(M12="","",L12&amp;IF(INDEX(ANA_Attenzione_Supervisore,8)="Sì"," ◆",""))</f>
        <v>NFR-08</v>
      </c>
      <c r="P12">
        <f>IF(N12="","",N12-8/1000)</f>
        <v>5.992</v>
      </c>
      <c r="Q12">
        <f>IFERROR(MATCH(_xlfn.AGGREGATE(14,6,$P$5:$P$19,8),$P$5:$P$19,0),"")</f>
        <v>10</v>
      </c>
      <c r="S12" t="str">
        <f t="shared" si="0"/>
        <v/>
      </c>
      <c r="T12" t="str">
        <f t="shared" si="0"/>
        <v/>
      </c>
      <c r="U12" t="str">
        <f t="shared" si="0"/>
        <v/>
      </c>
      <c r="V12" t="str">
        <f t="shared" si="0"/>
        <v/>
      </c>
      <c r="W12" t="str">
        <f t="shared" si="0"/>
        <v/>
      </c>
      <c r="X12" t="str">
        <f t="shared" si="0"/>
        <v/>
      </c>
      <c r="Y12" t="str">
        <f t="shared" si="0"/>
        <v/>
      </c>
      <c r="Z12" t="str">
        <f t="shared" si="0"/>
        <v/>
      </c>
      <c r="AA12" t="str">
        <f t="shared" si="0"/>
        <v/>
      </c>
      <c r="AB12" t="str">
        <f t="shared" si="0"/>
        <v/>
      </c>
      <c r="AC12" t="str">
        <f t="shared" si="1"/>
        <v/>
      </c>
      <c r="AD12" t="str">
        <f t="shared" si="1"/>
        <v/>
      </c>
      <c r="AE12" t="str">
        <f t="shared" si="1"/>
        <v/>
      </c>
      <c r="AF12" t="str">
        <f t="shared" si="1"/>
        <v/>
      </c>
      <c r="AG12" t="str">
        <f t="shared" si="1"/>
        <v/>
      </c>
      <c r="AH12" t="str">
        <f t="shared" si="1"/>
        <v/>
      </c>
      <c r="AI12" t="str">
        <f t="shared" si="1"/>
        <v/>
      </c>
      <c r="AJ12" t="str">
        <f t="shared" si="1"/>
        <v>NFR-08</v>
      </c>
      <c r="AK12" t="str">
        <f t="shared" si="1"/>
        <v/>
      </c>
      <c r="AL12" t="str">
        <f t="shared" si="1"/>
        <v/>
      </c>
      <c r="AM12" t="str">
        <f t="shared" si="1"/>
        <v/>
      </c>
      <c r="AN12" t="str">
        <f t="shared" si="1"/>
        <v/>
      </c>
      <c r="AO12" t="str">
        <f t="shared" si="1"/>
        <v/>
      </c>
      <c r="AP12" t="str">
        <f t="shared" si="1"/>
        <v/>
      </c>
      <c r="AQ12" t="str">
        <f t="shared" si="1"/>
        <v/>
      </c>
    </row>
    <row r="13" spans="1:43" x14ac:dyDescent="0.4">
      <c r="L13" t="str">
        <f>INDEX(posID,9)&amp;""</f>
        <v>NFR-09</v>
      </c>
      <c r="M13">
        <f>IF(AND(ISNUMBER(INDEX(posProbabilita,9)),ISNUMBER(INDEX(posSeverity,9))),INDEX(posProbabilita,9)*10+INDEX(posSeverity,9),"")</f>
        <v>24</v>
      </c>
      <c r="N13">
        <f>IF(M13="","",INDEX(posProbabilita,9)*INDEX(posSeverity,9))</f>
        <v>8</v>
      </c>
      <c r="O13" t="str">
        <f>IF(M13="","",L13&amp;IF(INDEX(ANA_Attenzione_Supervisore,9)="Sì"," ◆",""))</f>
        <v>NFR-09 ◆</v>
      </c>
      <c r="P13">
        <f>IF(N13="","",N13-9/1000)</f>
        <v>7.9909999999999997</v>
      </c>
      <c r="Q13">
        <f>IFERROR(MATCH(_xlfn.AGGREGATE(14,6,$P$5:$P$19,9),$P$5:$P$19,0),"")</f>
        <v>11</v>
      </c>
      <c r="S13" t="str">
        <f t="shared" si="0"/>
        <v/>
      </c>
      <c r="T13" t="str">
        <f t="shared" si="0"/>
        <v/>
      </c>
      <c r="U13" t="str">
        <f t="shared" si="0"/>
        <v/>
      </c>
      <c r="V13" t="str">
        <f t="shared" si="0"/>
        <v/>
      </c>
      <c r="W13" t="str">
        <f t="shared" si="0"/>
        <v/>
      </c>
      <c r="X13" t="str">
        <f t="shared" si="0"/>
        <v/>
      </c>
      <c r="Y13" t="str">
        <f t="shared" si="0"/>
        <v/>
      </c>
      <c r="Z13" t="str">
        <f t="shared" si="0"/>
        <v/>
      </c>
      <c r="AA13" t="str">
        <f t="shared" si="0"/>
        <v/>
      </c>
      <c r="AB13" t="str">
        <f t="shared" si="0"/>
        <v/>
      </c>
      <c r="AC13" t="str">
        <f t="shared" si="1"/>
        <v/>
      </c>
      <c r="AD13" t="str">
        <f t="shared" si="1"/>
        <v/>
      </c>
      <c r="AE13" t="str">
        <f t="shared" si="1"/>
        <v/>
      </c>
      <c r="AF13" t="str">
        <f t="shared" si="1"/>
        <v/>
      </c>
      <c r="AG13" t="str">
        <f t="shared" si="1"/>
        <v/>
      </c>
      <c r="AH13" t="str">
        <f t="shared" si="1"/>
        <v/>
      </c>
      <c r="AI13" t="str">
        <f t="shared" si="1"/>
        <v/>
      </c>
      <c r="AJ13" t="str">
        <f t="shared" si="1"/>
        <v/>
      </c>
      <c r="AK13" t="str">
        <f t="shared" si="1"/>
        <v>NFR-09 ◆</v>
      </c>
      <c r="AL13" t="str">
        <f t="shared" si="1"/>
        <v/>
      </c>
      <c r="AM13" t="str">
        <f t="shared" si="1"/>
        <v/>
      </c>
      <c r="AN13" t="str">
        <f t="shared" si="1"/>
        <v/>
      </c>
      <c r="AO13" t="str">
        <f t="shared" si="1"/>
        <v/>
      </c>
      <c r="AP13" t="str">
        <f t="shared" si="1"/>
        <v/>
      </c>
      <c r="AQ13" t="str">
        <f t="shared" si="1"/>
        <v/>
      </c>
    </row>
    <row r="14" spans="1:43" ht="15.9" x14ac:dyDescent="0.45">
      <c r="A14" s="109" t="s">
        <v>208</v>
      </c>
      <c r="B14" s="110"/>
      <c r="C14" s="110"/>
      <c r="D14" s="110"/>
      <c r="E14" s="110"/>
      <c r="F14" s="110"/>
      <c r="G14" s="110"/>
      <c r="L14" t="str">
        <f>INDEX(posID,10)&amp;""</f>
        <v>NFR-10</v>
      </c>
      <c r="M14">
        <f>IF(AND(ISNUMBER(INDEX(posProbabilita,10)),ISNUMBER(INDEX(posSeverity,10))),INDEX(posProbabilita,10)*10+INDEX(posSeverity,10),"")</f>
        <v>33</v>
      </c>
      <c r="N14">
        <f>IF(M14="","",INDEX(posProbabilita,10)*INDEX(posSeverity,10))</f>
        <v>9</v>
      </c>
      <c r="O14" t="str">
        <f>IF(M14="","",L14&amp;IF(INDEX(ANA_Attenzione_Supervisore,10)="Sì"," ◆",""))</f>
        <v>NFR-10</v>
      </c>
      <c r="P14">
        <f>IF(N14="","",N14-10/1000)</f>
        <v>8.99</v>
      </c>
      <c r="Q14">
        <f>IFERROR(MATCH(_xlfn.AGGREGATE(14,6,$P$5:$P$19,10),$P$5:$P$19,0),"")</f>
        <v>2</v>
      </c>
      <c r="S14" t="str">
        <f t="shared" si="0"/>
        <v/>
      </c>
      <c r="T14" t="str">
        <f t="shared" si="0"/>
        <v/>
      </c>
      <c r="U14" t="str">
        <f t="shared" si="0"/>
        <v/>
      </c>
      <c r="V14" t="str">
        <f t="shared" si="0"/>
        <v/>
      </c>
      <c r="W14" t="str">
        <f t="shared" si="0"/>
        <v/>
      </c>
      <c r="X14" t="str">
        <f t="shared" si="0"/>
        <v/>
      </c>
      <c r="Y14" t="str">
        <f t="shared" si="0"/>
        <v/>
      </c>
      <c r="Z14" t="str">
        <f t="shared" si="0"/>
        <v/>
      </c>
      <c r="AA14" t="str">
        <f t="shared" si="0"/>
        <v/>
      </c>
      <c r="AB14" t="str">
        <f t="shared" si="0"/>
        <v/>
      </c>
      <c r="AC14" t="str">
        <f t="shared" si="1"/>
        <v/>
      </c>
      <c r="AD14" t="str">
        <f t="shared" si="1"/>
        <v/>
      </c>
      <c r="AE14" t="str">
        <f t="shared" si="1"/>
        <v>NFR-10</v>
      </c>
      <c r="AF14" t="str">
        <f t="shared" si="1"/>
        <v/>
      </c>
      <c r="AG14" t="str">
        <f t="shared" si="1"/>
        <v/>
      </c>
      <c r="AH14" t="str">
        <f t="shared" si="1"/>
        <v/>
      </c>
      <c r="AI14" t="str">
        <f t="shared" si="1"/>
        <v/>
      </c>
      <c r="AJ14" t="str">
        <f t="shared" si="1"/>
        <v/>
      </c>
      <c r="AK14" t="str">
        <f t="shared" si="1"/>
        <v/>
      </c>
      <c r="AL14" t="str">
        <f t="shared" si="1"/>
        <v/>
      </c>
      <c r="AM14" t="str">
        <f t="shared" si="1"/>
        <v/>
      </c>
      <c r="AN14" t="str">
        <f t="shared" si="1"/>
        <v/>
      </c>
      <c r="AO14" t="str">
        <f t="shared" si="1"/>
        <v/>
      </c>
      <c r="AP14" t="str">
        <f t="shared" si="1"/>
        <v/>
      </c>
      <c r="AQ14" t="str">
        <f t="shared" si="1"/>
        <v/>
      </c>
    </row>
    <row r="15" spans="1:43" x14ac:dyDescent="0.4">
      <c r="A15" s="135" t="s">
        <v>148</v>
      </c>
      <c r="B15" s="98"/>
      <c r="C15" s="135" t="s">
        <v>18</v>
      </c>
      <c r="D15" s="98"/>
      <c r="E15" s="98"/>
      <c r="F15" s="38" t="s">
        <v>209</v>
      </c>
      <c r="G15" s="38" t="s">
        <v>179</v>
      </c>
      <c r="L15" t="str">
        <f>INDEX(posID,11)&amp;""</f>
        <v>NFR-11</v>
      </c>
      <c r="M15">
        <f>IF(AND(ISNUMBER(INDEX(posProbabilita,11)),ISNUMBER(INDEX(posSeverity,11))),INDEX(posProbabilita,11)*10+INDEX(posSeverity,11),"")</f>
        <v>33</v>
      </c>
      <c r="N15">
        <f>IF(M15="","",INDEX(posProbabilita,11)*INDEX(posSeverity,11))</f>
        <v>9</v>
      </c>
      <c r="O15" t="str">
        <f>IF(M15="","",L15&amp;IF(INDEX(ANA_Attenzione_Supervisore,11)="Sì"," ◆",""))</f>
        <v>NFR-11</v>
      </c>
      <c r="P15">
        <f>IF(N15="","",N15-11/1000)</f>
        <v>8.9890000000000008</v>
      </c>
      <c r="Q15">
        <f>IFERROR(MATCH(_xlfn.AGGREGATE(14,6,$P$5:$P$19,11),$P$5:$P$19,0),"")</f>
        <v>9</v>
      </c>
      <c r="S15" t="str">
        <f t="shared" si="0"/>
        <v/>
      </c>
      <c r="T15" t="str">
        <f t="shared" si="0"/>
        <v/>
      </c>
      <c r="U15" t="str">
        <f t="shared" si="0"/>
        <v/>
      </c>
      <c r="V15" t="str">
        <f t="shared" si="0"/>
        <v/>
      </c>
      <c r="W15" t="str">
        <f t="shared" si="0"/>
        <v/>
      </c>
      <c r="X15" t="str">
        <f t="shared" si="0"/>
        <v/>
      </c>
      <c r="Y15" t="str">
        <f t="shared" si="0"/>
        <v/>
      </c>
      <c r="Z15" t="str">
        <f t="shared" si="0"/>
        <v/>
      </c>
      <c r="AA15" t="str">
        <f t="shared" si="0"/>
        <v/>
      </c>
      <c r="AB15" t="str">
        <f t="shared" si="0"/>
        <v/>
      </c>
      <c r="AC15" t="str">
        <f t="shared" si="1"/>
        <v/>
      </c>
      <c r="AD15" t="str">
        <f t="shared" si="1"/>
        <v/>
      </c>
      <c r="AE15" t="str">
        <f t="shared" si="1"/>
        <v>NFR-11</v>
      </c>
      <c r="AF15" t="str">
        <f t="shared" si="1"/>
        <v/>
      </c>
      <c r="AG15" t="str">
        <f t="shared" si="1"/>
        <v/>
      </c>
      <c r="AH15" t="str">
        <f t="shared" si="1"/>
        <v/>
      </c>
      <c r="AI15" t="str">
        <f t="shared" si="1"/>
        <v/>
      </c>
      <c r="AJ15" t="str">
        <f t="shared" si="1"/>
        <v/>
      </c>
      <c r="AK15" t="str">
        <f t="shared" si="1"/>
        <v/>
      </c>
      <c r="AL15" t="str">
        <f t="shared" si="1"/>
        <v/>
      </c>
      <c r="AM15" t="str">
        <f t="shared" si="1"/>
        <v/>
      </c>
      <c r="AN15" t="str">
        <f t="shared" si="1"/>
        <v/>
      </c>
      <c r="AO15" t="str">
        <f t="shared" si="1"/>
        <v/>
      </c>
      <c r="AP15" t="str">
        <f t="shared" si="1"/>
        <v/>
      </c>
      <c r="AQ15" t="str">
        <f t="shared" si="1"/>
        <v/>
      </c>
    </row>
    <row r="16" spans="1:43" x14ac:dyDescent="0.4">
      <c r="A16" s="134" t="str">
        <f>IF($Q$5="","",INDEX(posID,$Q$5))</f>
        <v>NFR-01</v>
      </c>
      <c r="B16" s="108"/>
      <c r="C16" s="136" t="str">
        <f>IF($Q$5="","",INDEX(posNome,$Q$5)&amp;IF(INDEX(ANA_Attenzione_Supervisore,$Q$5)="Sì","  ◆",""))</f>
        <v>Frodi su pagamenti istantanei abilitate da AI generativa  ◆</v>
      </c>
      <c r="D16" s="108"/>
      <c r="E16" s="108"/>
      <c r="F16" s="39" t="str">
        <f>IF($Q$5="","",INDEX(posProbabilita,$Q$5)&amp;" · "&amp;INDEX(posSeverity,$Q$5))</f>
        <v>4 · 4</v>
      </c>
      <c r="G16" s="39">
        <f>IF($Q$5="","",INDEX($N$5:$N$19,$Q$5))</f>
        <v>16</v>
      </c>
      <c r="L16" t="str">
        <f>INDEX(posID,12)&amp;""</f>
        <v>NFR-12</v>
      </c>
      <c r="M16">
        <f>IF(AND(ISNUMBER(INDEX(posProbabilita,12)),ISNUMBER(INDEX(posSeverity,12))),INDEX(posProbabilita,12)*10+INDEX(posSeverity,12),"")</f>
        <v>43</v>
      </c>
      <c r="N16">
        <f>IF(M16="","",INDEX(posProbabilita,12)*INDEX(posSeverity,12))</f>
        <v>12</v>
      </c>
      <c r="O16" t="str">
        <f>IF(M16="","",L16&amp;IF(INDEX(ANA_Attenzione_Supervisore,12)="Sì"," ◆",""))</f>
        <v>NFR-12</v>
      </c>
      <c r="P16">
        <f>IF(N16="","",N16-12/1000)</f>
        <v>11.988</v>
      </c>
      <c r="Q16">
        <f>IFERROR(MATCH(_xlfn.AGGREGATE(14,6,$P$5:$P$19,12),$P$5:$P$19,0),"")</f>
        <v>8</v>
      </c>
      <c r="S16" t="str">
        <f t="shared" si="0"/>
        <v/>
      </c>
      <c r="T16" t="str">
        <f t="shared" si="0"/>
        <v/>
      </c>
      <c r="U16" t="str">
        <f t="shared" si="0"/>
        <v/>
      </c>
      <c r="V16" t="str">
        <f t="shared" si="0"/>
        <v/>
      </c>
      <c r="W16" t="str">
        <f t="shared" si="0"/>
        <v/>
      </c>
      <c r="X16" t="str">
        <f t="shared" si="0"/>
        <v/>
      </c>
      <c r="Y16" t="str">
        <f t="shared" si="0"/>
        <v/>
      </c>
      <c r="Z16" t="str">
        <f t="shared" si="0"/>
        <v>NFR-12</v>
      </c>
      <c r="AA16" t="str">
        <f t="shared" si="0"/>
        <v/>
      </c>
      <c r="AB16" t="str">
        <f t="shared" si="0"/>
        <v/>
      </c>
      <c r="AC16" t="str">
        <f t="shared" si="1"/>
        <v/>
      </c>
      <c r="AD16" t="str">
        <f t="shared" si="1"/>
        <v/>
      </c>
      <c r="AE16" t="str">
        <f t="shared" si="1"/>
        <v/>
      </c>
      <c r="AF16" t="str">
        <f t="shared" si="1"/>
        <v/>
      </c>
      <c r="AG16" t="str">
        <f t="shared" si="1"/>
        <v/>
      </c>
      <c r="AH16" t="str">
        <f t="shared" si="1"/>
        <v/>
      </c>
      <c r="AI16" t="str">
        <f t="shared" si="1"/>
        <v/>
      </c>
      <c r="AJ16" t="str">
        <f t="shared" si="1"/>
        <v/>
      </c>
      <c r="AK16" t="str">
        <f t="shared" si="1"/>
        <v/>
      </c>
      <c r="AL16" t="str">
        <f t="shared" si="1"/>
        <v/>
      </c>
      <c r="AM16" t="str">
        <f t="shared" si="1"/>
        <v/>
      </c>
      <c r="AN16" t="str">
        <f t="shared" si="1"/>
        <v/>
      </c>
      <c r="AO16" t="str">
        <f t="shared" si="1"/>
        <v/>
      </c>
      <c r="AP16" t="str">
        <f t="shared" si="1"/>
        <v/>
      </c>
      <c r="AQ16" t="str">
        <f t="shared" si="1"/>
        <v/>
      </c>
    </row>
    <row r="17" spans="1:43" x14ac:dyDescent="0.4">
      <c r="A17" s="134" t="str">
        <f>IF($Q$6="","",INDEX(posID,$Q$6))</f>
        <v>NFR-07</v>
      </c>
      <c r="B17" s="108"/>
      <c r="C17" s="136" t="str">
        <f>IF($Q$6="","",INDEX(posNome,$Q$6)&amp;IF(INDEX(ANA_Attenzione_Supervisore,$Q$6)="Sì","  ◆",""))</f>
        <v>Ransomware presso un fornitore di servizi di pagamento  ◆</v>
      </c>
      <c r="D17" s="108"/>
      <c r="E17" s="108"/>
      <c r="F17" s="39" t="str">
        <f>IF($Q$6="","",INDEX(posProbabilita,$Q$6)&amp;" · "&amp;INDEX(posSeverity,$Q$6))</f>
        <v>3 · 4</v>
      </c>
      <c r="G17" s="39">
        <f>IF($Q$6="","",INDEX($N$5:$N$19,$Q$6))</f>
        <v>12</v>
      </c>
      <c r="L17" t="str">
        <f>INDEX(posID,13)&amp;""</f>
        <v/>
      </c>
      <c r="M17" t="str">
        <f>IF(AND(ISNUMBER(INDEX(posProbabilita,13)),ISNUMBER(INDEX(posSeverity,13))),INDEX(posProbabilita,13)*10+INDEX(posSeverity,13),"")</f>
        <v/>
      </c>
      <c r="N17" t="str">
        <f>IF(M17="","",INDEX(posProbabilita,13)*INDEX(posSeverity,13))</f>
        <v/>
      </c>
      <c r="O17" t="str">
        <f>IF(M17="","",L17&amp;IF(INDEX(ANA_Attenzione_Supervisore,13)="Sì"," ◆",""))</f>
        <v/>
      </c>
      <c r="P17" t="str">
        <f>IF(N17="","",N17-13/1000)</f>
        <v/>
      </c>
      <c r="Q17" t="str">
        <f>IFERROR(MATCH(_xlfn.AGGREGATE(14,6,$P$5:$P$19,13),$P$5:$P$19,0),"")</f>
        <v/>
      </c>
      <c r="S17" t="str">
        <f t="shared" si="0"/>
        <v/>
      </c>
      <c r="T17" t="str">
        <f t="shared" si="0"/>
        <v/>
      </c>
      <c r="U17" t="str">
        <f t="shared" si="0"/>
        <v/>
      </c>
      <c r="V17" t="str">
        <f t="shared" si="0"/>
        <v/>
      </c>
      <c r="W17" t="str">
        <f t="shared" si="0"/>
        <v/>
      </c>
      <c r="X17" t="str">
        <f t="shared" si="0"/>
        <v/>
      </c>
      <c r="Y17" t="str">
        <f t="shared" si="0"/>
        <v/>
      </c>
      <c r="Z17" t="str">
        <f t="shared" si="0"/>
        <v/>
      </c>
      <c r="AA17" t="str">
        <f t="shared" si="0"/>
        <v/>
      </c>
      <c r="AB17" t="str">
        <f t="shared" si="0"/>
        <v/>
      </c>
      <c r="AC17" t="str">
        <f t="shared" si="1"/>
        <v/>
      </c>
      <c r="AD17" t="str">
        <f t="shared" si="1"/>
        <v/>
      </c>
      <c r="AE17" t="str">
        <f t="shared" si="1"/>
        <v/>
      </c>
      <c r="AF17" t="str">
        <f t="shared" si="1"/>
        <v/>
      </c>
      <c r="AG17" t="str">
        <f t="shared" si="1"/>
        <v/>
      </c>
      <c r="AH17" t="str">
        <f t="shared" si="1"/>
        <v/>
      </c>
      <c r="AI17" t="str">
        <f t="shared" si="1"/>
        <v/>
      </c>
      <c r="AJ17" t="str">
        <f t="shared" si="1"/>
        <v/>
      </c>
      <c r="AK17" t="str">
        <f t="shared" si="1"/>
        <v/>
      </c>
      <c r="AL17" t="str">
        <f t="shared" si="1"/>
        <v/>
      </c>
      <c r="AM17" t="str">
        <f t="shared" si="1"/>
        <v/>
      </c>
      <c r="AN17" t="str">
        <f t="shared" si="1"/>
        <v/>
      </c>
      <c r="AO17" t="str">
        <f t="shared" si="1"/>
        <v/>
      </c>
      <c r="AP17" t="str">
        <f t="shared" si="1"/>
        <v/>
      </c>
      <c r="AQ17" t="str">
        <f t="shared" si="1"/>
        <v/>
      </c>
    </row>
    <row r="18" spans="1:43" x14ac:dyDescent="0.4">
      <c r="A18" s="134" t="str">
        <f>IF($Q$7="","",INDEX(posID,$Q$7))</f>
        <v>NFR-12</v>
      </c>
      <c r="B18" s="108"/>
      <c r="C18" s="136" t="str">
        <f>IF($Q$7="","",INDEX(posNome,$Q$7)&amp;IF(INDEX(ANA_Attenzione_Supervisore,$Q$7)="Sì","  ◆",""))</f>
        <v>Errori operativi nei pagamenti istantanei obbligatori</v>
      </c>
      <c r="D18" s="108"/>
      <c r="E18" s="108"/>
      <c r="F18" s="39" t="str">
        <f>IF($Q$7="","",INDEX(posProbabilita,$Q$7)&amp;" · "&amp;INDEX(posSeverity,$Q$7))</f>
        <v>4 · 3</v>
      </c>
      <c r="G18" s="39">
        <f>IF($Q$7="","",INDEX($N$5:$N$19,$Q$7))</f>
        <v>12</v>
      </c>
      <c r="L18" t="str">
        <f>INDEX(posID,14)&amp;""</f>
        <v/>
      </c>
      <c r="M18" t="str">
        <f>IF(AND(ISNUMBER(INDEX(posProbabilita,14)),ISNUMBER(INDEX(posSeverity,14))),INDEX(posProbabilita,14)*10+INDEX(posSeverity,14),"")</f>
        <v/>
      </c>
      <c r="N18" t="str">
        <f>IF(M18="","",INDEX(posProbabilita,14)*INDEX(posSeverity,14))</f>
        <v/>
      </c>
      <c r="O18" t="str">
        <f>IF(M18="","",L18&amp;IF(INDEX(ANA_Attenzione_Supervisore,14)="Sì"," ◆",""))</f>
        <v/>
      </c>
      <c r="P18" t="str">
        <f>IF(N18="","",N18-14/1000)</f>
        <v/>
      </c>
      <c r="Q18" t="str">
        <f>IFERROR(MATCH(_xlfn.AGGREGATE(14,6,$P$5:$P$19,14),$P$5:$P$19,0),"")</f>
        <v/>
      </c>
      <c r="S18" t="str">
        <f t="shared" si="0"/>
        <v/>
      </c>
      <c r="T18" t="str">
        <f t="shared" si="0"/>
        <v/>
      </c>
      <c r="U18" t="str">
        <f t="shared" si="0"/>
        <v/>
      </c>
      <c r="V18" t="str">
        <f t="shared" si="0"/>
        <v/>
      </c>
      <c r="W18" t="str">
        <f t="shared" si="0"/>
        <v/>
      </c>
      <c r="X18" t="str">
        <f t="shared" si="0"/>
        <v/>
      </c>
      <c r="Y18" t="str">
        <f t="shared" si="0"/>
        <v/>
      </c>
      <c r="Z18" t="str">
        <f t="shared" si="0"/>
        <v/>
      </c>
      <c r="AA18" t="str">
        <f t="shared" si="0"/>
        <v/>
      </c>
      <c r="AB18" t="str">
        <f t="shared" si="0"/>
        <v/>
      </c>
      <c r="AC18" t="str">
        <f t="shared" si="1"/>
        <v/>
      </c>
      <c r="AD18" t="str">
        <f t="shared" si="1"/>
        <v/>
      </c>
      <c r="AE18" t="str">
        <f t="shared" si="1"/>
        <v/>
      </c>
      <c r="AF18" t="str">
        <f t="shared" si="1"/>
        <v/>
      </c>
      <c r="AG18" t="str">
        <f t="shared" si="1"/>
        <v/>
      </c>
      <c r="AH18" t="str">
        <f t="shared" si="1"/>
        <v/>
      </c>
      <c r="AI18" t="str">
        <f t="shared" si="1"/>
        <v/>
      </c>
      <c r="AJ18" t="str">
        <f t="shared" si="1"/>
        <v/>
      </c>
      <c r="AK18" t="str">
        <f t="shared" si="1"/>
        <v/>
      </c>
      <c r="AL18" t="str">
        <f t="shared" si="1"/>
        <v/>
      </c>
      <c r="AM18" t="str">
        <f t="shared" si="1"/>
        <v/>
      </c>
      <c r="AN18" t="str">
        <f t="shared" si="1"/>
        <v/>
      </c>
      <c r="AO18" t="str">
        <f t="shared" si="1"/>
        <v/>
      </c>
      <c r="AP18" t="str">
        <f t="shared" si="1"/>
        <v/>
      </c>
      <c r="AQ18" t="str">
        <f t="shared" si="1"/>
        <v/>
      </c>
    </row>
    <row r="19" spans="1:43" x14ac:dyDescent="0.4">
      <c r="A19" s="134" t="str">
        <f>IF($Q$8="","",INDEX(posID,$Q$8))</f>
        <v>NFR-03</v>
      </c>
      <c r="B19" s="108"/>
      <c r="C19" s="136" t="str">
        <f>IF($Q$8="","",INDEX(posNome,$Q$8)&amp;IF(INDEX(ANA_Attenzione_Supervisore,$Q$8)="Sì","  ◆",""))</f>
        <v>Greenwashing nella commercializzazione di prodotti ESG</v>
      </c>
      <c r="D19" s="108"/>
      <c r="E19" s="108"/>
      <c r="F19" s="39" t="str">
        <f>IF($Q$8="","",INDEX(posProbabilita,$Q$8)&amp;" · "&amp;INDEX(posSeverity,$Q$8))</f>
        <v>3 · 3</v>
      </c>
      <c r="G19" s="39">
        <f>IF($Q$8="","",INDEX($N$5:$N$19,$Q$8))</f>
        <v>9</v>
      </c>
      <c r="L19" t="str">
        <f>INDEX(posID,15)&amp;""</f>
        <v/>
      </c>
      <c r="M19" t="str">
        <f>IF(AND(ISNUMBER(INDEX(posProbabilita,15)),ISNUMBER(INDEX(posSeverity,15))),INDEX(posProbabilita,15)*10+INDEX(posSeverity,15),"")</f>
        <v/>
      </c>
      <c r="N19" t="str">
        <f>IF(M19="","",INDEX(posProbabilita,15)*INDEX(posSeverity,15))</f>
        <v/>
      </c>
      <c r="O19" t="str">
        <f>IF(M19="","",L19&amp;IF(INDEX(ANA_Attenzione_Supervisore,15)="Sì"," ◆",""))</f>
        <v/>
      </c>
      <c r="P19" t="str">
        <f>IF(N19="","",N19-15/1000)</f>
        <v/>
      </c>
      <c r="Q19" t="str">
        <f>IFERROR(MATCH(_xlfn.AGGREGATE(14,6,$P$5:$P$19,15),$P$5:$P$19,0),"")</f>
        <v/>
      </c>
      <c r="S19" t="str">
        <f t="shared" si="0"/>
        <v/>
      </c>
      <c r="T19" t="str">
        <f t="shared" si="0"/>
        <v/>
      </c>
      <c r="U19" t="str">
        <f t="shared" si="0"/>
        <v/>
      </c>
      <c r="V19" t="str">
        <f t="shared" si="0"/>
        <v/>
      </c>
      <c r="W19" t="str">
        <f t="shared" si="0"/>
        <v/>
      </c>
      <c r="X19" t="str">
        <f t="shared" si="0"/>
        <v/>
      </c>
      <c r="Y19" t="str">
        <f t="shared" si="0"/>
        <v/>
      </c>
      <c r="Z19" t="str">
        <f t="shared" si="0"/>
        <v/>
      </c>
      <c r="AA19" t="str">
        <f t="shared" si="0"/>
        <v/>
      </c>
      <c r="AB19" t="str">
        <f t="shared" si="0"/>
        <v/>
      </c>
      <c r="AC19" t="str">
        <f t="shared" si="1"/>
        <v/>
      </c>
      <c r="AD19" t="str">
        <f t="shared" si="1"/>
        <v/>
      </c>
      <c r="AE19" t="str">
        <f t="shared" si="1"/>
        <v/>
      </c>
      <c r="AF19" t="str">
        <f t="shared" si="1"/>
        <v/>
      </c>
      <c r="AG19" t="str">
        <f t="shared" si="1"/>
        <v/>
      </c>
      <c r="AH19" t="str">
        <f t="shared" si="1"/>
        <v/>
      </c>
      <c r="AI19" t="str">
        <f t="shared" si="1"/>
        <v/>
      </c>
      <c r="AJ19" t="str">
        <f t="shared" si="1"/>
        <v/>
      </c>
      <c r="AK19" t="str">
        <f t="shared" si="1"/>
        <v/>
      </c>
      <c r="AL19" t="str">
        <f t="shared" si="1"/>
        <v/>
      </c>
      <c r="AM19" t="str">
        <f t="shared" si="1"/>
        <v/>
      </c>
      <c r="AN19" t="str">
        <f t="shared" si="1"/>
        <v/>
      </c>
      <c r="AO19" t="str">
        <f t="shared" si="1"/>
        <v/>
      </c>
      <c r="AP19" t="str">
        <f t="shared" si="1"/>
        <v/>
      </c>
      <c r="AQ19" t="str">
        <f t="shared" si="1"/>
        <v/>
      </c>
    </row>
    <row r="20" spans="1:43" x14ac:dyDescent="0.4">
      <c r="A20" s="134" t="str">
        <f>IF($Q$9="","",INDEX(posID,$Q$9))</f>
        <v>NFR-04</v>
      </c>
      <c r="B20" s="108"/>
      <c r="C20" s="136" t="str">
        <f>IF($Q$9="","",INDEX(posNome,$Q$9)&amp;IF(INDEX(ANA_Attenzione_Supervisore,$Q$9)="Sì","  ◆",""))</f>
        <v>Eventi climatici estremi su sedi e data center</v>
      </c>
      <c r="D20" s="108"/>
      <c r="E20" s="108"/>
      <c r="F20" s="39" t="str">
        <f>IF($Q$9="","",INDEX(posProbabilita,$Q$9)&amp;" · "&amp;INDEX(posSeverity,$Q$9))</f>
        <v>3 · 3</v>
      </c>
      <c r="G20" s="39">
        <f>IF($Q$9="","",INDEX($N$5:$N$19,$Q$9))</f>
        <v>9</v>
      </c>
    </row>
    <row r="21" spans="1:43" x14ac:dyDescent="0.4">
      <c r="A21" s="134" t="str">
        <f>IF($Q$10="","",INDEX(posID,$Q$10))</f>
        <v>NFR-05</v>
      </c>
      <c r="B21" s="108"/>
      <c r="C21" s="136" t="str">
        <f>IF($Q$10="","",INDEX(posNome,$Q$10)&amp;IF(INDEX(ANA_Attenzione_Supervisore,$Q$10)="Sì","  ◆",""))</f>
        <v>Errori di processo nella migrazione del core banking</v>
      </c>
      <c r="D21" s="108"/>
      <c r="E21" s="108"/>
      <c r="F21" s="39" t="str">
        <f>IF($Q$10="","",INDEX(posProbabilita,$Q$10)&amp;" · "&amp;INDEX(posSeverity,$Q$10))</f>
        <v>3 · 3</v>
      </c>
      <c r="G21" s="39">
        <f>IF($Q$10="","",INDEX($N$5:$N$19,$Q$10))</f>
        <v>9</v>
      </c>
    </row>
    <row r="22" spans="1:43" x14ac:dyDescent="0.4">
      <c r="A22" s="134" t="str">
        <f>IF($Q$11="","",INDEX(posID,$Q$11))</f>
        <v>NFR-06</v>
      </c>
      <c r="B22" s="108"/>
      <c r="C22" s="136" t="str">
        <f>IF($Q$11="","",INDEX(posNome,$Q$11)&amp;IF(INDEX(ANA_Attenzione_Supervisore,$Q$11)="Sì","  ◆",""))</f>
        <v>Esfiltrazione di dati tramite strumenti di AI non autorizzati</v>
      </c>
      <c r="D22" s="108"/>
      <c r="E22" s="108"/>
      <c r="F22" s="39" t="str">
        <f>IF($Q$11="","",INDEX(posProbabilita,$Q$11)&amp;" · "&amp;INDEX(posSeverity,$Q$11))</f>
        <v>3 · 3</v>
      </c>
      <c r="G22" s="39">
        <f>IF($Q$11="","",INDEX($N$5:$N$19,$Q$11))</f>
        <v>9</v>
      </c>
    </row>
    <row r="23" spans="1:43" x14ac:dyDescent="0.4">
      <c r="A23" s="134" t="str">
        <f>IF($Q$12="","",INDEX(posID,$Q$12))</f>
        <v>NFR-10</v>
      </c>
      <c r="B23" s="108"/>
      <c r="C23" s="136" t="str">
        <f>IF($Q$12="","",INDEX(posNome,$Q$12)&amp;IF(INDEX(ANA_Attenzione_Supervisore,$Q$12)="Sì","  ◆",""))</f>
        <v>Informazioni errate ai clienti da assistenti di AI generativa</v>
      </c>
      <c r="D23" s="108"/>
      <c r="E23" s="108"/>
      <c r="F23" s="39" t="str">
        <f>IF($Q$12="","",INDEX(posProbabilita,$Q$12)&amp;" · "&amp;INDEX(posSeverity,$Q$12))</f>
        <v>3 · 3</v>
      </c>
      <c r="G23" s="39">
        <f>IF($Q$12="","",INDEX($N$5:$N$19,$Q$12))</f>
        <v>9</v>
      </c>
    </row>
    <row r="24" spans="1:43" x14ac:dyDescent="0.4">
      <c r="A24" s="134" t="str">
        <f>IF($Q$13="","",INDEX(posID,$Q$13))</f>
        <v>NFR-11</v>
      </c>
      <c r="B24" s="108"/>
      <c r="C24" s="136" t="str">
        <f>IF($Q$13="","",INDEX(posNome,$Q$13)&amp;IF(INDEX(ANA_Attenzione_Supervisore,$Q$13)="Sì","  ◆",""))</f>
        <v>Fine del supporto dei sistemi di pagamento legacy</v>
      </c>
      <c r="D24" s="108"/>
      <c r="E24" s="108"/>
      <c r="F24" s="39" t="str">
        <f>IF($Q$13="","",INDEX(posProbabilita,$Q$13)&amp;" · "&amp;INDEX(posSeverity,$Q$13))</f>
        <v>3 · 3</v>
      </c>
      <c r="G24" s="39">
        <f>IF($Q$13="","",INDEX($N$5:$N$19,$Q$13))</f>
        <v>9</v>
      </c>
    </row>
    <row r="25" spans="1:43" x14ac:dyDescent="0.4">
      <c r="A25" s="134" t="str">
        <f>IF($Q$14="","",INDEX(posID,$Q$14))</f>
        <v>NFR-02</v>
      </c>
      <c r="B25" s="108"/>
      <c r="C25" s="136" t="str">
        <f>IF($Q$14="","",INDEX(posNome,$Q$14)&amp;IF(INDEX(ANA_Attenzione_Supervisore,$Q$14)="Sì","  ◆",""))</f>
        <v>Concentrazione su un fornitore cloud critico  ◆</v>
      </c>
      <c r="D25" s="108"/>
      <c r="E25" s="108"/>
      <c r="F25" s="39" t="str">
        <f>IF($Q$14="","",INDEX(posProbabilita,$Q$14)&amp;" · "&amp;INDEX(posSeverity,$Q$14))</f>
        <v>2 · 4</v>
      </c>
      <c r="G25" s="39">
        <f>IF($Q$14="","",INDEX($N$5:$N$19,$Q$14))</f>
        <v>8</v>
      </c>
    </row>
    <row r="26" spans="1:43" x14ac:dyDescent="0.4">
      <c r="A26" s="134" t="str">
        <f>IF($Q$15="","",INDEX(posID,$Q$15))</f>
        <v>NFR-09</v>
      </c>
      <c r="B26" s="108"/>
      <c r="C26" s="136" t="str">
        <f>IF($Q$15="","",INDEX(posNome,$Q$15)&amp;IF(INDEX(ANA_Attenzione_Supervisore,$Q$15)="Sì","  ◆",""))</f>
        <v>Violazione di sanzioni internazionali tramite triangolazioni  ◆</v>
      </c>
      <c r="D26" s="108"/>
      <c r="E26" s="108"/>
      <c r="F26" s="39" t="str">
        <f>IF($Q$15="","",INDEX(posProbabilita,$Q$15)&amp;" · "&amp;INDEX(posSeverity,$Q$15))</f>
        <v>2 · 4</v>
      </c>
      <c r="G26" s="39">
        <f>IF($Q$15="","",INDEX($N$5:$N$19,$Q$15))</f>
        <v>8</v>
      </c>
    </row>
    <row r="27" spans="1:43" x14ac:dyDescent="0.4">
      <c r="A27" s="134" t="str">
        <f>IF($Q$16="","",INDEX(posID,$Q$16))</f>
        <v>NFR-08</v>
      </c>
      <c r="B27" s="108"/>
      <c r="C27" s="136" t="str">
        <f>IF($Q$16="","",INDEX(posNome,$Q$16)&amp;IF(INDEX(ANA_Attenzione_Supervisore,$Q$16)="Sì","  ◆",""))</f>
        <v>Accessi impropri di dipendenti ai dati dei clienti</v>
      </c>
      <c r="D27" s="108"/>
      <c r="E27" s="108"/>
      <c r="F27" s="39" t="str">
        <f>IF($Q$16="","",INDEX(posProbabilita,$Q$16)&amp;" · "&amp;INDEX(posSeverity,$Q$16))</f>
        <v>2 · 3</v>
      </c>
      <c r="G27" s="39">
        <f>IF($Q$16="","",INDEX($N$5:$N$19,$Q$16))</f>
        <v>6</v>
      </c>
    </row>
    <row r="28" spans="1:43" x14ac:dyDescent="0.4">
      <c r="A28" s="134" t="str">
        <f>IF($Q$17="","",INDEX(posID,$Q$17))</f>
        <v/>
      </c>
      <c r="B28" s="108"/>
      <c r="C28" s="136" t="str">
        <f>IF($Q$17="","",INDEX(posNome,$Q$17)&amp;IF(INDEX(ANA_Attenzione_Supervisore,$Q$17)="Sì","  ◆",""))</f>
        <v/>
      </c>
      <c r="D28" s="108"/>
      <c r="E28" s="108"/>
      <c r="F28" s="39" t="str">
        <f>IF($Q$17="","",INDEX(posProbabilita,$Q$17)&amp;" · "&amp;INDEX(posSeverity,$Q$17))</f>
        <v/>
      </c>
      <c r="G28" s="39" t="str">
        <f>IF($Q$17="","",INDEX($N$5:$N$19,$Q$17))</f>
        <v/>
      </c>
    </row>
    <row r="29" spans="1:43" x14ac:dyDescent="0.4">
      <c r="A29" s="134" t="str">
        <f>IF($Q$18="","",INDEX(posID,$Q$18))</f>
        <v/>
      </c>
      <c r="B29" s="108"/>
      <c r="C29" s="136" t="str">
        <f>IF($Q$18="","",INDEX(posNome,$Q$18)&amp;IF(INDEX(ANA_Attenzione_Supervisore,$Q$18)="Sì","  ◆",""))</f>
        <v/>
      </c>
      <c r="D29" s="108"/>
      <c r="E29" s="108"/>
      <c r="F29" s="39" t="str">
        <f>IF($Q$18="","",INDEX(posProbabilita,$Q$18)&amp;" · "&amp;INDEX(posSeverity,$Q$18))</f>
        <v/>
      </c>
      <c r="G29" s="39" t="str">
        <f>IF($Q$18="","",INDEX($N$5:$N$19,$Q$18))</f>
        <v/>
      </c>
    </row>
    <row r="30" spans="1:43" x14ac:dyDescent="0.4">
      <c r="A30" s="134" t="str">
        <f>IF($Q$19="","",INDEX(posID,$Q$19))</f>
        <v/>
      </c>
      <c r="B30" s="108"/>
      <c r="C30" s="136" t="str">
        <f>IF($Q$19="","",INDEX(posNome,$Q$19)&amp;IF(INDEX(ANA_Attenzione_Supervisore,$Q$19)="Sì","  ◆",""))</f>
        <v/>
      </c>
      <c r="D30" s="108"/>
      <c r="E30" s="108"/>
      <c r="F30" s="39" t="str">
        <f>IF($Q$19="","",INDEX(posProbabilita,$Q$19)&amp;" · "&amp;INDEX(posSeverity,$Q$19))</f>
        <v/>
      </c>
      <c r="G30" s="39" t="str">
        <f>IF($Q$19="","",INDEX($N$5:$N$19,$Q$19))</f>
        <v/>
      </c>
    </row>
    <row r="32" spans="1:43" ht="26.05" customHeight="1" x14ac:dyDescent="0.4">
      <c r="A32" s="123" t="s">
        <v>210</v>
      </c>
      <c r="B32" s="98"/>
      <c r="C32" s="98"/>
      <c r="D32" s="98"/>
      <c r="E32" s="98"/>
      <c r="F32" s="98"/>
      <c r="G32" s="98"/>
    </row>
  </sheetData>
  <mergeCells count="36">
    <mergeCell ref="C24:E24"/>
    <mergeCell ref="A20:B20"/>
    <mergeCell ref="A29:B29"/>
    <mergeCell ref="A19:B19"/>
    <mergeCell ref="A28:B28"/>
    <mergeCell ref="C26:E26"/>
    <mergeCell ref="C29:E29"/>
    <mergeCell ref="C20:E20"/>
    <mergeCell ref="C25:E25"/>
    <mergeCell ref="A21:B21"/>
    <mergeCell ref="C28:E28"/>
    <mergeCell ref="A1:G1"/>
    <mergeCell ref="C19:E19"/>
    <mergeCell ref="C18:E18"/>
    <mergeCell ref="A23:B23"/>
    <mergeCell ref="A17:B17"/>
    <mergeCell ref="A2:G2"/>
    <mergeCell ref="C16:E16"/>
    <mergeCell ref="C15:E15"/>
    <mergeCell ref="A22:B22"/>
    <mergeCell ref="A32:G32"/>
    <mergeCell ref="A14:G14"/>
    <mergeCell ref="A24:B24"/>
    <mergeCell ref="A30:B30"/>
    <mergeCell ref="A15:B15"/>
    <mergeCell ref="C22:E22"/>
    <mergeCell ref="C21:E21"/>
    <mergeCell ref="A16:B16"/>
    <mergeCell ref="C27:E27"/>
    <mergeCell ref="A25:B25"/>
    <mergeCell ref="C23:E23"/>
    <mergeCell ref="C17:E17"/>
    <mergeCell ref="A18:B18"/>
    <mergeCell ref="A27:B27"/>
    <mergeCell ref="A26:B26"/>
    <mergeCell ref="C30:E30"/>
  </mergeCells>
  <conditionalFormatting sqref="G16:G30">
    <cfRule type="expression" dxfId="58" priority="1">
      <formula>AND(ISNUMBER(G16),G16&gt;=15)</formula>
    </cfRule>
    <cfRule type="expression" dxfId="57" priority="2">
      <formula>AND(ISNUMBER(G16),G16&gt;=8,G16&lt;15)</formula>
    </cfRule>
    <cfRule type="expression" dxfId="56" priority="3">
      <formula>AND(ISNUMBER(G16),G16&lt;8)</formula>
    </cfRule>
  </conditionalFormatting>
  <pageMargins left="0.4" right="0.4" top="1" bottom="1" header="0.5" footer="0.5"/>
  <pageSetup paperSize="9" orientation="landscape"/>
  <headerFooter>
    <oddHeader>&amp;L&amp;A&amp;CUso interno&amp;RHorizon Scan NFR</oddHeader>
    <oddFooter>&amp;L&amp;F&amp;RPagina &amp;P di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  <pageSetUpPr fitToPage="1"/>
  </sheetPr>
  <dimension ref="A1:AT42"/>
  <sheetViews>
    <sheetView showGridLines="0" workbookViewId="0"/>
  </sheetViews>
  <sheetFormatPr defaultRowHeight="14.6" x14ac:dyDescent="0.4"/>
  <cols>
    <col min="1" max="1" width="9" customWidth="1"/>
    <col min="2" max="2" width="30" customWidth="1"/>
    <col min="3" max="9" width="10" customWidth="1"/>
    <col min="10" max="10" width="2" customWidth="1"/>
    <col min="11" max="11" width="8" customWidth="1"/>
    <col min="12" max="12" width="7" customWidth="1"/>
    <col min="13" max="17" width="14" customWidth="1"/>
    <col min="30" max="43" width="13" hidden="1" customWidth="1"/>
    <col min="46" max="46" width="13" hidden="1" customWidth="1"/>
  </cols>
  <sheetData>
    <row r="1" spans="1:46" ht="28" customHeight="1" x14ac:dyDescent="0.4">
      <c r="A1" s="126" t="str">
        <f>"Horizon Scan NFR — Delta: che cosa e' cambiato dal ciclo precedente   ·   "&amp;etichettaCiclo</f>
        <v>Horizon Scan NFR — Delta: che cosa e' cambiato dal ciclo precedente   ·   Ciclo 2026Q3 · dati al 30/09/2026 · validato · Uso interno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</row>
    <row r="2" spans="1:46" ht="45.55" customHeight="1" x14ac:dyDescent="0.4">
      <c r="A2" s="112" t="s">
        <v>211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AT2" t="str">
        <f>COUNTIF($AK$5:$AK$19,"&gt;0")&amp;" in aumento, "&amp;COUNTIF($AK$5:$AK$19,"&lt;0")&amp;" in diminuzione, "&amp;COUNTIF($AK$5:$AK$19,0)&amp;" invariati"</f>
        <v>1 in aumento, 2 in diminuzione, 9 invariati</v>
      </c>
    </row>
    <row r="4" spans="1:46" ht="15.9" x14ac:dyDescent="0.45">
      <c r="K4" s="109" t="s">
        <v>212</v>
      </c>
      <c r="L4" s="110"/>
      <c r="M4" s="110"/>
      <c r="N4" s="110"/>
      <c r="O4" s="110"/>
      <c r="P4" s="110"/>
      <c r="Q4" s="110"/>
      <c r="AD4" t="s">
        <v>148</v>
      </c>
      <c r="AE4" t="s">
        <v>213</v>
      </c>
      <c r="AF4" t="s">
        <v>214</v>
      </c>
      <c r="AG4" t="s">
        <v>215</v>
      </c>
      <c r="AH4" t="s">
        <v>216</v>
      </c>
      <c r="AI4" t="s">
        <v>217</v>
      </c>
      <c r="AJ4" t="s">
        <v>218</v>
      </c>
      <c r="AK4" t="s">
        <v>219</v>
      </c>
      <c r="AL4" t="s">
        <v>220</v>
      </c>
      <c r="AM4" t="s">
        <v>147</v>
      </c>
      <c r="AN4" t="s">
        <v>221</v>
      </c>
      <c r="AO4" t="s">
        <v>222</v>
      </c>
      <c r="AP4" t="s">
        <v>223</v>
      </c>
      <c r="AQ4" t="s">
        <v>224</v>
      </c>
    </row>
    <row r="5" spans="1:46" x14ac:dyDescent="0.4">
      <c r="K5" s="38" t="s">
        <v>18</v>
      </c>
      <c r="L5" s="38" t="s">
        <v>225</v>
      </c>
      <c r="M5" s="135" t="s">
        <v>226</v>
      </c>
      <c r="N5" s="98"/>
      <c r="O5" s="98"/>
      <c r="P5" s="98"/>
      <c r="Q5" s="98"/>
      <c r="AD5" t="str">
        <f>INDEX(posID,1)&amp;""</f>
        <v>NFR-01</v>
      </c>
      <c r="AE5">
        <f t="shared" ref="AE5:AE19" si="0">IF($AD5="",NA(),IF(COUNTIFS(RR_ID_Rischio,$AD5,RR_Ciclo,cicloCorrente)*COUNTIFS(RR_ID_Rischio,$AD5,RR_Ciclo,cicloPrecedente)=0,NA(),SUMIFS(RR_Severity,RR_ID_Rischio,$AD5,RR_Ciclo,cicloCorrente)-SUMIFS(RR_Severity,RR_ID_Rischio,$AD5,RR_Ciclo,cicloPrecedente)))</f>
        <v>0</v>
      </c>
      <c r="AF5">
        <f t="shared" ref="AF5:AF19" si="1">IF($AD5="",NA(),IF(COUNTIFS(RR_ID_Rischio,$AD5,RR_Ciclo,cicloCorrente)*COUNTIFS(RR_ID_Rischio,$AD5,RR_Ciclo,cicloPrecedente)=0,NA(),SUMIFS(RR_Velocity,RR_ID_Rischio,$AD5,RR_Ciclo,cicloCorrente)-SUMIFS(RR_Velocity,RR_ID_Rischio,$AD5,RR_Ciclo,cicloPrecedente)))</f>
        <v>0</v>
      </c>
      <c r="AG5">
        <f t="shared" ref="AG5:AG19" si="2">IF($AD5="",NA(),IF(COUNTIFS(RR_ID_Rischio,$AD5,RR_Ciclo,cicloCorrente)*COUNTIFS(RR_ID_Rischio,$AD5,RR_Ciclo,cicloPrecedente)=0,NA(),SUMIFS(RR_Prossimita,RR_ID_Rischio,$AD5,RR_Ciclo,cicloCorrente)-SUMIFS(RR_Prossimita,RR_ID_Rischio,$AD5,RR_Ciclo,cicloPrecedente)))</f>
        <v>0</v>
      </c>
      <c r="AH5">
        <f t="shared" ref="AH5:AH19" si="3">IF($AD5="",NA(),IF(COUNTIFS(RR_ID_Rischio,$AD5,RR_Ciclo,cicloCorrente)*COUNTIFS(RR_ID_Rischio,$AD5,RR_Ciclo,cicloPrecedente)=0,NA(),SUMIFS(RR_Gap_Controlli,RR_ID_Rischio,$AD5,RR_Ciclo,cicloCorrente)-SUMIFS(RR_Gap_Controlli,RR_ID_Rischio,$AD5,RR_Ciclo,cicloPrecedente)))</f>
        <v>0</v>
      </c>
      <c r="AI5">
        <f t="shared" ref="AI5:AI19" si="4">IF($AD5="",NA(),IF(COUNTIFS(RR_ID_Rischio,$AD5,RR_Ciclo,cicloCorrente)*COUNTIFS(RR_ID_Rischio,$AD5,RR_Ciclo,cicloPrecedente)=0,NA(),SUMIFS(RR_Confidence,RR_ID_Rischio,$AD5,RR_Ciclo,cicloCorrente)-SUMIFS(RR_Confidence,RR_ID_Rischio,$AD5,RR_Ciclo,cicloPrecedente)))</f>
        <v>0</v>
      </c>
      <c r="AJ5">
        <f t="shared" ref="AJ5:AJ19" si="5">IF($AD5="",NA(),IF(COUNTIFS(RR_ID_Rischio,$AD5,RR_Ciclo,cicloCorrente)*COUNTIFS(RR_ID_Rischio,$AD5,RR_Ciclo,cicloPrecedente)=0,NA(),SUMIFS(RR_Probabilita,RR_ID_Rischio,$AD5,RR_Ciclo,cicloCorrente)-SUMIFS(RR_Probabilita,RR_ID_Rischio,$AD5,RR_Ciclo,cicloPrecedente)))</f>
        <v>0</v>
      </c>
      <c r="AK5">
        <f t="shared" ref="AK5:AK19" si="6">IF($AD5="",NA(),IF(COUNTIFS(RR_ID_Rischio,$AD5,RR_Ciclo,cicloCorrente)*COUNTIFS(RR_ID_Rischio,$AD5,RR_Ciclo,cicloPrecedente)=0,NA(),SUMIFS(RR_Score_Composito,RR_ID_Rischio,$AD5,RR_Ciclo,cicloCorrente)-SUMIFS(RR_Score_Composito,RR_ID_Rischio,$AD5,RR_Ciclo,cicloPrecedente)))</f>
        <v>0</v>
      </c>
      <c r="AL5">
        <f>IF($AD5="","",IF(ISNUMBER(AK5),AK5,-9)-1/100000)</f>
        <v>-1.0000000000000001E-5</v>
      </c>
      <c r="AM5">
        <f>IFERROR(MATCH(_xlfn.AGGREGATE(14,6,$AL$5:$AL$19,1),$AL$5:$AL$19,0),"")</f>
        <v>3</v>
      </c>
      <c r="AN5" t="str">
        <f t="shared" ref="AN5:AN19" si="7">IF($AM5="","",INDEX(posID,$AM5)&amp;"  "&amp;LEFT(INDEX(posNome,$AM5),30))</f>
        <v>NFR-03  Greenwashing nella commerciali</v>
      </c>
      <c r="AO5" s="40">
        <f t="shared" ref="AO5:AO19" si="8">IF($AM5="",NA(),IF(ISNUMBER(INDEX($AK$5:$AK$19,$AM5)),IF(INDEX($AK$5:$AK$19,$AM5)&gt;0,INDEX($AK$5:$AK$19,$AM5),0),NA()))</f>
        <v>0.14999999999999991</v>
      </c>
      <c r="AP5" s="40">
        <f t="shared" ref="AP5:AP19" si="9">IF($AM5="",NA(),IF(ISNUMBER(INDEX($AK$5:$AK$19,$AM5)),IF(INDEX($AK$5:$AK$19,$AM5)&lt;0,INDEX($AK$5:$AK$19,$AM5),0),NA()))</f>
        <v>0</v>
      </c>
      <c r="AQ5" s="40" t="e">
        <f t="shared" ref="AQ5:AQ19" si="10">IF($AM5="",NA(),IF(ISNUMBER(INDEX($AK$5:$AK$19,$AM5)),IF(INDEX($AK$5:$AK$19,$AM5)=0,0,NA()),NA()))</f>
        <v>#N/A</v>
      </c>
    </row>
    <row r="6" spans="1:46" ht="26.6" customHeight="1" x14ac:dyDescent="0.4">
      <c r="K6" s="41" t="str">
        <f>IF($AM$5="","",INDEX(posID,$AM$5))</f>
        <v>NFR-03</v>
      </c>
      <c r="L6" s="42">
        <f>IF($AM$5="","",IFERROR(INDEX($AK$5:$AK$19,$AM$5),"nuovo"))</f>
        <v>0.14999999999999991</v>
      </c>
      <c r="M6" s="137" t="str">
        <f>IF($AM$5="","",IFERROR(IF(INDEX(RR_Esito,MATCH(cicloCorrente&amp;"|"&amp;INDEX(posID,$AM$5),RR_Chiave,0))="Nuovo","Rischio nuovo nel ciclo.",IF(INDEX(RR_Variazioni,MATCH(cicloCorrente&amp;"|"&amp;INDEX(posID,$AM$5),RR_Chiave,0))&amp;""="[]","Invariato: nessuna evidenza nuova dopo il ciclo precedente; restano valide le sue fonti.",SUBSTITUTE(SUBSTITUTE(SUBSTITUTE(SUBSTITUTE(SUBSTITUTE(SUBSTITUTE(SUBSTITUTE(SUBSTITUTE(SUBSTITUTE(SUBSTITUTE(SUBSTITUTE(SUBSTITUTE(SUBSTITUTE(INDEX(RR_Variazioni,MATCH(cicloCorrente&amp;"|"&amp;INDEX(posID,$AM$5),RR_Chiave,0))&amp;"","[{""dimensione"":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Probabilita"))),"Non valutato nel ciclo."))</f>
        <v>• Prossimita 3 → 4: Il 22 luglio 2026 l'autorita' ha sanzionato una banca italiana comparabile per claim ambientali non sostanziati su fondi ESG distribuiti alla clientela retail. (2026-07-22)</v>
      </c>
      <c r="N6" s="129"/>
      <c r="O6" s="129"/>
      <c r="P6" s="129"/>
      <c r="Q6" s="129"/>
      <c r="AD6" t="str">
        <f>INDEX(posID,2)&amp;""</f>
        <v>NFR-02</v>
      </c>
      <c r="AE6">
        <f t="shared" si="0"/>
        <v>0</v>
      </c>
      <c r="AF6">
        <f t="shared" si="1"/>
        <v>0</v>
      </c>
      <c r="AG6">
        <f t="shared" si="2"/>
        <v>0</v>
      </c>
      <c r="AH6">
        <f t="shared" si="3"/>
        <v>-1</v>
      </c>
      <c r="AI6">
        <f t="shared" si="4"/>
        <v>1</v>
      </c>
      <c r="AJ6">
        <f t="shared" si="5"/>
        <v>0</v>
      </c>
      <c r="AK6">
        <f t="shared" si="6"/>
        <v>-0.20000000000000018</v>
      </c>
      <c r="AL6">
        <f>IF($AD6="","",IF(ISNUMBER(AK6),AK6,-9)-2/100000)</f>
        <v>-0.20002000000000017</v>
      </c>
      <c r="AM6">
        <f>IFERROR(MATCH(_xlfn.AGGREGATE(14,6,$AL$5:$AL$19,2),$AL$5:$AL$19,0),"")</f>
        <v>1</v>
      </c>
      <c r="AN6" t="str">
        <f t="shared" si="7"/>
        <v xml:space="preserve">NFR-01  Frodi su pagamenti istantanei </v>
      </c>
      <c r="AO6" s="40">
        <f t="shared" si="8"/>
        <v>0</v>
      </c>
      <c r="AP6" s="40">
        <f t="shared" si="9"/>
        <v>0</v>
      </c>
      <c r="AQ6" s="40">
        <f t="shared" si="10"/>
        <v>0</v>
      </c>
    </row>
    <row r="7" spans="1:46" ht="16.5" customHeight="1" x14ac:dyDescent="0.4">
      <c r="K7" s="41" t="str">
        <f>IF($AM$6="","",INDEX(posID,$AM$6))</f>
        <v>NFR-01</v>
      </c>
      <c r="L7" s="42">
        <f>IF($AM$6="","",IFERROR(INDEX($AK$5:$AK$19,$AM$6),"nuovo"))</f>
        <v>0</v>
      </c>
      <c r="M7" s="137" t="str">
        <f>IF($AM$6="","",IFERROR(IF(INDEX(RR_Esito,MATCH(cicloCorrente&amp;"|"&amp;INDEX(posID,$AM$6),RR_Chiave,0))="Nuovo","Rischio nuovo nel ciclo.",IF(INDEX(RR_Variazioni,MATCH(cicloCorrente&amp;"|"&amp;INDEX(posID,$AM$6),RR_Chiave,0))&amp;""="[]","Invariato: nessuna evidenza nuova dopo il ciclo precedente; restano valide le sue fonti.",SUBSTITUTE(SUBSTITUTE(SUBSTITUTE(SUBSTITUTE(SUBSTITUTE(SUBSTITUTE(SUBSTITUTE(SUBSTITUTE(SUBSTITUTE(SUBSTITUTE(SUBSTITUTE(SUBSTITUTE(SUBSTITUTE(INDEX(RR_Variazioni,MATCH(cicloCorrente&amp;"|"&amp;INDEX(posID,$AM$6),RR_Chiave,0))&amp;"","[{""dimensione"":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Probabilita"))),"Non valutato nel ciclo."))</f>
        <v>Invariato: nessuna evidenza nuova dopo il ciclo precedente; restano valide le sue fonti.</v>
      </c>
      <c r="N7" s="129"/>
      <c r="O7" s="129"/>
      <c r="P7" s="129"/>
      <c r="Q7" s="129"/>
      <c r="AD7" t="str">
        <f>INDEX(posID,3)&amp;""</f>
        <v>NFR-03</v>
      </c>
      <c r="AE7">
        <f t="shared" si="0"/>
        <v>0</v>
      </c>
      <c r="AF7">
        <f t="shared" si="1"/>
        <v>0</v>
      </c>
      <c r="AG7">
        <f t="shared" si="2"/>
        <v>1</v>
      </c>
      <c r="AH7">
        <f t="shared" si="3"/>
        <v>0</v>
      </c>
      <c r="AI7">
        <f t="shared" si="4"/>
        <v>0</v>
      </c>
      <c r="AJ7">
        <f t="shared" si="5"/>
        <v>0</v>
      </c>
      <c r="AK7">
        <f t="shared" si="6"/>
        <v>0.14999999999999991</v>
      </c>
      <c r="AL7">
        <f>IF($AD7="","",IF(ISNUMBER(AK7),AK7,-9)-3/100000)</f>
        <v>0.14996999999999991</v>
      </c>
      <c r="AM7">
        <f>IFERROR(MATCH(_xlfn.AGGREGATE(14,6,$AL$5:$AL$19,3),$AL$5:$AL$19,0),"")</f>
        <v>4</v>
      </c>
      <c r="AN7" t="str">
        <f t="shared" si="7"/>
        <v>NFR-04  Eventi climatici estremi su se</v>
      </c>
      <c r="AO7" s="40">
        <f t="shared" si="8"/>
        <v>0</v>
      </c>
      <c r="AP7" s="40">
        <f t="shared" si="9"/>
        <v>0</v>
      </c>
      <c r="AQ7" s="40">
        <f t="shared" si="10"/>
        <v>0</v>
      </c>
    </row>
    <row r="8" spans="1:46" ht="16.5" customHeight="1" x14ac:dyDescent="0.4">
      <c r="K8" s="41" t="str">
        <f>IF($AM$7="","",INDEX(posID,$AM$7))</f>
        <v>NFR-04</v>
      </c>
      <c r="L8" s="42">
        <f>IF($AM$7="","",IFERROR(INDEX($AK$5:$AK$19,$AM$7),"nuovo"))</f>
        <v>0</v>
      </c>
      <c r="M8" s="137" t="str">
        <f>IF($AM$7="","",IFERROR(IF(INDEX(RR_Esito,MATCH(cicloCorrente&amp;"|"&amp;INDEX(posID,$AM$7),RR_Chiave,0))="Nuovo","Rischio nuovo nel ciclo.",IF(INDEX(RR_Variazioni,MATCH(cicloCorrente&amp;"|"&amp;INDEX(posID,$AM$7),RR_Chiave,0))&amp;""="[]","Invariato: nessuna evidenza nuova dopo il ciclo precedente; restano valide le sue fonti.",SUBSTITUTE(SUBSTITUTE(SUBSTITUTE(SUBSTITUTE(SUBSTITUTE(SUBSTITUTE(SUBSTITUTE(SUBSTITUTE(SUBSTITUTE(SUBSTITUTE(SUBSTITUTE(SUBSTITUTE(SUBSTITUTE(INDEX(RR_Variazioni,MATCH(cicloCorrente&amp;"|"&amp;INDEX(posID,$AM$7),RR_Chiave,0))&amp;"","[{""dimensione"":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Probabilita"))),"Non valutato nel ciclo."))</f>
        <v>Invariato: nessuna evidenza nuova dopo il ciclo precedente; restano valide le sue fonti.</v>
      </c>
      <c r="N8" s="129"/>
      <c r="O8" s="129"/>
      <c r="P8" s="129"/>
      <c r="Q8" s="129"/>
      <c r="AD8" t="str">
        <f>INDEX(posID,4)&amp;""</f>
        <v>NFR-04</v>
      </c>
      <c r="AE8">
        <f t="shared" si="0"/>
        <v>0</v>
      </c>
      <c r="AF8">
        <f t="shared" si="1"/>
        <v>0</v>
      </c>
      <c r="AG8">
        <f t="shared" si="2"/>
        <v>0</v>
      </c>
      <c r="AH8">
        <f t="shared" si="3"/>
        <v>0</v>
      </c>
      <c r="AI8">
        <f t="shared" si="4"/>
        <v>0</v>
      </c>
      <c r="AJ8">
        <f t="shared" si="5"/>
        <v>0</v>
      </c>
      <c r="AK8">
        <f t="shared" si="6"/>
        <v>0</v>
      </c>
      <c r="AL8">
        <f>IF($AD8="","",IF(ISNUMBER(AK8),AK8,-9)-4/100000)</f>
        <v>-4.0000000000000003E-5</v>
      </c>
      <c r="AM8">
        <f>IFERROR(MATCH(_xlfn.AGGREGATE(14,6,$AL$5:$AL$19,4),$AL$5:$AL$19,0),"")</f>
        <v>5</v>
      </c>
      <c r="AN8" t="str">
        <f t="shared" si="7"/>
        <v>NFR-05  Errori di processo nella migra</v>
      </c>
      <c r="AO8" s="40">
        <f t="shared" si="8"/>
        <v>0</v>
      </c>
      <c r="AP8" s="40">
        <f t="shared" si="9"/>
        <v>0</v>
      </c>
      <c r="AQ8" s="40">
        <f t="shared" si="10"/>
        <v>0</v>
      </c>
    </row>
    <row r="9" spans="1:46" ht="16.5" customHeight="1" x14ac:dyDescent="0.4">
      <c r="K9" s="41" t="str">
        <f>IF($AM$8="","",INDEX(posID,$AM$8))</f>
        <v>NFR-05</v>
      </c>
      <c r="L9" s="42">
        <f>IF($AM$8="","",IFERROR(INDEX($AK$5:$AK$19,$AM$8),"nuovo"))</f>
        <v>0</v>
      </c>
      <c r="M9" s="137" t="str">
        <f>IF($AM$8="","",IFERROR(IF(INDEX(RR_Esito,MATCH(cicloCorrente&amp;"|"&amp;INDEX(posID,$AM$8),RR_Chiave,0))="Nuovo","Rischio nuovo nel ciclo.",IF(INDEX(RR_Variazioni,MATCH(cicloCorrente&amp;"|"&amp;INDEX(posID,$AM$8),RR_Chiave,0))&amp;""="[]","Invariato: nessuna evidenza nuova dopo il ciclo precedente; restano valide le sue fonti.",SUBSTITUTE(SUBSTITUTE(SUBSTITUTE(SUBSTITUTE(SUBSTITUTE(SUBSTITUTE(SUBSTITUTE(SUBSTITUTE(SUBSTITUTE(SUBSTITUTE(SUBSTITUTE(SUBSTITUTE(SUBSTITUTE(INDEX(RR_Variazioni,MATCH(cicloCorrente&amp;"|"&amp;INDEX(posID,$AM$8),RR_Chiave,0))&amp;"","[{""dimensione"":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Probabilita"))),"Non valutato nel ciclo."))</f>
        <v>Invariato: nessuna evidenza nuova dopo il ciclo precedente; restano valide le sue fonti.</v>
      </c>
      <c r="N9" s="129"/>
      <c r="O9" s="129"/>
      <c r="P9" s="129"/>
      <c r="Q9" s="129"/>
      <c r="AD9" t="str">
        <f>INDEX(posID,5)&amp;""</f>
        <v>NFR-05</v>
      </c>
      <c r="AE9">
        <f t="shared" si="0"/>
        <v>0</v>
      </c>
      <c r="AF9">
        <f t="shared" si="1"/>
        <v>0</v>
      </c>
      <c r="AG9">
        <f t="shared" si="2"/>
        <v>0</v>
      </c>
      <c r="AH9">
        <f t="shared" si="3"/>
        <v>0</v>
      </c>
      <c r="AI9">
        <f t="shared" si="4"/>
        <v>0</v>
      </c>
      <c r="AJ9">
        <f t="shared" si="5"/>
        <v>0</v>
      </c>
      <c r="AK9">
        <f t="shared" si="6"/>
        <v>0</v>
      </c>
      <c r="AL9">
        <f>IF($AD9="","",IF(ISNUMBER(AK9),AK9,-9)-5/100000)</f>
        <v>-5.0000000000000002E-5</v>
      </c>
      <c r="AM9">
        <f>IFERROR(MATCH(_xlfn.AGGREGATE(14,6,$AL$5:$AL$19,5),$AL$5:$AL$19,0),"")</f>
        <v>7</v>
      </c>
      <c r="AN9" t="str">
        <f t="shared" si="7"/>
        <v>NFR-07  Ransomware presso un fornitore</v>
      </c>
      <c r="AO9" s="40">
        <f t="shared" si="8"/>
        <v>0</v>
      </c>
      <c r="AP9" s="40">
        <f t="shared" si="9"/>
        <v>0</v>
      </c>
      <c r="AQ9" s="40">
        <f t="shared" si="10"/>
        <v>0</v>
      </c>
    </row>
    <row r="10" spans="1:46" ht="16.5" customHeight="1" x14ac:dyDescent="0.4">
      <c r="K10" s="41" t="str">
        <f>IF($AM$9="","",INDEX(posID,$AM$9))</f>
        <v>NFR-07</v>
      </c>
      <c r="L10" s="42">
        <f>IF($AM$9="","",IFERROR(INDEX($AK$5:$AK$19,$AM$9),"nuovo"))</f>
        <v>0</v>
      </c>
      <c r="M10" s="137" t="str">
        <f>IF($AM$9="","",IFERROR(IF(INDEX(RR_Esito,MATCH(cicloCorrente&amp;"|"&amp;INDEX(posID,$AM$9),RR_Chiave,0))="Nuovo","Rischio nuovo nel ciclo.",IF(INDEX(RR_Variazioni,MATCH(cicloCorrente&amp;"|"&amp;INDEX(posID,$AM$9),RR_Chiave,0))&amp;""="[]","Invariato: nessuna evidenza nuova dopo il ciclo precedente; restano valide le sue fonti.",SUBSTITUTE(SUBSTITUTE(SUBSTITUTE(SUBSTITUTE(SUBSTITUTE(SUBSTITUTE(SUBSTITUTE(SUBSTITUTE(SUBSTITUTE(SUBSTITUTE(SUBSTITUTE(SUBSTITUTE(SUBSTITUTE(INDEX(RR_Variazioni,MATCH(cicloCorrente&amp;"|"&amp;INDEX(posID,$AM$9),RR_Chiave,0))&amp;"","[{""dimensione"":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Probabilita"))),"Non valutato nel ciclo."))</f>
        <v>Invariato: nessuna evidenza nuova dopo il ciclo precedente; restano valide le sue fonti.</v>
      </c>
      <c r="N10" s="129"/>
      <c r="O10" s="129"/>
      <c r="P10" s="129"/>
      <c r="Q10" s="129"/>
      <c r="AD10" t="str">
        <f>INDEX(posID,6)&amp;""</f>
        <v>NFR-06</v>
      </c>
      <c r="AE10">
        <f t="shared" si="0"/>
        <v>0</v>
      </c>
      <c r="AF10">
        <f t="shared" si="1"/>
        <v>0</v>
      </c>
      <c r="AG10">
        <f t="shared" si="2"/>
        <v>0</v>
      </c>
      <c r="AH10">
        <f t="shared" si="3"/>
        <v>-1</v>
      </c>
      <c r="AI10">
        <f t="shared" si="4"/>
        <v>0</v>
      </c>
      <c r="AJ10">
        <f t="shared" si="5"/>
        <v>0</v>
      </c>
      <c r="AK10">
        <f t="shared" si="6"/>
        <v>-0.20000000000000018</v>
      </c>
      <c r="AL10">
        <f>IF($AD10="","",IF(ISNUMBER(AK10),AK10,-9)-6/100000)</f>
        <v>-0.20006000000000018</v>
      </c>
      <c r="AM10">
        <f>IFERROR(MATCH(_xlfn.AGGREGATE(14,6,$AL$5:$AL$19,6),$AL$5:$AL$19,0),"")</f>
        <v>8</v>
      </c>
      <c r="AN10" t="str">
        <f t="shared" si="7"/>
        <v>NFR-08  Accessi impropri di dipendenti</v>
      </c>
      <c r="AO10" s="40">
        <f t="shared" si="8"/>
        <v>0</v>
      </c>
      <c r="AP10" s="40">
        <f t="shared" si="9"/>
        <v>0</v>
      </c>
      <c r="AQ10" s="40">
        <f t="shared" si="10"/>
        <v>0</v>
      </c>
    </row>
    <row r="11" spans="1:46" ht="16.5" customHeight="1" x14ac:dyDescent="0.4">
      <c r="K11" s="41" t="str">
        <f>IF($AM$10="","",INDEX(posID,$AM$10))</f>
        <v>NFR-08</v>
      </c>
      <c r="L11" s="42">
        <f>IF($AM$10="","",IFERROR(INDEX($AK$5:$AK$19,$AM$10),"nuovo"))</f>
        <v>0</v>
      </c>
      <c r="M11" s="137" t="str">
        <f>IF($AM$10="","",IFERROR(IF(INDEX(RR_Esito,MATCH(cicloCorrente&amp;"|"&amp;INDEX(posID,$AM$10),RR_Chiave,0))="Nuovo","Rischio nuovo nel ciclo.",IF(INDEX(RR_Variazioni,MATCH(cicloCorrente&amp;"|"&amp;INDEX(posID,$AM$10),RR_Chiave,0))&amp;""="[]","Invariato: nessuna evidenza nuova dopo il ciclo precedente; restano valide le sue fonti.",SUBSTITUTE(SUBSTITUTE(SUBSTITUTE(SUBSTITUTE(SUBSTITUTE(SUBSTITUTE(SUBSTITUTE(SUBSTITUTE(SUBSTITUTE(SUBSTITUTE(SUBSTITUTE(SUBSTITUTE(SUBSTITUTE(INDEX(RR_Variazioni,MATCH(cicloCorrente&amp;"|"&amp;INDEX(posID,$AM$10),RR_Chiave,0))&amp;"","[{""dimensione"":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Probabilita"))),"Non valutato nel ciclo."))</f>
        <v>Invariato: nessuna evidenza nuova dopo il ciclo precedente; restano valide le sue fonti.</v>
      </c>
      <c r="N11" s="129"/>
      <c r="O11" s="129"/>
      <c r="P11" s="129"/>
      <c r="Q11" s="129"/>
      <c r="AD11" t="str">
        <f>INDEX(posID,7)&amp;""</f>
        <v>NFR-07</v>
      </c>
      <c r="AE11">
        <f t="shared" si="0"/>
        <v>0</v>
      </c>
      <c r="AF11">
        <f t="shared" si="1"/>
        <v>0</v>
      </c>
      <c r="AG11">
        <f t="shared" si="2"/>
        <v>0</v>
      </c>
      <c r="AH11">
        <f t="shared" si="3"/>
        <v>0</v>
      </c>
      <c r="AI11">
        <f t="shared" si="4"/>
        <v>0</v>
      </c>
      <c r="AJ11">
        <f t="shared" si="5"/>
        <v>0</v>
      </c>
      <c r="AK11">
        <f t="shared" si="6"/>
        <v>0</v>
      </c>
      <c r="AL11">
        <f>IF($AD11="","",IF(ISNUMBER(AK11),AK11,-9)-7/100000)</f>
        <v>-6.9999999999999994E-5</v>
      </c>
      <c r="AM11">
        <f>IFERROR(MATCH(_xlfn.AGGREGATE(14,6,$AL$5:$AL$19,7),$AL$5:$AL$19,0),"")</f>
        <v>9</v>
      </c>
      <c r="AN11" t="str">
        <f t="shared" si="7"/>
        <v>NFR-09  Violazione di sanzioni interna</v>
      </c>
      <c r="AO11" s="40">
        <f t="shared" si="8"/>
        <v>0</v>
      </c>
      <c r="AP11" s="40">
        <f t="shared" si="9"/>
        <v>0</v>
      </c>
      <c r="AQ11" s="40">
        <f t="shared" si="10"/>
        <v>0</v>
      </c>
    </row>
    <row r="12" spans="1:46" ht="16.5" customHeight="1" x14ac:dyDescent="0.4">
      <c r="K12" s="41" t="str">
        <f>IF($AM$11="","",INDEX(posID,$AM$11))</f>
        <v>NFR-09</v>
      </c>
      <c r="L12" s="42">
        <f>IF($AM$11="","",IFERROR(INDEX($AK$5:$AK$19,$AM$11),"nuovo"))</f>
        <v>0</v>
      </c>
      <c r="M12" s="137" t="str">
        <f>IF($AM$11="","",IFERROR(IF(INDEX(RR_Esito,MATCH(cicloCorrente&amp;"|"&amp;INDEX(posID,$AM$11),RR_Chiave,0))="Nuovo","Rischio nuovo nel ciclo.",IF(INDEX(RR_Variazioni,MATCH(cicloCorrente&amp;"|"&amp;INDEX(posID,$AM$11),RR_Chiave,0))&amp;""="[]","Invariato: nessuna evidenza nuova dopo il ciclo precedente; restano valide le sue fonti.",SUBSTITUTE(SUBSTITUTE(SUBSTITUTE(SUBSTITUTE(SUBSTITUTE(SUBSTITUTE(SUBSTITUTE(SUBSTITUTE(SUBSTITUTE(SUBSTITUTE(SUBSTITUTE(SUBSTITUTE(SUBSTITUTE(INDEX(RR_Variazioni,MATCH(cicloCorrente&amp;"|"&amp;INDEX(posID,$AM$11),RR_Chiave,0))&amp;"","[{""dimensione"":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Probabilita"))),"Non valutato nel ciclo."))</f>
        <v>Invariato: nessuna evidenza nuova dopo il ciclo precedente; restano valide le sue fonti.</v>
      </c>
      <c r="N12" s="129"/>
      <c r="O12" s="129"/>
      <c r="P12" s="129"/>
      <c r="Q12" s="129"/>
      <c r="AD12" t="str">
        <f>INDEX(posID,8)&amp;""</f>
        <v>NFR-08</v>
      </c>
      <c r="AE12">
        <f t="shared" si="0"/>
        <v>0</v>
      </c>
      <c r="AF12">
        <f t="shared" si="1"/>
        <v>0</v>
      </c>
      <c r="AG12">
        <f t="shared" si="2"/>
        <v>0</v>
      </c>
      <c r="AH12">
        <f t="shared" si="3"/>
        <v>0</v>
      </c>
      <c r="AI12">
        <f t="shared" si="4"/>
        <v>0</v>
      </c>
      <c r="AJ12">
        <f t="shared" si="5"/>
        <v>0</v>
      </c>
      <c r="AK12">
        <f t="shared" si="6"/>
        <v>0</v>
      </c>
      <c r="AL12">
        <f>IF($AD12="","",IF(ISNUMBER(AK12),AK12,-9)-8/100000)</f>
        <v>-8.0000000000000007E-5</v>
      </c>
      <c r="AM12">
        <f>IFERROR(MATCH(_xlfn.AGGREGATE(14,6,$AL$5:$AL$19,8),$AL$5:$AL$19,0),"")</f>
        <v>10</v>
      </c>
      <c r="AN12" t="str">
        <f t="shared" si="7"/>
        <v>NFR-10  Informazioni errate ai clienti</v>
      </c>
      <c r="AO12" s="40">
        <f t="shared" si="8"/>
        <v>0</v>
      </c>
      <c r="AP12" s="40">
        <f t="shared" si="9"/>
        <v>0</v>
      </c>
      <c r="AQ12" s="40">
        <f t="shared" si="10"/>
        <v>0</v>
      </c>
    </row>
    <row r="13" spans="1:46" ht="16.5" customHeight="1" x14ac:dyDescent="0.4">
      <c r="K13" s="41" t="str">
        <f>IF($AM$12="","",INDEX(posID,$AM$12))</f>
        <v>NFR-10</v>
      </c>
      <c r="L13" s="42">
        <f>IF($AM$12="","",IFERROR(INDEX($AK$5:$AK$19,$AM$12),"nuovo"))</f>
        <v>0</v>
      </c>
      <c r="M13" s="137" t="str">
        <f>IF($AM$12="","",IFERROR(IF(INDEX(RR_Esito,MATCH(cicloCorrente&amp;"|"&amp;INDEX(posID,$AM$12),RR_Chiave,0))="Nuovo","Rischio nuovo nel ciclo.",IF(INDEX(RR_Variazioni,MATCH(cicloCorrente&amp;"|"&amp;INDEX(posID,$AM$12),RR_Chiave,0))&amp;""="[]","Invariato: nessuna evidenza nuova dopo il ciclo precedente; restano valide le sue fonti.",SUBSTITUTE(SUBSTITUTE(SUBSTITUTE(SUBSTITUTE(SUBSTITUTE(SUBSTITUTE(SUBSTITUTE(SUBSTITUTE(SUBSTITUTE(SUBSTITUTE(SUBSTITUTE(SUBSTITUTE(SUBSTITUTE(INDEX(RR_Variazioni,MATCH(cicloCorrente&amp;"|"&amp;INDEX(posID,$AM$12),RR_Chiave,0))&amp;"","[{""dimensione"":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Probabilita"))),"Non valutato nel ciclo."))</f>
        <v>Invariato: nessuna evidenza nuova dopo il ciclo precedente; restano valide le sue fonti.</v>
      </c>
      <c r="N13" s="129"/>
      <c r="O13" s="129"/>
      <c r="P13" s="129"/>
      <c r="Q13" s="129"/>
      <c r="AD13" t="str">
        <f>INDEX(posID,9)&amp;""</f>
        <v>NFR-09</v>
      </c>
      <c r="AE13">
        <f t="shared" si="0"/>
        <v>0</v>
      </c>
      <c r="AF13">
        <f t="shared" si="1"/>
        <v>0</v>
      </c>
      <c r="AG13">
        <f t="shared" si="2"/>
        <v>0</v>
      </c>
      <c r="AH13">
        <f t="shared" si="3"/>
        <v>0</v>
      </c>
      <c r="AI13">
        <f t="shared" si="4"/>
        <v>0</v>
      </c>
      <c r="AJ13">
        <f t="shared" si="5"/>
        <v>0</v>
      </c>
      <c r="AK13">
        <f t="shared" si="6"/>
        <v>0</v>
      </c>
      <c r="AL13">
        <f>IF($AD13="","",IF(ISNUMBER(AK13),AK13,-9)-9/100000)</f>
        <v>-9.0000000000000006E-5</v>
      </c>
      <c r="AM13">
        <f>IFERROR(MATCH(_xlfn.AGGREGATE(14,6,$AL$5:$AL$19,9),$AL$5:$AL$19,0),"")</f>
        <v>11</v>
      </c>
      <c r="AN13" t="str">
        <f t="shared" si="7"/>
        <v xml:space="preserve">NFR-11  Fine del supporto dei sistemi </v>
      </c>
      <c r="AO13" s="40">
        <f t="shared" si="8"/>
        <v>0</v>
      </c>
      <c r="AP13" s="40">
        <f t="shared" si="9"/>
        <v>0</v>
      </c>
      <c r="AQ13" s="40">
        <f t="shared" si="10"/>
        <v>0</v>
      </c>
    </row>
    <row r="14" spans="1:46" ht="16.5" customHeight="1" x14ac:dyDescent="0.4">
      <c r="K14" s="41" t="str">
        <f>IF($AM$13="","",INDEX(posID,$AM$13))</f>
        <v>NFR-11</v>
      </c>
      <c r="L14" s="42">
        <f>IF($AM$13="","",IFERROR(INDEX($AK$5:$AK$19,$AM$13),"nuovo"))</f>
        <v>0</v>
      </c>
      <c r="M14" s="137" t="str">
        <f>IF($AM$13="","",IFERROR(IF(INDEX(RR_Esito,MATCH(cicloCorrente&amp;"|"&amp;INDEX(posID,$AM$13),RR_Chiave,0))="Nuovo","Rischio nuovo nel ciclo.",IF(INDEX(RR_Variazioni,MATCH(cicloCorrente&amp;"|"&amp;INDEX(posID,$AM$13),RR_Chiave,0))&amp;""="[]","Invariato: nessuna evidenza nuova dopo il ciclo precedente; restano valide le sue fonti.",SUBSTITUTE(SUBSTITUTE(SUBSTITUTE(SUBSTITUTE(SUBSTITUTE(SUBSTITUTE(SUBSTITUTE(SUBSTITUTE(SUBSTITUTE(SUBSTITUTE(SUBSTITUTE(SUBSTITUTE(SUBSTITUTE(INDEX(RR_Variazioni,MATCH(cicloCorrente&amp;"|"&amp;INDEX(posID,$AM$13),RR_Chiave,0))&amp;"","[{""dimensione"":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Probabilita"))),"Non valutato nel ciclo."))</f>
        <v>Invariato: nessuna evidenza nuova dopo il ciclo precedente; restano valide le sue fonti.</v>
      </c>
      <c r="N14" s="129"/>
      <c r="O14" s="129"/>
      <c r="P14" s="129"/>
      <c r="Q14" s="129"/>
      <c r="AD14" t="str">
        <f>INDEX(posID,10)&amp;""</f>
        <v>NFR-10</v>
      </c>
      <c r="AE14">
        <f t="shared" si="0"/>
        <v>0</v>
      </c>
      <c r="AF14">
        <f t="shared" si="1"/>
        <v>0</v>
      </c>
      <c r="AG14">
        <f t="shared" si="2"/>
        <v>0</v>
      </c>
      <c r="AH14">
        <f t="shared" si="3"/>
        <v>0</v>
      </c>
      <c r="AI14">
        <f t="shared" si="4"/>
        <v>0</v>
      </c>
      <c r="AJ14">
        <f t="shared" si="5"/>
        <v>0</v>
      </c>
      <c r="AK14">
        <f t="shared" si="6"/>
        <v>0</v>
      </c>
      <c r="AL14">
        <f>IF($AD14="","",IF(ISNUMBER(AK14),AK14,-9)-10/100000)</f>
        <v>-1E-4</v>
      </c>
      <c r="AM14">
        <f>IFERROR(MATCH(_xlfn.AGGREGATE(14,6,$AL$5:$AL$19,10),$AL$5:$AL$19,0),"")</f>
        <v>12</v>
      </c>
      <c r="AN14" t="str">
        <f t="shared" si="7"/>
        <v>NFR-12  Errori operativi nei pagamenti</v>
      </c>
      <c r="AO14" s="40">
        <f t="shared" si="8"/>
        <v>0</v>
      </c>
      <c r="AP14" s="40">
        <f t="shared" si="9"/>
        <v>0</v>
      </c>
      <c r="AQ14" s="40">
        <f t="shared" si="10"/>
        <v>0</v>
      </c>
    </row>
    <row r="15" spans="1:46" ht="16.5" customHeight="1" x14ac:dyDescent="0.4">
      <c r="K15" s="41" t="str">
        <f>IF($AM$14="","",INDEX(posID,$AM$14))</f>
        <v>NFR-12</v>
      </c>
      <c r="L15" s="42">
        <f>IF($AM$14="","",IFERROR(INDEX($AK$5:$AK$19,$AM$14),"nuovo"))</f>
        <v>0</v>
      </c>
      <c r="M15" s="137" t="str">
        <f>IF($AM$14="","",IFERROR(IF(INDEX(RR_Esito,MATCH(cicloCorrente&amp;"|"&amp;INDEX(posID,$AM$14),RR_Chiave,0))="Nuovo","Rischio nuovo nel ciclo.",IF(INDEX(RR_Variazioni,MATCH(cicloCorrente&amp;"|"&amp;INDEX(posID,$AM$14),RR_Chiave,0))&amp;""="[]","Invariato: nessuna evidenza nuova dopo il ciclo precedente; restano valide le sue fonti.",SUBSTITUTE(SUBSTITUTE(SUBSTITUTE(SUBSTITUTE(SUBSTITUTE(SUBSTITUTE(SUBSTITUTE(SUBSTITUTE(SUBSTITUTE(SUBSTITUTE(SUBSTITUTE(SUBSTITUTE(SUBSTITUTE(INDEX(RR_Variazioni,MATCH(cicloCorrente&amp;"|"&amp;INDEX(posID,$AM$14),RR_Chiave,0))&amp;"","[{""dimensione"":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Probabilita"))),"Non valutato nel ciclo."))</f>
        <v>Invariato: nessuna evidenza nuova dopo il ciclo precedente; restano valide le sue fonti.</v>
      </c>
      <c r="N15" s="129"/>
      <c r="O15" s="129"/>
      <c r="P15" s="129"/>
      <c r="Q15" s="129"/>
      <c r="AD15" t="str">
        <f>INDEX(posID,11)&amp;""</f>
        <v>NFR-11</v>
      </c>
      <c r="AE15">
        <f t="shared" si="0"/>
        <v>0</v>
      </c>
      <c r="AF15">
        <f t="shared" si="1"/>
        <v>0</v>
      </c>
      <c r="AG15">
        <f t="shared" si="2"/>
        <v>0</v>
      </c>
      <c r="AH15">
        <f t="shared" si="3"/>
        <v>0</v>
      </c>
      <c r="AI15">
        <f t="shared" si="4"/>
        <v>0</v>
      </c>
      <c r="AJ15">
        <f t="shared" si="5"/>
        <v>0</v>
      </c>
      <c r="AK15">
        <f t="shared" si="6"/>
        <v>0</v>
      </c>
      <c r="AL15">
        <f>IF($AD15="","",IF(ISNUMBER(AK15),AK15,-9)-11/100000)</f>
        <v>-1.1E-4</v>
      </c>
      <c r="AM15">
        <f>IFERROR(MATCH(_xlfn.AGGREGATE(14,6,$AL$5:$AL$19,11),$AL$5:$AL$19,0),"")</f>
        <v>2</v>
      </c>
      <c r="AN15" t="str">
        <f t="shared" si="7"/>
        <v>NFR-02  Concentrazione su un fornitore</v>
      </c>
      <c r="AO15" s="40">
        <f t="shared" si="8"/>
        <v>0</v>
      </c>
      <c r="AP15" s="40">
        <f t="shared" si="9"/>
        <v>-0.20000000000000018</v>
      </c>
      <c r="AQ15" s="40" t="e">
        <f t="shared" si="10"/>
        <v>#N/A</v>
      </c>
    </row>
    <row r="16" spans="1:46" ht="48.25" customHeight="1" x14ac:dyDescent="0.4">
      <c r="K16" s="41" t="str">
        <f>IF($AM$15="","",INDEX(posID,$AM$15))</f>
        <v>NFR-02</v>
      </c>
      <c r="L16" s="42">
        <f>IF($AM$15="","",IFERROR(INDEX($AK$5:$AK$19,$AM$15),"nuovo"))</f>
        <v>-0.20000000000000018</v>
      </c>
      <c r="M16" s="137" t="str">
        <f>IF($AM$15="","",IFERROR(IF(INDEX(RR_Esito,MATCH(cicloCorrente&amp;"|"&amp;INDEX(posID,$AM$15),RR_Chiave,0))="Nuovo","Rischio nuovo nel ciclo.",IF(INDEX(RR_Variazioni,MATCH(cicloCorrente&amp;"|"&amp;INDEX(posID,$AM$15),RR_Chiave,0))&amp;""="[]","Invariato: nessuna evidenza nuova dopo il ciclo precedente; restano valide le sue fonti.",SUBSTITUTE(SUBSTITUTE(SUBSTITUTE(SUBSTITUTE(SUBSTITUTE(SUBSTITUTE(SUBSTITUTE(SUBSTITUTE(SUBSTITUTE(SUBSTITUTE(SUBSTITUTE(SUBSTITUTE(SUBSTITUTE(INDEX(RR_Variazioni,MATCH(cicloCorrente&amp;"|"&amp;INDEX(posID,$AM$15),RR_Chiave,0))&amp;"","[{""dimensione"":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Probabilita"))),"Non valutato nel ciclo."))</f>
        <v>• Gap_Controlli 4 → 3: Il report del 28 agosto 2026 documenta il test completo della exit strategy sui due servizi critici residui, con esito positivo e rilievi minori. (2026-08-28)
• Confidence 3 → 4: Aggiunta una fonte interna recente e concordante (report del test di exit strategy) alle fonti del registro DORA. (2026-08-28)</v>
      </c>
      <c r="N16" s="129"/>
      <c r="O16" s="129"/>
      <c r="P16" s="129"/>
      <c r="Q16" s="129"/>
      <c r="AD16" t="str">
        <f>INDEX(posID,12)&amp;""</f>
        <v>NFR-12</v>
      </c>
      <c r="AE16">
        <f t="shared" si="0"/>
        <v>0</v>
      </c>
      <c r="AF16">
        <f t="shared" si="1"/>
        <v>0</v>
      </c>
      <c r="AG16">
        <f t="shared" si="2"/>
        <v>0</v>
      </c>
      <c r="AH16">
        <f t="shared" si="3"/>
        <v>0</v>
      </c>
      <c r="AI16">
        <f t="shared" si="4"/>
        <v>0</v>
      </c>
      <c r="AJ16">
        <f t="shared" si="5"/>
        <v>0</v>
      </c>
      <c r="AK16">
        <f t="shared" si="6"/>
        <v>0</v>
      </c>
      <c r="AL16">
        <f>IF($AD16="","",IF(ISNUMBER(AK16),AK16,-9)-12/100000)</f>
        <v>-1.2E-4</v>
      </c>
      <c r="AM16">
        <f>IFERROR(MATCH(_xlfn.AGGREGATE(14,6,$AL$5:$AL$19,12),$AL$5:$AL$19,0),"")</f>
        <v>6</v>
      </c>
      <c r="AN16" t="str">
        <f t="shared" si="7"/>
        <v xml:space="preserve">NFR-06  Esfiltrazione di dati tramite </v>
      </c>
      <c r="AO16" s="40">
        <f t="shared" si="8"/>
        <v>0</v>
      </c>
      <c r="AP16" s="40">
        <f t="shared" si="9"/>
        <v>-0.20000000000000018</v>
      </c>
      <c r="AQ16" s="40" t="e">
        <f t="shared" si="10"/>
        <v>#N/A</v>
      </c>
    </row>
    <row r="17" spans="1:43" ht="26.6" customHeight="1" x14ac:dyDescent="0.4">
      <c r="K17" s="41" t="str">
        <f>IF($AM$16="","",INDEX(posID,$AM$16))</f>
        <v>NFR-06</v>
      </c>
      <c r="L17" s="42">
        <f>IF($AM$16="","",IFERROR(INDEX($AK$5:$AK$19,$AM$16),"nuovo"))</f>
        <v>-0.20000000000000018</v>
      </c>
      <c r="M17" s="137" t="str">
        <f>IF($AM$16="","",IFERROR(IF(INDEX(RR_Esito,MATCH(cicloCorrente&amp;"|"&amp;INDEX(posID,$AM$16),RR_Chiave,0))="Nuovo","Rischio nuovo nel ciclo.",IF(INDEX(RR_Variazioni,MATCH(cicloCorrente&amp;"|"&amp;INDEX(posID,$AM$16),RR_Chiave,0))&amp;""="[]","Invariato: nessuna evidenza nuova dopo il ciclo precedente; restano valide le sue fonti.",SUBSTITUTE(SUBSTITUTE(SUBSTITUTE(SUBSTITUTE(SUBSTITUTE(SUBSTITUTE(SUBSTITUTE(SUBSTITUTE(SUBSTITUTE(SUBSTITUTE(SUBSTITUTE(SUBSTITUTE(SUBSTITUTE(INDEX(RR_Variazioni,MATCH(cicloCorrente&amp;"|"&amp;INDEX(posID,$AM$16),RR_Chiave,0))&amp;"","[{""dimensione"":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Probabilita"))),"Non valutato nel ciclo."))</f>
        <v>• Gap_Controlli 4 → 3: Dal 5 settembre 2026 il DLP copre tutti i servizi di AI generativa; il test di blocco eseguito dalla Sicurezza delle Informazioni ha dato esito positivo. (2026-09-05)</v>
      </c>
      <c r="N17" s="129"/>
      <c r="O17" s="129"/>
      <c r="P17" s="129"/>
      <c r="Q17" s="129"/>
      <c r="AD17" t="str">
        <f>INDEX(posID,13)&amp;""</f>
        <v/>
      </c>
      <c r="AE17" t="e">
        <f t="shared" si="0"/>
        <v>#N/A</v>
      </c>
      <c r="AF17" t="e">
        <f t="shared" si="1"/>
        <v>#N/A</v>
      </c>
      <c r="AG17" t="e">
        <f t="shared" si="2"/>
        <v>#N/A</v>
      </c>
      <c r="AH17" t="e">
        <f t="shared" si="3"/>
        <v>#N/A</v>
      </c>
      <c r="AI17" t="e">
        <f t="shared" si="4"/>
        <v>#N/A</v>
      </c>
      <c r="AJ17" t="e">
        <f t="shared" si="5"/>
        <v>#N/A</v>
      </c>
      <c r="AK17" t="e">
        <f t="shared" si="6"/>
        <v>#N/A</v>
      </c>
      <c r="AL17" t="str">
        <f>IF($AD17="","",IF(ISNUMBER(AK17),AK17,-9)-13/100000)</f>
        <v/>
      </c>
      <c r="AM17" t="str">
        <f>IFERROR(MATCH(_xlfn.AGGREGATE(14,6,$AL$5:$AL$19,13),$AL$5:$AL$19,0),"")</f>
        <v/>
      </c>
      <c r="AN17" t="str">
        <f t="shared" si="7"/>
        <v/>
      </c>
      <c r="AO17" s="40" t="e">
        <f t="shared" si="8"/>
        <v>#N/A</v>
      </c>
      <c r="AP17" s="40" t="e">
        <f t="shared" si="9"/>
        <v>#N/A</v>
      </c>
      <c r="AQ17" s="40" t="e">
        <f t="shared" si="10"/>
        <v>#N/A</v>
      </c>
    </row>
    <row r="18" spans="1:43" ht="3" customHeight="1" x14ac:dyDescent="0.4">
      <c r="K18" s="41" t="str">
        <f>IF($AM$17="","",INDEX(posID,$AM$17))</f>
        <v/>
      </c>
      <c r="L18" s="42" t="str">
        <f>IF($AM$17="","",IFERROR(INDEX($AK$5:$AK$19,$AM$17),"nuovo"))</f>
        <v/>
      </c>
      <c r="M18" s="137" t="str">
        <f>IF($AM$17="","",IFERROR(IF(INDEX(RR_Esito,MATCH(cicloCorrente&amp;"|"&amp;INDEX(posID,$AM$17),RR_Chiave,0))="Nuovo","Rischio nuovo nel ciclo.",IF(INDEX(RR_Variazioni,MATCH(cicloCorrente&amp;"|"&amp;INDEX(posID,$AM$17),RR_Chiave,0))&amp;""="[]","Invariato: nessuna evidenza nuova dopo il ciclo precedente; restano valide le sue fonti.",SUBSTITUTE(SUBSTITUTE(SUBSTITUTE(SUBSTITUTE(SUBSTITUTE(SUBSTITUTE(SUBSTITUTE(SUBSTITUTE(SUBSTITUTE(SUBSTITUTE(SUBSTITUTE(SUBSTITUTE(SUBSTITUTE(INDEX(RR_Variazioni,MATCH(cicloCorrente&amp;"|"&amp;INDEX(posID,$AM$17),RR_Chiave,0))&amp;"","[{""dimensione"":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Probabilita"))),"Non valutato nel ciclo."))</f>
        <v/>
      </c>
      <c r="N18" s="129"/>
      <c r="O18" s="129"/>
      <c r="P18" s="129"/>
      <c r="Q18" s="129"/>
      <c r="AD18" t="str">
        <f>INDEX(posID,14)&amp;""</f>
        <v/>
      </c>
      <c r="AE18" t="e">
        <f t="shared" si="0"/>
        <v>#N/A</v>
      </c>
      <c r="AF18" t="e">
        <f t="shared" si="1"/>
        <v>#N/A</v>
      </c>
      <c r="AG18" t="e">
        <f t="shared" si="2"/>
        <v>#N/A</v>
      </c>
      <c r="AH18" t="e">
        <f t="shared" si="3"/>
        <v>#N/A</v>
      </c>
      <c r="AI18" t="e">
        <f t="shared" si="4"/>
        <v>#N/A</v>
      </c>
      <c r="AJ18" t="e">
        <f t="shared" si="5"/>
        <v>#N/A</v>
      </c>
      <c r="AK18" t="e">
        <f t="shared" si="6"/>
        <v>#N/A</v>
      </c>
      <c r="AL18" t="str">
        <f>IF($AD18="","",IF(ISNUMBER(AK18),AK18,-9)-14/100000)</f>
        <v/>
      </c>
      <c r="AM18" t="str">
        <f>IFERROR(MATCH(_xlfn.AGGREGATE(14,6,$AL$5:$AL$19,14),$AL$5:$AL$19,0),"")</f>
        <v/>
      </c>
      <c r="AN18" t="str">
        <f t="shared" si="7"/>
        <v/>
      </c>
      <c r="AO18" s="40" t="e">
        <f t="shared" si="8"/>
        <v>#N/A</v>
      </c>
      <c r="AP18" s="40" t="e">
        <f t="shared" si="9"/>
        <v>#N/A</v>
      </c>
      <c r="AQ18" s="40" t="e">
        <f t="shared" si="10"/>
        <v>#N/A</v>
      </c>
    </row>
    <row r="19" spans="1:43" ht="3" customHeight="1" x14ac:dyDescent="0.4">
      <c r="K19" s="41" t="str">
        <f>IF($AM$18="","",INDEX(posID,$AM$18))</f>
        <v/>
      </c>
      <c r="L19" s="42" t="str">
        <f>IF($AM$18="","",IFERROR(INDEX($AK$5:$AK$19,$AM$18),"nuovo"))</f>
        <v/>
      </c>
      <c r="M19" s="137" t="str">
        <f>IF($AM$18="","",IFERROR(IF(INDEX(RR_Esito,MATCH(cicloCorrente&amp;"|"&amp;INDEX(posID,$AM$18),RR_Chiave,0))="Nuovo","Rischio nuovo nel ciclo.",IF(INDEX(RR_Variazioni,MATCH(cicloCorrente&amp;"|"&amp;INDEX(posID,$AM$18),RR_Chiave,0))&amp;""="[]","Invariato: nessuna evidenza nuova dopo il ciclo precedente; restano valide le sue fonti.",SUBSTITUTE(SUBSTITUTE(SUBSTITUTE(SUBSTITUTE(SUBSTITUTE(SUBSTITUTE(SUBSTITUTE(SUBSTITUTE(SUBSTITUTE(SUBSTITUTE(SUBSTITUTE(SUBSTITUTE(SUBSTITUTE(INDEX(RR_Variazioni,MATCH(cicloCorrente&amp;"|"&amp;INDEX(posID,$AM$18),RR_Chiave,0))&amp;"","[{""dimensione"":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Probabilita"))),"Non valutato nel ciclo."))</f>
        <v/>
      </c>
      <c r="N19" s="129"/>
      <c r="O19" s="129"/>
      <c r="P19" s="129"/>
      <c r="Q19" s="129"/>
      <c r="AD19" t="str">
        <f>INDEX(posID,15)&amp;""</f>
        <v/>
      </c>
      <c r="AE19" t="e">
        <f t="shared" si="0"/>
        <v>#N/A</v>
      </c>
      <c r="AF19" t="e">
        <f t="shared" si="1"/>
        <v>#N/A</v>
      </c>
      <c r="AG19" t="e">
        <f t="shared" si="2"/>
        <v>#N/A</v>
      </c>
      <c r="AH19" t="e">
        <f t="shared" si="3"/>
        <v>#N/A</v>
      </c>
      <c r="AI19" t="e">
        <f t="shared" si="4"/>
        <v>#N/A</v>
      </c>
      <c r="AJ19" t="e">
        <f t="shared" si="5"/>
        <v>#N/A</v>
      </c>
      <c r="AK19" t="e">
        <f t="shared" si="6"/>
        <v>#N/A</v>
      </c>
      <c r="AL19" t="str">
        <f>IF($AD19="","",IF(ISNUMBER(AK19),AK19,-9)-15/100000)</f>
        <v/>
      </c>
      <c r="AM19" t="str">
        <f>IFERROR(MATCH(_xlfn.AGGREGATE(14,6,$AL$5:$AL$19,15),$AL$5:$AL$19,0),"")</f>
        <v/>
      </c>
      <c r="AN19" t="str">
        <f t="shared" si="7"/>
        <v/>
      </c>
      <c r="AO19" s="40" t="e">
        <f t="shared" si="8"/>
        <v>#N/A</v>
      </c>
      <c r="AP19" s="40" t="e">
        <f t="shared" si="9"/>
        <v>#N/A</v>
      </c>
      <c r="AQ19" s="40" t="e">
        <f t="shared" si="10"/>
        <v>#N/A</v>
      </c>
    </row>
    <row r="20" spans="1:43" ht="3" customHeight="1" x14ac:dyDescent="0.4">
      <c r="K20" s="41" t="str">
        <f>IF($AM$19="","",INDEX(posID,$AM$19))</f>
        <v/>
      </c>
      <c r="L20" s="42" t="str">
        <f>IF($AM$19="","",IFERROR(INDEX($AK$5:$AK$19,$AM$19),"nuovo"))</f>
        <v/>
      </c>
      <c r="M20" s="137" t="str">
        <f>IF($AM$19="","",IFERROR(IF(INDEX(RR_Esito,MATCH(cicloCorrente&amp;"|"&amp;INDEX(posID,$AM$19),RR_Chiave,0))="Nuovo","Rischio nuovo nel ciclo.",IF(INDEX(RR_Variazioni,MATCH(cicloCorrente&amp;"|"&amp;INDEX(posID,$AM$19),RR_Chiave,0))&amp;""="[]","Invariato: nessuna evidenza nuova dopo il ciclo precedente; restano valide le sue fonti.",SUBSTITUTE(SUBSTITUTE(SUBSTITUTE(SUBSTITUTE(SUBSTITUTE(SUBSTITUTE(SUBSTITUTE(SUBSTITUTE(SUBSTITUTE(SUBSTITUTE(SUBSTITUTE(SUBSTITUTE(SUBSTITUTE(INDEX(RR_Variazioni,MATCH(cicloCorrente&amp;"|"&amp;INDEX(posID,$AM$19),RR_Chiave,0))&amp;"","[{""dimensione"": ""","• "),"""}, {""dimensione"": """,")"&amp;CHAR(10)&amp;"• "),""", ""da"": "," "),", ""a"": "," → "),", ""evidenza"": """,": "),""", ""data_evidenza"": """," ("),"""}]",")"),"• severity","• Severity"),"• velocity","• Velocity"),"• prossimita","• Prossimita"),"• gap_controlli","• Gap_Controlli"),"• confidence","• Confidence"),"• probabilita","• Probabilita"))),"Non valutato nel ciclo."))</f>
        <v/>
      </c>
      <c r="N20" s="129"/>
      <c r="O20" s="129"/>
      <c r="P20" s="129"/>
      <c r="Q20" s="129"/>
    </row>
    <row r="21" spans="1:43" ht="45.25" customHeight="1" x14ac:dyDescent="0.4"/>
    <row r="22" spans="1:43" ht="44.05" customHeight="1" x14ac:dyDescent="0.4">
      <c r="A22" s="138" t="s">
        <v>227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</row>
    <row r="24" spans="1:43" ht="15.9" x14ac:dyDescent="0.45">
      <c r="A24" s="109" t="s">
        <v>228</v>
      </c>
      <c r="B24" s="110"/>
      <c r="C24" s="110"/>
      <c r="D24" s="110"/>
      <c r="E24" s="110"/>
      <c r="F24" s="110"/>
      <c r="G24" s="110"/>
      <c r="H24" s="110"/>
      <c r="I24" s="110"/>
      <c r="J24" s="110"/>
    </row>
    <row r="25" spans="1:43" ht="28" customHeight="1" x14ac:dyDescent="0.4">
      <c r="A25" s="43" t="s">
        <v>148</v>
      </c>
      <c r="B25" s="43" t="s">
        <v>149</v>
      </c>
      <c r="C25" s="43" t="s">
        <v>229</v>
      </c>
      <c r="D25" s="43" t="s">
        <v>230</v>
      </c>
      <c r="E25" s="43" t="s">
        <v>231</v>
      </c>
      <c r="F25" s="43" t="s">
        <v>232</v>
      </c>
      <c r="G25" s="43" t="s">
        <v>233</v>
      </c>
      <c r="H25" s="43" t="s">
        <v>234</v>
      </c>
      <c r="I25" s="43" t="s">
        <v>219</v>
      </c>
      <c r="J25" s="43"/>
      <c r="K25" s="43" t="s">
        <v>235</v>
      </c>
    </row>
    <row r="26" spans="1:43" x14ac:dyDescent="0.4">
      <c r="A26" t="str">
        <f>IF($AM$5="","",INDEX(posID,$AM$5))</f>
        <v>NFR-03</v>
      </c>
      <c r="B26" t="str">
        <f>IF($AM$5="","",INDEX(posNome,$AM$5))</f>
        <v>Greenwashing nella commercializzazione di prodotti ESG</v>
      </c>
      <c r="C26" s="44">
        <f>IF($AM$5="",NA(),INDEX($AE$5:$AE$19,$AM$5))</f>
        <v>0</v>
      </c>
      <c r="D26" s="44">
        <f>IF($AM$5="",NA(),INDEX($AF$5:$AF$19,$AM$5))</f>
        <v>0</v>
      </c>
      <c r="E26" s="44">
        <f>IF($AM$5="",NA(),INDEX($AG$5:$AG$19,$AM$5))</f>
        <v>1</v>
      </c>
      <c r="F26" s="44">
        <f>IF($AM$5="",NA(),INDEX($AH$5:$AH$19,$AM$5))</f>
        <v>0</v>
      </c>
      <c r="G26" s="44">
        <f>IF($AM$5="",NA(),INDEX($AI$5:$AI$19,$AM$5))</f>
        <v>0</v>
      </c>
      <c r="H26" s="44">
        <f>IF($AM$5="",NA(),INDEX($AJ$5:$AJ$19,$AM$5))</f>
        <v>0</v>
      </c>
      <c r="I26" s="44">
        <f>IF($AM$5="",NA(),INDEX($AK$5:$AK$19,$AM$5))</f>
        <v>0.14999999999999991</v>
      </c>
      <c r="K26" s="98" t="str">
        <f t="shared" ref="K26:K40" si="11">IF($A26="","",IF(COUNT(C26:H26)&lt;6,"Nuovo o non valutato in uno dei due cicli",IF(MAX(C26:H26)&gt;1,"Aumento &gt; 1 punto: viola la rubrica",IF(MIN(C26:H26)&lt;-1,"Riduzione &gt; 1 punto: viola la rubrica",""))))</f>
        <v/>
      </c>
      <c r="L26" s="98"/>
      <c r="M26" s="98"/>
      <c r="N26" s="98"/>
      <c r="O26" s="98"/>
      <c r="P26" s="98"/>
      <c r="Q26" s="98"/>
    </row>
    <row r="27" spans="1:43" x14ac:dyDescent="0.4">
      <c r="A27" t="str">
        <f>IF($AM$6="","",INDEX(posID,$AM$6))</f>
        <v>NFR-01</v>
      </c>
      <c r="B27" t="str">
        <f>IF($AM$6="","",INDEX(posNome,$AM$6))</f>
        <v>Frodi su pagamenti istantanei abilitate da AI generativa</v>
      </c>
      <c r="C27" s="44">
        <f>IF($AM$6="",NA(),INDEX($AE$5:$AE$19,$AM$6))</f>
        <v>0</v>
      </c>
      <c r="D27" s="44">
        <f>IF($AM$6="",NA(),INDEX($AF$5:$AF$19,$AM$6))</f>
        <v>0</v>
      </c>
      <c r="E27" s="44">
        <f>IF($AM$6="",NA(),INDEX($AG$5:$AG$19,$AM$6))</f>
        <v>0</v>
      </c>
      <c r="F27" s="44">
        <f>IF($AM$6="",NA(),INDEX($AH$5:$AH$19,$AM$6))</f>
        <v>0</v>
      </c>
      <c r="G27" s="44">
        <f>IF($AM$6="",NA(),INDEX($AI$5:$AI$19,$AM$6))</f>
        <v>0</v>
      </c>
      <c r="H27" s="44">
        <f>IF($AM$6="",NA(),INDEX($AJ$5:$AJ$19,$AM$6))</f>
        <v>0</v>
      </c>
      <c r="I27" s="44">
        <f>IF($AM$6="",NA(),INDEX($AK$5:$AK$19,$AM$6))</f>
        <v>0</v>
      </c>
      <c r="K27" s="98" t="str">
        <f t="shared" si="11"/>
        <v/>
      </c>
      <c r="L27" s="98"/>
      <c r="M27" s="98"/>
      <c r="N27" s="98"/>
      <c r="O27" s="98"/>
      <c r="P27" s="98"/>
      <c r="Q27" s="98"/>
    </row>
    <row r="28" spans="1:43" x14ac:dyDescent="0.4">
      <c r="A28" t="str">
        <f>IF($AM$7="","",INDEX(posID,$AM$7))</f>
        <v>NFR-04</v>
      </c>
      <c r="B28" t="str">
        <f>IF($AM$7="","",INDEX(posNome,$AM$7))</f>
        <v>Eventi climatici estremi su sedi e data center</v>
      </c>
      <c r="C28" s="44">
        <f>IF($AM$7="",NA(),INDEX($AE$5:$AE$19,$AM$7))</f>
        <v>0</v>
      </c>
      <c r="D28" s="44">
        <f>IF($AM$7="",NA(),INDEX($AF$5:$AF$19,$AM$7))</f>
        <v>0</v>
      </c>
      <c r="E28" s="44">
        <f>IF($AM$7="",NA(),INDEX($AG$5:$AG$19,$AM$7))</f>
        <v>0</v>
      </c>
      <c r="F28" s="44">
        <f>IF($AM$7="",NA(),INDEX($AH$5:$AH$19,$AM$7))</f>
        <v>0</v>
      </c>
      <c r="G28" s="44">
        <f>IF($AM$7="",NA(),INDEX($AI$5:$AI$19,$AM$7))</f>
        <v>0</v>
      </c>
      <c r="H28" s="44">
        <f>IF($AM$7="",NA(),INDEX($AJ$5:$AJ$19,$AM$7))</f>
        <v>0</v>
      </c>
      <c r="I28" s="44">
        <f>IF($AM$7="",NA(),INDEX($AK$5:$AK$19,$AM$7))</f>
        <v>0</v>
      </c>
      <c r="K28" s="98" t="str">
        <f t="shared" si="11"/>
        <v/>
      </c>
      <c r="L28" s="98"/>
      <c r="M28" s="98"/>
      <c r="N28" s="98"/>
      <c r="O28" s="98"/>
      <c r="P28" s="98"/>
      <c r="Q28" s="98"/>
    </row>
    <row r="29" spans="1:43" x14ac:dyDescent="0.4">
      <c r="A29" t="str">
        <f>IF($AM$8="","",INDEX(posID,$AM$8))</f>
        <v>NFR-05</v>
      </c>
      <c r="B29" t="str">
        <f>IF($AM$8="","",INDEX(posNome,$AM$8))</f>
        <v>Errori di processo nella migrazione del core banking</v>
      </c>
      <c r="C29" s="44">
        <f>IF($AM$8="",NA(),INDEX($AE$5:$AE$19,$AM$8))</f>
        <v>0</v>
      </c>
      <c r="D29" s="44">
        <f>IF($AM$8="",NA(),INDEX($AF$5:$AF$19,$AM$8))</f>
        <v>0</v>
      </c>
      <c r="E29" s="44">
        <f>IF($AM$8="",NA(),INDEX($AG$5:$AG$19,$AM$8))</f>
        <v>0</v>
      </c>
      <c r="F29" s="44">
        <f>IF($AM$8="",NA(),INDEX($AH$5:$AH$19,$AM$8))</f>
        <v>0</v>
      </c>
      <c r="G29" s="44">
        <f>IF($AM$8="",NA(),INDEX($AI$5:$AI$19,$AM$8))</f>
        <v>0</v>
      </c>
      <c r="H29" s="44">
        <f>IF($AM$8="",NA(),INDEX($AJ$5:$AJ$19,$AM$8))</f>
        <v>0</v>
      </c>
      <c r="I29" s="44">
        <f>IF($AM$8="",NA(),INDEX($AK$5:$AK$19,$AM$8))</f>
        <v>0</v>
      </c>
      <c r="K29" s="98" t="str">
        <f t="shared" si="11"/>
        <v/>
      </c>
      <c r="L29" s="98"/>
      <c r="M29" s="98"/>
      <c r="N29" s="98"/>
      <c r="O29" s="98"/>
      <c r="P29" s="98"/>
      <c r="Q29" s="98"/>
    </row>
    <row r="30" spans="1:43" x14ac:dyDescent="0.4">
      <c r="A30" t="str">
        <f>IF($AM$9="","",INDEX(posID,$AM$9))</f>
        <v>NFR-07</v>
      </c>
      <c r="B30" t="str">
        <f>IF($AM$9="","",INDEX(posNome,$AM$9))</f>
        <v>Ransomware presso un fornitore di servizi di pagamento</v>
      </c>
      <c r="C30" s="44">
        <f>IF($AM$9="",NA(),INDEX($AE$5:$AE$19,$AM$9))</f>
        <v>0</v>
      </c>
      <c r="D30" s="44">
        <f>IF($AM$9="",NA(),INDEX($AF$5:$AF$19,$AM$9))</f>
        <v>0</v>
      </c>
      <c r="E30" s="44">
        <f>IF($AM$9="",NA(),INDEX($AG$5:$AG$19,$AM$9))</f>
        <v>0</v>
      </c>
      <c r="F30" s="44">
        <f>IF($AM$9="",NA(),INDEX($AH$5:$AH$19,$AM$9))</f>
        <v>0</v>
      </c>
      <c r="G30" s="44">
        <f>IF($AM$9="",NA(),INDEX($AI$5:$AI$19,$AM$9))</f>
        <v>0</v>
      </c>
      <c r="H30" s="44">
        <f>IF($AM$9="",NA(),INDEX($AJ$5:$AJ$19,$AM$9))</f>
        <v>0</v>
      </c>
      <c r="I30" s="44">
        <f>IF($AM$9="",NA(),INDEX($AK$5:$AK$19,$AM$9))</f>
        <v>0</v>
      </c>
      <c r="K30" s="98" t="str">
        <f t="shared" si="11"/>
        <v/>
      </c>
      <c r="L30" s="98"/>
      <c r="M30" s="98"/>
      <c r="N30" s="98"/>
      <c r="O30" s="98"/>
      <c r="P30" s="98"/>
      <c r="Q30" s="98"/>
    </row>
    <row r="31" spans="1:43" x14ac:dyDescent="0.4">
      <c r="A31" t="str">
        <f>IF($AM$10="","",INDEX(posID,$AM$10))</f>
        <v>NFR-08</v>
      </c>
      <c r="B31" t="str">
        <f>IF($AM$10="","",INDEX(posNome,$AM$10))</f>
        <v>Accessi impropri di dipendenti ai dati dei clienti</v>
      </c>
      <c r="C31" s="44">
        <f>IF($AM$10="",NA(),INDEX($AE$5:$AE$19,$AM$10))</f>
        <v>0</v>
      </c>
      <c r="D31" s="44">
        <f>IF($AM$10="",NA(),INDEX($AF$5:$AF$19,$AM$10))</f>
        <v>0</v>
      </c>
      <c r="E31" s="44">
        <f>IF($AM$10="",NA(),INDEX($AG$5:$AG$19,$AM$10))</f>
        <v>0</v>
      </c>
      <c r="F31" s="44">
        <f>IF($AM$10="",NA(),INDEX($AH$5:$AH$19,$AM$10))</f>
        <v>0</v>
      </c>
      <c r="G31" s="44">
        <f>IF($AM$10="",NA(),INDEX($AI$5:$AI$19,$AM$10))</f>
        <v>0</v>
      </c>
      <c r="H31" s="44">
        <f>IF($AM$10="",NA(),INDEX($AJ$5:$AJ$19,$AM$10))</f>
        <v>0</v>
      </c>
      <c r="I31" s="44">
        <f>IF($AM$10="",NA(),INDEX($AK$5:$AK$19,$AM$10))</f>
        <v>0</v>
      </c>
      <c r="K31" s="98" t="str">
        <f t="shared" si="11"/>
        <v/>
      </c>
      <c r="L31" s="98"/>
      <c r="M31" s="98"/>
      <c r="N31" s="98"/>
      <c r="O31" s="98"/>
      <c r="P31" s="98"/>
      <c r="Q31" s="98"/>
    </row>
    <row r="32" spans="1:43" x14ac:dyDescent="0.4">
      <c r="A32" t="str">
        <f>IF($AM$11="","",INDEX(posID,$AM$11))</f>
        <v>NFR-09</v>
      </c>
      <c r="B32" t="str">
        <f>IF($AM$11="","",INDEX(posNome,$AM$11))</f>
        <v>Violazione di sanzioni internazionali tramite triangolazioni</v>
      </c>
      <c r="C32" s="44">
        <f>IF($AM$11="",NA(),INDEX($AE$5:$AE$19,$AM$11))</f>
        <v>0</v>
      </c>
      <c r="D32" s="44">
        <f>IF($AM$11="",NA(),INDEX($AF$5:$AF$19,$AM$11))</f>
        <v>0</v>
      </c>
      <c r="E32" s="44">
        <f>IF($AM$11="",NA(),INDEX($AG$5:$AG$19,$AM$11))</f>
        <v>0</v>
      </c>
      <c r="F32" s="44">
        <f>IF($AM$11="",NA(),INDEX($AH$5:$AH$19,$AM$11))</f>
        <v>0</v>
      </c>
      <c r="G32" s="44">
        <f>IF($AM$11="",NA(),INDEX($AI$5:$AI$19,$AM$11))</f>
        <v>0</v>
      </c>
      <c r="H32" s="44">
        <f>IF($AM$11="",NA(),INDEX($AJ$5:$AJ$19,$AM$11))</f>
        <v>0</v>
      </c>
      <c r="I32" s="44">
        <f>IF($AM$11="",NA(),INDEX($AK$5:$AK$19,$AM$11))</f>
        <v>0</v>
      </c>
      <c r="K32" s="98" t="str">
        <f t="shared" si="11"/>
        <v/>
      </c>
      <c r="L32" s="98"/>
      <c r="M32" s="98"/>
      <c r="N32" s="98"/>
      <c r="O32" s="98"/>
      <c r="P32" s="98"/>
      <c r="Q32" s="98"/>
    </row>
    <row r="33" spans="1:17" x14ac:dyDescent="0.4">
      <c r="A33" t="str">
        <f>IF($AM$12="","",INDEX(posID,$AM$12))</f>
        <v>NFR-10</v>
      </c>
      <c r="B33" t="str">
        <f>IF($AM$12="","",INDEX(posNome,$AM$12))</f>
        <v>Informazioni errate ai clienti da assistenti di AI generativa</v>
      </c>
      <c r="C33" s="44">
        <f>IF($AM$12="",NA(),INDEX($AE$5:$AE$19,$AM$12))</f>
        <v>0</v>
      </c>
      <c r="D33" s="44">
        <f>IF($AM$12="",NA(),INDEX($AF$5:$AF$19,$AM$12))</f>
        <v>0</v>
      </c>
      <c r="E33" s="44">
        <f>IF($AM$12="",NA(),INDEX($AG$5:$AG$19,$AM$12))</f>
        <v>0</v>
      </c>
      <c r="F33" s="44">
        <f>IF($AM$12="",NA(),INDEX($AH$5:$AH$19,$AM$12))</f>
        <v>0</v>
      </c>
      <c r="G33" s="44">
        <f>IF($AM$12="",NA(),INDEX($AI$5:$AI$19,$AM$12))</f>
        <v>0</v>
      </c>
      <c r="H33" s="44">
        <f>IF($AM$12="",NA(),INDEX($AJ$5:$AJ$19,$AM$12))</f>
        <v>0</v>
      </c>
      <c r="I33" s="44">
        <f>IF($AM$12="",NA(),INDEX($AK$5:$AK$19,$AM$12))</f>
        <v>0</v>
      </c>
      <c r="K33" s="98" t="str">
        <f t="shared" si="11"/>
        <v/>
      </c>
      <c r="L33" s="98"/>
      <c r="M33" s="98"/>
      <c r="N33" s="98"/>
      <c r="O33" s="98"/>
      <c r="P33" s="98"/>
      <c r="Q33" s="98"/>
    </row>
    <row r="34" spans="1:17" x14ac:dyDescent="0.4">
      <c r="A34" t="str">
        <f>IF($AM$13="","",INDEX(posID,$AM$13))</f>
        <v>NFR-11</v>
      </c>
      <c r="B34" t="str">
        <f>IF($AM$13="","",INDEX(posNome,$AM$13))</f>
        <v>Fine del supporto dei sistemi di pagamento legacy</v>
      </c>
      <c r="C34" s="44">
        <f>IF($AM$13="",NA(),INDEX($AE$5:$AE$19,$AM$13))</f>
        <v>0</v>
      </c>
      <c r="D34" s="44">
        <f>IF($AM$13="",NA(),INDEX($AF$5:$AF$19,$AM$13))</f>
        <v>0</v>
      </c>
      <c r="E34" s="44">
        <f>IF($AM$13="",NA(),INDEX($AG$5:$AG$19,$AM$13))</f>
        <v>0</v>
      </c>
      <c r="F34" s="44">
        <f>IF($AM$13="",NA(),INDEX($AH$5:$AH$19,$AM$13))</f>
        <v>0</v>
      </c>
      <c r="G34" s="44">
        <f>IF($AM$13="",NA(),INDEX($AI$5:$AI$19,$AM$13))</f>
        <v>0</v>
      </c>
      <c r="H34" s="44">
        <f>IF($AM$13="",NA(),INDEX($AJ$5:$AJ$19,$AM$13))</f>
        <v>0</v>
      </c>
      <c r="I34" s="44">
        <f>IF($AM$13="",NA(),INDEX($AK$5:$AK$19,$AM$13))</f>
        <v>0</v>
      </c>
      <c r="K34" s="98" t="str">
        <f t="shared" si="11"/>
        <v/>
      </c>
      <c r="L34" s="98"/>
      <c r="M34" s="98"/>
      <c r="N34" s="98"/>
      <c r="O34" s="98"/>
      <c r="P34" s="98"/>
      <c r="Q34" s="98"/>
    </row>
    <row r="35" spans="1:17" x14ac:dyDescent="0.4">
      <c r="A35" t="str">
        <f>IF($AM$14="","",INDEX(posID,$AM$14))</f>
        <v>NFR-12</v>
      </c>
      <c r="B35" t="str">
        <f>IF($AM$14="","",INDEX(posNome,$AM$14))</f>
        <v>Errori operativi nei pagamenti istantanei obbligatori</v>
      </c>
      <c r="C35" s="44">
        <f>IF($AM$14="",NA(),INDEX($AE$5:$AE$19,$AM$14))</f>
        <v>0</v>
      </c>
      <c r="D35" s="44">
        <f>IF($AM$14="",NA(),INDEX($AF$5:$AF$19,$AM$14))</f>
        <v>0</v>
      </c>
      <c r="E35" s="44">
        <f>IF($AM$14="",NA(),INDEX($AG$5:$AG$19,$AM$14))</f>
        <v>0</v>
      </c>
      <c r="F35" s="44">
        <f>IF($AM$14="",NA(),INDEX($AH$5:$AH$19,$AM$14))</f>
        <v>0</v>
      </c>
      <c r="G35" s="44">
        <f>IF($AM$14="",NA(),INDEX($AI$5:$AI$19,$AM$14))</f>
        <v>0</v>
      </c>
      <c r="H35" s="44">
        <f>IF($AM$14="",NA(),INDEX($AJ$5:$AJ$19,$AM$14))</f>
        <v>0</v>
      </c>
      <c r="I35" s="44">
        <f>IF($AM$14="",NA(),INDEX($AK$5:$AK$19,$AM$14))</f>
        <v>0</v>
      </c>
      <c r="K35" s="98" t="str">
        <f t="shared" si="11"/>
        <v/>
      </c>
      <c r="L35" s="98"/>
      <c r="M35" s="98"/>
      <c r="N35" s="98"/>
      <c r="O35" s="98"/>
      <c r="P35" s="98"/>
      <c r="Q35" s="98"/>
    </row>
    <row r="36" spans="1:17" x14ac:dyDescent="0.4">
      <c r="A36" t="str">
        <f>IF($AM$15="","",INDEX(posID,$AM$15))</f>
        <v>NFR-02</v>
      </c>
      <c r="B36" t="str">
        <f>IF($AM$15="","",INDEX(posNome,$AM$15))</f>
        <v>Concentrazione su un fornitore cloud critico</v>
      </c>
      <c r="C36" s="44">
        <f>IF($AM$15="",NA(),INDEX($AE$5:$AE$19,$AM$15))</f>
        <v>0</v>
      </c>
      <c r="D36" s="44">
        <f>IF($AM$15="",NA(),INDEX($AF$5:$AF$19,$AM$15))</f>
        <v>0</v>
      </c>
      <c r="E36" s="44">
        <f>IF($AM$15="",NA(),INDEX($AG$5:$AG$19,$AM$15))</f>
        <v>0</v>
      </c>
      <c r="F36" s="44">
        <f>IF($AM$15="",NA(),INDEX($AH$5:$AH$19,$AM$15))</f>
        <v>-1</v>
      </c>
      <c r="G36" s="44">
        <f>IF($AM$15="",NA(),INDEX($AI$5:$AI$19,$AM$15))</f>
        <v>1</v>
      </c>
      <c r="H36" s="44">
        <f>IF($AM$15="",NA(),INDEX($AJ$5:$AJ$19,$AM$15))</f>
        <v>0</v>
      </c>
      <c r="I36" s="44">
        <f>IF($AM$15="",NA(),INDEX($AK$5:$AK$19,$AM$15))</f>
        <v>-0.20000000000000018</v>
      </c>
      <c r="K36" s="98" t="str">
        <f t="shared" si="11"/>
        <v/>
      </c>
      <c r="L36" s="98"/>
      <c r="M36" s="98"/>
      <c r="N36" s="98"/>
      <c r="O36" s="98"/>
      <c r="P36" s="98"/>
      <c r="Q36" s="98"/>
    </row>
    <row r="37" spans="1:17" x14ac:dyDescent="0.4">
      <c r="A37" t="str">
        <f>IF($AM$16="","",INDEX(posID,$AM$16))</f>
        <v>NFR-06</v>
      </c>
      <c r="B37" t="str">
        <f>IF($AM$16="","",INDEX(posNome,$AM$16))</f>
        <v>Esfiltrazione di dati tramite strumenti di AI non autorizzati</v>
      </c>
      <c r="C37" s="44">
        <f>IF($AM$16="",NA(),INDEX($AE$5:$AE$19,$AM$16))</f>
        <v>0</v>
      </c>
      <c r="D37" s="44">
        <f>IF($AM$16="",NA(),INDEX($AF$5:$AF$19,$AM$16))</f>
        <v>0</v>
      </c>
      <c r="E37" s="44">
        <f>IF($AM$16="",NA(),INDEX($AG$5:$AG$19,$AM$16))</f>
        <v>0</v>
      </c>
      <c r="F37" s="44">
        <f>IF($AM$16="",NA(),INDEX($AH$5:$AH$19,$AM$16))</f>
        <v>-1</v>
      </c>
      <c r="G37" s="44">
        <f>IF($AM$16="",NA(),INDEX($AI$5:$AI$19,$AM$16))</f>
        <v>0</v>
      </c>
      <c r="H37" s="44">
        <f>IF($AM$16="",NA(),INDEX($AJ$5:$AJ$19,$AM$16))</f>
        <v>0</v>
      </c>
      <c r="I37" s="44">
        <f>IF($AM$16="",NA(),INDEX($AK$5:$AK$19,$AM$16))</f>
        <v>-0.20000000000000018</v>
      </c>
      <c r="K37" s="98" t="str">
        <f t="shared" si="11"/>
        <v/>
      </c>
      <c r="L37" s="98"/>
      <c r="M37" s="98"/>
      <c r="N37" s="98"/>
      <c r="O37" s="98"/>
      <c r="P37" s="98"/>
      <c r="Q37" s="98"/>
    </row>
    <row r="38" spans="1:17" x14ac:dyDescent="0.4">
      <c r="A38" t="str">
        <f>IF($AM$17="","",INDEX(posID,$AM$17))</f>
        <v/>
      </c>
      <c r="B38" t="str">
        <f>IF($AM$17="","",INDEX(posNome,$AM$17))</f>
        <v/>
      </c>
      <c r="C38" s="44" t="e">
        <f>IF($AM$17="",NA(),INDEX($AE$5:$AE$19,$AM$17))</f>
        <v>#N/A</v>
      </c>
      <c r="D38" s="44" t="e">
        <f>IF($AM$17="",NA(),INDEX($AF$5:$AF$19,$AM$17))</f>
        <v>#N/A</v>
      </c>
      <c r="E38" s="44" t="e">
        <f>IF($AM$17="",NA(),INDEX($AG$5:$AG$19,$AM$17))</f>
        <v>#N/A</v>
      </c>
      <c r="F38" s="44" t="e">
        <f>IF($AM$17="",NA(),INDEX($AH$5:$AH$19,$AM$17))</f>
        <v>#N/A</v>
      </c>
      <c r="G38" s="44" t="e">
        <f>IF($AM$17="",NA(),INDEX($AI$5:$AI$19,$AM$17))</f>
        <v>#N/A</v>
      </c>
      <c r="H38" s="44" t="e">
        <f>IF($AM$17="",NA(),INDEX($AJ$5:$AJ$19,$AM$17))</f>
        <v>#N/A</v>
      </c>
      <c r="I38" s="44" t="e">
        <f>IF($AM$17="",NA(),INDEX($AK$5:$AK$19,$AM$17))</f>
        <v>#N/A</v>
      </c>
      <c r="K38" s="98" t="str">
        <f t="shared" si="11"/>
        <v/>
      </c>
      <c r="L38" s="98"/>
      <c r="M38" s="98"/>
      <c r="N38" s="98"/>
      <c r="O38" s="98"/>
      <c r="P38" s="98"/>
      <c r="Q38" s="98"/>
    </row>
    <row r="39" spans="1:17" x14ac:dyDescent="0.4">
      <c r="A39" t="str">
        <f>IF($AM$18="","",INDEX(posID,$AM$18))</f>
        <v/>
      </c>
      <c r="B39" t="str">
        <f>IF($AM$18="","",INDEX(posNome,$AM$18))</f>
        <v/>
      </c>
      <c r="C39" s="44" t="e">
        <f>IF($AM$18="",NA(),INDEX($AE$5:$AE$19,$AM$18))</f>
        <v>#N/A</v>
      </c>
      <c r="D39" s="44" t="e">
        <f>IF($AM$18="",NA(),INDEX($AF$5:$AF$19,$AM$18))</f>
        <v>#N/A</v>
      </c>
      <c r="E39" s="44" t="e">
        <f>IF($AM$18="",NA(),INDEX($AG$5:$AG$19,$AM$18))</f>
        <v>#N/A</v>
      </c>
      <c r="F39" s="44" t="e">
        <f>IF($AM$18="",NA(),INDEX($AH$5:$AH$19,$AM$18))</f>
        <v>#N/A</v>
      </c>
      <c r="G39" s="44" t="e">
        <f>IF($AM$18="",NA(),INDEX($AI$5:$AI$19,$AM$18))</f>
        <v>#N/A</v>
      </c>
      <c r="H39" s="44" t="e">
        <f>IF($AM$18="",NA(),INDEX($AJ$5:$AJ$19,$AM$18))</f>
        <v>#N/A</v>
      </c>
      <c r="I39" s="44" t="e">
        <f>IF($AM$18="",NA(),INDEX($AK$5:$AK$19,$AM$18))</f>
        <v>#N/A</v>
      </c>
      <c r="K39" s="98" t="str">
        <f t="shared" si="11"/>
        <v/>
      </c>
      <c r="L39" s="98"/>
      <c r="M39" s="98"/>
      <c r="N39" s="98"/>
      <c r="O39" s="98"/>
      <c r="P39" s="98"/>
      <c r="Q39" s="98"/>
    </row>
    <row r="40" spans="1:17" x14ac:dyDescent="0.4">
      <c r="A40" t="str">
        <f>IF($AM$19="","",INDEX(posID,$AM$19))</f>
        <v/>
      </c>
      <c r="B40" t="str">
        <f>IF($AM$19="","",INDEX(posNome,$AM$19))</f>
        <v/>
      </c>
      <c r="C40" s="44" t="e">
        <f>IF($AM$19="",NA(),INDEX($AE$5:$AE$19,$AM$19))</f>
        <v>#N/A</v>
      </c>
      <c r="D40" s="44" t="e">
        <f>IF($AM$19="",NA(),INDEX($AF$5:$AF$19,$AM$19))</f>
        <v>#N/A</v>
      </c>
      <c r="E40" s="44" t="e">
        <f>IF($AM$19="",NA(),INDEX($AG$5:$AG$19,$AM$19))</f>
        <v>#N/A</v>
      </c>
      <c r="F40" s="44" t="e">
        <f>IF($AM$19="",NA(),INDEX($AH$5:$AH$19,$AM$19))</f>
        <v>#N/A</v>
      </c>
      <c r="G40" s="44" t="e">
        <f>IF($AM$19="",NA(),INDEX($AI$5:$AI$19,$AM$19))</f>
        <v>#N/A</v>
      </c>
      <c r="H40" s="44" t="e">
        <f>IF($AM$19="",NA(),INDEX($AJ$5:$AJ$19,$AM$19))</f>
        <v>#N/A</v>
      </c>
      <c r="I40" s="44" t="e">
        <f>IF($AM$19="",NA(),INDEX($AK$5:$AK$19,$AM$19))</f>
        <v>#N/A</v>
      </c>
      <c r="K40" s="98" t="str">
        <f t="shared" si="11"/>
        <v/>
      </c>
      <c r="L40" s="98"/>
      <c r="M40" s="98"/>
      <c r="N40" s="98"/>
      <c r="O40" s="98"/>
      <c r="P40" s="98"/>
      <c r="Q40" s="98"/>
    </row>
    <row r="42" spans="1:17" ht="15" customHeight="1" x14ac:dyDescent="0.4">
      <c r="A42" s="123" t="s">
        <v>236</v>
      </c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</row>
  </sheetData>
  <mergeCells count="37">
    <mergeCell ref="A2:Q2"/>
    <mergeCell ref="A42:Q42"/>
    <mergeCell ref="M18:Q18"/>
    <mergeCell ref="K32:Q32"/>
    <mergeCell ref="M8:Q8"/>
    <mergeCell ref="A22:Q22"/>
    <mergeCell ref="M17:Q17"/>
    <mergeCell ref="K31:Q31"/>
    <mergeCell ref="K40:Q40"/>
    <mergeCell ref="M14:Q14"/>
    <mergeCell ref="M19:Q19"/>
    <mergeCell ref="K27:Q27"/>
    <mergeCell ref="K39:Q39"/>
    <mergeCell ref="M9:Q9"/>
    <mergeCell ref="M5:Q5"/>
    <mergeCell ref="K38:Q38"/>
    <mergeCell ref="A1:Q1"/>
    <mergeCell ref="K28:Q28"/>
    <mergeCell ref="K37:Q37"/>
    <mergeCell ref="M20:Q20"/>
    <mergeCell ref="K4:Q4"/>
    <mergeCell ref="M11:Q11"/>
    <mergeCell ref="M10:Q10"/>
    <mergeCell ref="K30:Q30"/>
    <mergeCell ref="K34:Q34"/>
    <mergeCell ref="A24:J24"/>
    <mergeCell ref="M13:Q13"/>
    <mergeCell ref="K33:Q33"/>
    <mergeCell ref="M7:Q7"/>
    <mergeCell ref="M16:Q16"/>
    <mergeCell ref="M12:Q12"/>
    <mergeCell ref="K36:Q36"/>
    <mergeCell ref="M15:Q15"/>
    <mergeCell ref="M6:Q6"/>
    <mergeCell ref="K26:Q26"/>
    <mergeCell ref="K29:Q29"/>
    <mergeCell ref="K35:Q35"/>
  </mergeCells>
  <conditionalFormatting sqref="C26:I40">
    <cfRule type="expression" dxfId="55" priority="4">
      <formula>ISNA(C26)</formula>
    </cfRule>
  </conditionalFormatting>
  <conditionalFormatting sqref="I26:I40">
    <cfRule type="expression" dxfId="54" priority="5">
      <formula>AND(ISNUMBER(I26),I26&gt;=sogliaDelta)</formula>
    </cfRule>
    <cfRule type="expression" dxfId="53" priority="6">
      <formula>AND(ISNUMBER(I26),I26&lt;=-sogliaDelta)</formula>
    </cfRule>
  </conditionalFormatting>
  <conditionalFormatting sqref="K6:Q20">
    <cfRule type="expression" dxfId="52" priority="3">
      <formula>$K6&lt;&gt;""</formula>
    </cfRule>
  </conditionalFormatting>
  <conditionalFormatting sqref="L6:L20">
    <cfRule type="expression" dxfId="51" priority="1">
      <formula>AND(ISNUMBER(L6),L6&gt;0)</formula>
    </cfRule>
    <cfRule type="expression" dxfId="50" priority="2">
      <formula>AND(ISNUMBER(L6),L6&lt;0)</formula>
    </cfRule>
  </conditionalFormatting>
  <pageMargins left="0.4" right="0.4" top="1" bottom="1" header="0.5" footer="0.5"/>
  <pageSetup paperSize="9" fitToHeight="0" orientation="landscape"/>
  <headerFooter>
    <oddHeader>&amp;L&amp;A&amp;CUso interno&amp;RHorizon Scan NFR</oddHeader>
    <oddFooter>&amp;L&amp;F&amp;RPagina &amp;P di &amp;N</oddFooter>
  </headerFooter>
  <rowBreaks count="1" manualBreakCount="1">
    <brk id="21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  <pageSetUpPr fitToPage="1"/>
  </sheetPr>
  <dimension ref="A1:B105"/>
  <sheetViews>
    <sheetView showGridLines="0" workbookViewId="0"/>
  </sheetViews>
  <sheetFormatPr defaultRowHeight="14.6" x14ac:dyDescent="0.4"/>
  <cols>
    <col min="1" max="1" width="34" customWidth="1"/>
    <col min="2" max="2" width="120" customWidth="1"/>
  </cols>
  <sheetData>
    <row r="1" spans="1:2" ht="28" customHeight="1" x14ac:dyDescent="0.4">
      <c r="A1" s="126" t="str">
        <f>"Horizon Scan NFR — Metodologia: come si leggono i numeri   ·   "&amp;etichettaCiclo</f>
        <v>Horizon Scan NFR — Metodologia: come si leggono i numeri   ·   Ciclo 2026Q3 · dati al 30/09/2026 · validato · Uso interno</v>
      </c>
      <c r="B1" s="127"/>
    </row>
    <row r="2" spans="1:2" ht="32.049999999999997" customHeight="1" x14ac:dyDescent="0.4">
      <c r="A2" s="139" t="s">
        <v>237</v>
      </c>
      <c r="B2" s="98"/>
    </row>
    <row r="4" spans="1:2" x14ac:dyDescent="0.4">
      <c r="A4" s="4" t="s">
        <v>238</v>
      </c>
      <c r="B4" s="45"/>
    </row>
    <row r="5" spans="1:2" ht="29.15" x14ac:dyDescent="0.4">
      <c r="A5" s="2" t="s">
        <v>239</v>
      </c>
      <c r="B5" s="46" t="s">
        <v>240</v>
      </c>
    </row>
    <row r="6" spans="1:2" x14ac:dyDescent="0.4">
      <c r="A6" s="2" t="s">
        <v>241</v>
      </c>
      <c r="B6" s="46" t="s">
        <v>242</v>
      </c>
    </row>
    <row r="7" spans="1:2" ht="29.15" x14ac:dyDescent="0.4">
      <c r="A7" s="2" t="s">
        <v>243</v>
      </c>
      <c r="B7" s="46" t="s">
        <v>244</v>
      </c>
    </row>
    <row r="8" spans="1:2" ht="29.15" x14ac:dyDescent="0.4">
      <c r="A8" s="2" t="s">
        <v>245</v>
      </c>
      <c r="B8" s="46" t="s">
        <v>246</v>
      </c>
    </row>
    <row r="10" spans="1:2" x14ac:dyDescent="0.4">
      <c r="A10" s="4" t="s">
        <v>247</v>
      </c>
      <c r="B10" s="45"/>
    </row>
    <row r="11" spans="1:2" ht="29.15" x14ac:dyDescent="0.4">
      <c r="A11" s="2" t="s">
        <v>248</v>
      </c>
      <c r="B11" s="46" t="s">
        <v>249</v>
      </c>
    </row>
    <row r="12" spans="1:2" ht="29.15" x14ac:dyDescent="0.4">
      <c r="A12" s="2" t="s">
        <v>250</v>
      </c>
      <c r="B12" s="46" t="s">
        <v>251</v>
      </c>
    </row>
    <row r="13" spans="1:2" ht="29.15" x14ac:dyDescent="0.4">
      <c r="A13" s="2" t="s">
        <v>252</v>
      </c>
      <c r="B13" s="46" t="s">
        <v>253</v>
      </c>
    </row>
    <row r="14" spans="1:2" ht="29.15" x14ac:dyDescent="0.4">
      <c r="A14" s="2" t="s">
        <v>254</v>
      </c>
      <c r="B14" s="46" t="s">
        <v>255</v>
      </c>
    </row>
    <row r="16" spans="1:2" x14ac:dyDescent="0.4">
      <c r="A16" s="4" t="s">
        <v>256</v>
      </c>
      <c r="B16" s="45"/>
    </row>
    <row r="17" spans="1:2" ht="29.15" x14ac:dyDescent="0.4">
      <c r="A17" s="2" t="s">
        <v>257</v>
      </c>
      <c r="B17" s="46" t="s">
        <v>258</v>
      </c>
    </row>
    <row r="18" spans="1:2" x14ac:dyDescent="0.4">
      <c r="A18" s="2" t="s">
        <v>207</v>
      </c>
      <c r="B18" s="46" t="s">
        <v>259</v>
      </c>
    </row>
    <row r="19" spans="1:2" x14ac:dyDescent="0.4">
      <c r="A19" s="2" t="s">
        <v>178</v>
      </c>
      <c r="B19" s="46" t="s">
        <v>260</v>
      </c>
    </row>
    <row r="20" spans="1:2" x14ac:dyDescent="0.4">
      <c r="A20" s="2" t="s">
        <v>261</v>
      </c>
      <c r="B20" s="46" t="s">
        <v>262</v>
      </c>
    </row>
    <row r="21" spans="1:2" x14ac:dyDescent="0.4">
      <c r="A21" s="2" t="s">
        <v>263</v>
      </c>
      <c r="B21" s="46" t="s">
        <v>264</v>
      </c>
    </row>
    <row r="22" spans="1:2" x14ac:dyDescent="0.4">
      <c r="A22" s="2" t="s">
        <v>180</v>
      </c>
      <c r="B22" s="46" t="s">
        <v>265</v>
      </c>
    </row>
    <row r="24" spans="1:2" x14ac:dyDescent="0.4">
      <c r="A24" s="47" t="s">
        <v>266</v>
      </c>
      <c r="B24" s="48"/>
    </row>
    <row r="25" spans="1:2" x14ac:dyDescent="0.4">
      <c r="A25" s="2" t="s">
        <v>267</v>
      </c>
      <c r="B25" s="46" t="s">
        <v>268</v>
      </c>
    </row>
    <row r="26" spans="1:2" x14ac:dyDescent="0.4">
      <c r="A26" s="2" t="s">
        <v>269</v>
      </c>
      <c r="B26" s="49">
        <f>pesoSeverity</f>
        <v>0.3</v>
      </c>
    </row>
    <row r="27" spans="1:2" x14ac:dyDescent="0.4">
      <c r="A27" s="2" t="s">
        <v>270</v>
      </c>
      <c r="B27" s="49">
        <f>pesoProbabilita</f>
        <v>0.2</v>
      </c>
    </row>
    <row r="28" spans="1:2" x14ac:dyDescent="0.4">
      <c r="A28" s="2" t="s">
        <v>271</v>
      </c>
      <c r="B28" s="49">
        <f>pesoGap</f>
        <v>0.2</v>
      </c>
    </row>
    <row r="29" spans="1:2" x14ac:dyDescent="0.4">
      <c r="A29" s="2" t="s">
        <v>272</v>
      </c>
      <c r="B29" s="49">
        <f>pesoVelocity</f>
        <v>0.15</v>
      </c>
    </row>
    <row r="30" spans="1:2" x14ac:dyDescent="0.4">
      <c r="A30" s="2" t="s">
        <v>273</v>
      </c>
      <c r="B30" s="49">
        <f>pesoProssimita</f>
        <v>0.15</v>
      </c>
    </row>
    <row r="31" spans="1:2" x14ac:dyDescent="0.4">
      <c r="A31" s="2" t="s">
        <v>274</v>
      </c>
      <c r="B31" s="46" t="str">
        <f>Parametri!B9&amp;" — "&amp;Parametri!C9</f>
        <v>1 — OK</v>
      </c>
    </row>
    <row r="33" spans="1:2" x14ac:dyDescent="0.4">
      <c r="A33" s="4" t="s">
        <v>275</v>
      </c>
      <c r="B33" s="45"/>
    </row>
    <row r="34" spans="1:2" ht="29.15" x14ac:dyDescent="0.4">
      <c r="A34" s="7" t="s">
        <v>276</v>
      </c>
    </row>
    <row r="35" spans="1:2" x14ac:dyDescent="0.4">
      <c r="A35" s="2" t="s">
        <v>277</v>
      </c>
      <c r="B35" s="46" t="s">
        <v>278</v>
      </c>
    </row>
    <row r="36" spans="1:2" x14ac:dyDescent="0.4">
      <c r="A36" s="2" t="s">
        <v>279</v>
      </c>
      <c r="B36" s="46" t="s">
        <v>280</v>
      </c>
    </row>
    <row r="37" spans="1:2" x14ac:dyDescent="0.4">
      <c r="A37" s="2" t="s">
        <v>281</v>
      </c>
      <c r="B37" s="46" t="s">
        <v>282</v>
      </c>
    </row>
    <row r="38" spans="1:2" x14ac:dyDescent="0.4">
      <c r="A38" s="2" t="s">
        <v>283</v>
      </c>
      <c r="B38" s="46" t="s">
        <v>284</v>
      </c>
    </row>
    <row r="39" spans="1:2" x14ac:dyDescent="0.4">
      <c r="A39" s="2" t="s">
        <v>285</v>
      </c>
      <c r="B39" s="46" t="s">
        <v>286</v>
      </c>
    </row>
    <row r="40" spans="1:2" ht="29.15" x14ac:dyDescent="0.4">
      <c r="A40" s="7" t="s">
        <v>287</v>
      </c>
    </row>
    <row r="41" spans="1:2" x14ac:dyDescent="0.4">
      <c r="A41" s="2" t="s">
        <v>277</v>
      </c>
      <c r="B41" s="46" t="s">
        <v>288</v>
      </c>
    </row>
    <row r="42" spans="1:2" x14ac:dyDescent="0.4">
      <c r="A42" s="2" t="s">
        <v>279</v>
      </c>
      <c r="B42" s="46" t="s">
        <v>289</v>
      </c>
    </row>
    <row r="43" spans="1:2" x14ac:dyDescent="0.4">
      <c r="A43" s="2" t="s">
        <v>281</v>
      </c>
      <c r="B43" s="46" t="s">
        <v>290</v>
      </c>
    </row>
    <row r="44" spans="1:2" x14ac:dyDescent="0.4">
      <c r="A44" s="2" t="s">
        <v>283</v>
      </c>
      <c r="B44" s="46" t="s">
        <v>291</v>
      </c>
    </row>
    <row r="45" spans="1:2" x14ac:dyDescent="0.4">
      <c r="A45" s="2" t="s">
        <v>285</v>
      </c>
      <c r="B45" s="46" t="s">
        <v>292</v>
      </c>
    </row>
    <row r="46" spans="1:2" ht="29.15" x14ac:dyDescent="0.4">
      <c r="A46" s="7" t="s">
        <v>293</v>
      </c>
    </row>
    <row r="47" spans="1:2" x14ac:dyDescent="0.4">
      <c r="A47" s="2" t="s">
        <v>277</v>
      </c>
      <c r="B47" s="46" t="s">
        <v>294</v>
      </c>
    </row>
    <row r="48" spans="1:2" x14ac:dyDescent="0.4">
      <c r="A48" s="2" t="s">
        <v>279</v>
      </c>
      <c r="B48" s="46" t="s">
        <v>295</v>
      </c>
    </row>
    <row r="49" spans="1:2" x14ac:dyDescent="0.4">
      <c r="A49" s="2" t="s">
        <v>281</v>
      </c>
      <c r="B49" s="46" t="s">
        <v>296</v>
      </c>
    </row>
    <row r="50" spans="1:2" x14ac:dyDescent="0.4">
      <c r="A50" s="2" t="s">
        <v>283</v>
      </c>
      <c r="B50" s="46" t="s">
        <v>297</v>
      </c>
    </row>
    <row r="51" spans="1:2" x14ac:dyDescent="0.4">
      <c r="A51" s="2" t="s">
        <v>285</v>
      </c>
      <c r="B51" s="46" t="s">
        <v>298</v>
      </c>
    </row>
    <row r="52" spans="1:2" ht="29.15" x14ac:dyDescent="0.4">
      <c r="A52" s="7" t="s">
        <v>299</v>
      </c>
    </row>
    <row r="53" spans="1:2" x14ac:dyDescent="0.4">
      <c r="A53" s="2" t="s">
        <v>277</v>
      </c>
      <c r="B53" s="46" t="s">
        <v>300</v>
      </c>
    </row>
    <row r="54" spans="1:2" x14ac:dyDescent="0.4">
      <c r="A54" s="2" t="s">
        <v>279</v>
      </c>
      <c r="B54" s="46" t="s">
        <v>301</v>
      </c>
    </row>
    <row r="55" spans="1:2" x14ac:dyDescent="0.4">
      <c r="A55" s="2" t="s">
        <v>281</v>
      </c>
      <c r="B55" s="46" t="s">
        <v>302</v>
      </c>
    </row>
    <row r="56" spans="1:2" x14ac:dyDescent="0.4">
      <c r="A56" s="2" t="s">
        <v>283</v>
      </c>
      <c r="B56" s="46" t="s">
        <v>303</v>
      </c>
    </row>
    <row r="57" spans="1:2" x14ac:dyDescent="0.4">
      <c r="A57" s="2" t="s">
        <v>285</v>
      </c>
      <c r="B57" s="46" t="s">
        <v>304</v>
      </c>
    </row>
    <row r="58" spans="1:2" ht="29.15" x14ac:dyDescent="0.4">
      <c r="A58" s="7" t="s">
        <v>305</v>
      </c>
    </row>
    <row r="59" spans="1:2" x14ac:dyDescent="0.4">
      <c r="A59" s="2" t="s">
        <v>277</v>
      </c>
      <c r="B59" s="46" t="s">
        <v>306</v>
      </c>
    </row>
    <row r="60" spans="1:2" x14ac:dyDescent="0.4">
      <c r="A60" s="2" t="s">
        <v>279</v>
      </c>
      <c r="B60" s="46" t="s">
        <v>307</v>
      </c>
    </row>
    <row r="61" spans="1:2" x14ac:dyDescent="0.4">
      <c r="A61" s="2" t="s">
        <v>281</v>
      </c>
      <c r="B61" s="46" t="s">
        <v>308</v>
      </c>
    </row>
    <row r="62" spans="1:2" x14ac:dyDescent="0.4">
      <c r="A62" s="2" t="s">
        <v>283</v>
      </c>
      <c r="B62" s="46" t="s">
        <v>309</v>
      </c>
    </row>
    <row r="63" spans="1:2" x14ac:dyDescent="0.4">
      <c r="A63" s="2" t="s">
        <v>285</v>
      </c>
      <c r="B63" s="46" t="s">
        <v>310</v>
      </c>
    </row>
    <row r="64" spans="1:2" ht="29.15" x14ac:dyDescent="0.4">
      <c r="A64" s="7" t="s">
        <v>311</v>
      </c>
    </row>
    <row r="65" spans="1:2" x14ac:dyDescent="0.4">
      <c r="A65" s="2" t="s">
        <v>277</v>
      </c>
      <c r="B65" s="46" t="s">
        <v>312</v>
      </c>
    </row>
    <row r="66" spans="1:2" x14ac:dyDescent="0.4">
      <c r="A66" s="2" t="s">
        <v>279</v>
      </c>
      <c r="B66" s="46" t="s">
        <v>313</v>
      </c>
    </row>
    <row r="67" spans="1:2" x14ac:dyDescent="0.4">
      <c r="A67" s="2" t="s">
        <v>281</v>
      </c>
      <c r="B67" s="46" t="s">
        <v>314</v>
      </c>
    </row>
    <row r="68" spans="1:2" x14ac:dyDescent="0.4">
      <c r="A68" s="2" t="s">
        <v>283</v>
      </c>
      <c r="B68" s="46" t="s">
        <v>315</v>
      </c>
    </row>
    <row r="69" spans="1:2" x14ac:dyDescent="0.4">
      <c r="A69" s="2" t="s">
        <v>285</v>
      </c>
      <c r="B69" s="46" t="s">
        <v>316</v>
      </c>
    </row>
    <row r="71" spans="1:2" x14ac:dyDescent="0.4">
      <c r="A71" s="4" t="s">
        <v>317</v>
      </c>
      <c r="B71" s="45"/>
    </row>
    <row r="72" spans="1:2" x14ac:dyDescent="0.4">
      <c r="A72" s="2"/>
      <c r="B72" s="46" t="s">
        <v>318</v>
      </c>
    </row>
    <row r="73" spans="1:2" x14ac:dyDescent="0.4">
      <c r="A73" s="2"/>
      <c r="B73" s="46" t="s">
        <v>319</v>
      </c>
    </row>
    <row r="74" spans="1:2" x14ac:dyDescent="0.4">
      <c r="A74" s="2"/>
      <c r="B74" s="46" t="s">
        <v>320</v>
      </c>
    </row>
    <row r="75" spans="1:2" x14ac:dyDescent="0.4">
      <c r="A75" s="2"/>
      <c r="B75" s="46" t="s">
        <v>321</v>
      </c>
    </row>
    <row r="76" spans="1:2" x14ac:dyDescent="0.4">
      <c r="A76" s="2"/>
      <c r="B76" s="46" t="s">
        <v>322</v>
      </c>
    </row>
    <row r="77" spans="1:2" x14ac:dyDescent="0.4">
      <c r="A77" s="2"/>
      <c r="B77" s="46" t="s">
        <v>323</v>
      </c>
    </row>
    <row r="78" spans="1:2" ht="29.15" x14ac:dyDescent="0.4">
      <c r="A78" s="2"/>
      <c r="B78" s="46" t="s">
        <v>324</v>
      </c>
    </row>
    <row r="80" spans="1:2" ht="29.15" x14ac:dyDescent="0.4">
      <c r="A80" s="47" t="s">
        <v>325</v>
      </c>
      <c r="B80" s="48"/>
    </row>
    <row r="81" spans="1:2" ht="29.15" x14ac:dyDescent="0.4">
      <c r="A81" s="2" t="s">
        <v>257</v>
      </c>
      <c r="B81" s="46" t="s">
        <v>326</v>
      </c>
    </row>
    <row r="82" spans="1:2" x14ac:dyDescent="0.4">
      <c r="A82" s="2" t="s">
        <v>327</v>
      </c>
      <c r="B82" s="49">
        <f>moscaX</f>
        <v>0.25</v>
      </c>
    </row>
    <row r="83" spans="1:2" ht="29.15" x14ac:dyDescent="0.4">
      <c r="A83" s="2" t="s">
        <v>328</v>
      </c>
      <c r="B83" s="46" t="s">
        <v>329</v>
      </c>
    </row>
    <row r="84" spans="1:2" x14ac:dyDescent="0.4">
      <c r="A84" s="2" t="s">
        <v>330</v>
      </c>
      <c r="B84" s="49">
        <f>moscaYDefault</f>
        <v>1</v>
      </c>
    </row>
    <row r="85" spans="1:2" x14ac:dyDescent="0.4">
      <c r="A85" s="2" t="s">
        <v>331</v>
      </c>
      <c r="B85" s="49">
        <f>INDEX(anniProssimita,1)</f>
        <v>4</v>
      </c>
    </row>
    <row r="86" spans="1:2" x14ac:dyDescent="0.4">
      <c r="A86" s="2" t="s">
        <v>332</v>
      </c>
      <c r="B86" s="49">
        <f>INDEX(anniProssimita,2)</f>
        <v>2.5</v>
      </c>
    </row>
    <row r="87" spans="1:2" x14ac:dyDescent="0.4">
      <c r="A87" s="2" t="s">
        <v>333</v>
      </c>
      <c r="B87" s="49">
        <f>INDEX(anniProssimita,3)</f>
        <v>1.5</v>
      </c>
    </row>
    <row r="88" spans="1:2" x14ac:dyDescent="0.4">
      <c r="A88" s="2" t="s">
        <v>334</v>
      </c>
      <c r="B88" s="49">
        <f>INDEX(anniProssimita,4)</f>
        <v>0.5</v>
      </c>
    </row>
    <row r="89" spans="1:2" x14ac:dyDescent="0.4">
      <c r="A89" s="2" t="s">
        <v>335</v>
      </c>
      <c r="B89" s="49">
        <f>INDEX(anniProssimita,5)</f>
        <v>0</v>
      </c>
    </row>
    <row r="90" spans="1:2" x14ac:dyDescent="0.4">
      <c r="A90" s="2" t="s">
        <v>153</v>
      </c>
      <c r="B90" s="46" t="s">
        <v>336</v>
      </c>
    </row>
    <row r="91" spans="1:2" ht="29.15" x14ac:dyDescent="0.4">
      <c r="A91" s="2" t="s">
        <v>337</v>
      </c>
      <c r="B91" s="46" t="s">
        <v>338</v>
      </c>
    </row>
    <row r="93" spans="1:2" x14ac:dyDescent="0.4">
      <c r="A93" s="4" t="s">
        <v>109</v>
      </c>
      <c r="B93" s="45"/>
    </row>
    <row r="94" spans="1:2" ht="29.15" x14ac:dyDescent="0.4">
      <c r="A94" s="2" t="s">
        <v>339</v>
      </c>
      <c r="B94" s="46" t="s">
        <v>340</v>
      </c>
    </row>
    <row r="95" spans="1:2" x14ac:dyDescent="0.4">
      <c r="A95" s="2" t="s">
        <v>341</v>
      </c>
      <c r="B95" s="46" t="s">
        <v>342</v>
      </c>
    </row>
    <row r="97" spans="1:2" x14ac:dyDescent="0.4">
      <c r="A97" s="47" t="s">
        <v>343</v>
      </c>
      <c r="B97" s="48"/>
    </row>
    <row r="98" spans="1:2" x14ac:dyDescent="0.4">
      <c r="A98" s="2" t="s">
        <v>58</v>
      </c>
      <c r="B98" s="46" t="s">
        <v>344</v>
      </c>
    </row>
    <row r="99" spans="1:2" x14ac:dyDescent="0.4">
      <c r="A99" s="2" t="s">
        <v>345</v>
      </c>
      <c r="B99" s="46" t="s">
        <v>346</v>
      </c>
    </row>
    <row r="100" spans="1:2" ht="29.15" x14ac:dyDescent="0.4">
      <c r="A100" s="2" t="s">
        <v>347</v>
      </c>
      <c r="B100" s="46" t="s">
        <v>348</v>
      </c>
    </row>
    <row r="101" spans="1:2" x14ac:dyDescent="0.4">
      <c r="A101" s="2" t="s">
        <v>66</v>
      </c>
      <c r="B101" s="46" t="s">
        <v>349</v>
      </c>
    </row>
    <row r="102" spans="1:2" ht="29.15" x14ac:dyDescent="0.4">
      <c r="A102" s="2" t="s">
        <v>69</v>
      </c>
      <c r="B102" s="46" t="s">
        <v>350</v>
      </c>
    </row>
    <row r="104" spans="1:2" x14ac:dyDescent="0.4">
      <c r="A104" s="5" t="s">
        <v>351</v>
      </c>
      <c r="B104" s="50"/>
    </row>
    <row r="105" spans="1:2" ht="29.15" x14ac:dyDescent="0.4">
      <c r="A105" s="2"/>
      <c r="B105" s="46" t="s">
        <v>352</v>
      </c>
    </row>
  </sheetData>
  <mergeCells count="2">
    <mergeCell ref="A2:B2"/>
    <mergeCell ref="A1:B1"/>
  </mergeCells>
  <pageMargins left="0.4" right="0.4" top="1" bottom="1" header="0.5" footer="0.5"/>
  <pageSetup paperSize="9" fitToHeight="0" orientation="landscape"/>
  <headerFooter>
    <oddHeader>&amp;L&amp;A&amp;CUso interno&amp;RHorizon Scan NFR</oddHeader>
    <oddFooter>&amp;L&amp;F&amp;RPagina &amp;P di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AO25"/>
  <sheetViews>
    <sheetView showGridLines="0" workbookViewId="0">
      <pane xSplit="2" ySplit="8" topLeftCell="C9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9" customWidth="1"/>
    <col min="2" max="2" width="38" customWidth="1"/>
    <col min="3" max="3" width="7" customWidth="1"/>
    <col min="4" max="9" width="6" customWidth="1"/>
    <col min="10" max="10" width="8" customWidth="1"/>
    <col min="11" max="12" width="9" customWidth="1"/>
    <col min="13" max="13" width="16" customWidth="1"/>
    <col min="14" max="14" width="8" customWidth="1"/>
    <col min="15" max="18" width="4" customWidth="1"/>
    <col min="19" max="19" width="11" customWidth="1"/>
    <col min="20" max="20" width="28" customWidth="1"/>
    <col min="27" max="41" width="13" hidden="1" customWidth="1"/>
  </cols>
  <sheetData>
    <row r="1" spans="1:41" ht="28" customHeight="1" x14ac:dyDescent="0.4">
      <c r="A1" s="126" t="str">
        <f>"Horizon Scan NFR — Registro: il ciclo corrente   ·   "&amp;etichettaCiclo</f>
        <v>Horizon Scan NFR — Registro: il ciclo corrente   ·   Ciclo 2026Q3 · dati al 30/09/2026 · validato · Uso interno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41" ht="45.55" customHeight="1" x14ac:dyDescent="0.4">
      <c r="A2" s="140" t="s">
        <v>353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41" x14ac:dyDescent="0.4">
      <c r="A4" s="51" t="s">
        <v>354</v>
      </c>
      <c r="B4" t="s">
        <v>355</v>
      </c>
      <c r="D4">
        <f>COUNTIFS(VAL_Periodo,cicloCorrente,VAL_Stato,"Da decidere")</f>
        <v>0</v>
      </c>
      <c r="E4" t="s">
        <v>356</v>
      </c>
      <c r="G4">
        <f>COUNTIFS(VAL_Periodo,cicloCorrente,VAL_Decisione,"Rettificato",VAL_Stato,"Applicata")</f>
        <v>2</v>
      </c>
      <c r="H4" s="145" t="str">
        <f>IF(D4&gt;0,"CICLO NON ANCORA VALIDATO — vedi foglio Validazione","Ciclo validato")</f>
        <v>Ciclo validato</v>
      </c>
      <c r="I4" s="98"/>
      <c r="J4" s="98"/>
      <c r="K4" s="98"/>
      <c r="L4" s="98"/>
      <c r="M4" s="98"/>
      <c r="N4" s="98"/>
    </row>
    <row r="5" spans="1:41" x14ac:dyDescent="0.4">
      <c r="A5" s="53" t="s">
        <v>357</v>
      </c>
      <c r="B5" t="s">
        <v>358</v>
      </c>
      <c r="D5">
        <f>COUNTIF(ANA_ID,"NFR-*")</f>
        <v>12</v>
      </c>
      <c r="E5" t="s">
        <v>359</v>
      </c>
      <c r="G5">
        <f>SUMPRODUCT((ANA_ID&lt;&gt;"")*(COUNTIFS(RR_ID_Rischio,ANA_ID,RR_Ciclo,cicloCorrente)&gt;0))</f>
        <v>12</v>
      </c>
      <c r="H5" s="145" t="str">
        <f>IF(D5=G5,"Ciclo completo","CICLO INCOMPLETO — i rischi mancanti non sono valutazioni")</f>
        <v>Ciclo completo</v>
      </c>
      <c r="I5" s="98"/>
      <c r="J5" s="98"/>
      <c r="K5" s="98"/>
      <c r="L5" s="98"/>
      <c r="M5" s="98"/>
      <c r="N5" s="98"/>
    </row>
    <row r="7" spans="1:41" ht="26.05" customHeight="1" x14ac:dyDescent="0.4">
      <c r="A7" s="141" t="s">
        <v>18</v>
      </c>
      <c r="B7" s="142"/>
      <c r="C7" s="142"/>
      <c r="D7" s="143" t="s">
        <v>360</v>
      </c>
      <c r="E7" s="144"/>
      <c r="F7" s="144"/>
      <c r="G7" s="144"/>
      <c r="H7" s="144"/>
      <c r="I7" s="144"/>
      <c r="J7" s="141" t="s">
        <v>361</v>
      </c>
      <c r="K7" s="142"/>
      <c r="L7" s="142"/>
      <c r="M7" s="142"/>
      <c r="N7" s="142"/>
      <c r="O7" s="54" t="s">
        <v>362</v>
      </c>
      <c r="P7" s="143" t="s">
        <v>363</v>
      </c>
      <c r="Q7" s="144"/>
      <c r="R7" s="144"/>
      <c r="S7" s="55" t="s">
        <v>364</v>
      </c>
      <c r="T7" s="54" t="s">
        <v>365</v>
      </c>
    </row>
    <row r="8" spans="1:41" ht="28" customHeight="1" x14ac:dyDescent="0.4">
      <c r="A8" s="56" t="s">
        <v>148</v>
      </c>
      <c r="B8" s="56" t="s">
        <v>149</v>
      </c>
      <c r="C8" s="57" t="s">
        <v>176</v>
      </c>
      <c r="D8" s="57" t="s">
        <v>366</v>
      </c>
      <c r="E8" s="57" t="s">
        <v>367</v>
      </c>
      <c r="F8" s="57" t="s">
        <v>368</v>
      </c>
      <c r="G8" s="57" t="s">
        <v>369</v>
      </c>
      <c r="H8" s="57" t="s">
        <v>370</v>
      </c>
      <c r="I8" s="57" t="s">
        <v>371</v>
      </c>
      <c r="J8" s="57" t="s">
        <v>19</v>
      </c>
      <c r="K8" s="57" t="s">
        <v>372</v>
      </c>
      <c r="L8" s="57" t="s">
        <v>373</v>
      </c>
      <c r="M8" s="57" t="s">
        <v>21</v>
      </c>
      <c r="N8" s="57" t="s">
        <v>374</v>
      </c>
      <c r="O8" s="58" t="s">
        <v>375</v>
      </c>
      <c r="P8" s="57" t="s">
        <v>376</v>
      </c>
      <c r="Q8" s="57" t="s">
        <v>377</v>
      </c>
      <c r="R8" s="57" t="s">
        <v>378</v>
      </c>
      <c r="S8" s="57" t="s">
        <v>379</v>
      </c>
      <c r="T8" s="57" t="s">
        <v>156</v>
      </c>
      <c r="AA8" t="s">
        <v>148</v>
      </c>
      <c r="AB8" t="s">
        <v>149</v>
      </c>
      <c r="AC8" t="s">
        <v>207</v>
      </c>
      <c r="AD8" t="s">
        <v>263</v>
      </c>
      <c r="AE8" t="s">
        <v>180</v>
      </c>
      <c r="AF8" t="s">
        <v>261</v>
      </c>
      <c r="AG8" t="s">
        <v>178</v>
      </c>
      <c r="AH8" t="s">
        <v>19</v>
      </c>
      <c r="AI8" t="s">
        <v>380</v>
      </c>
      <c r="AJ8" t="s">
        <v>381</v>
      </c>
      <c r="AK8" t="s">
        <v>382</v>
      </c>
      <c r="AL8" t="s">
        <v>383</v>
      </c>
      <c r="AM8" t="s">
        <v>384</v>
      </c>
      <c r="AN8" t="s">
        <v>158</v>
      </c>
      <c r="AO8" t="s">
        <v>385</v>
      </c>
    </row>
    <row r="9" spans="1:41" ht="20.05" customHeight="1" x14ac:dyDescent="0.4">
      <c r="A9" s="59" t="str">
        <f t="shared" ref="A9:A23" si="0">IF($AO9="","",INDEX(posID,$AO9))</f>
        <v>NFR-01</v>
      </c>
      <c r="B9" s="59" t="str">
        <f t="shared" ref="B9:B23" si="1">IF($AO9="","",INDEX(posNome,$AO9))</f>
        <v>Frodi su pagamenti istantanei abilitate da AI generativa</v>
      </c>
      <c r="C9" s="60" t="str">
        <f t="shared" ref="C9:C23" si="2">IF($AO9="","",INDEX(ANA_Event_Type,$AO9)&amp;"")</f>
        <v>L1-02</v>
      </c>
      <c r="D9" s="60">
        <f t="shared" ref="D9:D23" si="3">IF($AO9="","",IF(ISNUMBER(INDEX(posSeverity,$AO9)),INDEX(posSeverity,$AO9),NA()))</f>
        <v>4</v>
      </c>
      <c r="E9" s="60">
        <f t="shared" ref="E9:E23" si="4">IF($AO9="","",IF(ISNUMBER(INDEX(posProbabilita,$AO9)),INDEX(posProbabilita,$AO9),NA()))</f>
        <v>4</v>
      </c>
      <c r="F9" s="60">
        <f t="shared" ref="F9:F23" si="5">IF($AO9="","",IF(ISNUMBER(INDEX(posGap,$AO9)),INDEX(posGap,$AO9),NA()))</f>
        <v>3</v>
      </c>
      <c r="G9" s="60">
        <f t="shared" ref="G9:G23" si="6">IF($AO9="","",IF(ISNUMBER(INDEX(posVelocity,$AO9)),INDEX(posVelocity,$AO9),NA()))</f>
        <v>4</v>
      </c>
      <c r="H9" s="60">
        <f t="shared" ref="H9:H23" si="7">IF($AO9="","",IF(ISNUMBER(INDEX(posProssimita,$AO9)),INDEX(posProssimita,$AO9),NA()))</f>
        <v>4</v>
      </c>
      <c r="I9" s="60">
        <f t="shared" ref="I9:I23" si="8">IF($AO9="","",IF(ISNUMBER(INDEX(posConfidence,$AO9)),INDEX(posConfidence,$AO9),NA()))</f>
        <v>4</v>
      </c>
      <c r="J9" s="61">
        <f t="shared" ref="J9:J23" si="9">IF($AO9="","",IF(ISNUMBER(INDEX(posScore,$AO9)),INDEX(posScore,$AO9),NA()))</f>
        <v>3.8</v>
      </c>
      <c r="K9" s="16">
        <f t="shared" ref="K9:K23" si="10">IF($AO9="","",IF(ISNUMBER(INDEX(posScorePrec,$AO9)),IFERROR(J9-INDEX(posScorePrec,$AO9),""),IF(ISNUMBER(J9),"nuovo","")))</f>
        <v>0</v>
      </c>
      <c r="L9" s="16">
        <f t="shared" ref="L9:L23" si="11">IF($AO9="","",IF(ISNUMBER(INDEX(posScore2,$AO9)),IFERROR(J9-INDEX(posScore2,$AO9),""),IF(ISNUMBER(J9),"nuovo","")))</f>
        <v>0.29999999999999982</v>
      </c>
      <c r="M9" s="60" t="str">
        <f>IF($AO9="","",INDEX(Radar_Mosca!$L$5:$L$19,$AO9)&amp;"")</f>
        <v>AGIRE ORA: X+Y &gt; Z</v>
      </c>
      <c r="N9" s="62">
        <f>IF($AO9="","",IFERROR(INDEX(Radar_Mosca!$K$5:$K$19,$AO9),""))</f>
        <v>-0.25</v>
      </c>
      <c r="O9" s="60" t="str">
        <f t="shared" ref="O9:O23" si="12">IF($AO9="","",IF(INDEX(ANA_Attenzione_Supervisore,$AO9)="Sì","◆",""))</f>
        <v>◆</v>
      </c>
      <c r="P9" s="63">
        <f t="shared" ref="P9:P23" si="13">IF($A9="","",COUNTIFS(KRI_ID_Rischio,$A9,KRI_Ciclo,cicloCorrente,KRI_In_Vigore,"Sì",KRI_Stato,"Rosso"))</f>
        <v>0</v>
      </c>
      <c r="Q9" s="63">
        <f t="shared" ref="Q9:Q23" si="14">IF($A9="","",COUNTIFS(KRI_ID_Rischio,$A9,KRI_Ciclo,cicloCorrente,KRI_In_Vigore,"Sì",KRI_Stato,"Ambra"))</f>
        <v>2</v>
      </c>
      <c r="R9" s="63">
        <f t="shared" ref="R9:R23" si="15">IF($A9="","",COUNTIFS(KRI_ID_Rischio,$A9,KRI_Ciclo,cicloCorrente,KRI_In_Vigore,"Sì",KRI_Stato,"Verde"))</f>
        <v>1</v>
      </c>
      <c r="S9" s="60" t="str">
        <f t="shared" ref="S9:S23" si="16">IF($AO9="","",INDEX(posBadge,$AO9))</f>
        <v>▲ +3</v>
      </c>
      <c r="T9" s="60" t="str">
        <f t="shared" ref="T9:T23" si="17">IF($AO9="","",INDEX(ANA_Owner,$AO9)&amp;"")</f>
        <v>Funzione Antifrode</v>
      </c>
      <c r="AA9" t="str">
        <f>IF(Parametri!$H4="","",Parametri!$H4)</f>
        <v>NFR-01</v>
      </c>
      <c r="AB9" t="str">
        <f>IF($AA9="","",Parametri!$I4)</f>
        <v>Frodi su pagamenti istantanei abilitate da AI generativa</v>
      </c>
      <c r="AC9">
        <f t="shared" ref="AC9:AC23" si="18">IF($AA9="",NA(),IF(COUNTIFS(RR_ID_Rischio,$AA9,RR_Ciclo,cicloCorrente)=0,NA(),SUMIFS(RR_Severity,RR_ID_Rischio,$AA9,RR_Ciclo,cicloCorrente)))</f>
        <v>4</v>
      </c>
      <c r="AD9">
        <f t="shared" ref="AD9:AD23" si="19">IF($AA9="",NA(),IF(COUNTIFS(RR_ID_Rischio,$AA9,RR_Ciclo,cicloCorrente)=0,NA(),SUMIFS(RR_Velocity,RR_ID_Rischio,$AA9,RR_Ciclo,cicloCorrente)))</f>
        <v>4</v>
      </c>
      <c r="AE9">
        <f t="shared" ref="AE9:AE23" si="20">IF($AA9="",NA(),IF(COUNTIFS(RR_ID_Rischio,$AA9,RR_Ciclo,cicloCorrente)=0,NA(),SUMIFS(RR_Prossimita,RR_ID_Rischio,$AA9,RR_Ciclo,cicloCorrente)))</f>
        <v>4</v>
      </c>
      <c r="AF9">
        <f t="shared" ref="AF9:AF23" si="21">IF($AA9="",NA(),IF(COUNTIFS(RR_ID_Rischio,$AA9,RR_Ciclo,cicloCorrente)=0,NA(),SUMIFS(RR_Gap_Controlli,RR_ID_Rischio,$AA9,RR_Ciclo,cicloCorrente)))</f>
        <v>3</v>
      </c>
      <c r="AG9">
        <f t="shared" ref="AG9:AG23" si="22">IF($AA9="",NA(),IF(COUNTIFS(RR_ID_Rischio,$AA9,RR_Ciclo,cicloCorrente)=0,NA(),SUMIFS(RR_Probabilita,RR_ID_Rischio,$AA9,RR_Ciclo,cicloCorrente)))</f>
        <v>4</v>
      </c>
      <c r="AH9">
        <f t="shared" ref="AH9:AH23" si="23">IF($AA9="",NA(),IF(COUNTIFS(RR_ID_Rischio,$AA9,RR_Ciclo,cicloCorrente)=0,NA(),SUMIFS(RR_Score_Composito,RR_ID_Rischio,$AA9,RR_Ciclo,cicloCorrente)))</f>
        <v>3.8</v>
      </c>
      <c r="AI9">
        <f t="shared" ref="AI9:AI23" si="24">IF($AA9="",NA(),IF(COUNTIFS(RR_ID_Rischio,$AA9,RR_Ciclo,cicloPrecedente)=0,NA(),SUMIFS(RR_Score_Composito,RR_ID_Rischio,$AA9,RR_Ciclo,cicloPrecedente)))</f>
        <v>3.8</v>
      </c>
      <c r="AJ9">
        <f t="shared" ref="AJ9:AJ23" si="25">IF($AA9="",NA(),IF(COUNTIFS(RR_ID_Rischio,$AA9,RR_Ciclo,cicloMeno2)=0,NA(),SUMIFS(RR_Score_Composito,RR_ID_Rischio,$AA9,RR_Ciclo,cicloMeno2)))</f>
        <v>3.5</v>
      </c>
      <c r="AK9">
        <f t="shared" ref="AK9:AK23" si="26">IF($AA9="",NA(),IF(COUNTIFS(RR_ID_Rischio,$AA9,RR_Ciclo,cicloCorrente)=0,NA(),SUMIFS(RR_Confidence,RR_ID_Rischio,$AA9,RR_Ciclo,cicloCorrente)))</f>
        <v>4</v>
      </c>
      <c r="AL9">
        <f t="shared" ref="AL9:AL23" si="27">IF($AA9="","",COUNTIFS(NW_Rischio_ID,$AA9,NW_Segnale,"Peggiorativo",NW_Settimana,"&gt;="&amp;inizioFinestra4,NW_Settimana,"&lt;="&amp;settimanaCorrente)-COUNTIFS(NW_Rischio_ID,$AA9,NW_Segnale,"Migliorativo",NW_Settimana,"&gt;="&amp;inizioFinestra4,NW_Settimana,"&lt;="&amp;settimanaCorrente))</f>
        <v>3</v>
      </c>
      <c r="AM9" t="str">
        <f t="shared" ref="AM9:AM23" si="28">IF($AA9="","",IF(AL9&gt;=sogliaDirezione,"▲ +"&amp;AL9,IF(AL9&lt;=-sogliaDirezione,"▼ "&amp;AL9,"● "&amp;IF(AL9&gt;0,"+","")&amp;AL9)))</f>
        <v>▲ +3</v>
      </c>
      <c r="AN9">
        <f>IF($AA9="","",IF(ISNUMBER(AH9),AH9,-1)-1/100000)</f>
        <v>3.7999899999999998</v>
      </c>
      <c r="AO9">
        <f>IFERROR(MATCH(_xlfn.AGGREGATE(14,6,$AN$9:$AN$23,1),$AN$9:$AN$23,0),"")</f>
        <v>1</v>
      </c>
    </row>
    <row r="10" spans="1:41" ht="20.05" customHeight="1" x14ac:dyDescent="0.4">
      <c r="A10" s="59" t="str">
        <f t="shared" si="0"/>
        <v>NFR-07</v>
      </c>
      <c r="B10" s="59" t="str">
        <f t="shared" si="1"/>
        <v>Ransomware presso un fornitore di servizi di pagamento</v>
      </c>
      <c r="C10" s="60" t="str">
        <f t="shared" si="2"/>
        <v>L1-06</v>
      </c>
      <c r="D10" s="60">
        <f t="shared" si="3"/>
        <v>4</v>
      </c>
      <c r="E10" s="60">
        <f t="shared" si="4"/>
        <v>3</v>
      </c>
      <c r="F10" s="60">
        <f t="shared" si="5"/>
        <v>3</v>
      </c>
      <c r="G10" s="60">
        <f t="shared" si="6"/>
        <v>5</v>
      </c>
      <c r="H10" s="60">
        <f t="shared" si="7"/>
        <v>3</v>
      </c>
      <c r="I10" s="60">
        <f t="shared" si="8"/>
        <v>3</v>
      </c>
      <c r="J10" s="61">
        <f t="shared" si="9"/>
        <v>3.6</v>
      </c>
      <c r="K10" s="16">
        <f t="shared" si="10"/>
        <v>0</v>
      </c>
      <c r="L10" s="16">
        <f t="shared" si="11"/>
        <v>0</v>
      </c>
      <c r="M10" s="60" t="str">
        <f>IF($AO10="","",INDEX(Radar_Mosca!$L$5:$L$19,$AO10)&amp;"")</f>
        <v>Agire entro l'anno</v>
      </c>
      <c r="N10" s="62">
        <f>IF($AO10="","",IFERROR(INDEX(Radar_Mosca!$K$5:$K$19,$AO10),""))</f>
        <v>0.75</v>
      </c>
      <c r="O10" s="60" t="str">
        <f t="shared" si="12"/>
        <v>◆</v>
      </c>
      <c r="P10" s="63">
        <f t="shared" si="13"/>
        <v>0</v>
      </c>
      <c r="Q10" s="63">
        <f t="shared" si="14"/>
        <v>2</v>
      </c>
      <c r="R10" s="63">
        <f t="shared" si="15"/>
        <v>1</v>
      </c>
      <c r="S10" s="60" t="str">
        <f t="shared" si="16"/>
        <v>● 0</v>
      </c>
      <c r="T10" s="60" t="str">
        <f t="shared" si="17"/>
        <v>Funzione ICT &amp; Security Risk</v>
      </c>
      <c r="AA10" t="str">
        <f>IF(Parametri!$H5="","",Parametri!$H5)</f>
        <v>NFR-02</v>
      </c>
      <c r="AB10" t="str">
        <f>IF($AA10="","",Parametri!$I5)</f>
        <v>Concentrazione su un fornitore cloud critico</v>
      </c>
      <c r="AC10">
        <f t="shared" si="18"/>
        <v>4</v>
      </c>
      <c r="AD10">
        <f t="shared" si="19"/>
        <v>4</v>
      </c>
      <c r="AE10">
        <f t="shared" si="20"/>
        <v>3</v>
      </c>
      <c r="AF10">
        <f t="shared" si="21"/>
        <v>3</v>
      </c>
      <c r="AG10">
        <f t="shared" si="22"/>
        <v>2</v>
      </c>
      <c r="AH10">
        <f t="shared" si="23"/>
        <v>3.25</v>
      </c>
      <c r="AI10">
        <f t="shared" si="24"/>
        <v>3.45</v>
      </c>
      <c r="AJ10">
        <f t="shared" si="25"/>
        <v>3.45</v>
      </c>
      <c r="AK10">
        <f t="shared" si="26"/>
        <v>4</v>
      </c>
      <c r="AL10">
        <f t="shared" si="27"/>
        <v>0</v>
      </c>
      <c r="AM10" t="str">
        <f t="shared" si="28"/>
        <v>● 0</v>
      </c>
      <c r="AN10">
        <f>IF($AA10="","",IF(ISNUMBER(AH10),AH10,-1)-2/100000)</f>
        <v>3.2499799999999999</v>
      </c>
      <c r="AO10">
        <f>IFERROR(MATCH(_xlfn.AGGREGATE(14,6,$AN$9:$AN$23,2),$AN$9:$AN$23,0),"")</f>
        <v>7</v>
      </c>
    </row>
    <row r="11" spans="1:41" ht="20.05" customHeight="1" x14ac:dyDescent="0.4">
      <c r="A11" s="59" t="str">
        <f t="shared" si="0"/>
        <v>NFR-12</v>
      </c>
      <c r="B11" s="59" t="str">
        <f t="shared" si="1"/>
        <v>Errori operativi nei pagamenti istantanei obbligatori</v>
      </c>
      <c r="C11" s="60" t="str">
        <f t="shared" si="2"/>
        <v>L1-07</v>
      </c>
      <c r="D11" s="60">
        <f t="shared" si="3"/>
        <v>3</v>
      </c>
      <c r="E11" s="60">
        <f t="shared" si="4"/>
        <v>4</v>
      </c>
      <c r="F11" s="60">
        <f t="shared" si="5"/>
        <v>3</v>
      </c>
      <c r="G11" s="60">
        <f t="shared" si="6"/>
        <v>4</v>
      </c>
      <c r="H11" s="60">
        <f t="shared" si="7"/>
        <v>4</v>
      </c>
      <c r="I11" s="60">
        <f t="shared" si="8"/>
        <v>3</v>
      </c>
      <c r="J11" s="61">
        <f t="shared" si="9"/>
        <v>3.5</v>
      </c>
      <c r="K11" s="16">
        <f t="shared" si="10"/>
        <v>0</v>
      </c>
      <c r="L11" s="16">
        <f t="shared" si="11"/>
        <v>0.14999999999999991</v>
      </c>
      <c r="M11" s="60" t="str">
        <f>IF($AO11="","",INDEX(Radar_Mosca!$L$5:$L$19,$AO11)&amp;"")</f>
        <v>Agire entro l'anno</v>
      </c>
      <c r="N11" s="62">
        <f>IF($AO11="","",IFERROR(INDEX(Radar_Mosca!$K$5:$K$19,$AO11),""))</f>
        <v>0</v>
      </c>
      <c r="O11" s="60" t="str">
        <f t="shared" si="12"/>
        <v/>
      </c>
      <c r="P11" s="63">
        <f t="shared" si="13"/>
        <v>0</v>
      </c>
      <c r="Q11" s="63">
        <f t="shared" si="14"/>
        <v>3</v>
      </c>
      <c r="R11" s="63">
        <f t="shared" si="15"/>
        <v>0</v>
      </c>
      <c r="S11" s="60" t="str">
        <f t="shared" si="16"/>
        <v>● 0</v>
      </c>
      <c r="T11" s="60" t="str">
        <f t="shared" si="17"/>
        <v>Funzione Operations</v>
      </c>
      <c r="AA11" t="str">
        <f>IF(Parametri!$H6="","",Parametri!$H6)</f>
        <v>NFR-03</v>
      </c>
      <c r="AB11" t="str">
        <f>IF($AA11="","",Parametri!$I6)</f>
        <v>Greenwashing nella commercializzazione di prodotti ESG</v>
      </c>
      <c r="AC11">
        <f t="shared" si="18"/>
        <v>3</v>
      </c>
      <c r="AD11">
        <f t="shared" si="19"/>
        <v>2</v>
      </c>
      <c r="AE11">
        <f t="shared" si="20"/>
        <v>4</v>
      </c>
      <c r="AF11">
        <f t="shared" si="21"/>
        <v>3</v>
      </c>
      <c r="AG11">
        <f t="shared" si="22"/>
        <v>3</v>
      </c>
      <c r="AH11">
        <f t="shared" si="23"/>
        <v>3</v>
      </c>
      <c r="AI11">
        <f t="shared" si="24"/>
        <v>2.85</v>
      </c>
      <c r="AJ11">
        <f t="shared" si="25"/>
        <v>2.85</v>
      </c>
      <c r="AK11">
        <f t="shared" si="26"/>
        <v>3</v>
      </c>
      <c r="AL11">
        <f t="shared" si="27"/>
        <v>0</v>
      </c>
      <c r="AM11" t="str">
        <f t="shared" si="28"/>
        <v>● 0</v>
      </c>
      <c r="AN11">
        <f>IF($AA11="","",IF(ISNUMBER(AH11),AH11,-1)-3/100000)</f>
        <v>2.9999699999999998</v>
      </c>
      <c r="AO11">
        <f>IFERROR(MATCH(_xlfn.AGGREGATE(14,6,$AN$9:$AN$23,3),$AN$9:$AN$23,0),"")</f>
        <v>12</v>
      </c>
    </row>
    <row r="12" spans="1:41" ht="20.05" customHeight="1" x14ac:dyDescent="0.4">
      <c r="A12" s="59" t="str">
        <f t="shared" si="0"/>
        <v>NFR-02</v>
      </c>
      <c r="B12" s="59" t="str">
        <f t="shared" si="1"/>
        <v>Concentrazione su un fornitore cloud critico</v>
      </c>
      <c r="C12" s="60" t="str">
        <f t="shared" si="2"/>
        <v>L1-06</v>
      </c>
      <c r="D12" s="60">
        <f t="shared" si="3"/>
        <v>4</v>
      </c>
      <c r="E12" s="60">
        <f t="shared" si="4"/>
        <v>2</v>
      </c>
      <c r="F12" s="60">
        <f t="shared" si="5"/>
        <v>3</v>
      </c>
      <c r="G12" s="60">
        <f t="shared" si="6"/>
        <v>4</v>
      </c>
      <c r="H12" s="60">
        <f t="shared" si="7"/>
        <v>3</v>
      </c>
      <c r="I12" s="60">
        <f t="shared" si="8"/>
        <v>4</v>
      </c>
      <c r="J12" s="61">
        <f t="shared" si="9"/>
        <v>3.25</v>
      </c>
      <c r="K12" s="16">
        <f t="shared" si="10"/>
        <v>-0.20000000000000018</v>
      </c>
      <c r="L12" s="16">
        <f t="shared" si="11"/>
        <v>-0.20000000000000018</v>
      </c>
      <c r="M12" s="60" t="str">
        <f>IF($AO12="","",INDEX(Radar_Mosca!$L$5:$L$19,$AO12)&amp;"")</f>
        <v>Agire entro l'anno</v>
      </c>
      <c r="N12" s="62">
        <f>IF($AO12="","",IFERROR(INDEX(Radar_Mosca!$K$5:$K$19,$AO12),""))</f>
        <v>0.25</v>
      </c>
      <c r="O12" s="60" t="str">
        <f t="shared" si="12"/>
        <v>◆</v>
      </c>
      <c r="P12" s="63">
        <f t="shared" si="13"/>
        <v>0</v>
      </c>
      <c r="Q12" s="63">
        <f t="shared" si="14"/>
        <v>1</v>
      </c>
      <c r="R12" s="63">
        <f t="shared" si="15"/>
        <v>1</v>
      </c>
      <c r="S12" s="60" t="str">
        <f t="shared" si="16"/>
        <v>● 0</v>
      </c>
      <c r="T12" s="60" t="str">
        <f t="shared" si="17"/>
        <v>Funzione ICT &amp; Security Risk</v>
      </c>
      <c r="AA12" t="str">
        <f>IF(Parametri!$H7="","",Parametri!$H7)</f>
        <v>NFR-04</v>
      </c>
      <c r="AB12" t="str">
        <f>IF($AA12="","",Parametri!$I7)</f>
        <v>Eventi climatici estremi su sedi e data center</v>
      </c>
      <c r="AC12">
        <f t="shared" si="18"/>
        <v>3</v>
      </c>
      <c r="AD12">
        <f t="shared" si="19"/>
        <v>2</v>
      </c>
      <c r="AE12">
        <f t="shared" si="20"/>
        <v>3</v>
      </c>
      <c r="AF12">
        <f t="shared" si="21"/>
        <v>3</v>
      </c>
      <c r="AG12">
        <f t="shared" si="22"/>
        <v>3</v>
      </c>
      <c r="AH12">
        <f t="shared" si="23"/>
        <v>2.85</v>
      </c>
      <c r="AI12">
        <f t="shared" si="24"/>
        <v>2.85</v>
      </c>
      <c r="AJ12">
        <f t="shared" si="25"/>
        <v>2.7</v>
      </c>
      <c r="AK12">
        <f t="shared" si="26"/>
        <v>3</v>
      </c>
      <c r="AL12">
        <f t="shared" si="27"/>
        <v>0</v>
      </c>
      <c r="AM12" t="str">
        <f t="shared" si="28"/>
        <v>● 0</v>
      </c>
      <c r="AN12">
        <f>IF($AA12="","",IF(ISNUMBER(AH12),AH12,-1)-4/100000)</f>
        <v>2.8499600000000003</v>
      </c>
      <c r="AO12">
        <f>IFERROR(MATCH(_xlfn.AGGREGATE(14,6,$AN$9:$AN$23,4),$AN$9:$AN$23,0),"")</f>
        <v>2</v>
      </c>
    </row>
    <row r="13" spans="1:41" ht="20.05" customHeight="1" x14ac:dyDescent="0.4">
      <c r="A13" s="59" t="str">
        <f t="shared" si="0"/>
        <v>NFR-10</v>
      </c>
      <c r="B13" s="59" t="str">
        <f t="shared" si="1"/>
        <v>Informazioni errate ai clienti da assistenti di AI generativa</v>
      </c>
      <c r="C13" s="60" t="str">
        <f t="shared" si="2"/>
        <v>L1-04</v>
      </c>
      <c r="D13" s="60">
        <f t="shared" si="3"/>
        <v>3</v>
      </c>
      <c r="E13" s="60">
        <f t="shared" si="4"/>
        <v>3</v>
      </c>
      <c r="F13" s="60">
        <f t="shared" si="5"/>
        <v>4</v>
      </c>
      <c r="G13" s="60">
        <f t="shared" si="6"/>
        <v>3</v>
      </c>
      <c r="H13" s="60">
        <f t="shared" si="7"/>
        <v>3</v>
      </c>
      <c r="I13" s="60">
        <f t="shared" si="8"/>
        <v>2</v>
      </c>
      <c r="J13" s="61">
        <f t="shared" si="9"/>
        <v>3.2</v>
      </c>
      <c r="K13" s="16">
        <f t="shared" si="10"/>
        <v>0</v>
      </c>
      <c r="L13" s="16">
        <f t="shared" si="11"/>
        <v>0</v>
      </c>
      <c r="M13" s="60" t="str">
        <f>IF($AO13="","",INDEX(Radar_Mosca!$L$5:$L$19,$AO13)&amp;"")</f>
        <v>Margine 1 anno</v>
      </c>
      <c r="N13" s="62">
        <f>IF($AO13="","",IFERROR(INDEX(Radar_Mosca!$K$5:$K$19,$AO13),""))</f>
        <v>1</v>
      </c>
      <c r="O13" s="60" t="str">
        <f t="shared" si="12"/>
        <v/>
      </c>
      <c r="P13" s="63">
        <f t="shared" si="13"/>
        <v>0</v>
      </c>
      <c r="Q13" s="63">
        <f t="shared" si="14"/>
        <v>2</v>
      </c>
      <c r="R13" s="63">
        <f t="shared" si="15"/>
        <v>1</v>
      </c>
      <c r="S13" s="60" t="str">
        <f t="shared" si="16"/>
        <v>● 0</v>
      </c>
      <c r="T13" s="60" t="str">
        <f t="shared" si="17"/>
        <v>Funzione Customer Experience</v>
      </c>
      <c r="AA13" t="str">
        <f>IF(Parametri!$H8="","",Parametri!$H8)</f>
        <v>NFR-05</v>
      </c>
      <c r="AB13" t="str">
        <f>IF($AA13="","",Parametri!$I8)</f>
        <v>Errori di processo nella migrazione del core banking</v>
      </c>
      <c r="AC13">
        <f t="shared" si="18"/>
        <v>3</v>
      </c>
      <c r="AD13">
        <f t="shared" si="19"/>
        <v>3</v>
      </c>
      <c r="AE13">
        <f t="shared" si="20"/>
        <v>3</v>
      </c>
      <c r="AF13">
        <f t="shared" si="21"/>
        <v>3</v>
      </c>
      <c r="AG13">
        <f t="shared" si="22"/>
        <v>3</v>
      </c>
      <c r="AH13">
        <f t="shared" si="23"/>
        <v>3</v>
      </c>
      <c r="AI13">
        <f t="shared" si="24"/>
        <v>3</v>
      </c>
      <c r="AJ13">
        <f t="shared" si="25"/>
        <v>3.35</v>
      </c>
      <c r="AK13">
        <f t="shared" si="26"/>
        <v>4</v>
      </c>
      <c r="AL13">
        <f t="shared" si="27"/>
        <v>-3</v>
      </c>
      <c r="AM13" t="str">
        <f t="shared" si="28"/>
        <v>▼ -3</v>
      </c>
      <c r="AN13">
        <f>IF($AA13="","",IF(ISNUMBER(AH13),AH13,-1)-5/100000)</f>
        <v>2.9999500000000001</v>
      </c>
      <c r="AO13">
        <f>IFERROR(MATCH(_xlfn.AGGREGATE(14,6,$AN$9:$AN$23,5),$AN$9:$AN$23,0),"")</f>
        <v>10</v>
      </c>
    </row>
    <row r="14" spans="1:41" ht="20.05" customHeight="1" x14ac:dyDescent="0.4">
      <c r="A14" s="59" t="str">
        <f t="shared" si="0"/>
        <v>NFR-11</v>
      </c>
      <c r="B14" s="59" t="str">
        <f t="shared" si="1"/>
        <v>Fine del supporto dei sistemi di pagamento legacy</v>
      </c>
      <c r="C14" s="60" t="str">
        <f t="shared" si="2"/>
        <v>L1-06</v>
      </c>
      <c r="D14" s="60">
        <f t="shared" si="3"/>
        <v>3</v>
      </c>
      <c r="E14" s="60">
        <f t="shared" si="4"/>
        <v>3</v>
      </c>
      <c r="F14" s="60">
        <f t="shared" si="5"/>
        <v>4</v>
      </c>
      <c r="G14" s="60">
        <f t="shared" si="6"/>
        <v>2</v>
      </c>
      <c r="H14" s="60">
        <f t="shared" si="7"/>
        <v>3</v>
      </c>
      <c r="I14" s="60">
        <f t="shared" si="8"/>
        <v>3</v>
      </c>
      <c r="J14" s="61">
        <f t="shared" si="9"/>
        <v>3.05</v>
      </c>
      <c r="K14" s="16">
        <f t="shared" si="10"/>
        <v>0</v>
      </c>
      <c r="L14" s="16">
        <f t="shared" si="11"/>
        <v>0</v>
      </c>
      <c r="M14" s="60" t="str">
        <f>IF($AO14="","",INDEX(Radar_Mosca!$L$5:$L$19,$AO14)&amp;"")</f>
        <v>AGIRE ORA: X+Y &gt; Z</v>
      </c>
      <c r="N14" s="62">
        <f>IF($AO14="","",IFERROR(INDEX(Radar_Mosca!$K$5:$K$19,$AO14),""))</f>
        <v>-1.75</v>
      </c>
      <c r="O14" s="60" t="str">
        <f t="shared" si="12"/>
        <v/>
      </c>
      <c r="P14" s="63">
        <f t="shared" si="13"/>
        <v>0</v>
      </c>
      <c r="Q14" s="63">
        <f t="shared" si="14"/>
        <v>3</v>
      </c>
      <c r="R14" s="63">
        <f t="shared" si="15"/>
        <v>0</v>
      </c>
      <c r="S14" s="60" t="str">
        <f t="shared" si="16"/>
        <v>● 0</v>
      </c>
      <c r="T14" s="60" t="str">
        <f t="shared" si="17"/>
        <v>Funzione IT Operations</v>
      </c>
      <c r="AA14" t="str">
        <f>IF(Parametri!$H9="","",Parametri!$H9)</f>
        <v>NFR-06</v>
      </c>
      <c r="AB14" t="str">
        <f>IF($AA14="","",Parametri!$I9)</f>
        <v>Esfiltrazione di dati tramite strumenti di AI non autorizzati</v>
      </c>
      <c r="AC14">
        <f t="shared" si="18"/>
        <v>3</v>
      </c>
      <c r="AD14">
        <f t="shared" si="19"/>
        <v>3</v>
      </c>
      <c r="AE14">
        <f t="shared" si="20"/>
        <v>3</v>
      </c>
      <c r="AF14">
        <f t="shared" si="21"/>
        <v>3</v>
      </c>
      <c r="AG14">
        <f t="shared" si="22"/>
        <v>3</v>
      </c>
      <c r="AH14">
        <f t="shared" si="23"/>
        <v>3</v>
      </c>
      <c r="AI14">
        <f t="shared" si="24"/>
        <v>3.2</v>
      </c>
      <c r="AJ14">
        <f t="shared" si="25"/>
        <v>3.2</v>
      </c>
      <c r="AK14">
        <f t="shared" si="26"/>
        <v>2</v>
      </c>
      <c r="AL14">
        <f t="shared" si="27"/>
        <v>0</v>
      </c>
      <c r="AM14" t="str">
        <f t="shared" si="28"/>
        <v>● 0</v>
      </c>
      <c r="AN14">
        <f>IF($AA14="","",IF(ISNUMBER(AH14),AH14,-1)-6/100000)</f>
        <v>2.9999400000000001</v>
      </c>
      <c r="AO14">
        <f>IFERROR(MATCH(_xlfn.AGGREGATE(14,6,$AN$9:$AN$23,6),$AN$9:$AN$23,0),"")</f>
        <v>11</v>
      </c>
    </row>
    <row r="15" spans="1:41" ht="20.05" customHeight="1" x14ac:dyDescent="0.4">
      <c r="A15" s="59" t="str">
        <f t="shared" si="0"/>
        <v>NFR-03</v>
      </c>
      <c r="B15" s="59" t="str">
        <f t="shared" si="1"/>
        <v>Greenwashing nella commercializzazione di prodotti ESG</v>
      </c>
      <c r="C15" s="60" t="str">
        <f t="shared" si="2"/>
        <v>L1-04</v>
      </c>
      <c r="D15" s="60">
        <f t="shared" si="3"/>
        <v>3</v>
      </c>
      <c r="E15" s="60">
        <f t="shared" si="4"/>
        <v>3</v>
      </c>
      <c r="F15" s="60">
        <f t="shared" si="5"/>
        <v>3</v>
      </c>
      <c r="G15" s="60">
        <f t="shared" si="6"/>
        <v>2</v>
      </c>
      <c r="H15" s="60">
        <f t="shared" si="7"/>
        <v>4</v>
      </c>
      <c r="I15" s="60">
        <f t="shared" si="8"/>
        <v>3</v>
      </c>
      <c r="J15" s="61">
        <f t="shared" si="9"/>
        <v>3</v>
      </c>
      <c r="K15" s="16">
        <f t="shared" si="10"/>
        <v>0.14999999999999991</v>
      </c>
      <c r="L15" s="16">
        <f t="shared" si="11"/>
        <v>0.14999999999999991</v>
      </c>
      <c r="M15" s="60" t="str">
        <f>IF($AO15="","",INDEX(Radar_Mosca!$L$5:$L$19,$AO15)&amp;"")</f>
        <v>Agire entro l'anno</v>
      </c>
      <c r="N15" s="62">
        <f>IF($AO15="","",IFERROR(INDEX(Radar_Mosca!$K$5:$K$19,$AO15),""))</f>
        <v>0</v>
      </c>
      <c r="O15" s="60" t="str">
        <f t="shared" si="12"/>
        <v/>
      </c>
      <c r="P15" s="63">
        <f t="shared" si="13"/>
        <v>0</v>
      </c>
      <c r="Q15" s="63">
        <f t="shared" si="14"/>
        <v>2</v>
      </c>
      <c r="R15" s="63">
        <f t="shared" si="15"/>
        <v>0</v>
      </c>
      <c r="S15" s="60" t="str">
        <f t="shared" si="16"/>
        <v>● 0</v>
      </c>
      <c r="T15" s="60" t="str">
        <f t="shared" si="17"/>
        <v>Funzione Compliance</v>
      </c>
      <c r="AA15" t="str">
        <f>IF(Parametri!$H10="","",Parametri!$H10)</f>
        <v>NFR-07</v>
      </c>
      <c r="AB15" t="str">
        <f>IF($AA15="","",Parametri!$I10)</f>
        <v>Ransomware presso un fornitore di servizi di pagamento</v>
      </c>
      <c r="AC15">
        <f t="shared" si="18"/>
        <v>4</v>
      </c>
      <c r="AD15">
        <f t="shared" si="19"/>
        <v>5</v>
      </c>
      <c r="AE15">
        <f t="shared" si="20"/>
        <v>3</v>
      </c>
      <c r="AF15">
        <f t="shared" si="21"/>
        <v>3</v>
      </c>
      <c r="AG15">
        <f t="shared" si="22"/>
        <v>3</v>
      </c>
      <c r="AH15">
        <f t="shared" si="23"/>
        <v>3.6</v>
      </c>
      <c r="AI15">
        <f t="shared" si="24"/>
        <v>3.6</v>
      </c>
      <c r="AJ15">
        <f t="shared" si="25"/>
        <v>3.6</v>
      </c>
      <c r="AK15">
        <f t="shared" si="26"/>
        <v>3</v>
      </c>
      <c r="AL15">
        <f t="shared" si="27"/>
        <v>0</v>
      </c>
      <c r="AM15" t="str">
        <f t="shared" si="28"/>
        <v>● 0</v>
      </c>
      <c r="AN15">
        <f>IF($AA15="","",IF(ISNUMBER(AH15),AH15,-1)-7/100000)</f>
        <v>3.5999300000000001</v>
      </c>
      <c r="AO15">
        <f>IFERROR(MATCH(_xlfn.AGGREGATE(14,6,$AN$9:$AN$23,7),$AN$9:$AN$23,0),"")</f>
        <v>3</v>
      </c>
    </row>
    <row r="16" spans="1:41" ht="20.05" customHeight="1" x14ac:dyDescent="0.4">
      <c r="A16" s="59" t="str">
        <f t="shared" si="0"/>
        <v>NFR-05</v>
      </c>
      <c r="B16" s="59" t="str">
        <f t="shared" si="1"/>
        <v>Errori di processo nella migrazione del core banking</v>
      </c>
      <c r="C16" s="60" t="str">
        <f t="shared" si="2"/>
        <v>L1-07</v>
      </c>
      <c r="D16" s="60">
        <f t="shared" si="3"/>
        <v>3</v>
      </c>
      <c r="E16" s="60">
        <f t="shared" si="4"/>
        <v>3</v>
      </c>
      <c r="F16" s="60">
        <f t="shared" si="5"/>
        <v>3</v>
      </c>
      <c r="G16" s="60">
        <f t="shared" si="6"/>
        <v>3</v>
      </c>
      <c r="H16" s="60">
        <f t="shared" si="7"/>
        <v>3</v>
      </c>
      <c r="I16" s="60">
        <f t="shared" si="8"/>
        <v>4</v>
      </c>
      <c r="J16" s="61">
        <f t="shared" si="9"/>
        <v>3</v>
      </c>
      <c r="K16" s="16">
        <f t="shared" si="10"/>
        <v>0</v>
      </c>
      <c r="L16" s="16">
        <f t="shared" si="11"/>
        <v>-0.35000000000000009</v>
      </c>
      <c r="M16" s="60" t="str">
        <f>IF($AO16="","",INDEX(Radar_Mosca!$L$5:$L$19,$AO16)&amp;"")</f>
        <v>Margine 1 anno</v>
      </c>
      <c r="N16" s="62">
        <f>IF($AO16="","",IFERROR(INDEX(Radar_Mosca!$K$5:$K$19,$AO16),""))</f>
        <v>1</v>
      </c>
      <c r="O16" s="60" t="str">
        <f t="shared" si="12"/>
        <v/>
      </c>
      <c r="P16" s="63">
        <f t="shared" si="13"/>
        <v>0</v>
      </c>
      <c r="Q16" s="63">
        <f t="shared" si="14"/>
        <v>1</v>
      </c>
      <c r="R16" s="63">
        <f t="shared" si="15"/>
        <v>2</v>
      </c>
      <c r="S16" s="60" t="str">
        <f t="shared" si="16"/>
        <v>▼ -3</v>
      </c>
      <c r="T16" s="60" t="str">
        <f t="shared" si="17"/>
        <v>Funzione Operations</v>
      </c>
      <c r="AA16" t="str">
        <f>IF(Parametri!$H11="","",Parametri!$H11)</f>
        <v>NFR-08</v>
      </c>
      <c r="AB16" t="str">
        <f>IF($AA16="","",Parametri!$I11)</f>
        <v>Accessi impropri di dipendenti ai dati dei clienti</v>
      </c>
      <c r="AC16">
        <f t="shared" si="18"/>
        <v>3</v>
      </c>
      <c r="AD16">
        <f t="shared" si="19"/>
        <v>3</v>
      </c>
      <c r="AE16">
        <f t="shared" si="20"/>
        <v>3</v>
      </c>
      <c r="AF16">
        <f t="shared" si="21"/>
        <v>3</v>
      </c>
      <c r="AG16">
        <f t="shared" si="22"/>
        <v>2</v>
      </c>
      <c r="AH16">
        <f t="shared" si="23"/>
        <v>2.8</v>
      </c>
      <c r="AI16">
        <f t="shared" si="24"/>
        <v>2.8</v>
      </c>
      <c r="AJ16">
        <f t="shared" si="25"/>
        <v>2.8</v>
      </c>
      <c r="AK16">
        <f t="shared" si="26"/>
        <v>3</v>
      </c>
      <c r="AL16">
        <f t="shared" si="27"/>
        <v>0</v>
      </c>
      <c r="AM16" t="str">
        <f t="shared" si="28"/>
        <v>● 0</v>
      </c>
      <c r="AN16">
        <f>IF($AA16="","",IF(ISNUMBER(AH16),AH16,-1)-8/100000)</f>
        <v>2.7999199999999997</v>
      </c>
      <c r="AO16">
        <f>IFERROR(MATCH(_xlfn.AGGREGATE(14,6,$AN$9:$AN$23,8),$AN$9:$AN$23,0),"")</f>
        <v>5</v>
      </c>
    </row>
    <row r="17" spans="1:41" ht="20.05" customHeight="1" x14ac:dyDescent="0.4">
      <c r="A17" s="59" t="str">
        <f t="shared" si="0"/>
        <v>NFR-06</v>
      </c>
      <c r="B17" s="59" t="str">
        <f t="shared" si="1"/>
        <v>Esfiltrazione di dati tramite strumenti di AI non autorizzati</v>
      </c>
      <c r="C17" s="60" t="str">
        <f t="shared" si="2"/>
        <v>L1-01</v>
      </c>
      <c r="D17" s="60">
        <f t="shared" si="3"/>
        <v>3</v>
      </c>
      <c r="E17" s="60">
        <f t="shared" si="4"/>
        <v>3</v>
      </c>
      <c r="F17" s="60">
        <f t="shared" si="5"/>
        <v>3</v>
      </c>
      <c r="G17" s="60">
        <f t="shared" si="6"/>
        <v>3</v>
      </c>
      <c r="H17" s="60">
        <f t="shared" si="7"/>
        <v>3</v>
      </c>
      <c r="I17" s="60">
        <f t="shared" si="8"/>
        <v>2</v>
      </c>
      <c r="J17" s="61">
        <f t="shared" si="9"/>
        <v>3</v>
      </c>
      <c r="K17" s="16">
        <f t="shared" si="10"/>
        <v>-0.20000000000000018</v>
      </c>
      <c r="L17" s="16">
        <f t="shared" si="11"/>
        <v>-0.20000000000000018</v>
      </c>
      <c r="M17" s="60" t="str">
        <f>IF($AO17="","",INDEX(Radar_Mosca!$L$5:$L$19,$AO17)&amp;"")</f>
        <v>Agire entro l'anno</v>
      </c>
      <c r="N17" s="62">
        <f>IF($AO17="","",IFERROR(INDEX(Radar_Mosca!$K$5:$K$19,$AO17),""))</f>
        <v>0.75</v>
      </c>
      <c r="O17" s="60" t="str">
        <f t="shared" si="12"/>
        <v/>
      </c>
      <c r="P17" s="63">
        <f t="shared" si="13"/>
        <v>0</v>
      </c>
      <c r="Q17" s="63">
        <f t="shared" si="14"/>
        <v>1</v>
      </c>
      <c r="R17" s="63">
        <f t="shared" si="15"/>
        <v>2</v>
      </c>
      <c r="S17" s="60" t="str">
        <f t="shared" si="16"/>
        <v>● 0</v>
      </c>
      <c r="T17" s="60" t="str">
        <f t="shared" si="17"/>
        <v>Funzione Sicurezza delle Informazioni</v>
      </c>
      <c r="AA17" t="str">
        <f>IF(Parametri!$H12="","",Parametri!$H12)</f>
        <v>NFR-09</v>
      </c>
      <c r="AB17" t="str">
        <f>IF($AA17="","",Parametri!$I12)</f>
        <v>Violazione di sanzioni internazionali tramite triangolazioni</v>
      </c>
      <c r="AC17">
        <f t="shared" si="18"/>
        <v>4</v>
      </c>
      <c r="AD17">
        <f t="shared" si="19"/>
        <v>3</v>
      </c>
      <c r="AE17">
        <f t="shared" si="20"/>
        <v>2</v>
      </c>
      <c r="AF17">
        <f t="shared" si="21"/>
        <v>3</v>
      </c>
      <c r="AG17">
        <f t="shared" si="22"/>
        <v>2</v>
      </c>
      <c r="AH17">
        <f t="shared" si="23"/>
        <v>2.95</v>
      </c>
      <c r="AI17">
        <f t="shared" si="24"/>
        <v>2.95</v>
      </c>
      <c r="AJ17">
        <f t="shared" si="25"/>
        <v>2.95</v>
      </c>
      <c r="AK17">
        <f t="shared" si="26"/>
        <v>2</v>
      </c>
      <c r="AL17">
        <f t="shared" si="27"/>
        <v>0</v>
      </c>
      <c r="AM17" t="str">
        <f t="shared" si="28"/>
        <v>● 0</v>
      </c>
      <c r="AN17">
        <f>IF($AA17="","",IF(ISNUMBER(AH17),AH17,-1)-9/100000)</f>
        <v>2.94991</v>
      </c>
      <c r="AO17">
        <f>IFERROR(MATCH(_xlfn.AGGREGATE(14,6,$AN$9:$AN$23,9),$AN$9:$AN$23,0),"")</f>
        <v>6</v>
      </c>
    </row>
    <row r="18" spans="1:41" ht="20.05" customHeight="1" x14ac:dyDescent="0.4">
      <c r="A18" s="59" t="str">
        <f t="shared" si="0"/>
        <v>NFR-09</v>
      </c>
      <c r="B18" s="59" t="str">
        <f t="shared" si="1"/>
        <v>Violazione di sanzioni internazionali tramite triangolazioni</v>
      </c>
      <c r="C18" s="60" t="str">
        <f t="shared" si="2"/>
        <v>L1-04</v>
      </c>
      <c r="D18" s="60">
        <f t="shared" si="3"/>
        <v>4</v>
      </c>
      <c r="E18" s="60">
        <f t="shared" si="4"/>
        <v>2</v>
      </c>
      <c r="F18" s="60">
        <f t="shared" si="5"/>
        <v>3</v>
      </c>
      <c r="G18" s="60">
        <f t="shared" si="6"/>
        <v>3</v>
      </c>
      <c r="H18" s="60">
        <f t="shared" si="7"/>
        <v>2</v>
      </c>
      <c r="I18" s="60">
        <f t="shared" si="8"/>
        <v>2</v>
      </c>
      <c r="J18" s="61">
        <f t="shared" si="9"/>
        <v>2.95</v>
      </c>
      <c r="K18" s="16">
        <f t="shared" si="10"/>
        <v>0</v>
      </c>
      <c r="L18" s="16">
        <f t="shared" si="11"/>
        <v>0</v>
      </c>
      <c r="M18" s="60" t="str">
        <f>IF($AO18="","",INDEX(Radar_Mosca!$L$5:$L$19,$AO18)&amp;"")</f>
        <v>Margine 1,3 anni</v>
      </c>
      <c r="N18" s="62">
        <f>IF($AO18="","",IFERROR(INDEX(Radar_Mosca!$K$5:$K$19,$AO18),""))</f>
        <v>1.25</v>
      </c>
      <c r="O18" s="60" t="str">
        <f t="shared" si="12"/>
        <v>◆</v>
      </c>
      <c r="P18" s="63">
        <f t="shared" si="13"/>
        <v>0</v>
      </c>
      <c r="Q18" s="63">
        <f t="shared" si="14"/>
        <v>2</v>
      </c>
      <c r="R18" s="63">
        <f t="shared" si="15"/>
        <v>1</v>
      </c>
      <c r="S18" s="60" t="str">
        <f t="shared" si="16"/>
        <v>● 0</v>
      </c>
      <c r="T18" s="60" t="str">
        <f t="shared" si="17"/>
        <v>Funzione Compliance</v>
      </c>
      <c r="AA18" t="str">
        <f>IF(Parametri!$H13="","",Parametri!$H13)</f>
        <v>NFR-10</v>
      </c>
      <c r="AB18" t="str">
        <f>IF($AA18="","",Parametri!$I13)</f>
        <v>Informazioni errate ai clienti da assistenti di AI generativa</v>
      </c>
      <c r="AC18">
        <f t="shared" si="18"/>
        <v>3</v>
      </c>
      <c r="AD18">
        <f t="shared" si="19"/>
        <v>3</v>
      </c>
      <c r="AE18">
        <f t="shared" si="20"/>
        <v>3</v>
      </c>
      <c r="AF18">
        <f t="shared" si="21"/>
        <v>4</v>
      </c>
      <c r="AG18">
        <f t="shared" si="22"/>
        <v>3</v>
      </c>
      <c r="AH18">
        <f t="shared" si="23"/>
        <v>3.2</v>
      </c>
      <c r="AI18">
        <f t="shared" si="24"/>
        <v>3.2</v>
      </c>
      <c r="AJ18">
        <f t="shared" si="25"/>
        <v>3.2</v>
      </c>
      <c r="AK18">
        <f t="shared" si="26"/>
        <v>2</v>
      </c>
      <c r="AL18">
        <f t="shared" si="27"/>
        <v>0</v>
      </c>
      <c r="AM18" t="str">
        <f t="shared" si="28"/>
        <v>● 0</v>
      </c>
      <c r="AN18">
        <f>IF($AA18="","",IF(ISNUMBER(AH18),AH18,-1)-10/100000)</f>
        <v>3.1999</v>
      </c>
      <c r="AO18">
        <f>IFERROR(MATCH(_xlfn.AGGREGATE(14,6,$AN$9:$AN$23,10),$AN$9:$AN$23,0),"")</f>
        <v>9</v>
      </c>
    </row>
    <row r="19" spans="1:41" ht="20.05" customHeight="1" x14ac:dyDescent="0.4">
      <c r="A19" s="59" t="str">
        <f t="shared" si="0"/>
        <v>NFR-04</v>
      </c>
      <c r="B19" s="59" t="str">
        <f t="shared" si="1"/>
        <v>Eventi climatici estremi su sedi e data center</v>
      </c>
      <c r="C19" s="60" t="str">
        <f t="shared" si="2"/>
        <v>L1-05</v>
      </c>
      <c r="D19" s="60">
        <f t="shared" si="3"/>
        <v>3</v>
      </c>
      <c r="E19" s="60">
        <f t="shared" si="4"/>
        <v>3</v>
      </c>
      <c r="F19" s="60">
        <f t="shared" si="5"/>
        <v>3</v>
      </c>
      <c r="G19" s="60">
        <f t="shared" si="6"/>
        <v>2</v>
      </c>
      <c r="H19" s="60">
        <f t="shared" si="7"/>
        <v>3</v>
      </c>
      <c r="I19" s="60">
        <f t="shared" si="8"/>
        <v>3</v>
      </c>
      <c r="J19" s="61">
        <f t="shared" si="9"/>
        <v>2.85</v>
      </c>
      <c r="K19" s="16">
        <f t="shared" si="10"/>
        <v>0</v>
      </c>
      <c r="L19" s="16">
        <f t="shared" si="11"/>
        <v>0.14999999999999991</v>
      </c>
      <c r="M19" s="60" t="str">
        <f>IF($AO19="","",INDEX(Radar_Mosca!$L$5:$L$19,$AO19)&amp;"")</f>
        <v>Agire entro l'anno</v>
      </c>
      <c r="N19" s="62">
        <f>IF($AO19="","",IFERROR(INDEX(Radar_Mosca!$K$5:$K$19,$AO19),""))</f>
        <v>0.75</v>
      </c>
      <c r="O19" s="60" t="str">
        <f t="shared" si="12"/>
        <v/>
      </c>
      <c r="P19" s="63">
        <f t="shared" si="13"/>
        <v>0</v>
      </c>
      <c r="Q19" s="63">
        <f t="shared" si="14"/>
        <v>1</v>
      </c>
      <c r="R19" s="63">
        <f t="shared" si="15"/>
        <v>2</v>
      </c>
      <c r="S19" s="60" t="str">
        <f t="shared" si="16"/>
        <v>● 0</v>
      </c>
      <c r="T19" s="60" t="str">
        <f t="shared" si="17"/>
        <v>Funzione Business Continuity</v>
      </c>
      <c r="AA19" t="str">
        <f>IF(Parametri!$H14="","",Parametri!$H14)</f>
        <v>NFR-11</v>
      </c>
      <c r="AB19" t="str">
        <f>IF($AA19="","",Parametri!$I14)</f>
        <v>Fine del supporto dei sistemi di pagamento legacy</v>
      </c>
      <c r="AC19">
        <f t="shared" si="18"/>
        <v>3</v>
      </c>
      <c r="AD19">
        <f t="shared" si="19"/>
        <v>2</v>
      </c>
      <c r="AE19">
        <f t="shared" si="20"/>
        <v>3</v>
      </c>
      <c r="AF19">
        <f t="shared" si="21"/>
        <v>4</v>
      </c>
      <c r="AG19">
        <f t="shared" si="22"/>
        <v>3</v>
      </c>
      <c r="AH19">
        <f t="shared" si="23"/>
        <v>3.05</v>
      </c>
      <c r="AI19">
        <f t="shared" si="24"/>
        <v>3.05</v>
      </c>
      <c r="AJ19">
        <f t="shared" si="25"/>
        <v>3.05</v>
      </c>
      <c r="AK19">
        <f t="shared" si="26"/>
        <v>3</v>
      </c>
      <c r="AL19">
        <f t="shared" si="27"/>
        <v>0</v>
      </c>
      <c r="AM19" t="str">
        <f t="shared" si="28"/>
        <v>● 0</v>
      </c>
      <c r="AN19">
        <f>IF($AA19="","",IF(ISNUMBER(AH19),AH19,-1)-11/100000)</f>
        <v>3.04989</v>
      </c>
      <c r="AO19">
        <f>IFERROR(MATCH(_xlfn.AGGREGATE(14,6,$AN$9:$AN$23,11),$AN$9:$AN$23,0),"")</f>
        <v>4</v>
      </c>
    </row>
    <row r="20" spans="1:41" ht="20.05" customHeight="1" x14ac:dyDescent="0.4">
      <c r="A20" s="59" t="str">
        <f t="shared" si="0"/>
        <v>NFR-08</v>
      </c>
      <c r="B20" s="59" t="str">
        <f t="shared" si="1"/>
        <v>Accessi impropri di dipendenti ai dati dei clienti</v>
      </c>
      <c r="C20" s="60" t="str">
        <f t="shared" si="2"/>
        <v>L1-01</v>
      </c>
      <c r="D20" s="60">
        <f t="shared" si="3"/>
        <v>3</v>
      </c>
      <c r="E20" s="60">
        <f t="shared" si="4"/>
        <v>2</v>
      </c>
      <c r="F20" s="60">
        <f t="shared" si="5"/>
        <v>3</v>
      </c>
      <c r="G20" s="60">
        <f t="shared" si="6"/>
        <v>3</v>
      </c>
      <c r="H20" s="60">
        <f t="shared" si="7"/>
        <v>3</v>
      </c>
      <c r="I20" s="60">
        <f t="shared" si="8"/>
        <v>3</v>
      </c>
      <c r="J20" s="61">
        <f t="shared" si="9"/>
        <v>2.8</v>
      </c>
      <c r="K20" s="16">
        <f t="shared" si="10"/>
        <v>0</v>
      </c>
      <c r="L20" s="16">
        <f t="shared" si="11"/>
        <v>0</v>
      </c>
      <c r="M20" s="60" t="str">
        <f>IF($AO20="","",INDEX(Radar_Mosca!$L$5:$L$19,$AO20)&amp;"")</f>
        <v>Agire entro l'anno</v>
      </c>
      <c r="N20" s="62">
        <f>IF($AO20="","",IFERROR(INDEX(Radar_Mosca!$K$5:$K$19,$AO20),""))</f>
        <v>0.25</v>
      </c>
      <c r="O20" s="60" t="str">
        <f t="shared" si="12"/>
        <v/>
      </c>
      <c r="P20" s="63">
        <f t="shared" si="13"/>
        <v>0</v>
      </c>
      <c r="Q20" s="63">
        <f t="shared" si="14"/>
        <v>2</v>
      </c>
      <c r="R20" s="63">
        <f t="shared" si="15"/>
        <v>1</v>
      </c>
      <c r="S20" s="60" t="str">
        <f t="shared" si="16"/>
        <v>● 0</v>
      </c>
      <c r="T20" s="60" t="str">
        <f t="shared" si="17"/>
        <v>Funzione Sicurezza delle Informazioni</v>
      </c>
      <c r="AA20" t="str">
        <f>IF(Parametri!$H15="","",Parametri!$H15)</f>
        <v>NFR-12</v>
      </c>
      <c r="AB20" t="str">
        <f>IF($AA20="","",Parametri!$I15)</f>
        <v>Errori operativi nei pagamenti istantanei obbligatori</v>
      </c>
      <c r="AC20">
        <f t="shared" si="18"/>
        <v>3</v>
      </c>
      <c r="AD20">
        <f t="shared" si="19"/>
        <v>4</v>
      </c>
      <c r="AE20">
        <f t="shared" si="20"/>
        <v>4</v>
      </c>
      <c r="AF20">
        <f t="shared" si="21"/>
        <v>3</v>
      </c>
      <c r="AG20">
        <f t="shared" si="22"/>
        <v>4</v>
      </c>
      <c r="AH20">
        <f t="shared" si="23"/>
        <v>3.5</v>
      </c>
      <c r="AI20">
        <f t="shared" si="24"/>
        <v>3.5</v>
      </c>
      <c r="AJ20">
        <f t="shared" si="25"/>
        <v>3.35</v>
      </c>
      <c r="AK20">
        <f t="shared" si="26"/>
        <v>3</v>
      </c>
      <c r="AL20">
        <f t="shared" si="27"/>
        <v>0</v>
      </c>
      <c r="AM20" t="str">
        <f t="shared" si="28"/>
        <v>● 0</v>
      </c>
      <c r="AN20">
        <f>IF($AA20="","",IF(ISNUMBER(AH20),AH20,-1)-12/100000)</f>
        <v>3.4998800000000001</v>
      </c>
      <c r="AO20">
        <f>IFERROR(MATCH(_xlfn.AGGREGATE(14,6,$AN$9:$AN$23,12),$AN$9:$AN$23,0),"")</f>
        <v>8</v>
      </c>
    </row>
    <row r="21" spans="1:41" ht="20.05" customHeight="1" x14ac:dyDescent="0.4">
      <c r="A21" s="59" t="str">
        <f t="shared" si="0"/>
        <v/>
      </c>
      <c r="B21" s="59" t="str">
        <f t="shared" si="1"/>
        <v/>
      </c>
      <c r="C21" s="60" t="str">
        <f t="shared" si="2"/>
        <v/>
      </c>
      <c r="D21" s="60" t="str">
        <f t="shared" si="3"/>
        <v/>
      </c>
      <c r="E21" s="60" t="str">
        <f t="shared" si="4"/>
        <v/>
      </c>
      <c r="F21" s="60" t="str">
        <f t="shared" si="5"/>
        <v/>
      </c>
      <c r="G21" s="60" t="str">
        <f t="shared" si="6"/>
        <v/>
      </c>
      <c r="H21" s="60" t="str">
        <f t="shared" si="7"/>
        <v/>
      </c>
      <c r="I21" s="60" t="str">
        <f t="shared" si="8"/>
        <v/>
      </c>
      <c r="J21" s="61" t="str">
        <f t="shared" si="9"/>
        <v/>
      </c>
      <c r="K21" s="16" t="str">
        <f t="shared" si="10"/>
        <v/>
      </c>
      <c r="L21" s="16" t="str">
        <f t="shared" si="11"/>
        <v/>
      </c>
      <c r="M21" s="60" t="str">
        <f>IF($AO21="","",INDEX(Radar_Mosca!$L$5:$L$19,$AO21)&amp;"")</f>
        <v/>
      </c>
      <c r="N21" s="62" t="str">
        <f>IF($AO21="","",IFERROR(INDEX(Radar_Mosca!$K$5:$K$19,$AO21),""))</f>
        <v/>
      </c>
      <c r="O21" s="60" t="str">
        <f t="shared" si="12"/>
        <v/>
      </c>
      <c r="P21" s="63" t="str">
        <f t="shared" si="13"/>
        <v/>
      </c>
      <c r="Q21" s="63" t="str">
        <f t="shared" si="14"/>
        <v/>
      </c>
      <c r="R21" s="63" t="str">
        <f t="shared" si="15"/>
        <v/>
      </c>
      <c r="S21" s="60" t="str">
        <f t="shared" si="16"/>
        <v/>
      </c>
      <c r="T21" s="60" t="str">
        <f t="shared" si="17"/>
        <v/>
      </c>
      <c r="AA21" t="str">
        <f>IF(Parametri!$H16="","",Parametri!$H16)</f>
        <v/>
      </c>
      <c r="AB21" t="str">
        <f>IF($AA21="","",Parametri!$I16)</f>
        <v/>
      </c>
      <c r="AC21" t="e">
        <f t="shared" si="18"/>
        <v>#N/A</v>
      </c>
      <c r="AD21" t="e">
        <f t="shared" si="19"/>
        <v>#N/A</v>
      </c>
      <c r="AE21" t="e">
        <f t="shared" si="20"/>
        <v>#N/A</v>
      </c>
      <c r="AF21" t="e">
        <f t="shared" si="21"/>
        <v>#N/A</v>
      </c>
      <c r="AG21" t="e">
        <f t="shared" si="22"/>
        <v>#N/A</v>
      </c>
      <c r="AH21" t="e">
        <f t="shared" si="23"/>
        <v>#N/A</v>
      </c>
      <c r="AI21" t="e">
        <f t="shared" si="24"/>
        <v>#N/A</v>
      </c>
      <c r="AJ21" t="e">
        <f t="shared" si="25"/>
        <v>#N/A</v>
      </c>
      <c r="AK21" t="e">
        <f t="shared" si="26"/>
        <v>#N/A</v>
      </c>
      <c r="AL21" t="str">
        <f t="shared" si="27"/>
        <v/>
      </c>
      <c r="AM21" t="str">
        <f t="shared" si="28"/>
        <v/>
      </c>
      <c r="AN21" t="str">
        <f>IF($AA21="","",IF(ISNUMBER(AH21),AH21,-1)-13/100000)</f>
        <v/>
      </c>
      <c r="AO21" t="str">
        <f>IFERROR(MATCH(_xlfn.AGGREGATE(14,6,$AN$9:$AN$23,13),$AN$9:$AN$23,0),"")</f>
        <v/>
      </c>
    </row>
    <row r="22" spans="1:41" ht="20.05" customHeight="1" x14ac:dyDescent="0.4">
      <c r="A22" s="59" t="str">
        <f t="shared" si="0"/>
        <v/>
      </c>
      <c r="B22" s="59" t="str">
        <f t="shared" si="1"/>
        <v/>
      </c>
      <c r="C22" s="60" t="str">
        <f t="shared" si="2"/>
        <v/>
      </c>
      <c r="D22" s="60" t="str">
        <f t="shared" si="3"/>
        <v/>
      </c>
      <c r="E22" s="60" t="str">
        <f t="shared" si="4"/>
        <v/>
      </c>
      <c r="F22" s="60" t="str">
        <f t="shared" si="5"/>
        <v/>
      </c>
      <c r="G22" s="60" t="str">
        <f t="shared" si="6"/>
        <v/>
      </c>
      <c r="H22" s="60" t="str">
        <f t="shared" si="7"/>
        <v/>
      </c>
      <c r="I22" s="60" t="str">
        <f t="shared" si="8"/>
        <v/>
      </c>
      <c r="J22" s="61" t="str">
        <f t="shared" si="9"/>
        <v/>
      </c>
      <c r="K22" s="16" t="str">
        <f t="shared" si="10"/>
        <v/>
      </c>
      <c r="L22" s="16" t="str">
        <f t="shared" si="11"/>
        <v/>
      </c>
      <c r="M22" s="60" t="str">
        <f>IF($AO22="","",INDEX(Radar_Mosca!$L$5:$L$19,$AO22)&amp;"")</f>
        <v/>
      </c>
      <c r="N22" s="62" t="str">
        <f>IF($AO22="","",IFERROR(INDEX(Radar_Mosca!$K$5:$K$19,$AO22),""))</f>
        <v/>
      </c>
      <c r="O22" s="60" t="str">
        <f t="shared" si="12"/>
        <v/>
      </c>
      <c r="P22" s="63" t="str">
        <f t="shared" si="13"/>
        <v/>
      </c>
      <c r="Q22" s="63" t="str">
        <f t="shared" si="14"/>
        <v/>
      </c>
      <c r="R22" s="63" t="str">
        <f t="shared" si="15"/>
        <v/>
      </c>
      <c r="S22" s="60" t="str">
        <f t="shared" si="16"/>
        <v/>
      </c>
      <c r="T22" s="60" t="str">
        <f t="shared" si="17"/>
        <v/>
      </c>
      <c r="AA22" t="str">
        <f>IF(Parametri!$H17="","",Parametri!$H17)</f>
        <v/>
      </c>
      <c r="AB22" t="str">
        <f>IF($AA22="","",Parametri!$I17)</f>
        <v/>
      </c>
      <c r="AC22" t="e">
        <f t="shared" si="18"/>
        <v>#N/A</v>
      </c>
      <c r="AD22" t="e">
        <f t="shared" si="19"/>
        <v>#N/A</v>
      </c>
      <c r="AE22" t="e">
        <f t="shared" si="20"/>
        <v>#N/A</v>
      </c>
      <c r="AF22" t="e">
        <f t="shared" si="21"/>
        <v>#N/A</v>
      </c>
      <c r="AG22" t="e">
        <f t="shared" si="22"/>
        <v>#N/A</v>
      </c>
      <c r="AH22" t="e">
        <f t="shared" si="23"/>
        <v>#N/A</v>
      </c>
      <c r="AI22" t="e">
        <f t="shared" si="24"/>
        <v>#N/A</v>
      </c>
      <c r="AJ22" t="e">
        <f t="shared" si="25"/>
        <v>#N/A</v>
      </c>
      <c r="AK22" t="e">
        <f t="shared" si="26"/>
        <v>#N/A</v>
      </c>
      <c r="AL22" t="str">
        <f t="shared" si="27"/>
        <v/>
      </c>
      <c r="AM22" t="str">
        <f t="shared" si="28"/>
        <v/>
      </c>
      <c r="AN22" t="str">
        <f>IF($AA22="","",IF(ISNUMBER(AH22),AH22,-1)-14/100000)</f>
        <v/>
      </c>
      <c r="AO22" t="str">
        <f>IFERROR(MATCH(_xlfn.AGGREGATE(14,6,$AN$9:$AN$23,14),$AN$9:$AN$23,0),"")</f>
        <v/>
      </c>
    </row>
    <row r="23" spans="1:41" ht="20.05" customHeight="1" x14ac:dyDescent="0.4">
      <c r="A23" s="59" t="str">
        <f t="shared" si="0"/>
        <v/>
      </c>
      <c r="B23" s="59" t="str">
        <f t="shared" si="1"/>
        <v/>
      </c>
      <c r="C23" s="60" t="str">
        <f t="shared" si="2"/>
        <v/>
      </c>
      <c r="D23" s="60" t="str">
        <f t="shared" si="3"/>
        <v/>
      </c>
      <c r="E23" s="60" t="str">
        <f t="shared" si="4"/>
        <v/>
      </c>
      <c r="F23" s="60" t="str">
        <f t="shared" si="5"/>
        <v/>
      </c>
      <c r="G23" s="60" t="str">
        <f t="shared" si="6"/>
        <v/>
      </c>
      <c r="H23" s="60" t="str">
        <f t="shared" si="7"/>
        <v/>
      </c>
      <c r="I23" s="60" t="str">
        <f t="shared" si="8"/>
        <v/>
      </c>
      <c r="J23" s="61" t="str">
        <f t="shared" si="9"/>
        <v/>
      </c>
      <c r="K23" s="16" t="str">
        <f t="shared" si="10"/>
        <v/>
      </c>
      <c r="L23" s="16" t="str">
        <f t="shared" si="11"/>
        <v/>
      </c>
      <c r="M23" s="60" t="str">
        <f>IF($AO23="","",INDEX(Radar_Mosca!$L$5:$L$19,$AO23)&amp;"")</f>
        <v/>
      </c>
      <c r="N23" s="62" t="str">
        <f>IF($AO23="","",IFERROR(INDEX(Radar_Mosca!$K$5:$K$19,$AO23),""))</f>
        <v/>
      </c>
      <c r="O23" s="60" t="str">
        <f t="shared" si="12"/>
        <v/>
      </c>
      <c r="P23" s="63" t="str">
        <f t="shared" si="13"/>
        <v/>
      </c>
      <c r="Q23" s="63" t="str">
        <f t="shared" si="14"/>
        <v/>
      </c>
      <c r="R23" s="63" t="str">
        <f t="shared" si="15"/>
        <v/>
      </c>
      <c r="S23" s="60" t="str">
        <f t="shared" si="16"/>
        <v/>
      </c>
      <c r="T23" s="60" t="str">
        <f t="shared" si="17"/>
        <v/>
      </c>
      <c r="AA23" t="str">
        <f>IF(Parametri!$H18="","",Parametri!$H18)</f>
        <v/>
      </c>
      <c r="AB23" t="str">
        <f>IF($AA23="","",Parametri!$I18)</f>
        <v/>
      </c>
      <c r="AC23" t="e">
        <f t="shared" si="18"/>
        <v>#N/A</v>
      </c>
      <c r="AD23" t="e">
        <f t="shared" si="19"/>
        <v>#N/A</v>
      </c>
      <c r="AE23" t="e">
        <f t="shared" si="20"/>
        <v>#N/A</v>
      </c>
      <c r="AF23" t="e">
        <f t="shared" si="21"/>
        <v>#N/A</v>
      </c>
      <c r="AG23" t="e">
        <f t="shared" si="22"/>
        <v>#N/A</v>
      </c>
      <c r="AH23" t="e">
        <f t="shared" si="23"/>
        <v>#N/A</v>
      </c>
      <c r="AI23" t="e">
        <f t="shared" si="24"/>
        <v>#N/A</v>
      </c>
      <c r="AJ23" t="e">
        <f t="shared" si="25"/>
        <v>#N/A</v>
      </c>
      <c r="AK23" t="e">
        <f t="shared" si="26"/>
        <v>#N/A</v>
      </c>
      <c r="AL23" t="str">
        <f t="shared" si="27"/>
        <v/>
      </c>
      <c r="AM23" t="str">
        <f t="shared" si="28"/>
        <v/>
      </c>
      <c r="AN23" t="str">
        <f>IF($AA23="","",IF(ISNUMBER(AH23),AH23,-1)-15/100000)</f>
        <v/>
      </c>
      <c r="AO23" t="str">
        <f>IFERROR(MATCH(_xlfn.AGGREGATE(14,6,$AN$9:$AN$23,15),$AN$9:$AN$23,0),"")</f>
        <v/>
      </c>
    </row>
    <row r="25" spans="1:41" ht="37" customHeight="1" x14ac:dyDescent="0.4">
      <c r="A25" s="123" t="s">
        <v>386</v>
      </c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</row>
  </sheetData>
  <mergeCells count="9">
    <mergeCell ref="A25:T25"/>
    <mergeCell ref="A2:T2"/>
    <mergeCell ref="A7:C7"/>
    <mergeCell ref="D7:I7"/>
    <mergeCell ref="A1:T1"/>
    <mergeCell ref="P7:R7"/>
    <mergeCell ref="H5:N5"/>
    <mergeCell ref="H4:N4"/>
    <mergeCell ref="J7:N7"/>
  </mergeCells>
  <conditionalFormatting sqref="D9:H23">
    <cfRule type="expression" dxfId="49" priority="6">
      <formula>D9=2</formula>
    </cfRule>
    <cfRule type="expression" dxfId="48" priority="7">
      <formula>D9=3</formula>
    </cfRule>
    <cfRule type="expression" dxfId="47" priority="8">
      <formula>D9=4</formula>
    </cfRule>
    <cfRule type="expression" dxfId="46" priority="9">
      <formula>D9=5</formula>
    </cfRule>
  </conditionalFormatting>
  <conditionalFormatting sqref="D9:I23">
    <cfRule type="expression" dxfId="45" priority="5">
      <formula>D9=1</formula>
    </cfRule>
  </conditionalFormatting>
  <conditionalFormatting sqref="D9:J23">
    <cfRule type="expression" dxfId="44" priority="15">
      <formula>ISNA(D9)</formula>
    </cfRule>
  </conditionalFormatting>
  <conditionalFormatting sqref="H4">
    <cfRule type="expression" dxfId="43" priority="1">
      <formula>$D$4&gt;0</formula>
    </cfRule>
    <cfRule type="expression" dxfId="42" priority="2">
      <formula>$D$4=0</formula>
    </cfRule>
  </conditionalFormatting>
  <conditionalFormatting sqref="H5">
    <cfRule type="expression" dxfId="41" priority="3">
      <formula>$D$5&lt;&gt;$G$5</formula>
    </cfRule>
    <cfRule type="expression" dxfId="40" priority="4">
      <formula>$D$5=$G$5</formula>
    </cfRule>
  </conditionalFormatting>
  <conditionalFormatting sqref="I9:I23">
    <cfRule type="expression" dxfId="39" priority="11">
      <formula>I9=2</formula>
    </cfRule>
    <cfRule type="expression" dxfId="38" priority="12">
      <formula>I9=3</formula>
    </cfRule>
    <cfRule type="expression" dxfId="37" priority="13">
      <formula>I9=4</formula>
    </cfRule>
    <cfRule type="expression" dxfId="36" priority="14">
      <formula>I9=5</formula>
    </cfRule>
  </conditionalFormatting>
  <conditionalFormatting sqref="J9:J23">
    <cfRule type="dataBar" priority="16">
      <dataBar>
        <cfvo type="num" val="0"/>
        <cfvo type="num" val="5"/>
        <color rgb="FF8EA9DB"/>
      </dataBar>
    </cfRule>
  </conditionalFormatting>
  <conditionalFormatting sqref="K9:L23">
    <cfRule type="expression" dxfId="35" priority="17">
      <formula>AND(ISNUMBER(K9),K9&gt;0)</formula>
    </cfRule>
    <cfRule type="expression" dxfId="34" priority="18">
      <formula>AND(ISNUMBER(K9),K9&lt;0)</formula>
    </cfRule>
  </conditionalFormatting>
  <conditionalFormatting sqref="M9:M23">
    <cfRule type="expression" dxfId="33" priority="19">
      <formula>LEFT(M9,9)="AGIRE ORA"</formula>
    </cfRule>
    <cfRule type="expression" dxfId="32" priority="20">
      <formula>OR(LEFT(M9,11)="Agire entro",LEFT(M9,12)="Entro l'anno")</formula>
    </cfRule>
    <cfRule type="expression" dxfId="31" priority="21">
      <formula>LEFT(M9,7)="Margine"</formula>
    </cfRule>
  </conditionalFormatting>
  <conditionalFormatting sqref="P9:P23">
    <cfRule type="expression" dxfId="30" priority="22">
      <formula>AND(ISNUMBER(P9),P9&gt;0)</formula>
    </cfRule>
  </conditionalFormatting>
  <conditionalFormatting sqref="Q9:Q23">
    <cfRule type="expression" dxfId="29" priority="23">
      <formula>AND(ISNUMBER(Q9),Q9&gt;0)</formula>
    </cfRule>
  </conditionalFormatting>
  <conditionalFormatting sqref="R9:R23">
    <cfRule type="expression" dxfId="28" priority="24">
      <formula>AND(ISNUMBER(R9),R9&gt;0)</formula>
    </cfRule>
  </conditionalFormatting>
  <conditionalFormatting sqref="S9:S23">
    <cfRule type="expression" dxfId="27" priority="25">
      <formula>LEFT(S9,1)="▲"</formula>
    </cfRule>
    <cfRule type="expression" dxfId="26" priority="26">
      <formula>LEFT(S9,1)="▼"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A1:J19"/>
  <sheetViews>
    <sheetView showGridLines="0" workbookViewId="0"/>
  </sheetViews>
  <sheetFormatPr defaultRowHeight="14.6" x14ac:dyDescent="0.4"/>
  <cols>
    <col min="1" max="1" width="10" customWidth="1"/>
    <col min="2" max="2" width="48" customWidth="1"/>
    <col min="3" max="10" width="10" customWidth="1"/>
  </cols>
  <sheetData>
    <row r="1" spans="1:10" ht="28" customHeight="1" x14ac:dyDescent="0.4">
      <c r="A1" s="126" t="str">
        <f>"Horizon Scan NFR — Storico: score composito negli ultimi otto cicli   ·   "&amp;etichettaCiclo</f>
        <v>Horizon Scan NFR — Storico: score composito negli ultimi otto cicli   ·   Ciclo 2026Q3 · dati al 30/09/2026 · validato · Uso interno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 ht="32.049999999999997" customHeight="1" x14ac:dyDescent="0.4">
      <c r="A2" s="112" t="s">
        <v>387</v>
      </c>
      <c r="B2" s="98"/>
      <c r="C2" s="98"/>
      <c r="D2" s="98"/>
      <c r="E2" s="98"/>
      <c r="F2" s="98"/>
      <c r="G2" s="98"/>
      <c r="H2" s="98"/>
      <c r="I2" s="98"/>
      <c r="J2" s="98"/>
    </row>
    <row r="4" spans="1:10" x14ac:dyDescent="0.4">
      <c r="A4" s="52" t="s">
        <v>148</v>
      </c>
      <c r="B4" s="52" t="s">
        <v>149</v>
      </c>
      <c r="C4" s="52" t="str">
        <f>Parametri!$B$20</f>
        <v>2024Q4</v>
      </c>
      <c r="D4" s="52" t="str">
        <f>Parametri!$B$21</f>
        <v>2025Q1</v>
      </c>
      <c r="E4" s="52" t="str">
        <f>Parametri!$B$22</f>
        <v>2025Q2</v>
      </c>
      <c r="F4" s="52" t="str">
        <f>Parametri!$B$23</f>
        <v>2025Q3</v>
      </c>
      <c r="G4" s="52" t="str">
        <f>Parametri!$B$24</f>
        <v>2025Q4</v>
      </c>
      <c r="H4" s="52" t="str">
        <f>Parametri!$B$25</f>
        <v>2026Q1</v>
      </c>
      <c r="I4" s="52" t="str">
        <f>Parametri!$B$26</f>
        <v>2026Q2</v>
      </c>
      <c r="J4" s="52" t="str">
        <f>Parametri!$B$27</f>
        <v>2026Q3</v>
      </c>
    </row>
    <row r="5" spans="1:10" x14ac:dyDescent="0.4">
      <c r="A5" t="str">
        <f>INDEX(posID,1)&amp;""</f>
        <v>NFR-01</v>
      </c>
      <c r="B5" t="str">
        <f>INDEX(posNome,1)&amp;""</f>
        <v>Frodi su pagamenti istantanei abilitate da AI generativa</v>
      </c>
      <c r="C5" s="27" t="e">
        <f t="shared" ref="C5:J19" si="0">IF(OR($A5="",C$4=""),NA(),IF(COUNTIFS(RR_ID_Rischio,$A5,RR_Ciclo,C$4)=0,NA(),SUMIFS(RR_Score_Composito,RR_ID_Rischio,$A5,RR_Ciclo,C$4)))</f>
        <v>#N/A</v>
      </c>
      <c r="D5" s="27" t="e">
        <f t="shared" si="0"/>
        <v>#N/A</v>
      </c>
      <c r="E5" s="27" t="e">
        <f t="shared" si="0"/>
        <v>#N/A</v>
      </c>
      <c r="F5" s="27" t="e">
        <f t="shared" si="0"/>
        <v>#N/A</v>
      </c>
      <c r="G5" s="27">
        <f t="shared" si="0"/>
        <v>3.35</v>
      </c>
      <c r="H5" s="27">
        <f t="shared" si="0"/>
        <v>3.5</v>
      </c>
      <c r="I5" s="27">
        <f t="shared" si="0"/>
        <v>3.8</v>
      </c>
      <c r="J5" s="27">
        <f t="shared" si="0"/>
        <v>3.8</v>
      </c>
    </row>
    <row r="6" spans="1:10" x14ac:dyDescent="0.4">
      <c r="A6" t="str">
        <f>INDEX(posID,2)&amp;""</f>
        <v>NFR-02</v>
      </c>
      <c r="B6" t="str">
        <f>INDEX(posNome,2)&amp;""</f>
        <v>Concentrazione su un fornitore cloud critico</v>
      </c>
      <c r="C6" s="27" t="e">
        <f t="shared" si="0"/>
        <v>#N/A</v>
      </c>
      <c r="D6" s="27" t="e">
        <f t="shared" si="0"/>
        <v>#N/A</v>
      </c>
      <c r="E6" s="27" t="e">
        <f t="shared" si="0"/>
        <v>#N/A</v>
      </c>
      <c r="F6" s="27" t="e">
        <f t="shared" si="0"/>
        <v>#N/A</v>
      </c>
      <c r="G6" s="27">
        <f t="shared" si="0"/>
        <v>3.45</v>
      </c>
      <c r="H6" s="27">
        <f t="shared" si="0"/>
        <v>3.45</v>
      </c>
      <c r="I6" s="27">
        <f t="shared" si="0"/>
        <v>3.45</v>
      </c>
      <c r="J6" s="27">
        <f t="shared" si="0"/>
        <v>3.25</v>
      </c>
    </row>
    <row r="7" spans="1:10" x14ac:dyDescent="0.4">
      <c r="A7" t="str">
        <f>INDEX(posID,3)&amp;""</f>
        <v>NFR-03</v>
      </c>
      <c r="B7" t="str">
        <f>INDEX(posNome,3)&amp;""</f>
        <v>Greenwashing nella commercializzazione di prodotti ESG</v>
      </c>
      <c r="C7" s="27" t="e">
        <f t="shared" si="0"/>
        <v>#N/A</v>
      </c>
      <c r="D7" s="27" t="e">
        <f t="shared" si="0"/>
        <v>#N/A</v>
      </c>
      <c r="E7" s="27" t="e">
        <f t="shared" si="0"/>
        <v>#N/A</v>
      </c>
      <c r="F7" s="27" t="e">
        <f t="shared" si="0"/>
        <v>#N/A</v>
      </c>
      <c r="G7" s="27">
        <f t="shared" si="0"/>
        <v>2.85</v>
      </c>
      <c r="H7" s="27">
        <f t="shared" si="0"/>
        <v>2.85</v>
      </c>
      <c r="I7" s="27">
        <f t="shared" si="0"/>
        <v>2.85</v>
      </c>
      <c r="J7" s="27">
        <f t="shared" si="0"/>
        <v>3</v>
      </c>
    </row>
    <row r="8" spans="1:10" x14ac:dyDescent="0.4">
      <c r="A8" t="str">
        <f>INDEX(posID,4)&amp;""</f>
        <v>NFR-04</v>
      </c>
      <c r="B8" t="str">
        <f>INDEX(posNome,4)&amp;""</f>
        <v>Eventi climatici estremi su sedi e data center</v>
      </c>
      <c r="C8" s="27" t="e">
        <f t="shared" si="0"/>
        <v>#N/A</v>
      </c>
      <c r="D8" s="27" t="e">
        <f t="shared" si="0"/>
        <v>#N/A</v>
      </c>
      <c r="E8" s="27" t="e">
        <f t="shared" si="0"/>
        <v>#N/A</v>
      </c>
      <c r="F8" s="27" t="e">
        <f t="shared" si="0"/>
        <v>#N/A</v>
      </c>
      <c r="G8" s="27">
        <f t="shared" si="0"/>
        <v>2.7</v>
      </c>
      <c r="H8" s="27">
        <f t="shared" si="0"/>
        <v>2.7</v>
      </c>
      <c r="I8" s="27">
        <f t="shared" si="0"/>
        <v>2.85</v>
      </c>
      <c r="J8" s="27">
        <f t="shared" si="0"/>
        <v>2.85</v>
      </c>
    </row>
    <row r="9" spans="1:10" x14ac:dyDescent="0.4">
      <c r="A9" t="str">
        <f>INDEX(posID,5)&amp;""</f>
        <v>NFR-05</v>
      </c>
      <c r="B9" t="str">
        <f>INDEX(posNome,5)&amp;""</f>
        <v>Errori di processo nella migrazione del core banking</v>
      </c>
      <c r="C9" s="27" t="e">
        <f t="shared" si="0"/>
        <v>#N/A</v>
      </c>
      <c r="D9" s="27" t="e">
        <f t="shared" si="0"/>
        <v>#N/A</v>
      </c>
      <c r="E9" s="27" t="e">
        <f t="shared" si="0"/>
        <v>#N/A</v>
      </c>
      <c r="F9" s="27" t="e">
        <f t="shared" si="0"/>
        <v>#N/A</v>
      </c>
      <c r="G9" s="27">
        <f t="shared" si="0"/>
        <v>3.35</v>
      </c>
      <c r="H9" s="27">
        <f t="shared" si="0"/>
        <v>3.35</v>
      </c>
      <c r="I9" s="27">
        <f t="shared" si="0"/>
        <v>3</v>
      </c>
      <c r="J9" s="27">
        <f t="shared" si="0"/>
        <v>3</v>
      </c>
    </row>
    <row r="10" spans="1:10" x14ac:dyDescent="0.4">
      <c r="A10" t="str">
        <f>INDEX(posID,6)&amp;""</f>
        <v>NFR-06</v>
      </c>
      <c r="B10" t="str">
        <f>INDEX(posNome,6)&amp;""</f>
        <v>Esfiltrazione di dati tramite strumenti di AI non autorizzati</v>
      </c>
      <c r="C10" s="27" t="e">
        <f t="shared" si="0"/>
        <v>#N/A</v>
      </c>
      <c r="D10" s="27" t="e">
        <f t="shared" si="0"/>
        <v>#N/A</v>
      </c>
      <c r="E10" s="27" t="e">
        <f t="shared" si="0"/>
        <v>#N/A</v>
      </c>
      <c r="F10" s="27" t="e">
        <f t="shared" si="0"/>
        <v>#N/A</v>
      </c>
      <c r="G10" s="27" t="e">
        <f t="shared" si="0"/>
        <v>#N/A</v>
      </c>
      <c r="H10" s="27">
        <f t="shared" si="0"/>
        <v>3.2</v>
      </c>
      <c r="I10" s="27">
        <f t="shared" si="0"/>
        <v>3.2</v>
      </c>
      <c r="J10" s="27">
        <f t="shared" si="0"/>
        <v>3</v>
      </c>
    </row>
    <row r="11" spans="1:10" x14ac:dyDescent="0.4">
      <c r="A11" t="str">
        <f>INDEX(posID,7)&amp;""</f>
        <v>NFR-07</v>
      </c>
      <c r="B11" t="str">
        <f>INDEX(posNome,7)&amp;""</f>
        <v>Ransomware presso un fornitore di servizi di pagamento</v>
      </c>
      <c r="C11" s="27" t="e">
        <f t="shared" si="0"/>
        <v>#N/A</v>
      </c>
      <c r="D11" s="27" t="e">
        <f t="shared" si="0"/>
        <v>#N/A</v>
      </c>
      <c r="E11" s="27" t="e">
        <f t="shared" si="0"/>
        <v>#N/A</v>
      </c>
      <c r="F11" s="27" t="e">
        <f t="shared" si="0"/>
        <v>#N/A</v>
      </c>
      <c r="G11" s="27">
        <f t="shared" si="0"/>
        <v>3.6</v>
      </c>
      <c r="H11" s="27">
        <f t="shared" si="0"/>
        <v>3.6</v>
      </c>
      <c r="I11" s="27">
        <f t="shared" si="0"/>
        <v>3.6</v>
      </c>
      <c r="J11" s="27">
        <f t="shared" si="0"/>
        <v>3.6</v>
      </c>
    </row>
    <row r="12" spans="1:10" x14ac:dyDescent="0.4">
      <c r="A12" t="str">
        <f>INDEX(posID,8)&amp;""</f>
        <v>NFR-08</v>
      </c>
      <c r="B12" t="str">
        <f>INDEX(posNome,8)&amp;""</f>
        <v>Accessi impropri di dipendenti ai dati dei clienti</v>
      </c>
      <c r="C12" s="27" t="e">
        <f t="shared" si="0"/>
        <v>#N/A</v>
      </c>
      <c r="D12" s="27" t="e">
        <f t="shared" si="0"/>
        <v>#N/A</v>
      </c>
      <c r="E12" s="27" t="e">
        <f t="shared" si="0"/>
        <v>#N/A</v>
      </c>
      <c r="F12" s="27" t="e">
        <f t="shared" si="0"/>
        <v>#N/A</v>
      </c>
      <c r="G12" s="27">
        <f t="shared" si="0"/>
        <v>2.8</v>
      </c>
      <c r="H12" s="27">
        <f t="shared" si="0"/>
        <v>2.8</v>
      </c>
      <c r="I12" s="27">
        <f t="shared" si="0"/>
        <v>2.8</v>
      </c>
      <c r="J12" s="27">
        <f t="shared" si="0"/>
        <v>2.8</v>
      </c>
    </row>
    <row r="13" spans="1:10" x14ac:dyDescent="0.4">
      <c r="A13" t="str">
        <f>INDEX(posID,9)&amp;""</f>
        <v>NFR-09</v>
      </c>
      <c r="B13" t="str">
        <f>INDEX(posNome,9)&amp;""</f>
        <v>Violazione di sanzioni internazionali tramite triangolazioni</v>
      </c>
      <c r="C13" s="27" t="e">
        <f t="shared" si="0"/>
        <v>#N/A</v>
      </c>
      <c r="D13" s="27" t="e">
        <f t="shared" si="0"/>
        <v>#N/A</v>
      </c>
      <c r="E13" s="27" t="e">
        <f t="shared" si="0"/>
        <v>#N/A</v>
      </c>
      <c r="F13" s="27" t="e">
        <f t="shared" si="0"/>
        <v>#N/A</v>
      </c>
      <c r="G13" s="27" t="e">
        <f t="shared" si="0"/>
        <v>#N/A</v>
      </c>
      <c r="H13" s="27">
        <f t="shared" si="0"/>
        <v>2.95</v>
      </c>
      <c r="I13" s="27">
        <f t="shared" si="0"/>
        <v>2.95</v>
      </c>
      <c r="J13" s="27">
        <f t="shared" si="0"/>
        <v>2.95</v>
      </c>
    </row>
    <row r="14" spans="1:10" x14ac:dyDescent="0.4">
      <c r="A14" t="str">
        <f>INDEX(posID,10)&amp;""</f>
        <v>NFR-10</v>
      </c>
      <c r="B14" t="str">
        <f>INDEX(posNome,10)&amp;""</f>
        <v>Informazioni errate ai clienti da assistenti di AI generativa</v>
      </c>
      <c r="C14" s="27" t="e">
        <f t="shared" si="0"/>
        <v>#N/A</v>
      </c>
      <c r="D14" s="27" t="e">
        <f t="shared" si="0"/>
        <v>#N/A</v>
      </c>
      <c r="E14" s="27" t="e">
        <f t="shared" si="0"/>
        <v>#N/A</v>
      </c>
      <c r="F14" s="27" t="e">
        <f t="shared" si="0"/>
        <v>#N/A</v>
      </c>
      <c r="G14" s="27" t="e">
        <f t="shared" si="0"/>
        <v>#N/A</v>
      </c>
      <c r="H14" s="27">
        <f t="shared" si="0"/>
        <v>3.2</v>
      </c>
      <c r="I14" s="27">
        <f t="shared" si="0"/>
        <v>3.2</v>
      </c>
      <c r="J14" s="27">
        <f t="shared" si="0"/>
        <v>3.2</v>
      </c>
    </row>
    <row r="15" spans="1:10" x14ac:dyDescent="0.4">
      <c r="A15" t="str">
        <f>INDEX(posID,11)&amp;""</f>
        <v>NFR-11</v>
      </c>
      <c r="B15" t="str">
        <f>INDEX(posNome,11)&amp;""</f>
        <v>Fine del supporto dei sistemi di pagamento legacy</v>
      </c>
      <c r="C15" s="27" t="e">
        <f t="shared" si="0"/>
        <v>#N/A</v>
      </c>
      <c r="D15" s="27" t="e">
        <f t="shared" si="0"/>
        <v>#N/A</v>
      </c>
      <c r="E15" s="27" t="e">
        <f t="shared" si="0"/>
        <v>#N/A</v>
      </c>
      <c r="F15" s="27" t="e">
        <f t="shared" si="0"/>
        <v>#N/A</v>
      </c>
      <c r="G15" s="27">
        <f t="shared" si="0"/>
        <v>3.05</v>
      </c>
      <c r="H15" s="27">
        <f t="shared" si="0"/>
        <v>3.05</v>
      </c>
      <c r="I15" s="27">
        <f t="shared" si="0"/>
        <v>3.05</v>
      </c>
      <c r="J15" s="27">
        <f t="shared" si="0"/>
        <v>3.05</v>
      </c>
    </row>
    <row r="16" spans="1:10" x14ac:dyDescent="0.4">
      <c r="A16" t="str">
        <f>INDEX(posID,12)&amp;""</f>
        <v>NFR-12</v>
      </c>
      <c r="B16" t="str">
        <f>INDEX(posNome,12)&amp;""</f>
        <v>Errori operativi nei pagamenti istantanei obbligatori</v>
      </c>
      <c r="C16" s="27" t="e">
        <f t="shared" si="0"/>
        <v>#N/A</v>
      </c>
      <c r="D16" s="27" t="e">
        <f t="shared" si="0"/>
        <v>#N/A</v>
      </c>
      <c r="E16" s="27" t="e">
        <f t="shared" si="0"/>
        <v>#N/A</v>
      </c>
      <c r="F16" s="27" t="e">
        <f t="shared" si="0"/>
        <v>#N/A</v>
      </c>
      <c r="G16" s="27">
        <f t="shared" si="0"/>
        <v>3.35</v>
      </c>
      <c r="H16" s="27">
        <f t="shared" si="0"/>
        <v>3.35</v>
      </c>
      <c r="I16" s="27">
        <f t="shared" si="0"/>
        <v>3.5</v>
      </c>
      <c r="J16" s="27">
        <f t="shared" si="0"/>
        <v>3.5</v>
      </c>
    </row>
    <row r="17" spans="1:10" x14ac:dyDescent="0.4">
      <c r="A17" t="str">
        <f>INDEX(posID,13)&amp;""</f>
        <v/>
      </c>
      <c r="B17" t="str">
        <f>INDEX(posNome,13)&amp;""</f>
        <v/>
      </c>
      <c r="C17" s="27" t="e">
        <f t="shared" si="0"/>
        <v>#N/A</v>
      </c>
      <c r="D17" s="27" t="e">
        <f t="shared" si="0"/>
        <v>#N/A</v>
      </c>
      <c r="E17" s="27" t="e">
        <f t="shared" si="0"/>
        <v>#N/A</v>
      </c>
      <c r="F17" s="27" t="e">
        <f t="shared" si="0"/>
        <v>#N/A</v>
      </c>
      <c r="G17" s="27" t="e">
        <f t="shared" si="0"/>
        <v>#N/A</v>
      </c>
      <c r="H17" s="27" t="e">
        <f t="shared" si="0"/>
        <v>#N/A</v>
      </c>
      <c r="I17" s="27" t="e">
        <f t="shared" si="0"/>
        <v>#N/A</v>
      </c>
      <c r="J17" s="27" t="e">
        <f t="shared" si="0"/>
        <v>#N/A</v>
      </c>
    </row>
    <row r="18" spans="1:10" x14ac:dyDescent="0.4">
      <c r="A18" t="str">
        <f>INDEX(posID,14)&amp;""</f>
        <v/>
      </c>
      <c r="B18" t="str">
        <f>INDEX(posNome,14)&amp;""</f>
        <v/>
      </c>
      <c r="C18" s="27" t="e">
        <f t="shared" si="0"/>
        <v>#N/A</v>
      </c>
      <c r="D18" s="27" t="e">
        <f t="shared" si="0"/>
        <v>#N/A</v>
      </c>
      <c r="E18" s="27" t="e">
        <f t="shared" si="0"/>
        <v>#N/A</v>
      </c>
      <c r="F18" s="27" t="e">
        <f t="shared" si="0"/>
        <v>#N/A</v>
      </c>
      <c r="G18" s="27" t="e">
        <f t="shared" si="0"/>
        <v>#N/A</v>
      </c>
      <c r="H18" s="27" t="e">
        <f t="shared" si="0"/>
        <v>#N/A</v>
      </c>
      <c r="I18" s="27" t="e">
        <f t="shared" si="0"/>
        <v>#N/A</v>
      </c>
      <c r="J18" s="27" t="e">
        <f t="shared" si="0"/>
        <v>#N/A</v>
      </c>
    </row>
    <row r="19" spans="1:10" x14ac:dyDescent="0.4">
      <c r="A19" t="str">
        <f>INDEX(posID,15)&amp;""</f>
        <v/>
      </c>
      <c r="B19" t="str">
        <f>INDEX(posNome,15)&amp;""</f>
        <v/>
      </c>
      <c r="C19" s="27" t="e">
        <f t="shared" si="0"/>
        <v>#N/A</v>
      </c>
      <c r="D19" s="27" t="e">
        <f t="shared" si="0"/>
        <v>#N/A</v>
      </c>
      <c r="E19" s="27" t="e">
        <f t="shared" si="0"/>
        <v>#N/A</v>
      </c>
      <c r="F19" s="27" t="e">
        <f t="shared" si="0"/>
        <v>#N/A</v>
      </c>
      <c r="G19" s="27" t="e">
        <f t="shared" si="0"/>
        <v>#N/A</v>
      </c>
      <c r="H19" s="27" t="e">
        <f t="shared" si="0"/>
        <v>#N/A</v>
      </c>
      <c r="I19" s="27" t="e">
        <f t="shared" si="0"/>
        <v>#N/A</v>
      </c>
      <c r="J19" s="27" t="e">
        <f t="shared" si="0"/>
        <v>#N/A</v>
      </c>
    </row>
  </sheetData>
  <mergeCells count="2">
    <mergeCell ref="A1:J1"/>
    <mergeCell ref="A2:J2"/>
  </mergeCells>
  <conditionalFormatting sqref="C5:J19">
    <cfRule type="expression" dxfId="25" priority="1">
      <formula>ISNA(C5)</formula>
    </cfRule>
  </conditionalFormatting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</sheetPr>
  <dimension ref="A1:AB161"/>
  <sheetViews>
    <sheetView showGridLines="0" workbookViewId="0">
      <pane ySplit="6" topLeftCell="A7" activePane="bottomLeft" state="frozen"/>
      <selection pane="bottomLeft"/>
    </sheetView>
  </sheetViews>
  <sheetFormatPr defaultRowHeight="14.6" x14ac:dyDescent="0.4"/>
  <cols>
    <col min="1" max="1" width="11" customWidth="1"/>
    <col min="2" max="2" width="9" customWidth="1"/>
    <col min="3" max="3" width="46" customWidth="1"/>
    <col min="4" max="4" width="8" customWidth="1"/>
    <col min="5" max="6" width="10" customWidth="1"/>
    <col min="7" max="7" width="9" customWidth="1"/>
    <col min="8" max="8" width="11" customWidth="1"/>
    <col min="9" max="9" width="13" customWidth="1"/>
    <col min="10" max="10" width="11" customWidth="1"/>
    <col min="11" max="11" width="12" customWidth="1"/>
    <col min="12" max="12" width="3" customWidth="1"/>
    <col min="13" max="13" width="16" customWidth="1"/>
    <col min="14" max="14" width="14" customWidth="1"/>
    <col min="15" max="16" width="11" customWidth="1"/>
    <col min="17" max="18" width="12" customWidth="1"/>
    <col min="19" max="19" width="24" customWidth="1"/>
    <col min="20" max="20" width="30" customWidth="1"/>
    <col min="26" max="28" width="13" hidden="1" customWidth="1"/>
  </cols>
  <sheetData>
    <row r="1" spans="1:28" ht="28" customHeight="1" x14ac:dyDescent="0.4">
      <c r="A1" s="126" t="str">
        <f>"Horizon Scan NFR — Indicatori: KRI del ciclo e storia di un KRI   ·   "&amp;etichettaCiclo</f>
        <v>Horizon Scan NFR — Indicatori: KRI del ciclo e storia di un KRI   ·   Ciclo 2026Q3 · dati al 30/09/2026 · validato · Uso interno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</row>
    <row r="2" spans="1:28" ht="32.049999999999997" customHeight="1" x14ac:dyDescent="0.4">
      <c r="A2" s="112" t="s">
        <v>388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8" x14ac:dyDescent="0.4">
      <c r="A4" s="52" t="s">
        <v>389</v>
      </c>
      <c r="B4">
        <f>COUNTIFS(KRI_Ciclo,cicloCorrente,KRI_In_Vigore,"Sì",KRI_Stato,"Verde")</f>
        <v>12</v>
      </c>
      <c r="C4" s="52" t="s">
        <v>390</v>
      </c>
      <c r="D4">
        <f>COUNTIFS(KRI_Ciclo,cicloCorrente,KRI_In_Vigore,"Sì",KRI_Stato,"Ambra")</f>
        <v>22</v>
      </c>
      <c r="E4" s="52" t="s">
        <v>391</v>
      </c>
      <c r="F4">
        <f>COUNTIFS(KRI_Ciclo,cicloCorrente,KRI_In_Vigore,"Sì",KRI_Stato,"Rosso")</f>
        <v>0</v>
      </c>
      <c r="G4" s="52" t="s">
        <v>392</v>
      </c>
      <c r="H4">
        <f>COUNTIFS(KRI_Ciclo,cicloCorrente,KRI_In_Vigore,"Sì",KRI_Stato,"Non rilevato")</f>
        <v>2</v>
      </c>
      <c r="M4" s="52" t="s">
        <v>393</v>
      </c>
      <c r="N4" s="64" t="s">
        <v>394</v>
      </c>
      <c r="AA4">
        <f>IFERROR(_xlfn.AGGREGATE(14,6,ROW(KRI_KRI_ID)/(KRI_KRI_ID=$N$4),1),"")</f>
        <v>105</v>
      </c>
    </row>
    <row r="5" spans="1:28" x14ac:dyDescent="0.4">
      <c r="M5" t="s">
        <v>149</v>
      </c>
      <c r="N5" t="str">
        <f>IF($AA$4="","KRI non presente nello storico",INDEX(KRI!$D:$D,$AA$4)&amp;"")</f>
        <v>Tentativi di frode APP per 10.000 bonifici istantanei</v>
      </c>
    </row>
    <row r="6" spans="1:28" ht="24" x14ac:dyDescent="0.4">
      <c r="A6" s="65" t="s">
        <v>395</v>
      </c>
      <c r="B6" s="65" t="s">
        <v>18</v>
      </c>
      <c r="C6" s="65" t="s">
        <v>149</v>
      </c>
      <c r="D6" s="65" t="s">
        <v>396</v>
      </c>
      <c r="E6" s="65" t="s">
        <v>397</v>
      </c>
      <c r="F6" s="65" t="s">
        <v>398</v>
      </c>
      <c r="G6" s="65" t="s">
        <v>399</v>
      </c>
      <c r="H6" s="65" t="s">
        <v>400</v>
      </c>
      <c r="I6" s="65" t="s">
        <v>401</v>
      </c>
      <c r="J6" s="65" t="s">
        <v>402</v>
      </c>
      <c r="K6" s="65" t="s">
        <v>403</v>
      </c>
      <c r="M6" t="s">
        <v>18</v>
      </c>
      <c r="N6" t="str">
        <f>IF($AA$4="","",INDEX(KRI!$C:$C,$AA$4)&amp;"")</f>
        <v>NFR-01</v>
      </c>
    </row>
    <row r="7" spans="1:28" x14ac:dyDescent="0.4">
      <c r="A7" t="str">
        <f>IF($Z7="","",INDEX(KRI!$B:$B,$Z7)&amp;"")</f>
        <v>NFR-01-K1</v>
      </c>
      <c r="B7" t="str">
        <f>IF($Z7="","",INDEX(KRI!$C:$C,$Z7)&amp;"")</f>
        <v>NFR-01</v>
      </c>
      <c r="C7" t="str">
        <f>IF($Z7="","",INDEX(KRI!$D:$D,$Z7)&amp;"")</f>
        <v>Tentativi di frode APP per 10.000 bonifici istantanei</v>
      </c>
      <c r="D7" t="str">
        <f>IF($Z7="","",INDEX(KRI!$E:$E,$Z7)&amp;"")</f>
        <v>n/10k</v>
      </c>
      <c r="E7">
        <f>IF($Z7="","",IF(INDEX(KRI!$G:$G,$Z7)="","",INDEX(KRI!$G:$G,$Z7)))</f>
        <v>3</v>
      </c>
      <c r="F7">
        <f>IF($Z7="","",IF(INDEX(KRI!$H:$H,$Z7)="","",INDEX(KRI!$H:$H,$Z7)))</f>
        <v>6</v>
      </c>
      <c r="G7">
        <f>IF($Z7="","",IF(INDEX(KRI!$I:$I,$Z7)="","",INDEX(KRI!$I:$I,$Z7)))</f>
        <v>5.3</v>
      </c>
      <c r="H7" s="66">
        <f>IF($Z7="","",IF(INDEX(KRI!$J:$J,$Z7)="","",INDEX(KRI!$J:$J,$Z7)))</f>
        <v>46295</v>
      </c>
      <c r="I7" t="str">
        <f>IF($Z7="","",INDEX(KRI!$M:$M,$Z7)&amp;"")</f>
        <v>Ambra</v>
      </c>
      <c r="J7">
        <f t="shared" ref="J7:J38" si="0">IF($A7="","",IF(COUNTIFS(KRI_KRI_ID,$A7,KRI_Ciclo,cicloPrecedente,KRI_Valore_Corrente,"&lt;&gt;")=0,"—",SUMIFS(KRI_Valore_Corrente,KRI_KRI_ID,$A7,KRI_Ciclo,cicloPrecedente)))</f>
        <v>4.2</v>
      </c>
      <c r="K7" t="str">
        <f t="shared" ref="K7:K38" si="1">IF(OR(G7="",NOT(ISNUMBER(J7))),"",IF(G7&gt;J7,"▲ peggiora",IF(G7&lt;J7,"▼ migliora","● invariato")))</f>
        <v>▲ peggiora</v>
      </c>
      <c r="M7" t="s">
        <v>396</v>
      </c>
      <c r="N7" t="str">
        <f>IF($AA$4="","",INDEX(KRI!$E:$E,$AA$4)&amp;"")</f>
        <v>n/10k</v>
      </c>
      <c r="Z7">
        <f>IFERROR(_xlfn.AGGREGATE(15,6,ROW(KRI_Ciclo)/((KRI_Ciclo=cicloCorrente)*(KRI_In_Vigore="Sì")),1),"")</f>
        <v>105</v>
      </c>
    </row>
    <row r="8" spans="1:28" x14ac:dyDescent="0.4">
      <c r="A8" t="str">
        <f>IF($Z8="","",INDEX(KRI!$B:$B,$Z8)&amp;"")</f>
        <v>NFR-01-K2</v>
      </c>
      <c r="B8" t="str">
        <f>IF($Z8="","",INDEX(KRI!$C:$C,$Z8)&amp;"")</f>
        <v>NFR-01</v>
      </c>
      <c r="C8" t="str">
        <f>IF($Z8="","",INDEX(KRI!$D:$D,$Z8)&amp;"")</f>
        <v>Quota di frodi con voce o video sintetici accertati</v>
      </c>
      <c r="D8" t="str">
        <f>IF($Z8="","",INDEX(KRI!$E:$E,$Z8)&amp;"")</f>
        <v>%</v>
      </c>
      <c r="E8">
        <f>IF($Z8="","",IF(INDEX(KRI!$G:$G,$Z8)="","",INDEX(KRI!$G:$G,$Z8)))</f>
        <v>10</v>
      </c>
      <c r="F8">
        <f>IF($Z8="","",IF(INDEX(KRI!$H:$H,$Z8)="","",INDEX(KRI!$H:$H,$Z8)))</f>
        <v>25</v>
      </c>
      <c r="G8">
        <f>IF($Z8="","",IF(INDEX(KRI!$I:$I,$Z8)="","",INDEX(KRI!$I:$I,$Z8)))</f>
        <v>14</v>
      </c>
      <c r="H8" s="66">
        <f>IF($Z8="","",IF(INDEX(KRI!$J:$J,$Z8)="","",INDEX(KRI!$J:$J,$Z8)))</f>
        <v>46295</v>
      </c>
      <c r="I8" t="str">
        <f>IF($Z8="","",INDEX(KRI!$M:$M,$Z8)&amp;"")</f>
        <v>Ambra</v>
      </c>
      <c r="J8">
        <f t="shared" si="0"/>
        <v>12</v>
      </c>
      <c r="K8" t="str">
        <f t="shared" si="1"/>
        <v>▲ peggiora</v>
      </c>
      <c r="M8" t="s">
        <v>404</v>
      </c>
      <c r="N8" t="str">
        <f>IF($AA$4="","",INDEX(KRI!$F:$F,$AA$4)&amp;"")</f>
        <v>Sistema antifrode transazionale</v>
      </c>
      <c r="Z8">
        <f>IFERROR(_xlfn.AGGREGATE(15,6,ROW(KRI_Ciclo)/((KRI_Ciclo=cicloCorrente)*(KRI_In_Vigore="Sì")),2),"")</f>
        <v>106</v>
      </c>
    </row>
    <row r="9" spans="1:28" x14ac:dyDescent="0.4">
      <c r="A9" t="str">
        <f>IF($Z9="","",INDEX(KRI!$B:$B,$Z9)&amp;"")</f>
        <v>NFR-01-K3</v>
      </c>
      <c r="B9" t="str">
        <f>IF($Z9="","",INDEX(KRI!$C:$C,$Z9)&amp;"")</f>
        <v>NFR-01</v>
      </c>
      <c r="C9" t="str">
        <f>IF($Z9="","",INDEX(KRI!$D:$D,$Z9)&amp;"")</f>
        <v>Tempo medio di blocco di un beneficiario fraudolento</v>
      </c>
      <c r="D9" t="str">
        <f>IF($Z9="","",INDEX(KRI!$E:$E,$Z9)&amp;"")</f>
        <v>ore</v>
      </c>
      <c r="E9">
        <f>IF($Z9="","",IF(INDEX(KRI!$G:$G,$Z9)="","",INDEX(KRI!$G:$G,$Z9)))</f>
        <v>4</v>
      </c>
      <c r="F9">
        <f>IF($Z9="","",IF(INDEX(KRI!$H:$H,$Z9)="","",INDEX(KRI!$H:$H,$Z9)))</f>
        <v>12</v>
      </c>
      <c r="G9">
        <f>IF($Z9="","",IF(INDEX(KRI!$I:$I,$Z9)="","",INDEX(KRI!$I:$I,$Z9)))</f>
        <v>3</v>
      </c>
      <c r="H9" s="66">
        <f>IF($Z9="","",IF(INDEX(KRI!$J:$J,$Z9)="","",INDEX(KRI!$J:$J,$Z9)))</f>
        <v>46295</v>
      </c>
      <c r="I9" t="str">
        <f>IF($Z9="","",INDEX(KRI!$M:$M,$Z9)&amp;"")</f>
        <v>Verde</v>
      </c>
      <c r="J9">
        <f t="shared" si="0"/>
        <v>2.5</v>
      </c>
      <c r="K9" t="str">
        <f t="shared" si="1"/>
        <v>▲ peggiora</v>
      </c>
      <c r="M9" t="s">
        <v>405</v>
      </c>
      <c r="N9" t="str">
        <f>IF($AA$4="","",INDEX(KRI!$O:$O,$AA$4)&amp;"")</f>
        <v>2025Q4</v>
      </c>
      <c r="Z9">
        <f>IFERROR(_xlfn.AGGREGATE(15,6,ROW(KRI_Ciclo)/((KRI_Ciclo=cicloCorrente)*(KRI_In_Vigore="Sì")),3),"")</f>
        <v>107</v>
      </c>
    </row>
    <row r="10" spans="1:28" x14ac:dyDescent="0.4">
      <c r="A10" t="str">
        <f>IF($Z10="","",INDEX(KRI!$B:$B,$Z10)&amp;"")</f>
        <v>NFR-02-K1</v>
      </c>
      <c r="B10" t="str">
        <f>IF($Z10="","",INDEX(KRI!$C:$C,$Z10)&amp;"")</f>
        <v>NFR-02</v>
      </c>
      <c r="C10" t="str">
        <f>IF($Z10="","",INDEX(KRI!$D:$D,$Z10)&amp;"")</f>
        <v>Quota di servizi critici sul fornitore cloud principale</v>
      </c>
      <c r="D10" t="str">
        <f>IF($Z10="","",INDEX(KRI!$E:$E,$Z10)&amp;"")</f>
        <v>%</v>
      </c>
      <c r="E10">
        <f>IF($Z10="","",IF(INDEX(KRI!$G:$G,$Z10)="","",INDEX(KRI!$G:$G,$Z10)))</f>
        <v>60</v>
      </c>
      <c r="F10">
        <f>IF($Z10="","",IF(INDEX(KRI!$H:$H,$Z10)="","",INDEX(KRI!$H:$H,$Z10)))</f>
        <v>75</v>
      </c>
      <c r="G10">
        <f>IF($Z10="","",IF(INDEX(KRI!$I:$I,$Z10)="","",INDEX(KRI!$I:$I,$Z10)))</f>
        <v>72</v>
      </c>
      <c r="H10" s="66">
        <f>IF($Z10="","",IF(INDEX(KRI!$J:$J,$Z10)="","",INDEX(KRI!$J:$J,$Z10)))</f>
        <v>46295</v>
      </c>
      <c r="I10" t="str">
        <f>IF($Z10="","",INDEX(KRI!$M:$M,$Z10)&amp;"")</f>
        <v>Ambra</v>
      </c>
      <c r="J10">
        <f t="shared" si="0"/>
        <v>78</v>
      </c>
      <c r="K10" t="str">
        <f t="shared" si="1"/>
        <v>▼ migliora</v>
      </c>
      <c r="M10" t="s">
        <v>406</v>
      </c>
      <c r="N10" t="str">
        <f>IF($AA$4="","",INDEX(KRI!$A:$A,$AA$4)&amp;" — in vigore: "&amp;INDEX(KRI!$N:$N,$AA$4))</f>
        <v>2026Q3 — in vigore: Sì</v>
      </c>
      <c r="Z10">
        <f>IFERROR(_xlfn.AGGREGATE(15,6,ROW(KRI_Ciclo)/((KRI_Ciclo=cicloCorrente)*(KRI_In_Vigore="Sì")),4),"")</f>
        <v>108</v>
      </c>
    </row>
    <row r="11" spans="1:28" ht="24" x14ac:dyDescent="0.4">
      <c r="A11" t="str">
        <f>IF($Z11="","",INDEX(KRI!$B:$B,$Z11)&amp;"")</f>
        <v>NFR-02-K3</v>
      </c>
      <c r="B11" t="str">
        <f>IF($Z11="","",INDEX(KRI!$C:$C,$Z11)&amp;"")</f>
        <v>NFR-02</v>
      </c>
      <c r="C11" t="str">
        <f>IF($Z11="","",INDEX(KRI!$D:$D,$Z11)&amp;"")</f>
        <v>Incidenti del fornitore con impatto sui servizi nel trimestre</v>
      </c>
      <c r="D11" t="str">
        <f>IF($Z11="","",INDEX(KRI!$E:$E,$Z11)&amp;"")</f>
        <v>n</v>
      </c>
      <c r="E11">
        <f>IF($Z11="","",IF(INDEX(KRI!$G:$G,$Z11)="","",INDEX(KRI!$G:$G,$Z11)))</f>
        <v>2</v>
      </c>
      <c r="F11">
        <f>IF($Z11="","",IF(INDEX(KRI!$H:$H,$Z11)="","",INDEX(KRI!$H:$H,$Z11)))</f>
        <v>4</v>
      </c>
      <c r="G11">
        <f>IF($Z11="","",IF(INDEX(KRI!$I:$I,$Z11)="","",INDEX(KRI!$I:$I,$Z11)))</f>
        <v>0</v>
      </c>
      <c r="H11" s="66">
        <f>IF($Z11="","",IF(INDEX(KRI!$J:$J,$Z11)="","",INDEX(KRI!$J:$J,$Z11)))</f>
        <v>46295</v>
      </c>
      <c r="I11" t="str">
        <f>IF($Z11="","",INDEX(KRI!$M:$M,$Z11)&amp;"")</f>
        <v>Verde</v>
      </c>
      <c r="J11">
        <f t="shared" si="0"/>
        <v>1</v>
      </c>
      <c r="K11" t="str">
        <f t="shared" si="1"/>
        <v>▼ migliora</v>
      </c>
      <c r="M11" s="65" t="s">
        <v>407</v>
      </c>
      <c r="N11" s="65" t="s">
        <v>399</v>
      </c>
      <c r="O11" s="65" t="s">
        <v>397</v>
      </c>
      <c r="P11" s="65" t="s">
        <v>398</v>
      </c>
      <c r="Q11" s="65" t="s">
        <v>401</v>
      </c>
      <c r="R11" s="65" t="s">
        <v>400</v>
      </c>
      <c r="S11" s="65" t="s">
        <v>408</v>
      </c>
      <c r="T11" s="65" t="s">
        <v>235</v>
      </c>
      <c r="Z11">
        <f>IFERROR(_xlfn.AGGREGATE(15,6,ROW(KRI_Ciclo)/((KRI_Ciclo=cicloCorrente)*(KRI_In_Vigore="Sì")),5),"")</f>
        <v>110</v>
      </c>
    </row>
    <row r="12" spans="1:28" x14ac:dyDescent="0.4">
      <c r="A12" t="str">
        <f>IF($Z12="","",INDEX(KRI!$B:$B,$Z12)&amp;"")</f>
        <v>NFR-03-K1</v>
      </c>
      <c r="B12" t="str">
        <f>IF($Z12="","",INDEX(KRI!$C:$C,$Z12)&amp;"")</f>
        <v>NFR-03</v>
      </c>
      <c r="C12" t="str">
        <f>IF($Z12="","",INDEX(KRI!$D:$D,$Z12)&amp;"")</f>
        <v>Reclami su prodotti ESG ogni 1.000 contratti</v>
      </c>
      <c r="D12" t="str">
        <f>IF($Z12="","",INDEX(KRI!$E:$E,$Z12)&amp;"")</f>
        <v>n/1000</v>
      </c>
      <c r="E12">
        <f>IF($Z12="","",IF(INDEX(KRI!$G:$G,$Z12)="","",INDEX(KRI!$G:$G,$Z12)))</f>
        <v>1.5</v>
      </c>
      <c r="F12">
        <f>IF($Z12="","",IF(INDEX(KRI!$H:$H,$Z12)="","",INDEX(KRI!$H:$H,$Z12)))</f>
        <v>3</v>
      </c>
      <c r="G12">
        <f>IF($Z12="","",IF(INDEX(KRI!$I:$I,$Z12)="","",INDEX(KRI!$I:$I,$Z12)))</f>
        <v>1.9</v>
      </c>
      <c r="H12" s="66">
        <f>IF($Z12="","",IF(INDEX(KRI!$J:$J,$Z12)="","",INDEX(KRI!$J:$J,$Z12)))</f>
        <v>46295</v>
      </c>
      <c r="I12" t="str">
        <f>IF($Z12="","",INDEX(KRI!$M:$M,$Z12)&amp;"")</f>
        <v>Ambra</v>
      </c>
      <c r="J12">
        <f t="shared" si="0"/>
        <v>0.8</v>
      </c>
      <c r="K12" t="str">
        <f t="shared" si="1"/>
        <v>▲ peggiora</v>
      </c>
      <c r="M12" t="str">
        <f>Parametri!$B$20</f>
        <v>2024Q4</v>
      </c>
      <c r="N12" t="e">
        <f t="shared" ref="N12:N19" si="2">IF($M12="",NA(),IF(COUNTIFS(KRI_KRI_ID,$N$4,KRI_Ciclo,$M12,KRI_Valore_Corrente,"&lt;&gt;")=0,NA(),SUMIFS(KRI_Valore_Corrente,KRI_KRI_ID,$N$4,KRI_Ciclo,$M12)))</f>
        <v>#N/A</v>
      </c>
      <c r="O12" t="e">
        <f t="shared" ref="O12:O19" si="3">IF($M12="",NA(),IF(COUNTIFS(KRI_KRI_ID,$N$4,KRI_Ciclo,$M12)=0,NA(),SUMIFS(KRI_Soglia_Attenzione,KRI_KRI_ID,$N$4,KRI_Ciclo,$M12)))</f>
        <v>#N/A</v>
      </c>
      <c r="P12" t="e">
        <f t="shared" ref="P12:P19" si="4">IF($M12="",NA(),IF(COUNTIFS(KRI_KRI_ID,$N$4,KRI_Ciclo,$M12)=0,NA(),SUMIFS(KRI_Soglia_Allerta,KRI_KRI_ID,$N$4,KRI_Ciclo,$M12)))</f>
        <v>#N/A</v>
      </c>
      <c r="Q12" t="str">
        <f t="shared" ref="Q12:Q19" si="5">IFERROR(INDEX(KRI_Stato,MATCH($M12&amp;"|"&amp;$N$4,KRI_Chiave,0)),"—")</f>
        <v>—</v>
      </c>
      <c r="R12" s="66" t="str">
        <f t="shared" ref="R12:R19" si="6">IFERROR(IF(INDEX(KRI_Data_Rilevazione,MATCH($M12&amp;"|"&amp;$N$4,KRI_Chiave,0))="","",INDEX(KRI_Data_Rilevazione,MATCH($M12&amp;"|"&amp;$N$4,KRI_Chiave,0))),"")</f>
        <v/>
      </c>
      <c r="S12" t="str">
        <f t="shared" ref="S12:S19" si="7">IFERROR(INDEX(KRI_Fonte_Rilevazione,MATCH($M12&amp;"|"&amp;$N$4,KRI_Chiave,0))&amp;"","")</f>
        <v/>
      </c>
      <c r="T12" t="str">
        <f t="shared" ref="T12:T19" si="8">IFERROR(INDEX(KRI_Nota_Rilevazione,MATCH($M12&amp;"|"&amp;$N$4,KRI_Chiave,0))&amp;"","")</f>
        <v/>
      </c>
      <c r="Z12">
        <f>IFERROR(_xlfn.AGGREGATE(15,6,ROW(KRI_Ciclo)/((KRI_Ciclo=cicloCorrente)*(KRI_In_Vigore="Sì")),6),"")</f>
        <v>111</v>
      </c>
      <c r="AB12" t="str">
        <f>IFERROR(INDEX(KRI_KRI_ID,_xlfn.AGGREGATE(15,6,(ROW(KRI_KRI_ID)-5)/((KRI_Ciclo_Definizione=KRI_Ciclo)*(KRI_KRI_ID&lt;&gt;"")),1)),"")</f>
        <v>NFR-01-K1</v>
      </c>
    </row>
    <row r="13" spans="1:28" x14ac:dyDescent="0.4">
      <c r="A13" t="str">
        <f>IF($Z13="","",INDEX(KRI!$B:$B,$Z13)&amp;"")</f>
        <v>NFR-03-K2</v>
      </c>
      <c r="B13" t="str">
        <f>IF($Z13="","",INDEX(KRI!$C:$C,$Z13)&amp;"")</f>
        <v>NFR-03</v>
      </c>
      <c r="C13" t="str">
        <f>IF($Z13="","",INDEX(KRI!$D:$D,$Z13)&amp;"")</f>
        <v>Quota di prodotti ESG senza revisione dei claim nell'anno</v>
      </c>
      <c r="D13" t="str">
        <f>IF($Z13="","",INDEX(KRI!$E:$E,$Z13)&amp;"")</f>
        <v>%</v>
      </c>
      <c r="E13">
        <f>IF($Z13="","",IF(INDEX(KRI!$G:$G,$Z13)="","",INDEX(KRI!$G:$G,$Z13)))</f>
        <v>20</v>
      </c>
      <c r="F13">
        <f>IF($Z13="","",IF(INDEX(KRI!$H:$H,$Z13)="","",INDEX(KRI!$H:$H,$Z13)))</f>
        <v>40</v>
      </c>
      <c r="G13" t="str">
        <f>IF($Z13="","",IF(INDEX(KRI!$I:$I,$Z13)="","",INDEX(KRI!$I:$I,$Z13)))</f>
        <v/>
      </c>
      <c r="H13" s="66" t="str">
        <f>IF($Z13="","",IF(INDEX(KRI!$J:$J,$Z13)="","",INDEX(KRI!$J:$J,$Z13)))</f>
        <v/>
      </c>
      <c r="I13" t="str">
        <f>IF($Z13="","",INDEX(KRI!$M:$M,$Z13)&amp;"")</f>
        <v>Non rilevato</v>
      </c>
      <c r="J13" t="str">
        <f t="shared" si="0"/>
        <v>—</v>
      </c>
      <c r="K13" t="str">
        <f t="shared" si="1"/>
        <v/>
      </c>
      <c r="M13" t="str">
        <f>Parametri!$B$21</f>
        <v>2025Q1</v>
      </c>
      <c r="N13" t="e">
        <f t="shared" si="2"/>
        <v>#N/A</v>
      </c>
      <c r="O13" t="e">
        <f t="shared" si="3"/>
        <v>#N/A</v>
      </c>
      <c r="P13" t="e">
        <f t="shared" si="4"/>
        <v>#N/A</v>
      </c>
      <c r="Q13" t="str">
        <f t="shared" si="5"/>
        <v>—</v>
      </c>
      <c r="R13" s="66" t="str">
        <f t="shared" si="6"/>
        <v/>
      </c>
      <c r="S13" t="str">
        <f t="shared" si="7"/>
        <v/>
      </c>
      <c r="T13" t="str">
        <f t="shared" si="8"/>
        <v/>
      </c>
      <c r="Z13">
        <f>IFERROR(_xlfn.AGGREGATE(15,6,ROW(KRI_Ciclo)/((KRI_Ciclo=cicloCorrente)*(KRI_In_Vigore="Sì")),7),"")</f>
        <v>112</v>
      </c>
      <c r="AB13" t="str">
        <f>IFERROR(INDEX(KRI_KRI_ID,_xlfn.AGGREGATE(15,6,(ROW(KRI_KRI_ID)-5)/((KRI_Ciclo_Definizione=KRI_Ciclo)*(KRI_KRI_ID&lt;&gt;"")),2)),"")</f>
        <v>NFR-01-K2</v>
      </c>
    </row>
    <row r="14" spans="1:28" x14ac:dyDescent="0.4">
      <c r="A14" t="str">
        <f>IF($Z14="","",INDEX(KRI!$B:$B,$Z14)&amp;"")</f>
        <v>NFR-03-K3</v>
      </c>
      <c r="B14" t="str">
        <f>IF($Z14="","",INDEX(KRI!$C:$C,$Z14)&amp;"")</f>
        <v>NFR-03</v>
      </c>
      <c r="C14" t="str">
        <f>IF($Z14="","",INDEX(KRI!$D:$D,$Z14)&amp;"")</f>
        <v>Rilievi di audit aperti sulla trasparenza ESG</v>
      </c>
      <c r="D14" t="str">
        <f>IF($Z14="","",INDEX(KRI!$E:$E,$Z14)&amp;"")</f>
        <v>n</v>
      </c>
      <c r="E14">
        <f>IF($Z14="","",IF(INDEX(KRI!$G:$G,$Z14)="","",INDEX(KRI!$G:$G,$Z14)))</f>
        <v>1</v>
      </c>
      <c r="F14">
        <f>IF($Z14="","",IF(INDEX(KRI!$H:$H,$Z14)="","",INDEX(KRI!$H:$H,$Z14)))</f>
        <v>3</v>
      </c>
      <c r="G14">
        <f>IF($Z14="","",IF(INDEX(KRI!$I:$I,$Z14)="","",INDEX(KRI!$I:$I,$Z14)))</f>
        <v>2</v>
      </c>
      <c r="H14" s="66">
        <f>IF($Z14="","",IF(INDEX(KRI!$J:$J,$Z14)="","",INDEX(KRI!$J:$J,$Z14)))</f>
        <v>46295</v>
      </c>
      <c r="I14" t="str">
        <f>IF($Z14="","",INDEX(KRI!$M:$M,$Z14)&amp;"")</f>
        <v>Ambra</v>
      </c>
      <c r="J14">
        <f t="shared" si="0"/>
        <v>1</v>
      </c>
      <c r="K14" t="str">
        <f t="shared" si="1"/>
        <v>▲ peggiora</v>
      </c>
      <c r="M14" t="str">
        <f>Parametri!$B$22</f>
        <v>2025Q2</v>
      </c>
      <c r="N14" t="e">
        <f t="shared" si="2"/>
        <v>#N/A</v>
      </c>
      <c r="O14" t="e">
        <f t="shared" si="3"/>
        <v>#N/A</v>
      </c>
      <c r="P14" t="e">
        <f t="shared" si="4"/>
        <v>#N/A</v>
      </c>
      <c r="Q14" t="str">
        <f t="shared" si="5"/>
        <v>—</v>
      </c>
      <c r="R14" s="66" t="str">
        <f t="shared" si="6"/>
        <v/>
      </c>
      <c r="S14" t="str">
        <f t="shared" si="7"/>
        <v/>
      </c>
      <c r="T14" t="str">
        <f t="shared" si="8"/>
        <v/>
      </c>
      <c r="Z14">
        <f>IFERROR(_xlfn.AGGREGATE(15,6,ROW(KRI_Ciclo)/((KRI_Ciclo=cicloCorrente)*(KRI_In_Vigore="Sì")),8),"")</f>
        <v>113</v>
      </c>
      <c r="AB14" t="str">
        <f>IFERROR(INDEX(KRI_KRI_ID,_xlfn.AGGREGATE(15,6,(ROW(KRI_KRI_ID)-5)/((KRI_Ciclo_Definizione=KRI_Ciclo)*(KRI_KRI_ID&lt;&gt;"")),3)),"")</f>
        <v>NFR-01-K3</v>
      </c>
    </row>
    <row r="15" spans="1:28" x14ac:dyDescent="0.4">
      <c r="A15" t="str">
        <f>IF($Z15="","",INDEX(KRI!$B:$B,$Z15)&amp;"")</f>
        <v>NFR-04-K1</v>
      </c>
      <c r="B15" t="str">
        <f>IF($Z15="","",INDEX(KRI!$C:$C,$Z15)&amp;"")</f>
        <v>NFR-04</v>
      </c>
      <c r="C15" t="str">
        <f>IF($Z15="","",INDEX(KRI!$D:$D,$Z15)&amp;"")</f>
        <v>Sedi critiche in aree a rischio idrogeologico senza piano specifico</v>
      </c>
      <c r="D15" t="str">
        <f>IF($Z15="","",INDEX(KRI!$E:$E,$Z15)&amp;"")</f>
        <v>n</v>
      </c>
      <c r="E15">
        <f>IF($Z15="","",IF(INDEX(KRI!$G:$G,$Z15)="","",INDEX(KRI!$G:$G,$Z15)))</f>
        <v>1</v>
      </c>
      <c r="F15">
        <f>IF($Z15="","",IF(INDEX(KRI!$H:$H,$Z15)="","",INDEX(KRI!$H:$H,$Z15)))</f>
        <v>3</v>
      </c>
      <c r="G15">
        <f>IF($Z15="","",IF(INDEX(KRI!$I:$I,$Z15)="","",INDEX(KRI!$I:$I,$Z15)))</f>
        <v>2</v>
      </c>
      <c r="H15" s="66">
        <f>IF($Z15="","",IF(INDEX(KRI!$J:$J,$Z15)="","",INDEX(KRI!$J:$J,$Z15)))</f>
        <v>46295</v>
      </c>
      <c r="I15" t="str">
        <f>IF($Z15="","",INDEX(KRI!$M:$M,$Z15)&amp;"")</f>
        <v>Ambra</v>
      </c>
      <c r="J15">
        <f t="shared" si="0"/>
        <v>2</v>
      </c>
      <c r="K15" t="str">
        <f t="shared" si="1"/>
        <v>● invariato</v>
      </c>
      <c r="M15" t="str">
        <f>Parametri!$B$23</f>
        <v>2025Q3</v>
      </c>
      <c r="N15" t="e">
        <f t="shared" si="2"/>
        <v>#N/A</v>
      </c>
      <c r="O15" t="e">
        <f t="shared" si="3"/>
        <v>#N/A</v>
      </c>
      <c r="P15" t="e">
        <f t="shared" si="4"/>
        <v>#N/A</v>
      </c>
      <c r="Q15" t="str">
        <f t="shared" si="5"/>
        <v>—</v>
      </c>
      <c r="R15" s="66" t="str">
        <f t="shared" si="6"/>
        <v/>
      </c>
      <c r="S15" t="str">
        <f t="shared" si="7"/>
        <v/>
      </c>
      <c r="T15" t="str">
        <f t="shared" si="8"/>
        <v/>
      </c>
      <c r="Z15">
        <f>IFERROR(_xlfn.AGGREGATE(15,6,ROW(KRI_Ciclo)/((KRI_Ciclo=cicloCorrente)*(KRI_In_Vigore="Sì")),9),"")</f>
        <v>114</v>
      </c>
      <c r="AB15" t="str">
        <f>IFERROR(INDEX(KRI_KRI_ID,_xlfn.AGGREGATE(15,6,(ROW(KRI_KRI_ID)-5)/((KRI_Ciclo_Definizione=KRI_Ciclo)*(KRI_KRI_ID&lt;&gt;"")),4)),"")</f>
        <v>NFR-02-K1</v>
      </c>
    </row>
    <row r="16" spans="1:28" x14ac:dyDescent="0.4">
      <c r="A16" t="str">
        <f>IF($Z16="","",INDEX(KRI!$B:$B,$Z16)&amp;"")</f>
        <v>NFR-04-K2</v>
      </c>
      <c r="B16" t="str">
        <f>IF($Z16="","",INDEX(KRI!$C:$C,$Z16)&amp;"")</f>
        <v>NFR-04</v>
      </c>
      <c r="C16" t="str">
        <f>IF($Z16="","",INDEX(KRI!$D:$D,$Z16)&amp;"")</f>
        <v>Giorni di indisponibilita' di sedi per eventi climatici</v>
      </c>
      <c r="D16" t="str">
        <f>IF($Z16="","",INDEX(KRI!$E:$E,$Z16)&amp;"")</f>
        <v>giorni</v>
      </c>
      <c r="E16">
        <f>IF($Z16="","",IF(INDEX(KRI!$G:$G,$Z16)="","",INDEX(KRI!$G:$G,$Z16)))</f>
        <v>2</v>
      </c>
      <c r="F16">
        <f>IF($Z16="","",IF(INDEX(KRI!$H:$H,$Z16)="","",INDEX(KRI!$H:$H,$Z16)))</f>
        <v>5</v>
      </c>
      <c r="G16">
        <f>IF($Z16="","",IF(INDEX(KRI!$I:$I,$Z16)="","",INDEX(KRI!$I:$I,$Z16)))</f>
        <v>0</v>
      </c>
      <c r="H16" s="66">
        <f>IF($Z16="","",IF(INDEX(KRI!$J:$J,$Z16)="","",INDEX(KRI!$J:$J,$Z16)))</f>
        <v>46295</v>
      </c>
      <c r="I16" t="str">
        <f>IF($Z16="","",INDEX(KRI!$M:$M,$Z16)&amp;"")</f>
        <v>Verde</v>
      </c>
      <c r="J16">
        <f t="shared" si="0"/>
        <v>3</v>
      </c>
      <c r="K16" t="str">
        <f t="shared" si="1"/>
        <v>▼ migliora</v>
      </c>
      <c r="M16" t="str">
        <f>Parametri!$B$24</f>
        <v>2025Q4</v>
      </c>
      <c r="N16">
        <f t="shared" si="2"/>
        <v>2.1</v>
      </c>
      <c r="O16">
        <f t="shared" si="3"/>
        <v>3</v>
      </c>
      <c r="P16">
        <f t="shared" si="4"/>
        <v>6</v>
      </c>
      <c r="Q16" t="str">
        <f t="shared" si="5"/>
        <v>Verde</v>
      </c>
      <c r="R16" s="66">
        <f t="shared" si="6"/>
        <v>46022</v>
      </c>
      <c r="S16" t="str">
        <f t="shared" si="7"/>
        <v>Sistema antifrode transazionale</v>
      </c>
      <c r="T16" t="str">
        <f t="shared" si="8"/>
        <v>Rilevazione di fine trimestre.</v>
      </c>
      <c r="Z16">
        <f>IFERROR(_xlfn.AGGREGATE(15,6,ROW(KRI_Ciclo)/((KRI_Ciclo=cicloCorrente)*(KRI_In_Vigore="Sì")),10),"")</f>
        <v>115</v>
      </c>
      <c r="AB16" t="str">
        <f>IFERROR(INDEX(KRI_KRI_ID,_xlfn.AGGREGATE(15,6,(ROW(KRI_KRI_ID)-5)/((KRI_Ciclo_Definizione=KRI_Ciclo)*(KRI_KRI_ID&lt;&gt;"")),5)),"")</f>
        <v>NFR-02-K2</v>
      </c>
    </row>
    <row r="17" spans="1:28" x14ac:dyDescent="0.4">
      <c r="A17" t="str">
        <f>IF($Z17="","",INDEX(KRI!$B:$B,$Z17)&amp;"")</f>
        <v>NFR-04-K3</v>
      </c>
      <c r="B17" t="str">
        <f>IF($Z17="","",INDEX(KRI!$C:$C,$Z17)&amp;"")</f>
        <v>NFR-04</v>
      </c>
      <c r="C17" t="str">
        <f>IF($Z17="","",INDEX(KRI!$D:$D,$Z17)&amp;"")</f>
        <v>Scarto fra RTO dichiarato e testato del sito secondario</v>
      </c>
      <c r="D17" t="str">
        <f>IF($Z17="","",INDEX(KRI!$E:$E,$Z17)&amp;"")</f>
        <v>ore</v>
      </c>
      <c r="E17">
        <f>IF($Z17="","",IF(INDEX(KRI!$G:$G,$Z17)="","",INDEX(KRI!$G:$G,$Z17)))</f>
        <v>1</v>
      </c>
      <c r="F17">
        <f>IF($Z17="","",IF(INDEX(KRI!$H:$H,$Z17)="","",INDEX(KRI!$H:$H,$Z17)))</f>
        <v>4</v>
      </c>
      <c r="G17">
        <f>IF($Z17="","",IF(INDEX(KRI!$I:$I,$Z17)="","",INDEX(KRI!$I:$I,$Z17)))</f>
        <v>0.5</v>
      </c>
      <c r="H17" s="66">
        <f>IF($Z17="","",IF(INDEX(KRI!$J:$J,$Z17)="","",INDEX(KRI!$J:$J,$Z17)))</f>
        <v>46295</v>
      </c>
      <c r="I17" t="str">
        <f>IF($Z17="","",INDEX(KRI!$M:$M,$Z17)&amp;"")</f>
        <v>Verde</v>
      </c>
      <c r="J17">
        <f t="shared" si="0"/>
        <v>0.5</v>
      </c>
      <c r="K17" t="str">
        <f t="shared" si="1"/>
        <v>● invariato</v>
      </c>
      <c r="M17" t="str">
        <f>Parametri!$B$25</f>
        <v>2026Q1</v>
      </c>
      <c r="N17">
        <f t="shared" si="2"/>
        <v>3.4</v>
      </c>
      <c r="O17">
        <f t="shared" si="3"/>
        <v>3</v>
      </c>
      <c r="P17">
        <f t="shared" si="4"/>
        <v>6</v>
      </c>
      <c r="Q17" t="str">
        <f t="shared" si="5"/>
        <v>Ambra</v>
      </c>
      <c r="R17" s="66">
        <f t="shared" si="6"/>
        <v>46112</v>
      </c>
      <c r="S17" t="str">
        <f t="shared" si="7"/>
        <v>Sistema antifrode transazionale</v>
      </c>
      <c r="T17" t="str">
        <f t="shared" si="8"/>
        <v>Rilevazione di fine trimestre.</v>
      </c>
      <c r="Z17">
        <f>IFERROR(_xlfn.AGGREGATE(15,6,ROW(KRI_Ciclo)/((KRI_Ciclo=cicloCorrente)*(KRI_In_Vigore="Sì")),11),"")</f>
        <v>116</v>
      </c>
      <c r="AB17" t="str">
        <f>IFERROR(INDEX(KRI_KRI_ID,_xlfn.AGGREGATE(15,6,(ROW(KRI_KRI_ID)-5)/((KRI_Ciclo_Definizione=KRI_Ciclo)*(KRI_KRI_ID&lt;&gt;"")),6)),"")</f>
        <v>NFR-02-K3</v>
      </c>
    </row>
    <row r="18" spans="1:28" x14ac:dyDescent="0.4">
      <c r="A18" t="str">
        <f>IF($Z18="","",INDEX(KRI!$B:$B,$Z18)&amp;"")</f>
        <v>NFR-05-K1</v>
      </c>
      <c r="B18" t="str">
        <f>IF($Z18="","",INDEX(KRI!$C:$C,$Z18)&amp;"")</f>
        <v>NFR-05</v>
      </c>
      <c r="C18" t="str">
        <f>IF($Z18="","",INDEX(KRI!$D:$D,$Z18)&amp;"")</f>
        <v>Differenze di riconciliazione aperte oltre 5 giorni</v>
      </c>
      <c r="D18" t="str">
        <f>IF($Z18="","",INDEX(KRI!$E:$E,$Z18)&amp;"")</f>
        <v>n</v>
      </c>
      <c r="E18">
        <f>IF($Z18="","",IF(INDEX(KRI!$G:$G,$Z18)="","",INDEX(KRI!$G:$G,$Z18)))</f>
        <v>20</v>
      </c>
      <c r="F18">
        <f>IF($Z18="","",IF(INDEX(KRI!$H:$H,$Z18)="","",INDEX(KRI!$H:$H,$Z18)))</f>
        <v>50</v>
      </c>
      <c r="G18">
        <f>IF($Z18="","",IF(INDEX(KRI!$I:$I,$Z18)="","",INDEX(KRI!$I:$I,$Z18)))</f>
        <v>9</v>
      </c>
      <c r="H18" s="66">
        <f>IF($Z18="","",IF(INDEX(KRI!$J:$J,$Z18)="","",INDEX(KRI!$J:$J,$Z18)))</f>
        <v>46295</v>
      </c>
      <c r="I18" t="str">
        <f>IF($Z18="","",INDEX(KRI!$M:$M,$Z18)&amp;"")</f>
        <v>Verde</v>
      </c>
      <c r="J18">
        <f t="shared" si="0"/>
        <v>12</v>
      </c>
      <c r="K18" t="str">
        <f t="shared" si="1"/>
        <v>▼ migliora</v>
      </c>
      <c r="M18" t="str">
        <f>Parametri!$B$26</f>
        <v>2026Q2</v>
      </c>
      <c r="N18">
        <f t="shared" si="2"/>
        <v>4.2</v>
      </c>
      <c r="O18">
        <f t="shared" si="3"/>
        <v>3</v>
      </c>
      <c r="P18">
        <f t="shared" si="4"/>
        <v>6</v>
      </c>
      <c r="Q18" t="str">
        <f t="shared" si="5"/>
        <v>Ambra</v>
      </c>
      <c r="R18" s="66">
        <f t="shared" si="6"/>
        <v>46203</v>
      </c>
      <c r="S18" t="str">
        <f t="shared" si="7"/>
        <v>Sistema antifrode transazionale</v>
      </c>
      <c r="T18" t="str">
        <f t="shared" si="8"/>
        <v>Rilevazione di fine trimestre.</v>
      </c>
      <c r="Z18">
        <f>IFERROR(_xlfn.AGGREGATE(15,6,ROW(KRI_Ciclo)/((KRI_Ciclo=cicloCorrente)*(KRI_In_Vigore="Sì")),12),"")</f>
        <v>117</v>
      </c>
      <c r="AB18" t="str">
        <f>IFERROR(INDEX(KRI_KRI_ID,_xlfn.AGGREGATE(15,6,(ROW(KRI_KRI_ID)-5)/((KRI_Ciclo_Definizione=KRI_Ciclo)*(KRI_KRI_ID&lt;&gt;"")),7)),"")</f>
        <v>NFR-03-K1</v>
      </c>
    </row>
    <row r="19" spans="1:28" x14ac:dyDescent="0.4">
      <c r="A19" t="str">
        <f>IF($Z19="","",INDEX(KRI!$B:$B,$Z19)&amp;"")</f>
        <v>NFR-05-K2</v>
      </c>
      <c r="B19" t="str">
        <f>IF($Z19="","",INDEX(KRI!$C:$C,$Z19)&amp;"")</f>
        <v>NFR-05</v>
      </c>
      <c r="C19" t="str">
        <f>IF($Z19="","",INDEX(KRI!$D:$D,$Z19)&amp;"")</f>
        <v>Incidenti di produzione legati alla migrazione</v>
      </c>
      <c r="D19" t="str">
        <f>IF($Z19="","",INDEX(KRI!$E:$E,$Z19)&amp;"")</f>
        <v>n</v>
      </c>
      <c r="E19">
        <f>IF($Z19="","",IF(INDEX(KRI!$G:$G,$Z19)="","",INDEX(KRI!$G:$G,$Z19)))</f>
        <v>3</v>
      </c>
      <c r="F19">
        <f>IF($Z19="","",IF(INDEX(KRI!$H:$H,$Z19)="","",INDEX(KRI!$H:$H,$Z19)))</f>
        <v>6</v>
      </c>
      <c r="G19">
        <f>IF($Z19="","",IF(INDEX(KRI!$I:$I,$Z19)="","",INDEX(KRI!$I:$I,$Z19)))</f>
        <v>4</v>
      </c>
      <c r="H19" s="66">
        <f>IF($Z19="","",IF(INDEX(KRI!$J:$J,$Z19)="","",INDEX(KRI!$J:$J,$Z19)))</f>
        <v>46295</v>
      </c>
      <c r="I19" t="str">
        <f>IF($Z19="","",INDEX(KRI!$M:$M,$Z19)&amp;"")</f>
        <v>Ambra</v>
      </c>
      <c r="J19">
        <f t="shared" si="0"/>
        <v>7</v>
      </c>
      <c r="K19" t="str">
        <f t="shared" si="1"/>
        <v>▼ migliora</v>
      </c>
      <c r="M19" t="str">
        <f>Parametri!$B$27</f>
        <v>2026Q3</v>
      </c>
      <c r="N19">
        <f t="shared" si="2"/>
        <v>5.3</v>
      </c>
      <c r="O19">
        <f t="shared" si="3"/>
        <v>3</v>
      </c>
      <c r="P19">
        <f t="shared" si="4"/>
        <v>6</v>
      </c>
      <c r="Q19" t="str">
        <f t="shared" si="5"/>
        <v>Ambra</v>
      </c>
      <c r="R19" s="66">
        <f t="shared" si="6"/>
        <v>46295</v>
      </c>
      <c r="S19" t="str">
        <f t="shared" si="7"/>
        <v>Sistema antifrode transazionale</v>
      </c>
      <c r="T19" t="str">
        <f t="shared" si="8"/>
        <v>In crescita rispetto al trimestre precedente (4,2).</v>
      </c>
      <c r="Z19">
        <f>IFERROR(_xlfn.AGGREGATE(15,6,ROW(KRI_Ciclo)/((KRI_Ciclo=cicloCorrente)*(KRI_In_Vigore="Sì")),13),"")</f>
        <v>118</v>
      </c>
      <c r="AB19" t="str">
        <f>IFERROR(INDEX(KRI_KRI_ID,_xlfn.AGGREGATE(15,6,(ROW(KRI_KRI_ID)-5)/((KRI_Ciclo_Definizione=KRI_Ciclo)*(KRI_KRI_ID&lt;&gt;"")),8)),"")</f>
        <v>NFR-03-K2</v>
      </c>
    </row>
    <row r="20" spans="1:28" x14ac:dyDescent="0.4">
      <c r="A20" t="str">
        <f>IF($Z20="","",INDEX(KRI!$B:$B,$Z20)&amp;"")</f>
        <v>NFR-05-K3</v>
      </c>
      <c r="B20" t="str">
        <f>IF($Z20="","",INDEX(KRI!$C:$C,$Z20)&amp;"")</f>
        <v>NFR-05</v>
      </c>
      <c r="C20" t="str">
        <f>IF($Z20="","",INDEX(KRI!$D:$D,$Z20)&amp;"")</f>
        <v>Quota di controlli di processo non ridisegnati sul nuovo core</v>
      </c>
      <c r="D20" t="str">
        <f>IF($Z20="","",INDEX(KRI!$E:$E,$Z20)&amp;"")</f>
        <v>%</v>
      </c>
      <c r="E20">
        <f>IF($Z20="","",IF(INDEX(KRI!$G:$G,$Z20)="","",INDEX(KRI!$G:$G,$Z20)))</f>
        <v>30</v>
      </c>
      <c r="F20">
        <f>IF($Z20="","",IF(INDEX(KRI!$H:$H,$Z20)="","",INDEX(KRI!$H:$H,$Z20)))</f>
        <v>60</v>
      </c>
      <c r="G20">
        <f>IF($Z20="","",IF(INDEX(KRI!$I:$I,$Z20)="","",INDEX(KRI!$I:$I,$Z20)))</f>
        <v>18</v>
      </c>
      <c r="H20" s="66">
        <f>IF($Z20="","",IF(INDEX(KRI!$J:$J,$Z20)="","",INDEX(KRI!$J:$J,$Z20)))</f>
        <v>46295</v>
      </c>
      <c r="I20" t="str">
        <f>IF($Z20="","",INDEX(KRI!$M:$M,$Z20)&amp;"")</f>
        <v>Verde</v>
      </c>
      <c r="J20">
        <f t="shared" si="0"/>
        <v>25</v>
      </c>
      <c r="K20" t="str">
        <f t="shared" si="1"/>
        <v>▼ migliora</v>
      </c>
      <c r="Z20">
        <f>IFERROR(_xlfn.AGGREGATE(15,6,ROW(KRI_Ciclo)/((KRI_Ciclo=cicloCorrente)*(KRI_In_Vigore="Sì")),14),"")</f>
        <v>119</v>
      </c>
      <c r="AB20" t="str">
        <f>IFERROR(INDEX(KRI_KRI_ID,_xlfn.AGGREGATE(15,6,(ROW(KRI_KRI_ID)-5)/((KRI_Ciclo_Definizione=KRI_Ciclo)*(KRI_KRI_ID&lt;&gt;"")),9)),"")</f>
        <v>NFR-03-K3</v>
      </c>
    </row>
    <row r="21" spans="1:28" x14ac:dyDescent="0.4">
      <c r="A21" t="str">
        <f>IF($Z21="","",INDEX(KRI!$B:$B,$Z21)&amp;"")</f>
        <v>NFR-06-K1</v>
      </c>
      <c r="B21" t="str">
        <f>IF($Z21="","",INDEX(KRI!$C:$C,$Z21)&amp;"")</f>
        <v>NFR-06</v>
      </c>
      <c r="C21" t="str">
        <f>IF($Z21="","",INDEX(KRI!$D:$D,$Z21)&amp;"")</f>
        <v>Tentativi di caricamento di dati riservati su servizi AI non autorizzati</v>
      </c>
      <c r="D21" t="str">
        <f>IF($Z21="","",INDEX(KRI!$E:$E,$Z21)&amp;"")</f>
        <v>n/mese</v>
      </c>
      <c r="E21">
        <f>IF($Z21="","",IF(INDEX(KRI!$G:$G,$Z21)="","",INDEX(KRI!$G:$G,$Z21)))</f>
        <v>10</v>
      </c>
      <c r="F21">
        <f>IF($Z21="","",IF(INDEX(KRI!$H:$H,$Z21)="","",INDEX(KRI!$H:$H,$Z21)))</f>
        <v>30</v>
      </c>
      <c r="G21">
        <f>IF($Z21="","",IF(INDEX(KRI!$I:$I,$Z21)="","",INDEX(KRI!$I:$I,$Z21)))</f>
        <v>6</v>
      </c>
      <c r="H21" s="66">
        <f>IF($Z21="","",IF(INDEX(KRI!$J:$J,$Z21)="","",INDEX(KRI!$J:$J,$Z21)))</f>
        <v>46295</v>
      </c>
      <c r="I21" t="str">
        <f>IF($Z21="","",INDEX(KRI!$M:$M,$Z21)&amp;"")</f>
        <v>Verde</v>
      </c>
      <c r="J21">
        <f t="shared" si="0"/>
        <v>14</v>
      </c>
      <c r="K21" t="str">
        <f t="shared" si="1"/>
        <v>▼ migliora</v>
      </c>
      <c r="Z21">
        <f>IFERROR(_xlfn.AGGREGATE(15,6,ROW(KRI_Ciclo)/((KRI_Ciclo=cicloCorrente)*(KRI_In_Vigore="Sì")),15),"")</f>
        <v>120</v>
      </c>
      <c r="AB21" t="str">
        <f>IFERROR(INDEX(KRI_KRI_ID,_xlfn.AGGREGATE(15,6,(ROW(KRI_KRI_ID)-5)/((KRI_Ciclo_Definizione=KRI_Ciclo)*(KRI_KRI_ID&lt;&gt;"")),10)),"")</f>
        <v>NFR-04-K1</v>
      </c>
    </row>
    <row r="22" spans="1:28" x14ac:dyDescent="0.4">
      <c r="A22" t="str">
        <f>IF($Z22="","",INDEX(KRI!$B:$B,$Z22)&amp;"")</f>
        <v>NFR-06-K2</v>
      </c>
      <c r="B22" t="str">
        <f>IF($Z22="","",INDEX(KRI!$C:$C,$Z22)&amp;"")</f>
        <v>NFR-06</v>
      </c>
      <c r="C22" t="str">
        <f>IF($Z22="","",INDEX(KRI!$D:$D,$Z22)&amp;"")</f>
        <v>Quota di dipendenti senza formazione sull'uso dell'AI</v>
      </c>
      <c r="D22" t="str">
        <f>IF($Z22="","",INDEX(KRI!$E:$E,$Z22)&amp;"")</f>
        <v>%</v>
      </c>
      <c r="E22">
        <f>IF($Z22="","",IF(INDEX(KRI!$G:$G,$Z22)="","",INDEX(KRI!$G:$G,$Z22)))</f>
        <v>20</v>
      </c>
      <c r="F22">
        <f>IF($Z22="","",IF(INDEX(KRI!$H:$H,$Z22)="","",INDEX(KRI!$H:$H,$Z22)))</f>
        <v>40</v>
      </c>
      <c r="G22">
        <f>IF($Z22="","",IF(INDEX(KRI!$I:$I,$Z22)="","",INDEX(KRI!$I:$I,$Z22)))</f>
        <v>22</v>
      </c>
      <c r="H22" s="66">
        <f>IF($Z22="","",IF(INDEX(KRI!$J:$J,$Z22)="","",INDEX(KRI!$J:$J,$Z22)))</f>
        <v>46295</v>
      </c>
      <c r="I22" t="str">
        <f>IF($Z22="","",INDEX(KRI!$M:$M,$Z22)&amp;"")</f>
        <v>Ambra</v>
      </c>
      <c r="J22">
        <f t="shared" si="0"/>
        <v>35</v>
      </c>
      <c r="K22" t="str">
        <f t="shared" si="1"/>
        <v>▼ migliora</v>
      </c>
      <c r="Z22">
        <f>IFERROR(_xlfn.AGGREGATE(15,6,ROW(KRI_Ciclo)/((KRI_Ciclo=cicloCorrente)*(KRI_In_Vigore="Sì")),16),"")</f>
        <v>121</v>
      </c>
      <c r="AB22" t="str">
        <f>IFERROR(INDEX(KRI_KRI_ID,_xlfn.AGGREGATE(15,6,(ROW(KRI_KRI_ID)-5)/((KRI_Ciclo_Definizione=KRI_Ciclo)*(KRI_KRI_ID&lt;&gt;"")),11)),"")</f>
        <v>NFR-04-K2</v>
      </c>
    </row>
    <row r="23" spans="1:28" x14ac:dyDescent="0.4">
      <c r="A23" t="str">
        <f>IF($Z23="","",INDEX(KRI!$B:$B,$Z23)&amp;"")</f>
        <v>NFR-06-K3</v>
      </c>
      <c r="B23" t="str">
        <f>IF($Z23="","",INDEX(KRI!$C:$C,$Z23)&amp;"")</f>
        <v>NFR-06</v>
      </c>
      <c r="C23" t="str">
        <f>IF($Z23="","",INDEX(KRI!$D:$D,$Z23)&amp;"")</f>
        <v>Utenze privilegiate senza revisione degli accessi nel trimestre</v>
      </c>
      <c r="D23" t="str">
        <f>IF($Z23="","",INDEX(KRI!$E:$E,$Z23)&amp;"")</f>
        <v>n</v>
      </c>
      <c r="E23">
        <f>IF($Z23="","",IF(INDEX(KRI!$G:$G,$Z23)="","",INDEX(KRI!$G:$G,$Z23)))</f>
        <v>5</v>
      </c>
      <c r="F23">
        <f>IF($Z23="","",IF(INDEX(KRI!$H:$H,$Z23)="","",INDEX(KRI!$H:$H,$Z23)))</f>
        <v>15</v>
      </c>
      <c r="G23">
        <f>IF($Z23="","",IF(INDEX(KRI!$I:$I,$Z23)="","",INDEX(KRI!$I:$I,$Z23)))</f>
        <v>2</v>
      </c>
      <c r="H23" s="66">
        <f>IF($Z23="","",IF(INDEX(KRI!$J:$J,$Z23)="","",INDEX(KRI!$J:$J,$Z23)))</f>
        <v>46295</v>
      </c>
      <c r="I23" t="str">
        <f>IF($Z23="","",INDEX(KRI!$M:$M,$Z23)&amp;"")</f>
        <v>Verde</v>
      </c>
      <c r="J23">
        <f t="shared" si="0"/>
        <v>3</v>
      </c>
      <c r="K23" t="str">
        <f t="shared" si="1"/>
        <v>▼ migliora</v>
      </c>
      <c r="Z23">
        <f>IFERROR(_xlfn.AGGREGATE(15,6,ROW(KRI_Ciclo)/((KRI_Ciclo=cicloCorrente)*(KRI_In_Vigore="Sì")),17),"")</f>
        <v>122</v>
      </c>
      <c r="AB23" t="str">
        <f>IFERROR(INDEX(KRI_KRI_ID,_xlfn.AGGREGATE(15,6,(ROW(KRI_KRI_ID)-5)/((KRI_Ciclo_Definizione=KRI_Ciclo)*(KRI_KRI_ID&lt;&gt;"")),12)),"")</f>
        <v>NFR-04-K3</v>
      </c>
    </row>
    <row r="24" spans="1:28" x14ac:dyDescent="0.4">
      <c r="A24" t="str">
        <f>IF($Z24="","",INDEX(KRI!$B:$B,$Z24)&amp;"")</f>
        <v>NFR-07-K1</v>
      </c>
      <c r="B24" t="str">
        <f>IF($Z24="","",INDEX(KRI!$C:$C,$Z24)&amp;"")</f>
        <v>NFR-07</v>
      </c>
      <c r="C24" t="str">
        <f>IF($Z24="","",INDEX(KRI!$D:$D,$Z24)&amp;"")</f>
        <v>Fornitori di pagamento critici senza test di ripristino da ransomware</v>
      </c>
      <c r="D24" t="str">
        <f>IF($Z24="","",INDEX(KRI!$E:$E,$Z24)&amp;"")</f>
        <v>n</v>
      </c>
      <c r="E24">
        <f>IF($Z24="","",IF(INDEX(KRI!$G:$G,$Z24)="","",INDEX(KRI!$G:$G,$Z24)))</f>
        <v>1</v>
      </c>
      <c r="F24">
        <f>IF($Z24="","",IF(INDEX(KRI!$H:$H,$Z24)="","",INDEX(KRI!$H:$H,$Z24)))</f>
        <v>2</v>
      </c>
      <c r="G24">
        <f>IF($Z24="","",IF(INDEX(KRI!$I:$I,$Z24)="","",INDEX(KRI!$I:$I,$Z24)))</f>
        <v>1</v>
      </c>
      <c r="H24" s="66">
        <f>IF($Z24="","",IF(INDEX(KRI!$J:$J,$Z24)="","",INDEX(KRI!$J:$J,$Z24)))</f>
        <v>46295</v>
      </c>
      <c r="I24" t="str">
        <f>IF($Z24="","",INDEX(KRI!$M:$M,$Z24)&amp;"")</f>
        <v>Ambra</v>
      </c>
      <c r="J24">
        <f t="shared" si="0"/>
        <v>1</v>
      </c>
      <c r="K24" t="str">
        <f t="shared" si="1"/>
        <v>● invariato</v>
      </c>
      <c r="Z24">
        <f>IFERROR(_xlfn.AGGREGATE(15,6,ROW(KRI_Ciclo)/((KRI_Ciclo=cicloCorrente)*(KRI_In_Vigore="Sì")),18),"")</f>
        <v>123</v>
      </c>
      <c r="AB24" t="str">
        <f>IFERROR(INDEX(KRI_KRI_ID,_xlfn.AGGREGATE(15,6,(ROW(KRI_KRI_ID)-5)/((KRI_Ciclo_Definizione=KRI_Ciclo)*(KRI_KRI_ID&lt;&gt;"")),13)),"")</f>
        <v>NFR-05-K1</v>
      </c>
    </row>
    <row r="25" spans="1:28" x14ac:dyDescent="0.4">
      <c r="A25" t="str">
        <f>IF($Z25="","",INDEX(KRI!$B:$B,$Z25)&amp;"")</f>
        <v>NFR-07-K2</v>
      </c>
      <c r="B25" t="str">
        <f>IF($Z25="","",INDEX(KRI!$C:$C,$Z25)&amp;"")</f>
        <v>NFR-07</v>
      </c>
      <c r="C25" t="str">
        <f>IF($Z25="","",INDEX(KRI!$D:$D,$Z25)&amp;"")</f>
        <v>Ore di indisponibilita' del gateway di pagamento nel trimestre</v>
      </c>
      <c r="D25" t="str">
        <f>IF($Z25="","",INDEX(KRI!$E:$E,$Z25)&amp;"")</f>
        <v>ore</v>
      </c>
      <c r="E25">
        <f>IF($Z25="","",IF(INDEX(KRI!$G:$G,$Z25)="","",INDEX(KRI!$G:$G,$Z25)))</f>
        <v>4</v>
      </c>
      <c r="F25">
        <f>IF($Z25="","",IF(INDEX(KRI!$H:$H,$Z25)="","",INDEX(KRI!$H:$H,$Z25)))</f>
        <v>12</v>
      </c>
      <c r="G25">
        <f>IF($Z25="","",IF(INDEX(KRI!$I:$I,$Z25)="","",INDEX(KRI!$I:$I,$Z25)))</f>
        <v>2.5</v>
      </c>
      <c r="H25" s="66">
        <f>IF($Z25="","",IF(INDEX(KRI!$J:$J,$Z25)="","",INDEX(KRI!$J:$J,$Z25)))</f>
        <v>46295</v>
      </c>
      <c r="I25" t="str">
        <f>IF($Z25="","",INDEX(KRI!$M:$M,$Z25)&amp;"")</f>
        <v>Verde</v>
      </c>
      <c r="J25">
        <f t="shared" si="0"/>
        <v>3</v>
      </c>
      <c r="K25" t="str">
        <f t="shared" si="1"/>
        <v>▼ migliora</v>
      </c>
      <c r="Z25">
        <f>IFERROR(_xlfn.AGGREGATE(15,6,ROW(KRI_Ciclo)/((KRI_Ciclo=cicloCorrente)*(KRI_In_Vigore="Sì")),19),"")</f>
        <v>124</v>
      </c>
      <c r="AB25" t="str">
        <f>IFERROR(INDEX(KRI_KRI_ID,_xlfn.AGGREGATE(15,6,(ROW(KRI_KRI_ID)-5)/((KRI_Ciclo_Definizione=KRI_Ciclo)*(KRI_KRI_ID&lt;&gt;"")),14)),"")</f>
        <v>NFR-05-K2</v>
      </c>
    </row>
    <row r="26" spans="1:28" x14ac:dyDescent="0.4">
      <c r="A26" t="str">
        <f>IF($Z26="","",INDEX(KRI!$B:$B,$Z26)&amp;"")</f>
        <v>NFR-07-K3</v>
      </c>
      <c r="B26" t="str">
        <f>IF($Z26="","",INDEX(KRI!$C:$C,$Z26)&amp;"")</f>
        <v>NFR-07</v>
      </c>
      <c r="C26" t="str">
        <f>IF($Z26="","",INDEX(KRI!$D:$D,$Z26)&amp;"")</f>
        <v>Vulnerabilita' critiche aperte oltre 30 giorni presso il fornitore</v>
      </c>
      <c r="D26" t="str">
        <f>IF($Z26="","",INDEX(KRI!$E:$E,$Z26)&amp;"")</f>
        <v>n</v>
      </c>
      <c r="E26">
        <f>IF($Z26="","",IF(INDEX(KRI!$G:$G,$Z26)="","",INDEX(KRI!$G:$G,$Z26)))</f>
        <v>2</v>
      </c>
      <c r="F26">
        <f>IF($Z26="","",IF(INDEX(KRI!$H:$H,$Z26)="","",INDEX(KRI!$H:$H,$Z26)))</f>
        <v>5</v>
      </c>
      <c r="G26">
        <f>IF($Z26="","",IF(INDEX(KRI!$I:$I,$Z26)="","",INDEX(KRI!$I:$I,$Z26)))</f>
        <v>2</v>
      </c>
      <c r="H26" s="66">
        <f>IF($Z26="","",IF(INDEX(KRI!$J:$J,$Z26)="","",INDEX(KRI!$J:$J,$Z26)))</f>
        <v>46295</v>
      </c>
      <c r="I26" t="str">
        <f>IF($Z26="","",INDEX(KRI!$M:$M,$Z26)&amp;"")</f>
        <v>Ambra</v>
      </c>
      <c r="J26">
        <f t="shared" si="0"/>
        <v>2</v>
      </c>
      <c r="K26" t="str">
        <f t="shared" si="1"/>
        <v>● invariato</v>
      </c>
      <c r="Z26">
        <f>IFERROR(_xlfn.AGGREGATE(15,6,ROW(KRI_Ciclo)/((KRI_Ciclo=cicloCorrente)*(KRI_In_Vigore="Sì")),20),"")</f>
        <v>125</v>
      </c>
      <c r="AB26" t="str">
        <f>IFERROR(INDEX(KRI_KRI_ID,_xlfn.AGGREGATE(15,6,(ROW(KRI_KRI_ID)-5)/((KRI_Ciclo_Definizione=KRI_Ciclo)*(KRI_KRI_ID&lt;&gt;"")),15)),"")</f>
        <v>NFR-05-K3</v>
      </c>
    </row>
    <row r="27" spans="1:28" x14ac:dyDescent="0.4">
      <c r="A27" t="str">
        <f>IF($Z27="","",INDEX(KRI!$B:$B,$Z27)&amp;"")</f>
        <v>NFR-08-K1</v>
      </c>
      <c r="B27" t="str">
        <f>IF($Z27="","",INDEX(KRI!$C:$C,$Z27)&amp;"")</f>
        <v>NFR-08</v>
      </c>
      <c r="C27" t="str">
        <f>IF($Z27="","",INDEX(KRI!$D:$D,$Z27)&amp;"")</f>
        <v>Accessi ai dati clienti senza pratica associata</v>
      </c>
      <c r="D27" t="str">
        <f>IF($Z27="","",INDEX(KRI!$E:$E,$Z27)&amp;"")</f>
        <v>n/mese</v>
      </c>
      <c r="E27">
        <f>IF($Z27="","",IF(INDEX(KRI!$G:$G,$Z27)="","",INDEX(KRI!$G:$G,$Z27)))</f>
        <v>20</v>
      </c>
      <c r="F27">
        <f>IF($Z27="","",IF(INDEX(KRI!$H:$H,$Z27)="","",INDEX(KRI!$H:$H,$Z27)))</f>
        <v>50</v>
      </c>
      <c r="G27">
        <f>IF($Z27="","",IF(INDEX(KRI!$I:$I,$Z27)="","",INDEX(KRI!$I:$I,$Z27)))</f>
        <v>22</v>
      </c>
      <c r="H27" s="66">
        <f>IF($Z27="","",IF(INDEX(KRI!$J:$J,$Z27)="","",INDEX(KRI!$J:$J,$Z27)))</f>
        <v>46295</v>
      </c>
      <c r="I27" t="str">
        <f>IF($Z27="","",INDEX(KRI!$M:$M,$Z27)&amp;"")</f>
        <v>Ambra</v>
      </c>
      <c r="J27">
        <f t="shared" si="0"/>
        <v>24</v>
      </c>
      <c r="K27" t="str">
        <f t="shared" si="1"/>
        <v>▼ migliora</v>
      </c>
      <c r="Z27">
        <f>IFERROR(_xlfn.AGGREGATE(15,6,ROW(KRI_Ciclo)/((KRI_Ciclo=cicloCorrente)*(KRI_In_Vigore="Sì")),21),"")</f>
        <v>126</v>
      </c>
      <c r="AB27" t="str">
        <f>IFERROR(INDEX(KRI_KRI_ID,_xlfn.AGGREGATE(15,6,(ROW(KRI_KRI_ID)-5)/((KRI_Ciclo_Definizione=KRI_Ciclo)*(KRI_KRI_ID&lt;&gt;"")),16)),"")</f>
        <v>NFR-07-K1</v>
      </c>
    </row>
    <row r="28" spans="1:28" x14ac:dyDescent="0.4">
      <c r="A28" t="str">
        <f>IF($Z28="","",INDEX(KRI!$B:$B,$Z28)&amp;"")</f>
        <v>NFR-08-K2</v>
      </c>
      <c r="B28" t="str">
        <f>IF($Z28="","",INDEX(KRI!$C:$C,$Z28)&amp;"")</f>
        <v>NFR-08</v>
      </c>
      <c r="C28" t="str">
        <f>IF($Z28="","",INDEX(KRI!$D:$D,$Z28)&amp;"")</f>
        <v>Utenze con profili di accesso non rivisti nell'anno</v>
      </c>
      <c r="D28" t="str">
        <f>IF($Z28="","",INDEX(KRI!$E:$E,$Z28)&amp;"")</f>
        <v>%</v>
      </c>
      <c r="E28">
        <f>IF($Z28="","",IF(INDEX(KRI!$G:$G,$Z28)="","",INDEX(KRI!$G:$G,$Z28)))</f>
        <v>5</v>
      </c>
      <c r="F28">
        <f>IF($Z28="","",IF(INDEX(KRI!$H:$H,$Z28)="","",INDEX(KRI!$H:$H,$Z28)))</f>
        <v>15</v>
      </c>
      <c r="G28">
        <f>IF($Z28="","",IF(INDEX(KRI!$I:$I,$Z28)="","",INDEX(KRI!$I:$I,$Z28)))</f>
        <v>5</v>
      </c>
      <c r="H28" s="66">
        <f>IF($Z28="","",IF(INDEX(KRI!$J:$J,$Z28)="","",INDEX(KRI!$J:$J,$Z28)))</f>
        <v>46295</v>
      </c>
      <c r="I28" t="str">
        <f>IF($Z28="","",INDEX(KRI!$M:$M,$Z28)&amp;"")</f>
        <v>Ambra</v>
      </c>
      <c r="J28">
        <f t="shared" si="0"/>
        <v>6</v>
      </c>
      <c r="K28" t="str">
        <f t="shared" si="1"/>
        <v>▼ migliora</v>
      </c>
      <c r="Z28">
        <f>IFERROR(_xlfn.AGGREGATE(15,6,ROW(KRI_Ciclo)/((KRI_Ciclo=cicloCorrente)*(KRI_In_Vigore="Sì")),22),"")</f>
        <v>127</v>
      </c>
      <c r="AB28" t="str">
        <f>IFERROR(INDEX(KRI_KRI_ID,_xlfn.AGGREGATE(15,6,(ROW(KRI_KRI_ID)-5)/((KRI_Ciclo_Definizione=KRI_Ciclo)*(KRI_KRI_ID&lt;&gt;"")),17)),"")</f>
        <v>NFR-07-K2</v>
      </c>
    </row>
    <row r="29" spans="1:28" x14ac:dyDescent="0.4">
      <c r="A29" t="str">
        <f>IF($Z29="","",INDEX(KRI!$B:$B,$Z29)&amp;"")</f>
        <v>NFR-08-K3</v>
      </c>
      <c r="B29" t="str">
        <f>IF($Z29="","",INDEX(KRI!$C:$C,$Z29)&amp;"")</f>
        <v>NFR-08</v>
      </c>
      <c r="C29" t="str">
        <f>IF($Z29="","",INDEX(KRI!$D:$D,$Z29)&amp;"")</f>
        <v>Accessi impropri accertati nel trimestre</v>
      </c>
      <c r="D29" t="str">
        <f>IF($Z29="","",INDEX(KRI!$E:$E,$Z29)&amp;"")</f>
        <v>n</v>
      </c>
      <c r="E29">
        <f>IF($Z29="","",IF(INDEX(KRI!$G:$G,$Z29)="","",INDEX(KRI!$G:$G,$Z29)))</f>
        <v>1</v>
      </c>
      <c r="F29">
        <f>IF($Z29="","",IF(INDEX(KRI!$H:$H,$Z29)="","",INDEX(KRI!$H:$H,$Z29)))</f>
        <v>3</v>
      </c>
      <c r="G29">
        <f>IF($Z29="","",IF(INDEX(KRI!$I:$I,$Z29)="","",INDEX(KRI!$I:$I,$Z29)))</f>
        <v>0</v>
      </c>
      <c r="H29" s="66">
        <f>IF($Z29="","",IF(INDEX(KRI!$J:$J,$Z29)="","",INDEX(KRI!$J:$J,$Z29)))</f>
        <v>46295</v>
      </c>
      <c r="I29" t="str">
        <f>IF($Z29="","",INDEX(KRI!$M:$M,$Z29)&amp;"")</f>
        <v>Verde</v>
      </c>
      <c r="J29">
        <f t="shared" si="0"/>
        <v>0</v>
      </c>
      <c r="K29" t="str">
        <f t="shared" si="1"/>
        <v>● invariato</v>
      </c>
      <c r="Z29">
        <f>IFERROR(_xlfn.AGGREGATE(15,6,ROW(KRI_Ciclo)/((KRI_Ciclo=cicloCorrente)*(KRI_In_Vigore="Sì")),23),"")</f>
        <v>128</v>
      </c>
      <c r="AB29" t="str">
        <f>IFERROR(INDEX(KRI_KRI_ID,_xlfn.AGGREGATE(15,6,(ROW(KRI_KRI_ID)-5)/((KRI_Ciclo_Definizione=KRI_Ciclo)*(KRI_KRI_ID&lt;&gt;"")),18)),"")</f>
        <v>NFR-07-K3</v>
      </c>
    </row>
    <row r="30" spans="1:28" x14ac:dyDescent="0.4">
      <c r="A30" t="str">
        <f>IF($Z30="","",INDEX(KRI!$B:$B,$Z30)&amp;"")</f>
        <v>NFR-09-K1</v>
      </c>
      <c r="B30" t="str">
        <f>IF($Z30="","",INDEX(KRI!$C:$C,$Z30)&amp;"")</f>
        <v>NFR-09</v>
      </c>
      <c r="C30" t="str">
        <f>IF($Z30="","",INDEX(KRI!$D:$D,$Z30)&amp;"")</f>
        <v>Pagamenti bloccati dal filtro sanzioni ogni 10.000 verso paesi di transito</v>
      </c>
      <c r="D30" t="str">
        <f>IF($Z30="","",INDEX(KRI!$E:$E,$Z30)&amp;"")</f>
        <v>n/10k</v>
      </c>
      <c r="E30">
        <f>IF($Z30="","",IF(INDEX(KRI!$G:$G,$Z30)="","",INDEX(KRI!$G:$G,$Z30)))</f>
        <v>2</v>
      </c>
      <c r="F30">
        <f>IF($Z30="","",IF(INDEX(KRI!$H:$H,$Z30)="","",INDEX(KRI!$H:$H,$Z30)))</f>
        <v>5</v>
      </c>
      <c r="G30">
        <f>IF($Z30="","",IF(INDEX(KRI!$I:$I,$Z30)="","",INDEX(KRI!$I:$I,$Z30)))</f>
        <v>4.2</v>
      </c>
      <c r="H30" s="66">
        <f>IF($Z30="","",IF(INDEX(KRI!$J:$J,$Z30)="","",INDEX(KRI!$J:$J,$Z30)))</f>
        <v>46295</v>
      </c>
      <c r="I30" t="str">
        <f>IF($Z30="","",INDEX(KRI!$M:$M,$Z30)&amp;"")</f>
        <v>Ambra</v>
      </c>
      <c r="J30">
        <f t="shared" si="0"/>
        <v>3.8</v>
      </c>
      <c r="K30" t="str">
        <f t="shared" si="1"/>
        <v>▲ peggiora</v>
      </c>
      <c r="Z30">
        <f>IFERROR(_xlfn.AGGREGATE(15,6,ROW(KRI_Ciclo)/((KRI_Ciclo=cicloCorrente)*(KRI_In_Vigore="Sì")),24),"")</f>
        <v>129</v>
      </c>
      <c r="AB30" t="str">
        <f>IFERROR(INDEX(KRI_KRI_ID,_xlfn.AGGREGATE(15,6,(ROW(KRI_KRI_ID)-5)/((KRI_Ciclo_Definizione=KRI_Ciclo)*(KRI_KRI_ID&lt;&gt;"")),19)),"")</f>
        <v>NFR-08-K1</v>
      </c>
    </row>
    <row r="31" spans="1:28" x14ac:dyDescent="0.4">
      <c r="A31" t="str">
        <f>IF($Z31="","",INDEX(KRI!$B:$B,$Z31)&amp;"")</f>
        <v>NFR-09-K2</v>
      </c>
      <c r="B31" t="str">
        <f>IF($Z31="","",INDEX(KRI!$C:$C,$Z31)&amp;"")</f>
        <v>NFR-09</v>
      </c>
      <c r="C31" t="str">
        <f>IF($Z31="","",INDEX(KRI!$D:$D,$Z31)&amp;"")</f>
        <v>Clienti corporate ad alto rischio senza due diligence rafforzata aggiornata</v>
      </c>
      <c r="D31" t="str">
        <f>IF($Z31="","",INDEX(KRI!$E:$E,$Z31)&amp;"")</f>
        <v>%</v>
      </c>
      <c r="E31">
        <f>IF($Z31="","",IF(INDEX(KRI!$G:$G,$Z31)="","",INDEX(KRI!$G:$G,$Z31)))</f>
        <v>5</v>
      </c>
      <c r="F31">
        <f>IF($Z31="","",IF(INDEX(KRI!$H:$H,$Z31)="","",INDEX(KRI!$H:$H,$Z31)))</f>
        <v>15</v>
      </c>
      <c r="G31">
        <f>IF($Z31="","",IF(INDEX(KRI!$I:$I,$Z31)="","",INDEX(KRI!$I:$I,$Z31)))</f>
        <v>9</v>
      </c>
      <c r="H31" s="66">
        <f>IF($Z31="","",IF(INDEX(KRI!$J:$J,$Z31)="","",INDEX(KRI!$J:$J,$Z31)))</f>
        <v>46295</v>
      </c>
      <c r="I31" t="str">
        <f>IF($Z31="","",INDEX(KRI!$M:$M,$Z31)&amp;"")</f>
        <v>Ambra</v>
      </c>
      <c r="J31">
        <f t="shared" si="0"/>
        <v>11</v>
      </c>
      <c r="K31" t="str">
        <f t="shared" si="1"/>
        <v>▼ migliora</v>
      </c>
      <c r="Z31">
        <f>IFERROR(_xlfn.AGGREGATE(15,6,ROW(KRI_Ciclo)/((KRI_Ciclo=cicloCorrente)*(KRI_In_Vigore="Sì")),25),"")</f>
        <v>130</v>
      </c>
      <c r="AB31" t="str">
        <f>IFERROR(INDEX(KRI_KRI_ID,_xlfn.AGGREGATE(15,6,(ROW(KRI_KRI_ID)-5)/((KRI_Ciclo_Definizione=KRI_Ciclo)*(KRI_KRI_ID&lt;&gt;"")),20)),"")</f>
        <v>NFR-08-K2</v>
      </c>
    </row>
    <row r="32" spans="1:28" x14ac:dyDescent="0.4">
      <c r="A32" t="str">
        <f>IF($Z32="","",INDEX(KRI!$B:$B,$Z32)&amp;"")</f>
        <v>NFR-09-K3</v>
      </c>
      <c r="B32" t="str">
        <f>IF($Z32="","",INDEX(KRI!$C:$C,$Z32)&amp;"")</f>
        <v>NFR-09</v>
      </c>
      <c r="C32" t="str">
        <f>IF($Z32="","",INDEX(KRI!$D:$D,$Z32)&amp;"")</f>
        <v>Liste sanzioni recepite oltre 24 ore dalla pubblicazione</v>
      </c>
      <c r="D32" t="str">
        <f>IF($Z32="","",INDEX(KRI!$E:$E,$Z32)&amp;"")</f>
        <v>n</v>
      </c>
      <c r="E32">
        <f>IF($Z32="","",IF(INDEX(KRI!$G:$G,$Z32)="","",INDEX(KRI!$G:$G,$Z32)))</f>
        <v>1</v>
      </c>
      <c r="F32">
        <f>IF($Z32="","",IF(INDEX(KRI!$H:$H,$Z32)="","",INDEX(KRI!$H:$H,$Z32)))</f>
        <v>3</v>
      </c>
      <c r="G32">
        <f>IF($Z32="","",IF(INDEX(KRI!$I:$I,$Z32)="","",INDEX(KRI!$I:$I,$Z32)))</f>
        <v>0</v>
      </c>
      <c r="H32" s="66">
        <f>IF($Z32="","",IF(INDEX(KRI!$J:$J,$Z32)="","",INDEX(KRI!$J:$J,$Z32)))</f>
        <v>46295</v>
      </c>
      <c r="I32" t="str">
        <f>IF($Z32="","",INDEX(KRI!$M:$M,$Z32)&amp;"")</f>
        <v>Verde</v>
      </c>
      <c r="J32">
        <f t="shared" si="0"/>
        <v>1</v>
      </c>
      <c r="K32" t="str">
        <f t="shared" si="1"/>
        <v>▼ migliora</v>
      </c>
      <c r="Z32">
        <f>IFERROR(_xlfn.AGGREGATE(15,6,ROW(KRI_Ciclo)/((KRI_Ciclo=cicloCorrente)*(KRI_In_Vigore="Sì")),26),"")</f>
        <v>131</v>
      </c>
      <c r="AB32" t="str">
        <f>IFERROR(INDEX(KRI_KRI_ID,_xlfn.AGGREGATE(15,6,(ROW(KRI_KRI_ID)-5)/((KRI_Ciclo_Definizione=KRI_Ciclo)*(KRI_KRI_ID&lt;&gt;"")),21)),"")</f>
        <v>NFR-08-K3</v>
      </c>
    </row>
    <row r="33" spans="1:28" x14ac:dyDescent="0.4">
      <c r="A33" t="str">
        <f>IF($Z33="","",INDEX(KRI!$B:$B,$Z33)&amp;"")</f>
        <v>NFR-10-K1</v>
      </c>
      <c r="B33" t="str">
        <f>IF($Z33="","",INDEX(KRI!$C:$C,$Z33)&amp;"")</f>
        <v>NFR-10</v>
      </c>
      <c r="C33" t="str">
        <f>IF($Z33="","",INDEX(KRI!$D:$D,$Z33)&amp;"")</f>
        <v>Risposte del chatbot contestate ogni 1.000 conversazioni</v>
      </c>
      <c r="D33" t="str">
        <f>IF($Z33="","",INDEX(KRI!$E:$E,$Z33)&amp;"")</f>
        <v>n/1000</v>
      </c>
      <c r="E33">
        <f>IF($Z33="","",IF(INDEX(KRI!$G:$G,$Z33)="","",INDEX(KRI!$G:$G,$Z33)))</f>
        <v>2</v>
      </c>
      <c r="F33">
        <f>IF($Z33="","",IF(INDEX(KRI!$H:$H,$Z33)="","",INDEX(KRI!$H:$H,$Z33)))</f>
        <v>5</v>
      </c>
      <c r="G33">
        <f>IF($Z33="","",IF(INDEX(KRI!$I:$I,$Z33)="","",INDEX(KRI!$I:$I,$Z33)))</f>
        <v>1.9</v>
      </c>
      <c r="H33" s="66">
        <f>IF($Z33="","",IF(INDEX(KRI!$J:$J,$Z33)="","",INDEX(KRI!$J:$J,$Z33)))</f>
        <v>46295</v>
      </c>
      <c r="I33" t="str">
        <f>IF($Z33="","",INDEX(KRI!$M:$M,$Z33)&amp;"")</f>
        <v>Verde</v>
      </c>
      <c r="J33">
        <f t="shared" si="0"/>
        <v>1.4</v>
      </c>
      <c r="K33" t="str">
        <f t="shared" si="1"/>
        <v>▲ peggiora</v>
      </c>
      <c r="Z33">
        <f>IFERROR(_xlfn.AGGREGATE(15,6,ROW(KRI_Ciclo)/((KRI_Ciclo=cicloCorrente)*(KRI_In_Vigore="Sì")),27),"")</f>
        <v>132</v>
      </c>
      <c r="AB33" t="str">
        <f>IFERROR(INDEX(KRI_KRI_ID,_xlfn.AGGREGATE(15,6,(ROW(KRI_KRI_ID)-5)/((KRI_Ciclo_Definizione=KRI_Ciclo)*(KRI_KRI_ID&lt;&gt;"")),22)),"")</f>
        <v>NFR-11-K1</v>
      </c>
    </row>
    <row r="34" spans="1:28" x14ac:dyDescent="0.4">
      <c r="A34" t="str">
        <f>IF($Z34="","",INDEX(KRI!$B:$B,$Z34)&amp;"")</f>
        <v>NFR-10-K2</v>
      </c>
      <c r="B34" t="str">
        <f>IF($Z34="","",INDEX(KRI!$C:$C,$Z34)&amp;"")</f>
        <v>NFR-10</v>
      </c>
      <c r="C34" t="str">
        <f>IF($Z34="","",INDEX(KRI!$D:$D,$Z34)&amp;"")</f>
        <v>Reclami con rimborso originati da informazioni del chatbot</v>
      </c>
      <c r="D34" t="str">
        <f>IF($Z34="","",INDEX(KRI!$E:$E,$Z34)&amp;"")</f>
        <v>n</v>
      </c>
      <c r="E34">
        <f>IF($Z34="","",IF(INDEX(KRI!$G:$G,$Z34)="","",INDEX(KRI!$G:$G,$Z34)))</f>
        <v>2</v>
      </c>
      <c r="F34">
        <f>IF($Z34="","",IF(INDEX(KRI!$H:$H,$Z34)="","",INDEX(KRI!$H:$H,$Z34)))</f>
        <v>6</v>
      </c>
      <c r="G34">
        <f>IF($Z34="","",IF(INDEX(KRI!$I:$I,$Z34)="","",INDEX(KRI!$I:$I,$Z34)))</f>
        <v>4</v>
      </c>
      <c r="H34" s="66">
        <f>IF($Z34="","",IF(INDEX(KRI!$J:$J,$Z34)="","",INDEX(KRI!$J:$J,$Z34)))</f>
        <v>46295</v>
      </c>
      <c r="I34" t="str">
        <f>IF($Z34="","",INDEX(KRI!$M:$M,$Z34)&amp;"")</f>
        <v>Ambra</v>
      </c>
      <c r="J34">
        <f t="shared" si="0"/>
        <v>3</v>
      </c>
      <c r="K34" t="str">
        <f t="shared" si="1"/>
        <v>▲ peggiora</v>
      </c>
      <c r="Z34">
        <f>IFERROR(_xlfn.AGGREGATE(15,6,ROW(KRI_Ciclo)/((KRI_Ciclo=cicloCorrente)*(KRI_In_Vigore="Sì")),28),"")</f>
        <v>133</v>
      </c>
      <c r="AB34" t="str">
        <f>IFERROR(INDEX(KRI_KRI_ID,_xlfn.AGGREGATE(15,6,(ROW(KRI_KRI_ID)-5)/((KRI_Ciclo_Definizione=KRI_Ciclo)*(KRI_KRI_ID&lt;&gt;"")),23)),"")</f>
        <v>NFR-11-K2</v>
      </c>
    </row>
    <row r="35" spans="1:28" x14ac:dyDescent="0.4">
      <c r="A35" t="str">
        <f>IF($Z35="","",INDEX(KRI!$B:$B,$Z35)&amp;"")</f>
        <v>NFR-10-K3</v>
      </c>
      <c r="B35" t="str">
        <f>IF($Z35="","",INDEX(KRI!$C:$C,$Z35)&amp;"")</f>
        <v>NFR-10</v>
      </c>
      <c r="C35" t="str">
        <f>IF($Z35="","",INDEX(KRI!$D:$D,$Z35)&amp;"")</f>
        <v>Quota di risposte del chatbot non campionate dal controllo qualita'</v>
      </c>
      <c r="D35" t="str">
        <f>IF($Z35="","",INDEX(KRI!$E:$E,$Z35)&amp;"")</f>
        <v>%</v>
      </c>
      <c r="E35">
        <f>IF($Z35="","",IF(INDEX(KRI!$G:$G,$Z35)="","",INDEX(KRI!$G:$G,$Z35)))</f>
        <v>20</v>
      </c>
      <c r="F35">
        <f>IF($Z35="","",IF(INDEX(KRI!$H:$H,$Z35)="","",INDEX(KRI!$H:$H,$Z35)))</f>
        <v>50</v>
      </c>
      <c r="G35">
        <f>IF($Z35="","",IF(INDEX(KRI!$I:$I,$Z35)="","",INDEX(KRI!$I:$I,$Z35)))</f>
        <v>45</v>
      </c>
      <c r="H35" s="66">
        <f>IF($Z35="","",IF(INDEX(KRI!$J:$J,$Z35)="","",INDEX(KRI!$J:$J,$Z35)))</f>
        <v>46295</v>
      </c>
      <c r="I35" t="str">
        <f>IF($Z35="","",INDEX(KRI!$M:$M,$Z35)&amp;"")</f>
        <v>Ambra</v>
      </c>
      <c r="J35">
        <f t="shared" si="0"/>
        <v>60</v>
      </c>
      <c r="K35" t="str">
        <f t="shared" si="1"/>
        <v>▼ migliora</v>
      </c>
      <c r="Z35">
        <f>IFERROR(_xlfn.AGGREGATE(15,6,ROW(KRI_Ciclo)/((KRI_Ciclo=cicloCorrente)*(KRI_In_Vigore="Sì")),29),"")</f>
        <v>134</v>
      </c>
      <c r="AB35" t="str">
        <f>IFERROR(INDEX(KRI_KRI_ID,_xlfn.AGGREGATE(15,6,(ROW(KRI_KRI_ID)-5)/((KRI_Ciclo_Definizione=KRI_Ciclo)*(KRI_KRI_ID&lt;&gt;"")),24)),"")</f>
        <v>NFR-11-K3</v>
      </c>
    </row>
    <row r="36" spans="1:28" x14ac:dyDescent="0.4">
      <c r="A36" t="str">
        <f>IF($Z36="","",INDEX(KRI!$B:$B,$Z36)&amp;"")</f>
        <v>NFR-11-K1</v>
      </c>
      <c r="B36" t="str">
        <f>IF($Z36="","",INDEX(KRI!$C:$C,$Z36)&amp;"")</f>
        <v>NFR-11</v>
      </c>
      <c r="C36" t="str">
        <f>IF($Z36="","",INDEX(KRI!$D:$D,$Z36)&amp;"")</f>
        <v>Componenti del sistema di pagamento fuori supporto</v>
      </c>
      <c r="D36" t="str">
        <f>IF($Z36="","",INDEX(KRI!$E:$E,$Z36)&amp;"")</f>
        <v>n</v>
      </c>
      <c r="E36">
        <f>IF($Z36="","",IF(INDEX(KRI!$G:$G,$Z36)="","",INDEX(KRI!$G:$G,$Z36)))</f>
        <v>3</v>
      </c>
      <c r="F36">
        <f>IF($Z36="","",IF(INDEX(KRI!$H:$H,$Z36)="","",INDEX(KRI!$H:$H,$Z36)))</f>
        <v>8</v>
      </c>
      <c r="G36">
        <f>IF($Z36="","",IF(INDEX(KRI!$I:$I,$Z36)="","",INDEX(KRI!$I:$I,$Z36)))</f>
        <v>6</v>
      </c>
      <c r="H36" s="66">
        <f>IF($Z36="","",IF(INDEX(KRI!$J:$J,$Z36)="","",INDEX(KRI!$J:$J,$Z36)))</f>
        <v>46295</v>
      </c>
      <c r="I36" t="str">
        <f>IF($Z36="","",INDEX(KRI!$M:$M,$Z36)&amp;"")</f>
        <v>Ambra</v>
      </c>
      <c r="J36">
        <f t="shared" si="0"/>
        <v>7</v>
      </c>
      <c r="K36" t="str">
        <f t="shared" si="1"/>
        <v>▼ migliora</v>
      </c>
      <c r="Z36">
        <f>IFERROR(_xlfn.AGGREGATE(15,6,ROW(KRI_Ciclo)/((KRI_Ciclo=cicloCorrente)*(KRI_In_Vigore="Sì")),30),"")</f>
        <v>135</v>
      </c>
      <c r="AB36" t="str">
        <f>IFERROR(INDEX(KRI_KRI_ID,_xlfn.AGGREGATE(15,6,(ROW(KRI_KRI_ID)-5)/((KRI_Ciclo_Definizione=KRI_Ciclo)*(KRI_KRI_ID&lt;&gt;"")),25)),"")</f>
        <v>NFR-12-K1</v>
      </c>
    </row>
    <row r="37" spans="1:28" x14ac:dyDescent="0.4">
      <c r="A37" t="str">
        <f>IF($Z37="","",INDEX(KRI!$B:$B,$Z37)&amp;"")</f>
        <v>NFR-11-K2</v>
      </c>
      <c r="B37" t="str">
        <f>IF($Z37="","",INDEX(KRI!$C:$C,$Z37)&amp;"")</f>
        <v>NFR-11</v>
      </c>
      <c r="C37" t="str">
        <f>IF($Z37="","",INDEX(KRI!$D:$D,$Z37)&amp;"")</f>
        <v>Vulnerabilita' senza patch disponibile sui sistemi legacy</v>
      </c>
      <c r="D37" t="str">
        <f>IF($Z37="","",INDEX(KRI!$E:$E,$Z37)&amp;"")</f>
        <v>n</v>
      </c>
      <c r="E37">
        <f>IF($Z37="","",IF(INDEX(KRI!$G:$G,$Z37)="","",INDEX(KRI!$G:$G,$Z37)))</f>
        <v>2</v>
      </c>
      <c r="F37">
        <f>IF($Z37="","",IF(INDEX(KRI!$H:$H,$Z37)="","",INDEX(KRI!$H:$H,$Z37)))</f>
        <v>6</v>
      </c>
      <c r="G37">
        <f>IF($Z37="","",IF(INDEX(KRI!$I:$I,$Z37)="","",INDEX(KRI!$I:$I,$Z37)))</f>
        <v>5</v>
      </c>
      <c r="H37" s="66">
        <f>IF($Z37="","",IF(INDEX(KRI!$J:$J,$Z37)="","",INDEX(KRI!$J:$J,$Z37)))</f>
        <v>46295</v>
      </c>
      <c r="I37" t="str">
        <f>IF($Z37="","",INDEX(KRI!$M:$M,$Z37)&amp;"")</f>
        <v>Ambra</v>
      </c>
      <c r="J37">
        <f t="shared" si="0"/>
        <v>5</v>
      </c>
      <c r="K37" t="str">
        <f t="shared" si="1"/>
        <v>● invariato</v>
      </c>
      <c r="Z37">
        <f>IFERROR(_xlfn.AGGREGATE(15,6,ROW(KRI_Ciclo)/((KRI_Ciclo=cicloCorrente)*(KRI_In_Vigore="Sì")),31),"")</f>
        <v>136</v>
      </c>
      <c r="AB37" t="str">
        <f>IFERROR(INDEX(KRI_KRI_ID,_xlfn.AGGREGATE(15,6,(ROW(KRI_KRI_ID)-5)/((KRI_Ciclo_Definizione=KRI_Ciclo)*(KRI_KRI_ID&lt;&gt;"")),26)),"")</f>
        <v>NFR-12-K2</v>
      </c>
    </row>
    <row r="38" spans="1:28" x14ac:dyDescent="0.4">
      <c r="A38" t="str">
        <f>IF($Z38="","",INDEX(KRI!$B:$B,$Z38)&amp;"")</f>
        <v>NFR-11-K3</v>
      </c>
      <c r="B38" t="str">
        <f>IF($Z38="","",INDEX(KRI!$C:$C,$Z38)&amp;"")</f>
        <v>NFR-11</v>
      </c>
      <c r="C38" t="str">
        <f>IF($Z38="","",INDEX(KRI!$D:$D,$Z38)&amp;"")</f>
        <v>Presidi della piattaforma legacy coperti da una sola persona</v>
      </c>
      <c r="D38" t="str">
        <f>IF($Z38="","",INDEX(KRI!$E:$E,$Z38)&amp;"")</f>
        <v>n</v>
      </c>
      <c r="E38">
        <f>IF($Z38="","",IF(INDEX(KRI!$G:$G,$Z38)="","",INDEX(KRI!$G:$G,$Z38)))</f>
        <v>1</v>
      </c>
      <c r="F38">
        <f>IF($Z38="","",IF(INDEX(KRI!$H:$H,$Z38)="","",INDEX(KRI!$H:$H,$Z38)))</f>
        <v>3</v>
      </c>
      <c r="G38">
        <f>IF($Z38="","",IF(INDEX(KRI!$I:$I,$Z38)="","",INDEX(KRI!$I:$I,$Z38)))</f>
        <v>2</v>
      </c>
      <c r="H38" s="66">
        <f>IF($Z38="","",IF(INDEX(KRI!$J:$J,$Z38)="","",INDEX(KRI!$J:$J,$Z38)))</f>
        <v>46295</v>
      </c>
      <c r="I38" t="str">
        <f>IF($Z38="","",INDEX(KRI!$M:$M,$Z38)&amp;"")</f>
        <v>Ambra</v>
      </c>
      <c r="J38">
        <f t="shared" si="0"/>
        <v>2</v>
      </c>
      <c r="K38" t="str">
        <f t="shared" si="1"/>
        <v>● invariato</v>
      </c>
      <c r="Z38">
        <f>IFERROR(_xlfn.AGGREGATE(15,6,ROW(KRI_Ciclo)/((KRI_Ciclo=cicloCorrente)*(KRI_In_Vigore="Sì")),32),"")</f>
        <v>137</v>
      </c>
      <c r="AB38" t="str">
        <f>IFERROR(INDEX(KRI_KRI_ID,_xlfn.AGGREGATE(15,6,(ROW(KRI_KRI_ID)-5)/((KRI_Ciclo_Definizione=KRI_Ciclo)*(KRI_KRI_ID&lt;&gt;"")),27)),"")</f>
        <v>NFR-12-K3</v>
      </c>
    </row>
    <row r="39" spans="1:28" x14ac:dyDescent="0.4">
      <c r="A39" t="str">
        <f>IF($Z39="","",INDEX(KRI!$B:$B,$Z39)&amp;"")</f>
        <v>NFR-12-K1</v>
      </c>
      <c r="B39" t="str">
        <f>IF($Z39="","",INDEX(KRI!$C:$C,$Z39)&amp;"")</f>
        <v>NFR-12</v>
      </c>
      <c r="C39" t="str">
        <f>IF($Z39="","",INDEX(KRI!$D:$D,$Z39)&amp;"")</f>
        <v>Differenze di riconciliazione sui bonifici istantanei aperte oltre 1 giorno</v>
      </c>
      <c r="D39" t="str">
        <f>IF($Z39="","",INDEX(KRI!$E:$E,$Z39)&amp;"")</f>
        <v>n</v>
      </c>
      <c r="E39">
        <f>IF($Z39="","",IF(INDEX(KRI!$G:$G,$Z39)="","",INDEX(KRI!$G:$G,$Z39)))</f>
        <v>10</v>
      </c>
      <c r="F39">
        <f>IF($Z39="","",IF(INDEX(KRI!$H:$H,$Z39)="","",INDEX(KRI!$H:$H,$Z39)))</f>
        <v>30</v>
      </c>
      <c r="G39">
        <f>IF($Z39="","",IF(INDEX(KRI!$I:$I,$Z39)="","",INDEX(KRI!$I:$I,$Z39)))</f>
        <v>12</v>
      </c>
      <c r="H39" s="66">
        <f>IF($Z39="","",IF(INDEX(KRI!$J:$J,$Z39)="","",INDEX(KRI!$J:$J,$Z39)))</f>
        <v>46295</v>
      </c>
      <c r="I39" t="str">
        <f>IF($Z39="","",INDEX(KRI!$M:$M,$Z39)&amp;"")</f>
        <v>Ambra</v>
      </c>
      <c r="J39">
        <f t="shared" ref="J39:J66" si="9">IF($A39="","",IF(COUNTIFS(KRI_KRI_ID,$A39,KRI_Ciclo,cicloPrecedente,KRI_Valore_Corrente,"&lt;&gt;")=0,"—",SUMIFS(KRI_Valore_Corrente,KRI_KRI_ID,$A39,KRI_Ciclo,cicloPrecedente)))</f>
        <v>14</v>
      </c>
      <c r="K39" t="str">
        <f t="shared" ref="K39:K66" si="10">IF(OR(G39="",NOT(ISNUMBER(J39))),"",IF(G39&gt;J39,"▲ peggiora",IF(G39&lt;J39,"▼ migliora","● invariato")))</f>
        <v>▼ migliora</v>
      </c>
      <c r="Z39">
        <f>IFERROR(_xlfn.AGGREGATE(15,6,ROW(KRI_Ciclo)/((KRI_Ciclo=cicloCorrente)*(KRI_In_Vigore="Sì")),33),"")</f>
        <v>138</v>
      </c>
      <c r="AB39" t="str">
        <f>IFERROR(INDEX(KRI_KRI_ID,_xlfn.AGGREGATE(15,6,(ROW(KRI_KRI_ID)-5)/((KRI_Ciclo_Definizione=KRI_Ciclo)*(KRI_KRI_ID&lt;&gt;"")),28)),"")</f>
        <v>NFR-06-K1</v>
      </c>
    </row>
    <row r="40" spans="1:28" x14ac:dyDescent="0.4">
      <c r="A40" t="str">
        <f>IF($Z40="","",INDEX(KRI!$B:$B,$Z40)&amp;"")</f>
        <v>NFR-12-K2</v>
      </c>
      <c r="B40" t="str">
        <f>IF($Z40="","",INDEX(KRI!$C:$C,$Z40)&amp;"")</f>
        <v>NFR-12</v>
      </c>
      <c r="C40" t="str">
        <f>IF($Z40="","",INDEX(KRI!$D:$D,$Z40)&amp;"")</f>
        <v>Rimborsi indebiti per errori di esecuzione nel trimestre</v>
      </c>
      <c r="D40" t="str">
        <f>IF($Z40="","",INDEX(KRI!$E:$E,$Z40)&amp;"")</f>
        <v>n</v>
      </c>
      <c r="E40">
        <f>IF($Z40="","",IF(INDEX(KRI!$G:$G,$Z40)="","",INDEX(KRI!$G:$G,$Z40)))</f>
        <v>3</v>
      </c>
      <c r="F40">
        <f>IF($Z40="","",IF(INDEX(KRI!$H:$H,$Z40)="","",INDEX(KRI!$H:$H,$Z40)))</f>
        <v>10</v>
      </c>
      <c r="G40">
        <f>IF($Z40="","",IF(INDEX(KRI!$I:$I,$Z40)="","",INDEX(KRI!$I:$I,$Z40)))</f>
        <v>4</v>
      </c>
      <c r="H40" s="66">
        <f>IF($Z40="","",IF(INDEX(KRI!$J:$J,$Z40)="","",INDEX(KRI!$J:$J,$Z40)))</f>
        <v>46295</v>
      </c>
      <c r="I40" t="str">
        <f>IF($Z40="","",INDEX(KRI!$M:$M,$Z40)&amp;"")</f>
        <v>Ambra</v>
      </c>
      <c r="J40">
        <f t="shared" si="9"/>
        <v>5</v>
      </c>
      <c r="K40" t="str">
        <f t="shared" si="10"/>
        <v>▼ migliora</v>
      </c>
      <c r="Z40">
        <f>IFERROR(_xlfn.AGGREGATE(15,6,ROW(KRI_Ciclo)/((KRI_Ciclo=cicloCorrente)*(KRI_In_Vigore="Sì")),34),"")</f>
        <v>139</v>
      </c>
      <c r="AB40" t="str">
        <f>IFERROR(INDEX(KRI_KRI_ID,_xlfn.AGGREGATE(15,6,(ROW(KRI_KRI_ID)-5)/((KRI_Ciclo_Definizione=KRI_Ciclo)*(KRI_KRI_ID&lt;&gt;"")),29)),"")</f>
        <v>NFR-06-K2</v>
      </c>
    </row>
    <row r="41" spans="1:28" x14ac:dyDescent="0.4">
      <c r="A41" t="str">
        <f>IF($Z41="","",INDEX(KRI!$B:$B,$Z41)&amp;"")</f>
        <v>NFR-12-K3</v>
      </c>
      <c r="B41" t="str">
        <f>IF($Z41="","",INDEX(KRI!$C:$C,$Z41)&amp;"")</f>
        <v>NFR-12</v>
      </c>
      <c r="C41" t="str">
        <f>IF($Z41="","",INDEX(KRI!$D:$D,$Z41)&amp;"")</f>
        <v>Tempo medio di risoluzione delle eccezioni sui pagamenti istantanei</v>
      </c>
      <c r="D41" t="str">
        <f>IF($Z41="","",INDEX(KRI!$E:$E,$Z41)&amp;"")</f>
        <v>ore</v>
      </c>
      <c r="E41">
        <f>IF($Z41="","",IF(INDEX(KRI!$G:$G,$Z41)="","",INDEX(KRI!$G:$G,$Z41)))</f>
        <v>4</v>
      </c>
      <c r="F41">
        <f>IF($Z41="","",IF(INDEX(KRI!$H:$H,$Z41)="","",INDEX(KRI!$H:$H,$Z41)))</f>
        <v>12</v>
      </c>
      <c r="G41">
        <f>IF($Z41="","",IF(INDEX(KRI!$I:$I,$Z41)="","",INDEX(KRI!$I:$I,$Z41)))</f>
        <v>4.5</v>
      </c>
      <c r="H41" s="66">
        <f>IF($Z41="","",IF(INDEX(KRI!$J:$J,$Z41)="","",INDEX(KRI!$J:$J,$Z41)))</f>
        <v>46295</v>
      </c>
      <c r="I41" t="str">
        <f>IF($Z41="","",INDEX(KRI!$M:$M,$Z41)&amp;"")</f>
        <v>Ambra</v>
      </c>
      <c r="J41">
        <f t="shared" si="9"/>
        <v>5</v>
      </c>
      <c r="K41" t="str">
        <f t="shared" si="10"/>
        <v>▼ migliora</v>
      </c>
      <c r="Z41">
        <f>IFERROR(_xlfn.AGGREGATE(15,6,ROW(KRI_Ciclo)/((KRI_Ciclo=cicloCorrente)*(KRI_In_Vigore="Sì")),35),"")</f>
        <v>140</v>
      </c>
      <c r="AB41" t="str">
        <f>IFERROR(INDEX(KRI_KRI_ID,_xlfn.AGGREGATE(15,6,(ROW(KRI_KRI_ID)-5)/((KRI_Ciclo_Definizione=KRI_Ciclo)*(KRI_KRI_ID&lt;&gt;"")),30)),"")</f>
        <v>NFR-06-K3</v>
      </c>
    </row>
    <row r="42" spans="1:28" x14ac:dyDescent="0.4">
      <c r="A42" t="str">
        <f>IF($Z42="","",INDEX(KRI!$B:$B,$Z42)&amp;"")</f>
        <v>NFR-02-K4</v>
      </c>
      <c r="B42" t="str">
        <f>IF($Z42="","",INDEX(KRI!$C:$C,$Z42)&amp;"")</f>
        <v>NFR-02</v>
      </c>
      <c r="C42" t="str">
        <f>IF($Z42="","",INDEX(KRI!$D:$D,$Z42)&amp;"")</f>
        <v>Servizi critici senza piano di uscita testato negli ultimi 12 mesi</v>
      </c>
      <c r="D42" t="str">
        <f>IF($Z42="","",INDEX(KRI!$E:$E,$Z42)&amp;"")</f>
        <v>n</v>
      </c>
      <c r="E42">
        <f>IF($Z42="","",IF(INDEX(KRI!$G:$G,$Z42)="","",INDEX(KRI!$G:$G,$Z42)))</f>
        <v>1</v>
      </c>
      <c r="F42">
        <f>IF($Z42="","",IF(INDEX(KRI!$H:$H,$Z42)="","",INDEX(KRI!$H:$H,$Z42)))</f>
        <v>2</v>
      </c>
      <c r="G42" t="str">
        <f>IF($Z42="","",IF(INDEX(KRI!$I:$I,$Z42)="","",INDEX(KRI!$I:$I,$Z42)))</f>
        <v/>
      </c>
      <c r="H42" s="66" t="str">
        <f>IF($Z42="","",IF(INDEX(KRI!$J:$J,$Z42)="","",INDEX(KRI!$J:$J,$Z42)))</f>
        <v/>
      </c>
      <c r="I42" t="str">
        <f>IF($Z42="","",INDEX(KRI!$M:$M,$Z42)&amp;"")</f>
        <v>Non rilevato</v>
      </c>
      <c r="J42" t="str">
        <f t="shared" si="9"/>
        <v>—</v>
      </c>
      <c r="K42" t="str">
        <f t="shared" si="10"/>
        <v/>
      </c>
      <c r="Z42">
        <f>IFERROR(_xlfn.AGGREGATE(15,6,ROW(KRI_Ciclo)/((KRI_Ciclo=cicloCorrente)*(KRI_In_Vigore="Sì")),36),"")</f>
        <v>141</v>
      </c>
      <c r="AB42" t="str">
        <f>IFERROR(INDEX(KRI_KRI_ID,_xlfn.AGGREGATE(15,6,(ROW(KRI_KRI_ID)-5)/((KRI_Ciclo_Definizione=KRI_Ciclo)*(KRI_KRI_ID&lt;&gt;"")),31)),"")</f>
        <v>NFR-09-K1</v>
      </c>
    </row>
    <row r="43" spans="1:28" x14ac:dyDescent="0.4">
      <c r="A43" t="str">
        <f>IF($Z43="","",INDEX(KRI!$B:$B,$Z43)&amp;"")</f>
        <v/>
      </c>
      <c r="B43" t="str">
        <f>IF($Z43="","",INDEX(KRI!$C:$C,$Z43)&amp;"")</f>
        <v/>
      </c>
      <c r="C43" t="str">
        <f>IF($Z43="","",INDEX(KRI!$D:$D,$Z43)&amp;"")</f>
        <v/>
      </c>
      <c r="D43" t="str">
        <f>IF($Z43="","",INDEX(KRI!$E:$E,$Z43)&amp;"")</f>
        <v/>
      </c>
      <c r="E43" t="str">
        <f>IF($Z43="","",IF(INDEX(KRI!$G:$G,$Z43)="","",INDEX(KRI!$G:$G,$Z43)))</f>
        <v/>
      </c>
      <c r="F43" t="str">
        <f>IF($Z43="","",IF(INDEX(KRI!$H:$H,$Z43)="","",INDEX(KRI!$H:$H,$Z43)))</f>
        <v/>
      </c>
      <c r="G43" t="str">
        <f>IF($Z43="","",IF(INDEX(KRI!$I:$I,$Z43)="","",INDEX(KRI!$I:$I,$Z43)))</f>
        <v/>
      </c>
      <c r="H43" s="66" t="str">
        <f>IF($Z43="","",IF(INDEX(KRI!$J:$J,$Z43)="","",INDEX(KRI!$J:$J,$Z43)))</f>
        <v/>
      </c>
      <c r="I43" t="str">
        <f>IF($Z43="","",INDEX(KRI!$M:$M,$Z43)&amp;"")</f>
        <v/>
      </c>
      <c r="J43" t="str">
        <f t="shared" si="9"/>
        <v/>
      </c>
      <c r="K43" t="str">
        <f t="shared" si="10"/>
        <v/>
      </c>
      <c r="Z43" t="str">
        <f>IFERROR(_xlfn.AGGREGATE(15,6,ROW(KRI_Ciclo)/((KRI_Ciclo=cicloCorrente)*(KRI_In_Vigore="Sì")),37),"")</f>
        <v/>
      </c>
      <c r="AB43" t="str">
        <f>IFERROR(INDEX(KRI_KRI_ID,_xlfn.AGGREGATE(15,6,(ROW(KRI_KRI_ID)-5)/((KRI_Ciclo_Definizione=KRI_Ciclo)*(KRI_KRI_ID&lt;&gt;"")),32)),"")</f>
        <v>NFR-09-K2</v>
      </c>
    </row>
    <row r="44" spans="1:28" x14ac:dyDescent="0.4">
      <c r="A44" t="str">
        <f>IF($Z44="","",INDEX(KRI!$B:$B,$Z44)&amp;"")</f>
        <v/>
      </c>
      <c r="B44" t="str">
        <f>IF($Z44="","",INDEX(KRI!$C:$C,$Z44)&amp;"")</f>
        <v/>
      </c>
      <c r="C44" t="str">
        <f>IF($Z44="","",INDEX(KRI!$D:$D,$Z44)&amp;"")</f>
        <v/>
      </c>
      <c r="D44" t="str">
        <f>IF($Z44="","",INDEX(KRI!$E:$E,$Z44)&amp;"")</f>
        <v/>
      </c>
      <c r="E44" t="str">
        <f>IF($Z44="","",IF(INDEX(KRI!$G:$G,$Z44)="","",INDEX(KRI!$G:$G,$Z44)))</f>
        <v/>
      </c>
      <c r="F44" t="str">
        <f>IF($Z44="","",IF(INDEX(KRI!$H:$H,$Z44)="","",INDEX(KRI!$H:$H,$Z44)))</f>
        <v/>
      </c>
      <c r="G44" t="str">
        <f>IF($Z44="","",IF(INDEX(KRI!$I:$I,$Z44)="","",INDEX(KRI!$I:$I,$Z44)))</f>
        <v/>
      </c>
      <c r="H44" s="66" t="str">
        <f>IF($Z44="","",IF(INDEX(KRI!$J:$J,$Z44)="","",INDEX(KRI!$J:$J,$Z44)))</f>
        <v/>
      </c>
      <c r="I44" t="str">
        <f>IF($Z44="","",INDEX(KRI!$M:$M,$Z44)&amp;"")</f>
        <v/>
      </c>
      <c r="J44" t="str">
        <f t="shared" si="9"/>
        <v/>
      </c>
      <c r="K44" t="str">
        <f t="shared" si="10"/>
        <v/>
      </c>
      <c r="Z44" t="str">
        <f>IFERROR(_xlfn.AGGREGATE(15,6,ROW(KRI_Ciclo)/((KRI_Ciclo=cicloCorrente)*(KRI_In_Vigore="Sì")),38),"")</f>
        <v/>
      </c>
      <c r="AB44" t="str">
        <f>IFERROR(INDEX(KRI_KRI_ID,_xlfn.AGGREGATE(15,6,(ROW(KRI_KRI_ID)-5)/((KRI_Ciclo_Definizione=KRI_Ciclo)*(KRI_KRI_ID&lt;&gt;"")),33)),"")</f>
        <v>NFR-09-K3</v>
      </c>
    </row>
    <row r="45" spans="1:28" x14ac:dyDescent="0.4">
      <c r="A45" t="str">
        <f>IF($Z45="","",INDEX(KRI!$B:$B,$Z45)&amp;"")</f>
        <v/>
      </c>
      <c r="B45" t="str">
        <f>IF($Z45="","",INDEX(KRI!$C:$C,$Z45)&amp;"")</f>
        <v/>
      </c>
      <c r="C45" t="str">
        <f>IF($Z45="","",INDEX(KRI!$D:$D,$Z45)&amp;"")</f>
        <v/>
      </c>
      <c r="D45" t="str">
        <f>IF($Z45="","",INDEX(KRI!$E:$E,$Z45)&amp;"")</f>
        <v/>
      </c>
      <c r="E45" t="str">
        <f>IF($Z45="","",IF(INDEX(KRI!$G:$G,$Z45)="","",INDEX(KRI!$G:$G,$Z45)))</f>
        <v/>
      </c>
      <c r="F45" t="str">
        <f>IF($Z45="","",IF(INDEX(KRI!$H:$H,$Z45)="","",INDEX(KRI!$H:$H,$Z45)))</f>
        <v/>
      </c>
      <c r="G45" t="str">
        <f>IF($Z45="","",IF(INDEX(KRI!$I:$I,$Z45)="","",INDEX(KRI!$I:$I,$Z45)))</f>
        <v/>
      </c>
      <c r="H45" s="66" t="str">
        <f>IF($Z45="","",IF(INDEX(KRI!$J:$J,$Z45)="","",INDEX(KRI!$J:$J,$Z45)))</f>
        <v/>
      </c>
      <c r="I45" t="str">
        <f>IF($Z45="","",INDEX(KRI!$M:$M,$Z45)&amp;"")</f>
        <v/>
      </c>
      <c r="J45" t="str">
        <f t="shared" si="9"/>
        <v/>
      </c>
      <c r="K45" t="str">
        <f t="shared" si="10"/>
        <v/>
      </c>
      <c r="Z45" t="str">
        <f>IFERROR(_xlfn.AGGREGATE(15,6,ROW(KRI_Ciclo)/((KRI_Ciclo=cicloCorrente)*(KRI_In_Vigore="Sì")),39),"")</f>
        <v/>
      </c>
      <c r="AB45" t="str">
        <f>IFERROR(INDEX(KRI_KRI_ID,_xlfn.AGGREGATE(15,6,(ROW(KRI_KRI_ID)-5)/((KRI_Ciclo_Definizione=KRI_Ciclo)*(KRI_KRI_ID&lt;&gt;"")),34)),"")</f>
        <v>NFR-10-K1</v>
      </c>
    </row>
    <row r="46" spans="1:28" x14ac:dyDescent="0.4">
      <c r="A46" t="str">
        <f>IF($Z46="","",INDEX(KRI!$B:$B,$Z46)&amp;"")</f>
        <v/>
      </c>
      <c r="B46" t="str">
        <f>IF($Z46="","",INDEX(KRI!$C:$C,$Z46)&amp;"")</f>
        <v/>
      </c>
      <c r="C46" t="str">
        <f>IF($Z46="","",INDEX(KRI!$D:$D,$Z46)&amp;"")</f>
        <v/>
      </c>
      <c r="D46" t="str">
        <f>IF($Z46="","",INDEX(KRI!$E:$E,$Z46)&amp;"")</f>
        <v/>
      </c>
      <c r="E46" t="str">
        <f>IF($Z46="","",IF(INDEX(KRI!$G:$G,$Z46)="","",INDEX(KRI!$G:$G,$Z46)))</f>
        <v/>
      </c>
      <c r="F46" t="str">
        <f>IF($Z46="","",IF(INDEX(KRI!$H:$H,$Z46)="","",INDEX(KRI!$H:$H,$Z46)))</f>
        <v/>
      </c>
      <c r="G46" t="str">
        <f>IF($Z46="","",IF(INDEX(KRI!$I:$I,$Z46)="","",INDEX(KRI!$I:$I,$Z46)))</f>
        <v/>
      </c>
      <c r="H46" s="66" t="str">
        <f>IF($Z46="","",IF(INDEX(KRI!$J:$J,$Z46)="","",INDEX(KRI!$J:$J,$Z46)))</f>
        <v/>
      </c>
      <c r="I46" t="str">
        <f>IF($Z46="","",INDEX(KRI!$M:$M,$Z46)&amp;"")</f>
        <v/>
      </c>
      <c r="J46" t="str">
        <f t="shared" si="9"/>
        <v/>
      </c>
      <c r="K46" t="str">
        <f t="shared" si="10"/>
        <v/>
      </c>
      <c r="Z46" t="str">
        <f>IFERROR(_xlfn.AGGREGATE(15,6,ROW(KRI_Ciclo)/((KRI_Ciclo=cicloCorrente)*(KRI_In_Vigore="Sì")),40),"")</f>
        <v/>
      </c>
      <c r="AB46" t="str">
        <f>IFERROR(INDEX(KRI_KRI_ID,_xlfn.AGGREGATE(15,6,(ROW(KRI_KRI_ID)-5)/((KRI_Ciclo_Definizione=KRI_Ciclo)*(KRI_KRI_ID&lt;&gt;"")),35)),"")</f>
        <v>NFR-10-K2</v>
      </c>
    </row>
    <row r="47" spans="1:28" x14ac:dyDescent="0.4">
      <c r="A47" t="str">
        <f>IF($Z47="","",INDEX(KRI!$B:$B,$Z47)&amp;"")</f>
        <v/>
      </c>
      <c r="B47" t="str">
        <f>IF($Z47="","",INDEX(KRI!$C:$C,$Z47)&amp;"")</f>
        <v/>
      </c>
      <c r="C47" t="str">
        <f>IF($Z47="","",INDEX(KRI!$D:$D,$Z47)&amp;"")</f>
        <v/>
      </c>
      <c r="D47" t="str">
        <f>IF($Z47="","",INDEX(KRI!$E:$E,$Z47)&amp;"")</f>
        <v/>
      </c>
      <c r="E47" t="str">
        <f>IF($Z47="","",IF(INDEX(KRI!$G:$G,$Z47)="","",INDEX(KRI!$G:$G,$Z47)))</f>
        <v/>
      </c>
      <c r="F47" t="str">
        <f>IF($Z47="","",IF(INDEX(KRI!$H:$H,$Z47)="","",INDEX(KRI!$H:$H,$Z47)))</f>
        <v/>
      </c>
      <c r="G47" t="str">
        <f>IF($Z47="","",IF(INDEX(KRI!$I:$I,$Z47)="","",INDEX(KRI!$I:$I,$Z47)))</f>
        <v/>
      </c>
      <c r="H47" s="66" t="str">
        <f>IF($Z47="","",IF(INDEX(KRI!$J:$J,$Z47)="","",INDEX(KRI!$J:$J,$Z47)))</f>
        <v/>
      </c>
      <c r="I47" t="str">
        <f>IF($Z47="","",INDEX(KRI!$M:$M,$Z47)&amp;"")</f>
        <v/>
      </c>
      <c r="J47" t="str">
        <f t="shared" si="9"/>
        <v/>
      </c>
      <c r="K47" t="str">
        <f t="shared" si="10"/>
        <v/>
      </c>
      <c r="Z47" t="str">
        <f>IFERROR(_xlfn.AGGREGATE(15,6,ROW(KRI_Ciclo)/((KRI_Ciclo=cicloCorrente)*(KRI_In_Vigore="Sì")),41),"")</f>
        <v/>
      </c>
      <c r="AB47" t="str">
        <f>IFERROR(INDEX(KRI_KRI_ID,_xlfn.AGGREGATE(15,6,(ROW(KRI_KRI_ID)-5)/((KRI_Ciclo_Definizione=KRI_Ciclo)*(KRI_KRI_ID&lt;&gt;"")),36)),"")</f>
        <v>NFR-10-K3</v>
      </c>
    </row>
    <row r="48" spans="1:28" x14ac:dyDescent="0.4">
      <c r="A48" t="str">
        <f>IF($Z48="","",INDEX(KRI!$B:$B,$Z48)&amp;"")</f>
        <v/>
      </c>
      <c r="B48" t="str">
        <f>IF($Z48="","",INDEX(KRI!$C:$C,$Z48)&amp;"")</f>
        <v/>
      </c>
      <c r="C48" t="str">
        <f>IF($Z48="","",INDEX(KRI!$D:$D,$Z48)&amp;"")</f>
        <v/>
      </c>
      <c r="D48" t="str">
        <f>IF($Z48="","",INDEX(KRI!$E:$E,$Z48)&amp;"")</f>
        <v/>
      </c>
      <c r="E48" t="str">
        <f>IF($Z48="","",IF(INDEX(KRI!$G:$G,$Z48)="","",INDEX(KRI!$G:$G,$Z48)))</f>
        <v/>
      </c>
      <c r="F48" t="str">
        <f>IF($Z48="","",IF(INDEX(KRI!$H:$H,$Z48)="","",INDEX(KRI!$H:$H,$Z48)))</f>
        <v/>
      </c>
      <c r="G48" t="str">
        <f>IF($Z48="","",IF(INDEX(KRI!$I:$I,$Z48)="","",INDEX(KRI!$I:$I,$Z48)))</f>
        <v/>
      </c>
      <c r="H48" s="66" t="str">
        <f>IF($Z48="","",IF(INDEX(KRI!$J:$J,$Z48)="","",INDEX(KRI!$J:$J,$Z48)))</f>
        <v/>
      </c>
      <c r="I48" t="str">
        <f>IF($Z48="","",INDEX(KRI!$M:$M,$Z48)&amp;"")</f>
        <v/>
      </c>
      <c r="J48" t="str">
        <f t="shared" si="9"/>
        <v/>
      </c>
      <c r="K48" t="str">
        <f t="shared" si="10"/>
        <v/>
      </c>
      <c r="Z48" t="str">
        <f>IFERROR(_xlfn.AGGREGATE(15,6,ROW(KRI_Ciclo)/((KRI_Ciclo=cicloCorrente)*(KRI_In_Vigore="Sì")),42),"")</f>
        <v/>
      </c>
      <c r="AB48" t="str">
        <f>IFERROR(INDEX(KRI_KRI_ID,_xlfn.AGGREGATE(15,6,(ROW(KRI_KRI_ID)-5)/((KRI_Ciclo_Definizione=KRI_Ciclo)*(KRI_KRI_ID&lt;&gt;"")),37)),"")</f>
        <v>NFR-02-K4</v>
      </c>
    </row>
    <row r="49" spans="1:28" x14ac:dyDescent="0.4">
      <c r="A49" t="str">
        <f>IF($Z49="","",INDEX(KRI!$B:$B,$Z49)&amp;"")</f>
        <v/>
      </c>
      <c r="B49" t="str">
        <f>IF($Z49="","",INDEX(KRI!$C:$C,$Z49)&amp;"")</f>
        <v/>
      </c>
      <c r="C49" t="str">
        <f>IF($Z49="","",INDEX(KRI!$D:$D,$Z49)&amp;"")</f>
        <v/>
      </c>
      <c r="D49" t="str">
        <f>IF($Z49="","",INDEX(KRI!$E:$E,$Z49)&amp;"")</f>
        <v/>
      </c>
      <c r="E49" t="str">
        <f>IF($Z49="","",IF(INDEX(KRI!$G:$G,$Z49)="","",INDEX(KRI!$G:$G,$Z49)))</f>
        <v/>
      </c>
      <c r="F49" t="str">
        <f>IF($Z49="","",IF(INDEX(KRI!$H:$H,$Z49)="","",INDEX(KRI!$H:$H,$Z49)))</f>
        <v/>
      </c>
      <c r="G49" t="str">
        <f>IF($Z49="","",IF(INDEX(KRI!$I:$I,$Z49)="","",INDEX(KRI!$I:$I,$Z49)))</f>
        <v/>
      </c>
      <c r="H49" s="66" t="str">
        <f>IF($Z49="","",IF(INDEX(KRI!$J:$J,$Z49)="","",INDEX(KRI!$J:$J,$Z49)))</f>
        <v/>
      </c>
      <c r="I49" t="str">
        <f>IF($Z49="","",INDEX(KRI!$M:$M,$Z49)&amp;"")</f>
        <v/>
      </c>
      <c r="J49" t="str">
        <f t="shared" si="9"/>
        <v/>
      </c>
      <c r="K49" t="str">
        <f t="shared" si="10"/>
        <v/>
      </c>
      <c r="Z49" t="str">
        <f>IFERROR(_xlfn.AGGREGATE(15,6,ROW(KRI_Ciclo)/((KRI_Ciclo=cicloCorrente)*(KRI_In_Vigore="Sì")),43),"")</f>
        <v/>
      </c>
      <c r="AB49" t="str">
        <f>IFERROR(INDEX(KRI_KRI_ID,_xlfn.AGGREGATE(15,6,(ROW(KRI_KRI_ID)-5)/((KRI_Ciclo_Definizione=KRI_Ciclo)*(KRI_KRI_ID&lt;&gt;"")),38)),"")</f>
        <v/>
      </c>
    </row>
    <row r="50" spans="1:28" x14ac:dyDescent="0.4">
      <c r="A50" t="str">
        <f>IF($Z50="","",INDEX(KRI!$B:$B,$Z50)&amp;"")</f>
        <v/>
      </c>
      <c r="B50" t="str">
        <f>IF($Z50="","",INDEX(KRI!$C:$C,$Z50)&amp;"")</f>
        <v/>
      </c>
      <c r="C50" t="str">
        <f>IF($Z50="","",INDEX(KRI!$D:$D,$Z50)&amp;"")</f>
        <v/>
      </c>
      <c r="D50" t="str">
        <f>IF($Z50="","",INDEX(KRI!$E:$E,$Z50)&amp;"")</f>
        <v/>
      </c>
      <c r="E50" t="str">
        <f>IF($Z50="","",IF(INDEX(KRI!$G:$G,$Z50)="","",INDEX(KRI!$G:$G,$Z50)))</f>
        <v/>
      </c>
      <c r="F50" t="str">
        <f>IF($Z50="","",IF(INDEX(KRI!$H:$H,$Z50)="","",INDEX(KRI!$H:$H,$Z50)))</f>
        <v/>
      </c>
      <c r="G50" t="str">
        <f>IF($Z50="","",IF(INDEX(KRI!$I:$I,$Z50)="","",INDEX(KRI!$I:$I,$Z50)))</f>
        <v/>
      </c>
      <c r="H50" s="66" t="str">
        <f>IF($Z50="","",IF(INDEX(KRI!$J:$J,$Z50)="","",INDEX(KRI!$J:$J,$Z50)))</f>
        <v/>
      </c>
      <c r="I50" t="str">
        <f>IF($Z50="","",INDEX(KRI!$M:$M,$Z50)&amp;"")</f>
        <v/>
      </c>
      <c r="J50" t="str">
        <f t="shared" si="9"/>
        <v/>
      </c>
      <c r="K50" t="str">
        <f t="shared" si="10"/>
        <v/>
      </c>
      <c r="Z50" t="str">
        <f>IFERROR(_xlfn.AGGREGATE(15,6,ROW(KRI_Ciclo)/((KRI_Ciclo=cicloCorrente)*(KRI_In_Vigore="Sì")),44),"")</f>
        <v/>
      </c>
      <c r="AB50" t="str">
        <f>IFERROR(INDEX(KRI_KRI_ID,_xlfn.AGGREGATE(15,6,(ROW(KRI_KRI_ID)-5)/((KRI_Ciclo_Definizione=KRI_Ciclo)*(KRI_KRI_ID&lt;&gt;"")),39)),"")</f>
        <v/>
      </c>
    </row>
    <row r="51" spans="1:28" x14ac:dyDescent="0.4">
      <c r="A51" t="str">
        <f>IF($Z51="","",INDEX(KRI!$B:$B,$Z51)&amp;"")</f>
        <v/>
      </c>
      <c r="B51" t="str">
        <f>IF($Z51="","",INDEX(KRI!$C:$C,$Z51)&amp;"")</f>
        <v/>
      </c>
      <c r="C51" t="str">
        <f>IF($Z51="","",INDEX(KRI!$D:$D,$Z51)&amp;"")</f>
        <v/>
      </c>
      <c r="D51" t="str">
        <f>IF($Z51="","",INDEX(KRI!$E:$E,$Z51)&amp;"")</f>
        <v/>
      </c>
      <c r="E51" t="str">
        <f>IF($Z51="","",IF(INDEX(KRI!$G:$G,$Z51)="","",INDEX(KRI!$G:$G,$Z51)))</f>
        <v/>
      </c>
      <c r="F51" t="str">
        <f>IF($Z51="","",IF(INDEX(KRI!$H:$H,$Z51)="","",INDEX(KRI!$H:$H,$Z51)))</f>
        <v/>
      </c>
      <c r="G51" t="str">
        <f>IF($Z51="","",IF(INDEX(KRI!$I:$I,$Z51)="","",INDEX(KRI!$I:$I,$Z51)))</f>
        <v/>
      </c>
      <c r="H51" s="66" t="str">
        <f>IF($Z51="","",IF(INDEX(KRI!$J:$J,$Z51)="","",INDEX(KRI!$J:$J,$Z51)))</f>
        <v/>
      </c>
      <c r="I51" t="str">
        <f>IF($Z51="","",INDEX(KRI!$M:$M,$Z51)&amp;"")</f>
        <v/>
      </c>
      <c r="J51" t="str">
        <f t="shared" si="9"/>
        <v/>
      </c>
      <c r="K51" t="str">
        <f t="shared" si="10"/>
        <v/>
      </c>
      <c r="Z51" t="str">
        <f>IFERROR(_xlfn.AGGREGATE(15,6,ROW(KRI_Ciclo)/((KRI_Ciclo=cicloCorrente)*(KRI_In_Vigore="Sì")),45),"")</f>
        <v/>
      </c>
      <c r="AB51" t="str">
        <f>IFERROR(INDEX(KRI_KRI_ID,_xlfn.AGGREGATE(15,6,(ROW(KRI_KRI_ID)-5)/((KRI_Ciclo_Definizione=KRI_Ciclo)*(KRI_KRI_ID&lt;&gt;"")),40)),"")</f>
        <v/>
      </c>
    </row>
    <row r="52" spans="1:28" x14ac:dyDescent="0.4">
      <c r="A52" t="str">
        <f>IF($Z52="","",INDEX(KRI!$B:$B,$Z52)&amp;"")</f>
        <v/>
      </c>
      <c r="B52" t="str">
        <f>IF($Z52="","",INDEX(KRI!$C:$C,$Z52)&amp;"")</f>
        <v/>
      </c>
      <c r="C52" t="str">
        <f>IF($Z52="","",INDEX(KRI!$D:$D,$Z52)&amp;"")</f>
        <v/>
      </c>
      <c r="D52" t="str">
        <f>IF($Z52="","",INDEX(KRI!$E:$E,$Z52)&amp;"")</f>
        <v/>
      </c>
      <c r="E52" t="str">
        <f>IF($Z52="","",IF(INDEX(KRI!$G:$G,$Z52)="","",INDEX(KRI!$G:$G,$Z52)))</f>
        <v/>
      </c>
      <c r="F52" t="str">
        <f>IF($Z52="","",IF(INDEX(KRI!$H:$H,$Z52)="","",INDEX(KRI!$H:$H,$Z52)))</f>
        <v/>
      </c>
      <c r="G52" t="str">
        <f>IF($Z52="","",IF(INDEX(KRI!$I:$I,$Z52)="","",INDEX(KRI!$I:$I,$Z52)))</f>
        <v/>
      </c>
      <c r="H52" s="66" t="str">
        <f>IF($Z52="","",IF(INDEX(KRI!$J:$J,$Z52)="","",INDEX(KRI!$J:$J,$Z52)))</f>
        <v/>
      </c>
      <c r="I52" t="str">
        <f>IF($Z52="","",INDEX(KRI!$M:$M,$Z52)&amp;"")</f>
        <v/>
      </c>
      <c r="J52" t="str">
        <f t="shared" si="9"/>
        <v/>
      </c>
      <c r="K52" t="str">
        <f t="shared" si="10"/>
        <v/>
      </c>
      <c r="Z52" t="str">
        <f>IFERROR(_xlfn.AGGREGATE(15,6,ROW(KRI_Ciclo)/((KRI_Ciclo=cicloCorrente)*(KRI_In_Vigore="Sì")),46),"")</f>
        <v/>
      </c>
      <c r="AB52" t="str">
        <f>IFERROR(INDEX(KRI_KRI_ID,_xlfn.AGGREGATE(15,6,(ROW(KRI_KRI_ID)-5)/((KRI_Ciclo_Definizione=KRI_Ciclo)*(KRI_KRI_ID&lt;&gt;"")),41)),"")</f>
        <v/>
      </c>
    </row>
    <row r="53" spans="1:28" x14ac:dyDescent="0.4">
      <c r="A53" t="str">
        <f>IF($Z53="","",INDEX(KRI!$B:$B,$Z53)&amp;"")</f>
        <v/>
      </c>
      <c r="B53" t="str">
        <f>IF($Z53="","",INDEX(KRI!$C:$C,$Z53)&amp;"")</f>
        <v/>
      </c>
      <c r="C53" t="str">
        <f>IF($Z53="","",INDEX(KRI!$D:$D,$Z53)&amp;"")</f>
        <v/>
      </c>
      <c r="D53" t="str">
        <f>IF($Z53="","",INDEX(KRI!$E:$E,$Z53)&amp;"")</f>
        <v/>
      </c>
      <c r="E53" t="str">
        <f>IF($Z53="","",IF(INDEX(KRI!$G:$G,$Z53)="","",INDEX(KRI!$G:$G,$Z53)))</f>
        <v/>
      </c>
      <c r="F53" t="str">
        <f>IF($Z53="","",IF(INDEX(KRI!$H:$H,$Z53)="","",INDEX(KRI!$H:$H,$Z53)))</f>
        <v/>
      </c>
      <c r="G53" t="str">
        <f>IF($Z53="","",IF(INDEX(KRI!$I:$I,$Z53)="","",INDEX(KRI!$I:$I,$Z53)))</f>
        <v/>
      </c>
      <c r="H53" s="66" t="str">
        <f>IF($Z53="","",IF(INDEX(KRI!$J:$J,$Z53)="","",INDEX(KRI!$J:$J,$Z53)))</f>
        <v/>
      </c>
      <c r="I53" t="str">
        <f>IF($Z53="","",INDEX(KRI!$M:$M,$Z53)&amp;"")</f>
        <v/>
      </c>
      <c r="J53" t="str">
        <f t="shared" si="9"/>
        <v/>
      </c>
      <c r="K53" t="str">
        <f t="shared" si="10"/>
        <v/>
      </c>
      <c r="Z53" t="str">
        <f>IFERROR(_xlfn.AGGREGATE(15,6,ROW(KRI_Ciclo)/((KRI_Ciclo=cicloCorrente)*(KRI_In_Vigore="Sì")),47),"")</f>
        <v/>
      </c>
      <c r="AB53" t="str">
        <f>IFERROR(INDEX(KRI_KRI_ID,_xlfn.AGGREGATE(15,6,(ROW(KRI_KRI_ID)-5)/((KRI_Ciclo_Definizione=KRI_Ciclo)*(KRI_KRI_ID&lt;&gt;"")),42)),"")</f>
        <v/>
      </c>
    </row>
    <row r="54" spans="1:28" x14ac:dyDescent="0.4">
      <c r="A54" t="str">
        <f>IF($Z54="","",INDEX(KRI!$B:$B,$Z54)&amp;"")</f>
        <v/>
      </c>
      <c r="B54" t="str">
        <f>IF($Z54="","",INDEX(KRI!$C:$C,$Z54)&amp;"")</f>
        <v/>
      </c>
      <c r="C54" t="str">
        <f>IF($Z54="","",INDEX(KRI!$D:$D,$Z54)&amp;"")</f>
        <v/>
      </c>
      <c r="D54" t="str">
        <f>IF($Z54="","",INDEX(KRI!$E:$E,$Z54)&amp;"")</f>
        <v/>
      </c>
      <c r="E54" t="str">
        <f>IF($Z54="","",IF(INDEX(KRI!$G:$G,$Z54)="","",INDEX(KRI!$G:$G,$Z54)))</f>
        <v/>
      </c>
      <c r="F54" t="str">
        <f>IF($Z54="","",IF(INDEX(KRI!$H:$H,$Z54)="","",INDEX(KRI!$H:$H,$Z54)))</f>
        <v/>
      </c>
      <c r="G54" t="str">
        <f>IF($Z54="","",IF(INDEX(KRI!$I:$I,$Z54)="","",INDEX(KRI!$I:$I,$Z54)))</f>
        <v/>
      </c>
      <c r="H54" s="66" t="str">
        <f>IF($Z54="","",IF(INDEX(KRI!$J:$J,$Z54)="","",INDEX(KRI!$J:$J,$Z54)))</f>
        <v/>
      </c>
      <c r="I54" t="str">
        <f>IF($Z54="","",INDEX(KRI!$M:$M,$Z54)&amp;"")</f>
        <v/>
      </c>
      <c r="J54" t="str">
        <f t="shared" si="9"/>
        <v/>
      </c>
      <c r="K54" t="str">
        <f t="shared" si="10"/>
        <v/>
      </c>
      <c r="Z54" t="str">
        <f>IFERROR(_xlfn.AGGREGATE(15,6,ROW(KRI_Ciclo)/((KRI_Ciclo=cicloCorrente)*(KRI_In_Vigore="Sì")),48),"")</f>
        <v/>
      </c>
      <c r="AB54" t="str">
        <f>IFERROR(INDEX(KRI_KRI_ID,_xlfn.AGGREGATE(15,6,(ROW(KRI_KRI_ID)-5)/((KRI_Ciclo_Definizione=KRI_Ciclo)*(KRI_KRI_ID&lt;&gt;"")),43)),"")</f>
        <v/>
      </c>
    </row>
    <row r="55" spans="1:28" x14ac:dyDescent="0.4">
      <c r="A55" t="str">
        <f>IF($Z55="","",INDEX(KRI!$B:$B,$Z55)&amp;"")</f>
        <v/>
      </c>
      <c r="B55" t="str">
        <f>IF($Z55="","",INDEX(KRI!$C:$C,$Z55)&amp;"")</f>
        <v/>
      </c>
      <c r="C55" t="str">
        <f>IF($Z55="","",INDEX(KRI!$D:$D,$Z55)&amp;"")</f>
        <v/>
      </c>
      <c r="D55" t="str">
        <f>IF($Z55="","",INDEX(KRI!$E:$E,$Z55)&amp;"")</f>
        <v/>
      </c>
      <c r="E55" t="str">
        <f>IF($Z55="","",IF(INDEX(KRI!$G:$G,$Z55)="","",INDEX(KRI!$G:$G,$Z55)))</f>
        <v/>
      </c>
      <c r="F55" t="str">
        <f>IF($Z55="","",IF(INDEX(KRI!$H:$H,$Z55)="","",INDEX(KRI!$H:$H,$Z55)))</f>
        <v/>
      </c>
      <c r="G55" t="str">
        <f>IF($Z55="","",IF(INDEX(KRI!$I:$I,$Z55)="","",INDEX(KRI!$I:$I,$Z55)))</f>
        <v/>
      </c>
      <c r="H55" s="66" t="str">
        <f>IF($Z55="","",IF(INDEX(KRI!$J:$J,$Z55)="","",INDEX(KRI!$J:$J,$Z55)))</f>
        <v/>
      </c>
      <c r="I55" t="str">
        <f>IF($Z55="","",INDEX(KRI!$M:$M,$Z55)&amp;"")</f>
        <v/>
      </c>
      <c r="J55" t="str">
        <f t="shared" si="9"/>
        <v/>
      </c>
      <c r="K55" t="str">
        <f t="shared" si="10"/>
        <v/>
      </c>
      <c r="Z55" t="str">
        <f>IFERROR(_xlfn.AGGREGATE(15,6,ROW(KRI_Ciclo)/((KRI_Ciclo=cicloCorrente)*(KRI_In_Vigore="Sì")),49),"")</f>
        <v/>
      </c>
      <c r="AB55" t="str">
        <f>IFERROR(INDEX(KRI_KRI_ID,_xlfn.AGGREGATE(15,6,(ROW(KRI_KRI_ID)-5)/((KRI_Ciclo_Definizione=KRI_Ciclo)*(KRI_KRI_ID&lt;&gt;"")),44)),"")</f>
        <v/>
      </c>
    </row>
    <row r="56" spans="1:28" x14ac:dyDescent="0.4">
      <c r="A56" t="str">
        <f>IF($Z56="","",INDEX(KRI!$B:$B,$Z56)&amp;"")</f>
        <v/>
      </c>
      <c r="B56" t="str">
        <f>IF($Z56="","",INDEX(KRI!$C:$C,$Z56)&amp;"")</f>
        <v/>
      </c>
      <c r="C56" t="str">
        <f>IF($Z56="","",INDEX(KRI!$D:$D,$Z56)&amp;"")</f>
        <v/>
      </c>
      <c r="D56" t="str">
        <f>IF($Z56="","",INDEX(KRI!$E:$E,$Z56)&amp;"")</f>
        <v/>
      </c>
      <c r="E56" t="str">
        <f>IF($Z56="","",IF(INDEX(KRI!$G:$G,$Z56)="","",INDEX(KRI!$G:$G,$Z56)))</f>
        <v/>
      </c>
      <c r="F56" t="str">
        <f>IF($Z56="","",IF(INDEX(KRI!$H:$H,$Z56)="","",INDEX(KRI!$H:$H,$Z56)))</f>
        <v/>
      </c>
      <c r="G56" t="str">
        <f>IF($Z56="","",IF(INDEX(KRI!$I:$I,$Z56)="","",INDEX(KRI!$I:$I,$Z56)))</f>
        <v/>
      </c>
      <c r="H56" s="66" t="str">
        <f>IF($Z56="","",IF(INDEX(KRI!$J:$J,$Z56)="","",INDEX(KRI!$J:$J,$Z56)))</f>
        <v/>
      </c>
      <c r="I56" t="str">
        <f>IF($Z56="","",INDEX(KRI!$M:$M,$Z56)&amp;"")</f>
        <v/>
      </c>
      <c r="J56" t="str">
        <f t="shared" si="9"/>
        <v/>
      </c>
      <c r="K56" t="str">
        <f t="shared" si="10"/>
        <v/>
      </c>
      <c r="Z56" t="str">
        <f>IFERROR(_xlfn.AGGREGATE(15,6,ROW(KRI_Ciclo)/((KRI_Ciclo=cicloCorrente)*(KRI_In_Vigore="Sì")),50),"")</f>
        <v/>
      </c>
      <c r="AB56" t="str">
        <f>IFERROR(INDEX(KRI_KRI_ID,_xlfn.AGGREGATE(15,6,(ROW(KRI_KRI_ID)-5)/((KRI_Ciclo_Definizione=KRI_Ciclo)*(KRI_KRI_ID&lt;&gt;"")),45)),"")</f>
        <v/>
      </c>
    </row>
    <row r="57" spans="1:28" x14ac:dyDescent="0.4">
      <c r="A57" t="str">
        <f>IF($Z57="","",INDEX(KRI!$B:$B,$Z57)&amp;"")</f>
        <v/>
      </c>
      <c r="B57" t="str">
        <f>IF($Z57="","",INDEX(KRI!$C:$C,$Z57)&amp;"")</f>
        <v/>
      </c>
      <c r="C57" t="str">
        <f>IF($Z57="","",INDEX(KRI!$D:$D,$Z57)&amp;"")</f>
        <v/>
      </c>
      <c r="D57" t="str">
        <f>IF($Z57="","",INDEX(KRI!$E:$E,$Z57)&amp;"")</f>
        <v/>
      </c>
      <c r="E57" t="str">
        <f>IF($Z57="","",IF(INDEX(KRI!$G:$G,$Z57)="","",INDEX(KRI!$G:$G,$Z57)))</f>
        <v/>
      </c>
      <c r="F57" t="str">
        <f>IF($Z57="","",IF(INDEX(KRI!$H:$H,$Z57)="","",INDEX(KRI!$H:$H,$Z57)))</f>
        <v/>
      </c>
      <c r="G57" t="str">
        <f>IF($Z57="","",IF(INDEX(KRI!$I:$I,$Z57)="","",INDEX(KRI!$I:$I,$Z57)))</f>
        <v/>
      </c>
      <c r="H57" s="66" t="str">
        <f>IF($Z57="","",IF(INDEX(KRI!$J:$J,$Z57)="","",INDEX(KRI!$J:$J,$Z57)))</f>
        <v/>
      </c>
      <c r="I57" t="str">
        <f>IF($Z57="","",INDEX(KRI!$M:$M,$Z57)&amp;"")</f>
        <v/>
      </c>
      <c r="J57" t="str">
        <f t="shared" si="9"/>
        <v/>
      </c>
      <c r="K57" t="str">
        <f t="shared" si="10"/>
        <v/>
      </c>
      <c r="Z57" t="str">
        <f>IFERROR(_xlfn.AGGREGATE(15,6,ROW(KRI_Ciclo)/((KRI_Ciclo=cicloCorrente)*(KRI_In_Vigore="Sì")),51),"")</f>
        <v/>
      </c>
      <c r="AB57" t="str">
        <f>IFERROR(INDEX(KRI_KRI_ID,_xlfn.AGGREGATE(15,6,(ROW(KRI_KRI_ID)-5)/((KRI_Ciclo_Definizione=KRI_Ciclo)*(KRI_KRI_ID&lt;&gt;"")),46)),"")</f>
        <v/>
      </c>
    </row>
    <row r="58" spans="1:28" x14ac:dyDescent="0.4">
      <c r="A58" t="str">
        <f>IF($Z58="","",INDEX(KRI!$B:$B,$Z58)&amp;"")</f>
        <v/>
      </c>
      <c r="B58" t="str">
        <f>IF($Z58="","",INDEX(KRI!$C:$C,$Z58)&amp;"")</f>
        <v/>
      </c>
      <c r="C58" t="str">
        <f>IF($Z58="","",INDEX(KRI!$D:$D,$Z58)&amp;"")</f>
        <v/>
      </c>
      <c r="D58" t="str">
        <f>IF($Z58="","",INDEX(KRI!$E:$E,$Z58)&amp;"")</f>
        <v/>
      </c>
      <c r="E58" t="str">
        <f>IF($Z58="","",IF(INDEX(KRI!$G:$G,$Z58)="","",INDEX(KRI!$G:$G,$Z58)))</f>
        <v/>
      </c>
      <c r="F58" t="str">
        <f>IF($Z58="","",IF(INDEX(KRI!$H:$H,$Z58)="","",INDEX(KRI!$H:$H,$Z58)))</f>
        <v/>
      </c>
      <c r="G58" t="str">
        <f>IF($Z58="","",IF(INDEX(KRI!$I:$I,$Z58)="","",INDEX(KRI!$I:$I,$Z58)))</f>
        <v/>
      </c>
      <c r="H58" s="66" t="str">
        <f>IF($Z58="","",IF(INDEX(KRI!$J:$J,$Z58)="","",INDEX(KRI!$J:$J,$Z58)))</f>
        <v/>
      </c>
      <c r="I58" t="str">
        <f>IF($Z58="","",INDEX(KRI!$M:$M,$Z58)&amp;"")</f>
        <v/>
      </c>
      <c r="J58" t="str">
        <f t="shared" si="9"/>
        <v/>
      </c>
      <c r="K58" t="str">
        <f t="shared" si="10"/>
        <v/>
      </c>
      <c r="Z58" t="str">
        <f>IFERROR(_xlfn.AGGREGATE(15,6,ROW(KRI_Ciclo)/((KRI_Ciclo=cicloCorrente)*(KRI_In_Vigore="Sì")),52),"")</f>
        <v/>
      </c>
      <c r="AB58" t="str">
        <f>IFERROR(INDEX(KRI_KRI_ID,_xlfn.AGGREGATE(15,6,(ROW(KRI_KRI_ID)-5)/((KRI_Ciclo_Definizione=KRI_Ciclo)*(KRI_KRI_ID&lt;&gt;"")),47)),"")</f>
        <v/>
      </c>
    </row>
    <row r="59" spans="1:28" x14ac:dyDescent="0.4">
      <c r="A59" t="str">
        <f>IF($Z59="","",INDEX(KRI!$B:$B,$Z59)&amp;"")</f>
        <v/>
      </c>
      <c r="B59" t="str">
        <f>IF($Z59="","",INDEX(KRI!$C:$C,$Z59)&amp;"")</f>
        <v/>
      </c>
      <c r="C59" t="str">
        <f>IF($Z59="","",INDEX(KRI!$D:$D,$Z59)&amp;"")</f>
        <v/>
      </c>
      <c r="D59" t="str">
        <f>IF($Z59="","",INDEX(KRI!$E:$E,$Z59)&amp;"")</f>
        <v/>
      </c>
      <c r="E59" t="str">
        <f>IF($Z59="","",IF(INDEX(KRI!$G:$G,$Z59)="","",INDEX(KRI!$G:$G,$Z59)))</f>
        <v/>
      </c>
      <c r="F59" t="str">
        <f>IF($Z59="","",IF(INDEX(KRI!$H:$H,$Z59)="","",INDEX(KRI!$H:$H,$Z59)))</f>
        <v/>
      </c>
      <c r="G59" t="str">
        <f>IF($Z59="","",IF(INDEX(KRI!$I:$I,$Z59)="","",INDEX(KRI!$I:$I,$Z59)))</f>
        <v/>
      </c>
      <c r="H59" s="66" t="str">
        <f>IF($Z59="","",IF(INDEX(KRI!$J:$J,$Z59)="","",INDEX(KRI!$J:$J,$Z59)))</f>
        <v/>
      </c>
      <c r="I59" t="str">
        <f>IF($Z59="","",INDEX(KRI!$M:$M,$Z59)&amp;"")</f>
        <v/>
      </c>
      <c r="J59" t="str">
        <f t="shared" si="9"/>
        <v/>
      </c>
      <c r="K59" t="str">
        <f t="shared" si="10"/>
        <v/>
      </c>
      <c r="Z59" t="str">
        <f>IFERROR(_xlfn.AGGREGATE(15,6,ROW(KRI_Ciclo)/((KRI_Ciclo=cicloCorrente)*(KRI_In_Vigore="Sì")),53),"")</f>
        <v/>
      </c>
      <c r="AB59" t="str">
        <f>IFERROR(INDEX(KRI_KRI_ID,_xlfn.AGGREGATE(15,6,(ROW(KRI_KRI_ID)-5)/((KRI_Ciclo_Definizione=KRI_Ciclo)*(KRI_KRI_ID&lt;&gt;"")),48)),"")</f>
        <v/>
      </c>
    </row>
    <row r="60" spans="1:28" x14ac:dyDescent="0.4">
      <c r="A60" t="str">
        <f>IF($Z60="","",INDEX(KRI!$B:$B,$Z60)&amp;"")</f>
        <v/>
      </c>
      <c r="B60" t="str">
        <f>IF($Z60="","",INDEX(KRI!$C:$C,$Z60)&amp;"")</f>
        <v/>
      </c>
      <c r="C60" t="str">
        <f>IF($Z60="","",INDEX(KRI!$D:$D,$Z60)&amp;"")</f>
        <v/>
      </c>
      <c r="D60" t="str">
        <f>IF($Z60="","",INDEX(KRI!$E:$E,$Z60)&amp;"")</f>
        <v/>
      </c>
      <c r="E60" t="str">
        <f>IF($Z60="","",IF(INDEX(KRI!$G:$G,$Z60)="","",INDEX(KRI!$G:$G,$Z60)))</f>
        <v/>
      </c>
      <c r="F60" t="str">
        <f>IF($Z60="","",IF(INDEX(KRI!$H:$H,$Z60)="","",INDEX(KRI!$H:$H,$Z60)))</f>
        <v/>
      </c>
      <c r="G60" t="str">
        <f>IF($Z60="","",IF(INDEX(KRI!$I:$I,$Z60)="","",INDEX(KRI!$I:$I,$Z60)))</f>
        <v/>
      </c>
      <c r="H60" s="66" t="str">
        <f>IF($Z60="","",IF(INDEX(KRI!$J:$J,$Z60)="","",INDEX(KRI!$J:$J,$Z60)))</f>
        <v/>
      </c>
      <c r="I60" t="str">
        <f>IF($Z60="","",INDEX(KRI!$M:$M,$Z60)&amp;"")</f>
        <v/>
      </c>
      <c r="J60" t="str">
        <f t="shared" si="9"/>
        <v/>
      </c>
      <c r="K60" t="str">
        <f t="shared" si="10"/>
        <v/>
      </c>
      <c r="Z60" t="str">
        <f>IFERROR(_xlfn.AGGREGATE(15,6,ROW(KRI_Ciclo)/((KRI_Ciclo=cicloCorrente)*(KRI_In_Vigore="Sì")),54),"")</f>
        <v/>
      </c>
      <c r="AB60" t="str">
        <f>IFERROR(INDEX(KRI_KRI_ID,_xlfn.AGGREGATE(15,6,(ROW(KRI_KRI_ID)-5)/((KRI_Ciclo_Definizione=KRI_Ciclo)*(KRI_KRI_ID&lt;&gt;"")),49)),"")</f>
        <v/>
      </c>
    </row>
    <row r="61" spans="1:28" x14ac:dyDescent="0.4">
      <c r="A61" t="str">
        <f>IF($Z61="","",INDEX(KRI!$B:$B,$Z61)&amp;"")</f>
        <v/>
      </c>
      <c r="B61" t="str">
        <f>IF($Z61="","",INDEX(KRI!$C:$C,$Z61)&amp;"")</f>
        <v/>
      </c>
      <c r="C61" t="str">
        <f>IF($Z61="","",INDEX(KRI!$D:$D,$Z61)&amp;"")</f>
        <v/>
      </c>
      <c r="D61" t="str">
        <f>IF($Z61="","",INDEX(KRI!$E:$E,$Z61)&amp;"")</f>
        <v/>
      </c>
      <c r="E61" t="str">
        <f>IF($Z61="","",IF(INDEX(KRI!$G:$G,$Z61)="","",INDEX(KRI!$G:$G,$Z61)))</f>
        <v/>
      </c>
      <c r="F61" t="str">
        <f>IF($Z61="","",IF(INDEX(KRI!$H:$H,$Z61)="","",INDEX(KRI!$H:$H,$Z61)))</f>
        <v/>
      </c>
      <c r="G61" t="str">
        <f>IF($Z61="","",IF(INDEX(KRI!$I:$I,$Z61)="","",INDEX(KRI!$I:$I,$Z61)))</f>
        <v/>
      </c>
      <c r="H61" s="66" t="str">
        <f>IF($Z61="","",IF(INDEX(KRI!$J:$J,$Z61)="","",INDEX(KRI!$J:$J,$Z61)))</f>
        <v/>
      </c>
      <c r="I61" t="str">
        <f>IF($Z61="","",INDEX(KRI!$M:$M,$Z61)&amp;"")</f>
        <v/>
      </c>
      <c r="J61" t="str">
        <f t="shared" si="9"/>
        <v/>
      </c>
      <c r="K61" t="str">
        <f t="shared" si="10"/>
        <v/>
      </c>
      <c r="Z61" t="str">
        <f>IFERROR(_xlfn.AGGREGATE(15,6,ROW(KRI_Ciclo)/((KRI_Ciclo=cicloCorrente)*(KRI_In_Vigore="Sì")),55),"")</f>
        <v/>
      </c>
      <c r="AB61" t="str">
        <f>IFERROR(INDEX(KRI_KRI_ID,_xlfn.AGGREGATE(15,6,(ROW(KRI_KRI_ID)-5)/((KRI_Ciclo_Definizione=KRI_Ciclo)*(KRI_KRI_ID&lt;&gt;"")),50)),"")</f>
        <v/>
      </c>
    </row>
    <row r="62" spans="1:28" x14ac:dyDescent="0.4">
      <c r="A62" t="str">
        <f>IF($Z62="","",INDEX(KRI!$B:$B,$Z62)&amp;"")</f>
        <v/>
      </c>
      <c r="B62" t="str">
        <f>IF($Z62="","",INDEX(KRI!$C:$C,$Z62)&amp;"")</f>
        <v/>
      </c>
      <c r="C62" t="str">
        <f>IF($Z62="","",INDEX(KRI!$D:$D,$Z62)&amp;"")</f>
        <v/>
      </c>
      <c r="D62" t="str">
        <f>IF($Z62="","",INDEX(KRI!$E:$E,$Z62)&amp;"")</f>
        <v/>
      </c>
      <c r="E62" t="str">
        <f>IF($Z62="","",IF(INDEX(KRI!$G:$G,$Z62)="","",INDEX(KRI!$G:$G,$Z62)))</f>
        <v/>
      </c>
      <c r="F62" t="str">
        <f>IF($Z62="","",IF(INDEX(KRI!$H:$H,$Z62)="","",INDEX(KRI!$H:$H,$Z62)))</f>
        <v/>
      </c>
      <c r="G62" t="str">
        <f>IF($Z62="","",IF(INDEX(KRI!$I:$I,$Z62)="","",INDEX(KRI!$I:$I,$Z62)))</f>
        <v/>
      </c>
      <c r="H62" s="66" t="str">
        <f>IF($Z62="","",IF(INDEX(KRI!$J:$J,$Z62)="","",INDEX(KRI!$J:$J,$Z62)))</f>
        <v/>
      </c>
      <c r="I62" t="str">
        <f>IF($Z62="","",INDEX(KRI!$M:$M,$Z62)&amp;"")</f>
        <v/>
      </c>
      <c r="J62" t="str">
        <f t="shared" si="9"/>
        <v/>
      </c>
      <c r="K62" t="str">
        <f t="shared" si="10"/>
        <v/>
      </c>
      <c r="Z62" t="str">
        <f>IFERROR(_xlfn.AGGREGATE(15,6,ROW(KRI_Ciclo)/((KRI_Ciclo=cicloCorrente)*(KRI_In_Vigore="Sì")),56),"")</f>
        <v/>
      </c>
      <c r="AB62" t="str">
        <f>IFERROR(INDEX(KRI_KRI_ID,_xlfn.AGGREGATE(15,6,(ROW(KRI_KRI_ID)-5)/((KRI_Ciclo_Definizione=KRI_Ciclo)*(KRI_KRI_ID&lt;&gt;"")),51)),"")</f>
        <v/>
      </c>
    </row>
    <row r="63" spans="1:28" x14ac:dyDescent="0.4">
      <c r="A63" t="str">
        <f>IF($Z63="","",INDEX(KRI!$B:$B,$Z63)&amp;"")</f>
        <v/>
      </c>
      <c r="B63" t="str">
        <f>IF($Z63="","",INDEX(KRI!$C:$C,$Z63)&amp;"")</f>
        <v/>
      </c>
      <c r="C63" t="str">
        <f>IF($Z63="","",INDEX(KRI!$D:$D,$Z63)&amp;"")</f>
        <v/>
      </c>
      <c r="D63" t="str">
        <f>IF($Z63="","",INDEX(KRI!$E:$E,$Z63)&amp;"")</f>
        <v/>
      </c>
      <c r="E63" t="str">
        <f>IF($Z63="","",IF(INDEX(KRI!$G:$G,$Z63)="","",INDEX(KRI!$G:$G,$Z63)))</f>
        <v/>
      </c>
      <c r="F63" t="str">
        <f>IF($Z63="","",IF(INDEX(KRI!$H:$H,$Z63)="","",INDEX(KRI!$H:$H,$Z63)))</f>
        <v/>
      </c>
      <c r="G63" t="str">
        <f>IF($Z63="","",IF(INDEX(KRI!$I:$I,$Z63)="","",INDEX(KRI!$I:$I,$Z63)))</f>
        <v/>
      </c>
      <c r="H63" s="66" t="str">
        <f>IF($Z63="","",IF(INDEX(KRI!$J:$J,$Z63)="","",INDEX(KRI!$J:$J,$Z63)))</f>
        <v/>
      </c>
      <c r="I63" t="str">
        <f>IF($Z63="","",INDEX(KRI!$M:$M,$Z63)&amp;"")</f>
        <v/>
      </c>
      <c r="J63" t="str">
        <f t="shared" si="9"/>
        <v/>
      </c>
      <c r="K63" t="str">
        <f t="shared" si="10"/>
        <v/>
      </c>
      <c r="Z63" t="str">
        <f>IFERROR(_xlfn.AGGREGATE(15,6,ROW(KRI_Ciclo)/((KRI_Ciclo=cicloCorrente)*(KRI_In_Vigore="Sì")),57),"")</f>
        <v/>
      </c>
      <c r="AB63" t="str">
        <f>IFERROR(INDEX(KRI_KRI_ID,_xlfn.AGGREGATE(15,6,(ROW(KRI_KRI_ID)-5)/((KRI_Ciclo_Definizione=KRI_Ciclo)*(KRI_KRI_ID&lt;&gt;"")),52)),"")</f>
        <v/>
      </c>
    </row>
    <row r="64" spans="1:28" x14ac:dyDescent="0.4">
      <c r="A64" t="str">
        <f>IF($Z64="","",INDEX(KRI!$B:$B,$Z64)&amp;"")</f>
        <v/>
      </c>
      <c r="B64" t="str">
        <f>IF($Z64="","",INDEX(KRI!$C:$C,$Z64)&amp;"")</f>
        <v/>
      </c>
      <c r="C64" t="str">
        <f>IF($Z64="","",INDEX(KRI!$D:$D,$Z64)&amp;"")</f>
        <v/>
      </c>
      <c r="D64" t="str">
        <f>IF($Z64="","",INDEX(KRI!$E:$E,$Z64)&amp;"")</f>
        <v/>
      </c>
      <c r="E64" t="str">
        <f>IF($Z64="","",IF(INDEX(KRI!$G:$G,$Z64)="","",INDEX(KRI!$G:$G,$Z64)))</f>
        <v/>
      </c>
      <c r="F64" t="str">
        <f>IF($Z64="","",IF(INDEX(KRI!$H:$H,$Z64)="","",INDEX(KRI!$H:$H,$Z64)))</f>
        <v/>
      </c>
      <c r="G64" t="str">
        <f>IF($Z64="","",IF(INDEX(KRI!$I:$I,$Z64)="","",INDEX(KRI!$I:$I,$Z64)))</f>
        <v/>
      </c>
      <c r="H64" s="66" t="str">
        <f>IF($Z64="","",IF(INDEX(KRI!$J:$J,$Z64)="","",INDEX(KRI!$J:$J,$Z64)))</f>
        <v/>
      </c>
      <c r="I64" t="str">
        <f>IF($Z64="","",INDEX(KRI!$M:$M,$Z64)&amp;"")</f>
        <v/>
      </c>
      <c r="J64" t="str">
        <f t="shared" si="9"/>
        <v/>
      </c>
      <c r="K64" t="str">
        <f t="shared" si="10"/>
        <v/>
      </c>
      <c r="Z64" t="str">
        <f>IFERROR(_xlfn.AGGREGATE(15,6,ROW(KRI_Ciclo)/((KRI_Ciclo=cicloCorrente)*(KRI_In_Vigore="Sì")),58),"")</f>
        <v/>
      </c>
      <c r="AB64" t="str">
        <f>IFERROR(INDEX(KRI_KRI_ID,_xlfn.AGGREGATE(15,6,(ROW(KRI_KRI_ID)-5)/((KRI_Ciclo_Definizione=KRI_Ciclo)*(KRI_KRI_ID&lt;&gt;"")),53)),"")</f>
        <v/>
      </c>
    </row>
    <row r="65" spans="1:28" x14ac:dyDescent="0.4">
      <c r="A65" t="str">
        <f>IF($Z65="","",INDEX(KRI!$B:$B,$Z65)&amp;"")</f>
        <v/>
      </c>
      <c r="B65" t="str">
        <f>IF($Z65="","",INDEX(KRI!$C:$C,$Z65)&amp;"")</f>
        <v/>
      </c>
      <c r="C65" t="str">
        <f>IF($Z65="","",INDEX(KRI!$D:$D,$Z65)&amp;"")</f>
        <v/>
      </c>
      <c r="D65" t="str">
        <f>IF($Z65="","",INDEX(KRI!$E:$E,$Z65)&amp;"")</f>
        <v/>
      </c>
      <c r="E65" t="str">
        <f>IF($Z65="","",IF(INDEX(KRI!$G:$G,$Z65)="","",INDEX(KRI!$G:$G,$Z65)))</f>
        <v/>
      </c>
      <c r="F65" t="str">
        <f>IF($Z65="","",IF(INDEX(KRI!$H:$H,$Z65)="","",INDEX(KRI!$H:$H,$Z65)))</f>
        <v/>
      </c>
      <c r="G65" t="str">
        <f>IF($Z65="","",IF(INDEX(KRI!$I:$I,$Z65)="","",INDEX(KRI!$I:$I,$Z65)))</f>
        <v/>
      </c>
      <c r="H65" s="66" t="str">
        <f>IF($Z65="","",IF(INDEX(KRI!$J:$J,$Z65)="","",INDEX(KRI!$J:$J,$Z65)))</f>
        <v/>
      </c>
      <c r="I65" t="str">
        <f>IF($Z65="","",INDEX(KRI!$M:$M,$Z65)&amp;"")</f>
        <v/>
      </c>
      <c r="J65" t="str">
        <f t="shared" si="9"/>
        <v/>
      </c>
      <c r="K65" t="str">
        <f t="shared" si="10"/>
        <v/>
      </c>
      <c r="Z65" t="str">
        <f>IFERROR(_xlfn.AGGREGATE(15,6,ROW(KRI_Ciclo)/((KRI_Ciclo=cicloCorrente)*(KRI_In_Vigore="Sì")),59),"")</f>
        <v/>
      </c>
      <c r="AB65" t="str">
        <f>IFERROR(INDEX(KRI_KRI_ID,_xlfn.AGGREGATE(15,6,(ROW(KRI_KRI_ID)-5)/((KRI_Ciclo_Definizione=KRI_Ciclo)*(KRI_KRI_ID&lt;&gt;"")),54)),"")</f>
        <v/>
      </c>
    </row>
    <row r="66" spans="1:28" x14ac:dyDescent="0.4">
      <c r="A66" t="str">
        <f>IF($Z66="","",INDEX(KRI!$B:$B,$Z66)&amp;"")</f>
        <v/>
      </c>
      <c r="B66" t="str">
        <f>IF($Z66="","",INDEX(KRI!$C:$C,$Z66)&amp;"")</f>
        <v/>
      </c>
      <c r="C66" t="str">
        <f>IF($Z66="","",INDEX(KRI!$D:$D,$Z66)&amp;"")</f>
        <v/>
      </c>
      <c r="D66" t="str">
        <f>IF($Z66="","",INDEX(KRI!$E:$E,$Z66)&amp;"")</f>
        <v/>
      </c>
      <c r="E66" t="str">
        <f>IF($Z66="","",IF(INDEX(KRI!$G:$G,$Z66)="","",INDEX(KRI!$G:$G,$Z66)))</f>
        <v/>
      </c>
      <c r="F66" t="str">
        <f>IF($Z66="","",IF(INDEX(KRI!$H:$H,$Z66)="","",INDEX(KRI!$H:$H,$Z66)))</f>
        <v/>
      </c>
      <c r="G66" t="str">
        <f>IF($Z66="","",IF(INDEX(KRI!$I:$I,$Z66)="","",INDEX(KRI!$I:$I,$Z66)))</f>
        <v/>
      </c>
      <c r="H66" s="66" t="str">
        <f>IF($Z66="","",IF(INDEX(KRI!$J:$J,$Z66)="","",INDEX(KRI!$J:$J,$Z66)))</f>
        <v/>
      </c>
      <c r="I66" t="str">
        <f>IF($Z66="","",INDEX(KRI!$M:$M,$Z66)&amp;"")</f>
        <v/>
      </c>
      <c r="J66" t="str">
        <f t="shared" si="9"/>
        <v/>
      </c>
      <c r="K66" t="str">
        <f t="shared" si="10"/>
        <v/>
      </c>
      <c r="Z66" t="str">
        <f>IFERROR(_xlfn.AGGREGATE(15,6,ROW(KRI_Ciclo)/((KRI_Ciclo=cicloCorrente)*(KRI_In_Vigore="Sì")),60),"")</f>
        <v/>
      </c>
      <c r="AB66" t="str">
        <f>IFERROR(INDEX(KRI_KRI_ID,_xlfn.AGGREGATE(15,6,(ROW(KRI_KRI_ID)-5)/((KRI_Ciclo_Definizione=KRI_Ciclo)*(KRI_KRI_ID&lt;&gt;"")),55)),"")</f>
        <v/>
      </c>
    </row>
    <row r="67" spans="1:28" x14ac:dyDescent="0.4">
      <c r="AB67" t="str">
        <f>IFERROR(INDEX(KRI_KRI_ID,_xlfn.AGGREGATE(15,6,(ROW(KRI_KRI_ID)-5)/((KRI_Ciclo_Definizione=KRI_Ciclo)*(KRI_KRI_ID&lt;&gt;"")),56)),"")</f>
        <v/>
      </c>
    </row>
    <row r="68" spans="1:28" x14ac:dyDescent="0.4">
      <c r="AB68" t="str">
        <f>IFERROR(INDEX(KRI_KRI_ID,_xlfn.AGGREGATE(15,6,(ROW(KRI_KRI_ID)-5)/((KRI_Ciclo_Definizione=KRI_Ciclo)*(KRI_KRI_ID&lt;&gt;"")),57)),"")</f>
        <v/>
      </c>
    </row>
    <row r="69" spans="1:28" x14ac:dyDescent="0.4">
      <c r="AB69" t="str">
        <f>IFERROR(INDEX(KRI_KRI_ID,_xlfn.AGGREGATE(15,6,(ROW(KRI_KRI_ID)-5)/((KRI_Ciclo_Definizione=KRI_Ciclo)*(KRI_KRI_ID&lt;&gt;"")),58)),"")</f>
        <v/>
      </c>
    </row>
    <row r="70" spans="1:28" x14ac:dyDescent="0.4">
      <c r="AB70" t="str">
        <f>IFERROR(INDEX(KRI_KRI_ID,_xlfn.AGGREGATE(15,6,(ROW(KRI_KRI_ID)-5)/((KRI_Ciclo_Definizione=KRI_Ciclo)*(KRI_KRI_ID&lt;&gt;"")),59)),"")</f>
        <v/>
      </c>
    </row>
    <row r="71" spans="1:28" x14ac:dyDescent="0.4">
      <c r="AB71" t="str">
        <f>IFERROR(INDEX(KRI_KRI_ID,_xlfn.AGGREGATE(15,6,(ROW(KRI_KRI_ID)-5)/((KRI_Ciclo_Definizione=KRI_Ciclo)*(KRI_KRI_ID&lt;&gt;"")),60)),"")</f>
        <v/>
      </c>
    </row>
    <row r="72" spans="1:28" x14ac:dyDescent="0.4">
      <c r="AB72" t="str">
        <f>IFERROR(INDEX(KRI_KRI_ID,_xlfn.AGGREGATE(15,6,(ROW(KRI_KRI_ID)-5)/((KRI_Ciclo_Definizione=KRI_Ciclo)*(KRI_KRI_ID&lt;&gt;"")),61)),"")</f>
        <v/>
      </c>
    </row>
    <row r="73" spans="1:28" x14ac:dyDescent="0.4">
      <c r="AB73" t="str">
        <f>IFERROR(INDEX(KRI_KRI_ID,_xlfn.AGGREGATE(15,6,(ROW(KRI_KRI_ID)-5)/((KRI_Ciclo_Definizione=KRI_Ciclo)*(KRI_KRI_ID&lt;&gt;"")),62)),"")</f>
        <v/>
      </c>
    </row>
    <row r="74" spans="1:28" x14ac:dyDescent="0.4">
      <c r="AB74" t="str">
        <f>IFERROR(INDEX(KRI_KRI_ID,_xlfn.AGGREGATE(15,6,(ROW(KRI_KRI_ID)-5)/((KRI_Ciclo_Definizione=KRI_Ciclo)*(KRI_KRI_ID&lt;&gt;"")),63)),"")</f>
        <v/>
      </c>
    </row>
    <row r="75" spans="1:28" x14ac:dyDescent="0.4">
      <c r="AB75" t="str">
        <f>IFERROR(INDEX(KRI_KRI_ID,_xlfn.AGGREGATE(15,6,(ROW(KRI_KRI_ID)-5)/((KRI_Ciclo_Definizione=KRI_Ciclo)*(KRI_KRI_ID&lt;&gt;"")),64)),"")</f>
        <v/>
      </c>
    </row>
    <row r="76" spans="1:28" x14ac:dyDescent="0.4">
      <c r="AB76" t="str">
        <f>IFERROR(INDEX(KRI_KRI_ID,_xlfn.AGGREGATE(15,6,(ROW(KRI_KRI_ID)-5)/((KRI_Ciclo_Definizione=KRI_Ciclo)*(KRI_KRI_ID&lt;&gt;"")),65)),"")</f>
        <v/>
      </c>
    </row>
    <row r="77" spans="1:28" x14ac:dyDescent="0.4">
      <c r="AB77" t="str">
        <f>IFERROR(INDEX(KRI_KRI_ID,_xlfn.AGGREGATE(15,6,(ROW(KRI_KRI_ID)-5)/((KRI_Ciclo_Definizione=KRI_Ciclo)*(KRI_KRI_ID&lt;&gt;"")),66)),"")</f>
        <v/>
      </c>
    </row>
    <row r="78" spans="1:28" x14ac:dyDescent="0.4">
      <c r="AB78" t="str">
        <f>IFERROR(INDEX(KRI_KRI_ID,_xlfn.AGGREGATE(15,6,(ROW(KRI_KRI_ID)-5)/((KRI_Ciclo_Definizione=KRI_Ciclo)*(KRI_KRI_ID&lt;&gt;"")),67)),"")</f>
        <v/>
      </c>
    </row>
    <row r="79" spans="1:28" x14ac:dyDescent="0.4">
      <c r="AB79" t="str">
        <f>IFERROR(INDEX(KRI_KRI_ID,_xlfn.AGGREGATE(15,6,(ROW(KRI_KRI_ID)-5)/((KRI_Ciclo_Definizione=KRI_Ciclo)*(KRI_KRI_ID&lt;&gt;"")),68)),"")</f>
        <v/>
      </c>
    </row>
    <row r="80" spans="1:28" x14ac:dyDescent="0.4">
      <c r="AB80" t="str">
        <f>IFERROR(INDEX(KRI_KRI_ID,_xlfn.AGGREGATE(15,6,(ROW(KRI_KRI_ID)-5)/((KRI_Ciclo_Definizione=KRI_Ciclo)*(KRI_KRI_ID&lt;&gt;"")),69)),"")</f>
        <v/>
      </c>
    </row>
    <row r="81" spans="28:28" x14ac:dyDescent="0.4">
      <c r="AB81" t="str">
        <f>IFERROR(INDEX(KRI_KRI_ID,_xlfn.AGGREGATE(15,6,(ROW(KRI_KRI_ID)-5)/((KRI_Ciclo_Definizione=KRI_Ciclo)*(KRI_KRI_ID&lt;&gt;"")),70)),"")</f>
        <v/>
      </c>
    </row>
    <row r="82" spans="28:28" x14ac:dyDescent="0.4">
      <c r="AB82" t="str">
        <f>IFERROR(INDEX(KRI_KRI_ID,_xlfn.AGGREGATE(15,6,(ROW(KRI_KRI_ID)-5)/((KRI_Ciclo_Definizione=KRI_Ciclo)*(KRI_KRI_ID&lt;&gt;"")),71)),"")</f>
        <v/>
      </c>
    </row>
    <row r="83" spans="28:28" x14ac:dyDescent="0.4">
      <c r="AB83" t="str">
        <f>IFERROR(INDEX(KRI_KRI_ID,_xlfn.AGGREGATE(15,6,(ROW(KRI_KRI_ID)-5)/((KRI_Ciclo_Definizione=KRI_Ciclo)*(KRI_KRI_ID&lt;&gt;"")),72)),"")</f>
        <v/>
      </c>
    </row>
    <row r="84" spans="28:28" x14ac:dyDescent="0.4">
      <c r="AB84" t="str">
        <f>IFERROR(INDEX(KRI_KRI_ID,_xlfn.AGGREGATE(15,6,(ROW(KRI_KRI_ID)-5)/((KRI_Ciclo_Definizione=KRI_Ciclo)*(KRI_KRI_ID&lt;&gt;"")),73)),"")</f>
        <v/>
      </c>
    </row>
    <row r="85" spans="28:28" x14ac:dyDescent="0.4">
      <c r="AB85" t="str">
        <f>IFERROR(INDEX(KRI_KRI_ID,_xlfn.AGGREGATE(15,6,(ROW(KRI_KRI_ID)-5)/((KRI_Ciclo_Definizione=KRI_Ciclo)*(KRI_KRI_ID&lt;&gt;"")),74)),"")</f>
        <v/>
      </c>
    </row>
    <row r="86" spans="28:28" x14ac:dyDescent="0.4">
      <c r="AB86" t="str">
        <f>IFERROR(INDEX(KRI_KRI_ID,_xlfn.AGGREGATE(15,6,(ROW(KRI_KRI_ID)-5)/((KRI_Ciclo_Definizione=KRI_Ciclo)*(KRI_KRI_ID&lt;&gt;"")),75)),"")</f>
        <v/>
      </c>
    </row>
    <row r="87" spans="28:28" x14ac:dyDescent="0.4">
      <c r="AB87" t="str">
        <f>IFERROR(INDEX(KRI_KRI_ID,_xlfn.AGGREGATE(15,6,(ROW(KRI_KRI_ID)-5)/((KRI_Ciclo_Definizione=KRI_Ciclo)*(KRI_KRI_ID&lt;&gt;"")),76)),"")</f>
        <v/>
      </c>
    </row>
    <row r="88" spans="28:28" x14ac:dyDescent="0.4">
      <c r="AB88" t="str">
        <f>IFERROR(INDEX(KRI_KRI_ID,_xlfn.AGGREGATE(15,6,(ROW(KRI_KRI_ID)-5)/((KRI_Ciclo_Definizione=KRI_Ciclo)*(KRI_KRI_ID&lt;&gt;"")),77)),"")</f>
        <v/>
      </c>
    </row>
    <row r="89" spans="28:28" x14ac:dyDescent="0.4">
      <c r="AB89" t="str">
        <f>IFERROR(INDEX(KRI_KRI_ID,_xlfn.AGGREGATE(15,6,(ROW(KRI_KRI_ID)-5)/((KRI_Ciclo_Definizione=KRI_Ciclo)*(KRI_KRI_ID&lt;&gt;"")),78)),"")</f>
        <v/>
      </c>
    </row>
    <row r="90" spans="28:28" x14ac:dyDescent="0.4">
      <c r="AB90" t="str">
        <f>IFERROR(INDEX(KRI_KRI_ID,_xlfn.AGGREGATE(15,6,(ROW(KRI_KRI_ID)-5)/((KRI_Ciclo_Definizione=KRI_Ciclo)*(KRI_KRI_ID&lt;&gt;"")),79)),"")</f>
        <v/>
      </c>
    </row>
    <row r="91" spans="28:28" x14ac:dyDescent="0.4">
      <c r="AB91" t="str">
        <f>IFERROR(INDEX(KRI_KRI_ID,_xlfn.AGGREGATE(15,6,(ROW(KRI_KRI_ID)-5)/((KRI_Ciclo_Definizione=KRI_Ciclo)*(KRI_KRI_ID&lt;&gt;"")),80)),"")</f>
        <v/>
      </c>
    </row>
    <row r="92" spans="28:28" x14ac:dyDescent="0.4">
      <c r="AB92" t="str">
        <f>IFERROR(INDEX(KRI_KRI_ID,_xlfn.AGGREGATE(15,6,(ROW(KRI_KRI_ID)-5)/((KRI_Ciclo_Definizione=KRI_Ciclo)*(KRI_KRI_ID&lt;&gt;"")),81)),"")</f>
        <v/>
      </c>
    </row>
    <row r="93" spans="28:28" x14ac:dyDescent="0.4">
      <c r="AB93" t="str">
        <f>IFERROR(INDEX(KRI_KRI_ID,_xlfn.AGGREGATE(15,6,(ROW(KRI_KRI_ID)-5)/((KRI_Ciclo_Definizione=KRI_Ciclo)*(KRI_KRI_ID&lt;&gt;"")),82)),"")</f>
        <v/>
      </c>
    </row>
    <row r="94" spans="28:28" x14ac:dyDescent="0.4">
      <c r="AB94" t="str">
        <f>IFERROR(INDEX(KRI_KRI_ID,_xlfn.AGGREGATE(15,6,(ROW(KRI_KRI_ID)-5)/((KRI_Ciclo_Definizione=KRI_Ciclo)*(KRI_KRI_ID&lt;&gt;"")),83)),"")</f>
        <v/>
      </c>
    </row>
    <row r="95" spans="28:28" x14ac:dyDescent="0.4">
      <c r="AB95" t="str">
        <f>IFERROR(INDEX(KRI_KRI_ID,_xlfn.AGGREGATE(15,6,(ROW(KRI_KRI_ID)-5)/((KRI_Ciclo_Definizione=KRI_Ciclo)*(KRI_KRI_ID&lt;&gt;"")),84)),"")</f>
        <v/>
      </c>
    </row>
    <row r="96" spans="28:28" x14ac:dyDescent="0.4">
      <c r="AB96" t="str">
        <f>IFERROR(INDEX(KRI_KRI_ID,_xlfn.AGGREGATE(15,6,(ROW(KRI_KRI_ID)-5)/((KRI_Ciclo_Definizione=KRI_Ciclo)*(KRI_KRI_ID&lt;&gt;"")),85)),"")</f>
        <v/>
      </c>
    </row>
    <row r="97" spans="28:28" x14ac:dyDescent="0.4">
      <c r="AB97" t="str">
        <f>IFERROR(INDEX(KRI_KRI_ID,_xlfn.AGGREGATE(15,6,(ROW(KRI_KRI_ID)-5)/((KRI_Ciclo_Definizione=KRI_Ciclo)*(KRI_KRI_ID&lt;&gt;"")),86)),"")</f>
        <v/>
      </c>
    </row>
    <row r="98" spans="28:28" x14ac:dyDescent="0.4">
      <c r="AB98" t="str">
        <f>IFERROR(INDEX(KRI_KRI_ID,_xlfn.AGGREGATE(15,6,(ROW(KRI_KRI_ID)-5)/((KRI_Ciclo_Definizione=KRI_Ciclo)*(KRI_KRI_ID&lt;&gt;"")),87)),"")</f>
        <v/>
      </c>
    </row>
    <row r="99" spans="28:28" x14ac:dyDescent="0.4">
      <c r="AB99" t="str">
        <f>IFERROR(INDEX(KRI_KRI_ID,_xlfn.AGGREGATE(15,6,(ROW(KRI_KRI_ID)-5)/((KRI_Ciclo_Definizione=KRI_Ciclo)*(KRI_KRI_ID&lt;&gt;"")),88)),"")</f>
        <v/>
      </c>
    </row>
    <row r="100" spans="28:28" x14ac:dyDescent="0.4">
      <c r="AB100" t="str">
        <f>IFERROR(INDEX(KRI_KRI_ID,_xlfn.AGGREGATE(15,6,(ROW(KRI_KRI_ID)-5)/((KRI_Ciclo_Definizione=KRI_Ciclo)*(KRI_KRI_ID&lt;&gt;"")),89)),"")</f>
        <v/>
      </c>
    </row>
    <row r="101" spans="28:28" x14ac:dyDescent="0.4">
      <c r="AB101" t="str">
        <f>IFERROR(INDEX(KRI_KRI_ID,_xlfn.AGGREGATE(15,6,(ROW(KRI_KRI_ID)-5)/((KRI_Ciclo_Definizione=KRI_Ciclo)*(KRI_KRI_ID&lt;&gt;"")),90)),"")</f>
        <v/>
      </c>
    </row>
    <row r="102" spans="28:28" x14ac:dyDescent="0.4">
      <c r="AB102" t="str">
        <f>IFERROR(INDEX(KRI_KRI_ID,_xlfn.AGGREGATE(15,6,(ROW(KRI_KRI_ID)-5)/((KRI_Ciclo_Definizione=KRI_Ciclo)*(KRI_KRI_ID&lt;&gt;"")),91)),"")</f>
        <v/>
      </c>
    </row>
    <row r="103" spans="28:28" x14ac:dyDescent="0.4">
      <c r="AB103" t="str">
        <f>IFERROR(INDEX(KRI_KRI_ID,_xlfn.AGGREGATE(15,6,(ROW(KRI_KRI_ID)-5)/((KRI_Ciclo_Definizione=KRI_Ciclo)*(KRI_KRI_ID&lt;&gt;"")),92)),"")</f>
        <v/>
      </c>
    </row>
    <row r="104" spans="28:28" x14ac:dyDescent="0.4">
      <c r="AB104" t="str">
        <f>IFERROR(INDEX(KRI_KRI_ID,_xlfn.AGGREGATE(15,6,(ROW(KRI_KRI_ID)-5)/((KRI_Ciclo_Definizione=KRI_Ciclo)*(KRI_KRI_ID&lt;&gt;"")),93)),"")</f>
        <v/>
      </c>
    </row>
    <row r="105" spans="28:28" x14ac:dyDescent="0.4">
      <c r="AB105" t="str">
        <f>IFERROR(INDEX(KRI_KRI_ID,_xlfn.AGGREGATE(15,6,(ROW(KRI_KRI_ID)-5)/((KRI_Ciclo_Definizione=KRI_Ciclo)*(KRI_KRI_ID&lt;&gt;"")),94)),"")</f>
        <v/>
      </c>
    </row>
    <row r="106" spans="28:28" x14ac:dyDescent="0.4">
      <c r="AB106" t="str">
        <f>IFERROR(INDEX(KRI_KRI_ID,_xlfn.AGGREGATE(15,6,(ROW(KRI_KRI_ID)-5)/((KRI_Ciclo_Definizione=KRI_Ciclo)*(KRI_KRI_ID&lt;&gt;"")),95)),"")</f>
        <v/>
      </c>
    </row>
    <row r="107" spans="28:28" x14ac:dyDescent="0.4">
      <c r="AB107" t="str">
        <f>IFERROR(INDEX(KRI_KRI_ID,_xlfn.AGGREGATE(15,6,(ROW(KRI_KRI_ID)-5)/((KRI_Ciclo_Definizione=KRI_Ciclo)*(KRI_KRI_ID&lt;&gt;"")),96)),"")</f>
        <v/>
      </c>
    </row>
    <row r="108" spans="28:28" x14ac:dyDescent="0.4">
      <c r="AB108" t="str">
        <f>IFERROR(INDEX(KRI_KRI_ID,_xlfn.AGGREGATE(15,6,(ROW(KRI_KRI_ID)-5)/((KRI_Ciclo_Definizione=KRI_Ciclo)*(KRI_KRI_ID&lt;&gt;"")),97)),"")</f>
        <v/>
      </c>
    </row>
    <row r="109" spans="28:28" x14ac:dyDescent="0.4">
      <c r="AB109" t="str">
        <f>IFERROR(INDEX(KRI_KRI_ID,_xlfn.AGGREGATE(15,6,(ROW(KRI_KRI_ID)-5)/((KRI_Ciclo_Definizione=KRI_Ciclo)*(KRI_KRI_ID&lt;&gt;"")),98)),"")</f>
        <v/>
      </c>
    </row>
    <row r="110" spans="28:28" x14ac:dyDescent="0.4">
      <c r="AB110" t="str">
        <f>IFERROR(INDEX(KRI_KRI_ID,_xlfn.AGGREGATE(15,6,(ROW(KRI_KRI_ID)-5)/((KRI_Ciclo_Definizione=KRI_Ciclo)*(KRI_KRI_ID&lt;&gt;"")),99)),"")</f>
        <v/>
      </c>
    </row>
    <row r="111" spans="28:28" x14ac:dyDescent="0.4">
      <c r="AB111" t="str">
        <f>IFERROR(INDEX(KRI_KRI_ID,_xlfn.AGGREGATE(15,6,(ROW(KRI_KRI_ID)-5)/((KRI_Ciclo_Definizione=KRI_Ciclo)*(KRI_KRI_ID&lt;&gt;"")),100)),"")</f>
        <v/>
      </c>
    </row>
    <row r="112" spans="28:28" x14ac:dyDescent="0.4">
      <c r="AB112" t="str">
        <f>IFERROR(INDEX(KRI_KRI_ID,_xlfn.AGGREGATE(15,6,(ROW(KRI_KRI_ID)-5)/((KRI_Ciclo_Definizione=KRI_Ciclo)*(KRI_KRI_ID&lt;&gt;"")),101)),"")</f>
        <v/>
      </c>
    </row>
    <row r="113" spans="28:28" x14ac:dyDescent="0.4">
      <c r="AB113" t="str">
        <f>IFERROR(INDEX(KRI_KRI_ID,_xlfn.AGGREGATE(15,6,(ROW(KRI_KRI_ID)-5)/((KRI_Ciclo_Definizione=KRI_Ciclo)*(KRI_KRI_ID&lt;&gt;"")),102)),"")</f>
        <v/>
      </c>
    </row>
    <row r="114" spans="28:28" x14ac:dyDescent="0.4">
      <c r="AB114" t="str">
        <f>IFERROR(INDEX(KRI_KRI_ID,_xlfn.AGGREGATE(15,6,(ROW(KRI_KRI_ID)-5)/((KRI_Ciclo_Definizione=KRI_Ciclo)*(KRI_KRI_ID&lt;&gt;"")),103)),"")</f>
        <v/>
      </c>
    </row>
    <row r="115" spans="28:28" x14ac:dyDescent="0.4">
      <c r="AB115" t="str">
        <f>IFERROR(INDEX(KRI_KRI_ID,_xlfn.AGGREGATE(15,6,(ROW(KRI_KRI_ID)-5)/((KRI_Ciclo_Definizione=KRI_Ciclo)*(KRI_KRI_ID&lt;&gt;"")),104)),"")</f>
        <v/>
      </c>
    </row>
    <row r="116" spans="28:28" x14ac:dyDescent="0.4">
      <c r="AB116" t="str">
        <f>IFERROR(INDEX(KRI_KRI_ID,_xlfn.AGGREGATE(15,6,(ROW(KRI_KRI_ID)-5)/((KRI_Ciclo_Definizione=KRI_Ciclo)*(KRI_KRI_ID&lt;&gt;"")),105)),"")</f>
        <v/>
      </c>
    </row>
    <row r="117" spans="28:28" x14ac:dyDescent="0.4">
      <c r="AB117" t="str">
        <f>IFERROR(INDEX(KRI_KRI_ID,_xlfn.AGGREGATE(15,6,(ROW(KRI_KRI_ID)-5)/((KRI_Ciclo_Definizione=KRI_Ciclo)*(KRI_KRI_ID&lt;&gt;"")),106)),"")</f>
        <v/>
      </c>
    </row>
    <row r="118" spans="28:28" x14ac:dyDescent="0.4">
      <c r="AB118" t="str">
        <f>IFERROR(INDEX(KRI_KRI_ID,_xlfn.AGGREGATE(15,6,(ROW(KRI_KRI_ID)-5)/((KRI_Ciclo_Definizione=KRI_Ciclo)*(KRI_KRI_ID&lt;&gt;"")),107)),"")</f>
        <v/>
      </c>
    </row>
    <row r="119" spans="28:28" x14ac:dyDescent="0.4">
      <c r="AB119" t="str">
        <f>IFERROR(INDEX(KRI_KRI_ID,_xlfn.AGGREGATE(15,6,(ROW(KRI_KRI_ID)-5)/((KRI_Ciclo_Definizione=KRI_Ciclo)*(KRI_KRI_ID&lt;&gt;"")),108)),"")</f>
        <v/>
      </c>
    </row>
    <row r="120" spans="28:28" x14ac:dyDescent="0.4">
      <c r="AB120" t="str">
        <f>IFERROR(INDEX(KRI_KRI_ID,_xlfn.AGGREGATE(15,6,(ROW(KRI_KRI_ID)-5)/((KRI_Ciclo_Definizione=KRI_Ciclo)*(KRI_KRI_ID&lt;&gt;"")),109)),"")</f>
        <v/>
      </c>
    </row>
    <row r="121" spans="28:28" x14ac:dyDescent="0.4">
      <c r="AB121" t="str">
        <f>IFERROR(INDEX(KRI_KRI_ID,_xlfn.AGGREGATE(15,6,(ROW(KRI_KRI_ID)-5)/((KRI_Ciclo_Definizione=KRI_Ciclo)*(KRI_KRI_ID&lt;&gt;"")),110)),"")</f>
        <v/>
      </c>
    </row>
    <row r="122" spans="28:28" x14ac:dyDescent="0.4">
      <c r="AB122" t="str">
        <f>IFERROR(INDEX(KRI_KRI_ID,_xlfn.AGGREGATE(15,6,(ROW(KRI_KRI_ID)-5)/((KRI_Ciclo_Definizione=KRI_Ciclo)*(KRI_KRI_ID&lt;&gt;"")),111)),"")</f>
        <v/>
      </c>
    </row>
    <row r="123" spans="28:28" x14ac:dyDescent="0.4">
      <c r="AB123" t="str">
        <f>IFERROR(INDEX(KRI_KRI_ID,_xlfn.AGGREGATE(15,6,(ROW(KRI_KRI_ID)-5)/((KRI_Ciclo_Definizione=KRI_Ciclo)*(KRI_KRI_ID&lt;&gt;"")),112)),"")</f>
        <v/>
      </c>
    </row>
    <row r="124" spans="28:28" x14ac:dyDescent="0.4">
      <c r="AB124" t="str">
        <f>IFERROR(INDEX(KRI_KRI_ID,_xlfn.AGGREGATE(15,6,(ROW(KRI_KRI_ID)-5)/((KRI_Ciclo_Definizione=KRI_Ciclo)*(KRI_KRI_ID&lt;&gt;"")),113)),"")</f>
        <v/>
      </c>
    </row>
    <row r="125" spans="28:28" x14ac:dyDescent="0.4">
      <c r="AB125" t="str">
        <f>IFERROR(INDEX(KRI_KRI_ID,_xlfn.AGGREGATE(15,6,(ROW(KRI_KRI_ID)-5)/((KRI_Ciclo_Definizione=KRI_Ciclo)*(KRI_KRI_ID&lt;&gt;"")),114)),"")</f>
        <v/>
      </c>
    </row>
    <row r="126" spans="28:28" x14ac:dyDescent="0.4">
      <c r="AB126" t="str">
        <f>IFERROR(INDEX(KRI_KRI_ID,_xlfn.AGGREGATE(15,6,(ROW(KRI_KRI_ID)-5)/((KRI_Ciclo_Definizione=KRI_Ciclo)*(KRI_KRI_ID&lt;&gt;"")),115)),"")</f>
        <v/>
      </c>
    </row>
    <row r="127" spans="28:28" x14ac:dyDescent="0.4">
      <c r="AB127" t="str">
        <f>IFERROR(INDEX(KRI_KRI_ID,_xlfn.AGGREGATE(15,6,(ROW(KRI_KRI_ID)-5)/((KRI_Ciclo_Definizione=KRI_Ciclo)*(KRI_KRI_ID&lt;&gt;"")),116)),"")</f>
        <v/>
      </c>
    </row>
    <row r="128" spans="28:28" x14ac:dyDescent="0.4">
      <c r="AB128" t="str">
        <f>IFERROR(INDEX(KRI_KRI_ID,_xlfn.AGGREGATE(15,6,(ROW(KRI_KRI_ID)-5)/((KRI_Ciclo_Definizione=KRI_Ciclo)*(KRI_KRI_ID&lt;&gt;"")),117)),"")</f>
        <v/>
      </c>
    </row>
    <row r="129" spans="28:28" x14ac:dyDescent="0.4">
      <c r="AB129" t="str">
        <f>IFERROR(INDEX(KRI_KRI_ID,_xlfn.AGGREGATE(15,6,(ROW(KRI_KRI_ID)-5)/((KRI_Ciclo_Definizione=KRI_Ciclo)*(KRI_KRI_ID&lt;&gt;"")),118)),"")</f>
        <v/>
      </c>
    </row>
    <row r="130" spans="28:28" x14ac:dyDescent="0.4">
      <c r="AB130" t="str">
        <f>IFERROR(INDEX(KRI_KRI_ID,_xlfn.AGGREGATE(15,6,(ROW(KRI_KRI_ID)-5)/((KRI_Ciclo_Definizione=KRI_Ciclo)*(KRI_KRI_ID&lt;&gt;"")),119)),"")</f>
        <v/>
      </c>
    </row>
    <row r="131" spans="28:28" x14ac:dyDescent="0.4">
      <c r="AB131" t="str">
        <f>IFERROR(INDEX(KRI_KRI_ID,_xlfn.AGGREGATE(15,6,(ROW(KRI_KRI_ID)-5)/((KRI_Ciclo_Definizione=KRI_Ciclo)*(KRI_KRI_ID&lt;&gt;"")),120)),"")</f>
        <v/>
      </c>
    </row>
    <row r="132" spans="28:28" x14ac:dyDescent="0.4">
      <c r="AB132" t="str">
        <f>IFERROR(INDEX(KRI_KRI_ID,_xlfn.AGGREGATE(15,6,(ROW(KRI_KRI_ID)-5)/((KRI_Ciclo_Definizione=KRI_Ciclo)*(KRI_KRI_ID&lt;&gt;"")),121)),"")</f>
        <v/>
      </c>
    </row>
    <row r="133" spans="28:28" x14ac:dyDescent="0.4">
      <c r="AB133" t="str">
        <f>IFERROR(INDEX(KRI_KRI_ID,_xlfn.AGGREGATE(15,6,(ROW(KRI_KRI_ID)-5)/((KRI_Ciclo_Definizione=KRI_Ciclo)*(KRI_KRI_ID&lt;&gt;"")),122)),"")</f>
        <v/>
      </c>
    </row>
    <row r="134" spans="28:28" x14ac:dyDescent="0.4">
      <c r="AB134" t="str">
        <f>IFERROR(INDEX(KRI_KRI_ID,_xlfn.AGGREGATE(15,6,(ROW(KRI_KRI_ID)-5)/((KRI_Ciclo_Definizione=KRI_Ciclo)*(KRI_KRI_ID&lt;&gt;"")),123)),"")</f>
        <v/>
      </c>
    </row>
    <row r="135" spans="28:28" x14ac:dyDescent="0.4">
      <c r="AB135" t="str">
        <f>IFERROR(INDEX(KRI_KRI_ID,_xlfn.AGGREGATE(15,6,(ROW(KRI_KRI_ID)-5)/((KRI_Ciclo_Definizione=KRI_Ciclo)*(KRI_KRI_ID&lt;&gt;"")),124)),"")</f>
        <v/>
      </c>
    </row>
    <row r="136" spans="28:28" x14ac:dyDescent="0.4">
      <c r="AB136" t="str">
        <f>IFERROR(INDEX(KRI_KRI_ID,_xlfn.AGGREGATE(15,6,(ROW(KRI_KRI_ID)-5)/((KRI_Ciclo_Definizione=KRI_Ciclo)*(KRI_KRI_ID&lt;&gt;"")),125)),"")</f>
        <v/>
      </c>
    </row>
    <row r="137" spans="28:28" x14ac:dyDescent="0.4">
      <c r="AB137" t="str">
        <f>IFERROR(INDEX(KRI_KRI_ID,_xlfn.AGGREGATE(15,6,(ROW(KRI_KRI_ID)-5)/((KRI_Ciclo_Definizione=KRI_Ciclo)*(KRI_KRI_ID&lt;&gt;"")),126)),"")</f>
        <v/>
      </c>
    </row>
    <row r="138" spans="28:28" x14ac:dyDescent="0.4">
      <c r="AB138" t="str">
        <f>IFERROR(INDEX(KRI_KRI_ID,_xlfn.AGGREGATE(15,6,(ROW(KRI_KRI_ID)-5)/((KRI_Ciclo_Definizione=KRI_Ciclo)*(KRI_KRI_ID&lt;&gt;"")),127)),"")</f>
        <v/>
      </c>
    </row>
    <row r="139" spans="28:28" x14ac:dyDescent="0.4">
      <c r="AB139" t="str">
        <f>IFERROR(INDEX(KRI_KRI_ID,_xlfn.AGGREGATE(15,6,(ROW(KRI_KRI_ID)-5)/((KRI_Ciclo_Definizione=KRI_Ciclo)*(KRI_KRI_ID&lt;&gt;"")),128)),"")</f>
        <v/>
      </c>
    </row>
    <row r="140" spans="28:28" x14ac:dyDescent="0.4">
      <c r="AB140" t="str">
        <f>IFERROR(INDEX(KRI_KRI_ID,_xlfn.AGGREGATE(15,6,(ROW(KRI_KRI_ID)-5)/((KRI_Ciclo_Definizione=KRI_Ciclo)*(KRI_KRI_ID&lt;&gt;"")),129)),"")</f>
        <v/>
      </c>
    </row>
    <row r="141" spans="28:28" x14ac:dyDescent="0.4">
      <c r="AB141" t="str">
        <f>IFERROR(INDEX(KRI_KRI_ID,_xlfn.AGGREGATE(15,6,(ROW(KRI_KRI_ID)-5)/((KRI_Ciclo_Definizione=KRI_Ciclo)*(KRI_KRI_ID&lt;&gt;"")),130)),"")</f>
        <v/>
      </c>
    </row>
    <row r="142" spans="28:28" x14ac:dyDescent="0.4">
      <c r="AB142" t="str">
        <f>IFERROR(INDEX(KRI_KRI_ID,_xlfn.AGGREGATE(15,6,(ROW(KRI_KRI_ID)-5)/((KRI_Ciclo_Definizione=KRI_Ciclo)*(KRI_KRI_ID&lt;&gt;"")),131)),"")</f>
        <v/>
      </c>
    </row>
    <row r="143" spans="28:28" x14ac:dyDescent="0.4">
      <c r="AB143" t="str">
        <f>IFERROR(INDEX(KRI_KRI_ID,_xlfn.AGGREGATE(15,6,(ROW(KRI_KRI_ID)-5)/((KRI_Ciclo_Definizione=KRI_Ciclo)*(KRI_KRI_ID&lt;&gt;"")),132)),"")</f>
        <v/>
      </c>
    </row>
    <row r="144" spans="28:28" x14ac:dyDescent="0.4">
      <c r="AB144" t="str">
        <f>IFERROR(INDEX(KRI_KRI_ID,_xlfn.AGGREGATE(15,6,(ROW(KRI_KRI_ID)-5)/((KRI_Ciclo_Definizione=KRI_Ciclo)*(KRI_KRI_ID&lt;&gt;"")),133)),"")</f>
        <v/>
      </c>
    </row>
    <row r="145" spans="28:28" x14ac:dyDescent="0.4">
      <c r="AB145" t="str">
        <f>IFERROR(INDEX(KRI_KRI_ID,_xlfn.AGGREGATE(15,6,(ROW(KRI_KRI_ID)-5)/((KRI_Ciclo_Definizione=KRI_Ciclo)*(KRI_KRI_ID&lt;&gt;"")),134)),"")</f>
        <v/>
      </c>
    </row>
    <row r="146" spans="28:28" x14ac:dyDescent="0.4">
      <c r="AB146" t="str">
        <f>IFERROR(INDEX(KRI_KRI_ID,_xlfn.AGGREGATE(15,6,(ROW(KRI_KRI_ID)-5)/((KRI_Ciclo_Definizione=KRI_Ciclo)*(KRI_KRI_ID&lt;&gt;"")),135)),"")</f>
        <v/>
      </c>
    </row>
    <row r="147" spans="28:28" x14ac:dyDescent="0.4">
      <c r="AB147" t="str">
        <f>IFERROR(INDEX(KRI_KRI_ID,_xlfn.AGGREGATE(15,6,(ROW(KRI_KRI_ID)-5)/((KRI_Ciclo_Definizione=KRI_Ciclo)*(KRI_KRI_ID&lt;&gt;"")),136)),"")</f>
        <v/>
      </c>
    </row>
    <row r="148" spans="28:28" x14ac:dyDescent="0.4">
      <c r="AB148" t="str">
        <f>IFERROR(INDEX(KRI_KRI_ID,_xlfn.AGGREGATE(15,6,(ROW(KRI_KRI_ID)-5)/((KRI_Ciclo_Definizione=KRI_Ciclo)*(KRI_KRI_ID&lt;&gt;"")),137)),"")</f>
        <v/>
      </c>
    </row>
    <row r="149" spans="28:28" x14ac:dyDescent="0.4">
      <c r="AB149" t="str">
        <f>IFERROR(INDEX(KRI_KRI_ID,_xlfn.AGGREGATE(15,6,(ROW(KRI_KRI_ID)-5)/((KRI_Ciclo_Definizione=KRI_Ciclo)*(KRI_KRI_ID&lt;&gt;"")),138)),"")</f>
        <v/>
      </c>
    </row>
    <row r="150" spans="28:28" x14ac:dyDescent="0.4">
      <c r="AB150" t="str">
        <f>IFERROR(INDEX(KRI_KRI_ID,_xlfn.AGGREGATE(15,6,(ROW(KRI_KRI_ID)-5)/((KRI_Ciclo_Definizione=KRI_Ciclo)*(KRI_KRI_ID&lt;&gt;"")),139)),"")</f>
        <v/>
      </c>
    </row>
    <row r="151" spans="28:28" x14ac:dyDescent="0.4">
      <c r="AB151" t="str">
        <f>IFERROR(INDEX(KRI_KRI_ID,_xlfn.AGGREGATE(15,6,(ROW(KRI_KRI_ID)-5)/((KRI_Ciclo_Definizione=KRI_Ciclo)*(KRI_KRI_ID&lt;&gt;"")),140)),"")</f>
        <v/>
      </c>
    </row>
    <row r="152" spans="28:28" x14ac:dyDescent="0.4">
      <c r="AB152" t="str">
        <f>IFERROR(INDEX(KRI_KRI_ID,_xlfn.AGGREGATE(15,6,(ROW(KRI_KRI_ID)-5)/((KRI_Ciclo_Definizione=KRI_Ciclo)*(KRI_KRI_ID&lt;&gt;"")),141)),"")</f>
        <v/>
      </c>
    </row>
    <row r="153" spans="28:28" x14ac:dyDescent="0.4">
      <c r="AB153" t="str">
        <f>IFERROR(INDEX(KRI_KRI_ID,_xlfn.AGGREGATE(15,6,(ROW(KRI_KRI_ID)-5)/((KRI_Ciclo_Definizione=KRI_Ciclo)*(KRI_KRI_ID&lt;&gt;"")),142)),"")</f>
        <v/>
      </c>
    </row>
    <row r="154" spans="28:28" x14ac:dyDescent="0.4">
      <c r="AB154" t="str">
        <f>IFERROR(INDEX(KRI_KRI_ID,_xlfn.AGGREGATE(15,6,(ROW(KRI_KRI_ID)-5)/((KRI_Ciclo_Definizione=KRI_Ciclo)*(KRI_KRI_ID&lt;&gt;"")),143)),"")</f>
        <v/>
      </c>
    </row>
    <row r="155" spans="28:28" x14ac:dyDescent="0.4">
      <c r="AB155" t="str">
        <f>IFERROR(INDEX(KRI_KRI_ID,_xlfn.AGGREGATE(15,6,(ROW(KRI_KRI_ID)-5)/((KRI_Ciclo_Definizione=KRI_Ciclo)*(KRI_KRI_ID&lt;&gt;"")),144)),"")</f>
        <v/>
      </c>
    </row>
    <row r="156" spans="28:28" x14ac:dyDescent="0.4">
      <c r="AB156" t="str">
        <f>IFERROR(INDEX(KRI_KRI_ID,_xlfn.AGGREGATE(15,6,(ROW(KRI_KRI_ID)-5)/((KRI_Ciclo_Definizione=KRI_Ciclo)*(KRI_KRI_ID&lt;&gt;"")),145)),"")</f>
        <v/>
      </c>
    </row>
    <row r="157" spans="28:28" x14ac:dyDescent="0.4">
      <c r="AB157" t="str">
        <f>IFERROR(INDEX(KRI_KRI_ID,_xlfn.AGGREGATE(15,6,(ROW(KRI_KRI_ID)-5)/((KRI_Ciclo_Definizione=KRI_Ciclo)*(KRI_KRI_ID&lt;&gt;"")),146)),"")</f>
        <v/>
      </c>
    </row>
    <row r="158" spans="28:28" x14ac:dyDescent="0.4">
      <c r="AB158" t="str">
        <f>IFERROR(INDEX(KRI_KRI_ID,_xlfn.AGGREGATE(15,6,(ROW(KRI_KRI_ID)-5)/((KRI_Ciclo_Definizione=KRI_Ciclo)*(KRI_KRI_ID&lt;&gt;"")),147)),"")</f>
        <v/>
      </c>
    </row>
    <row r="159" spans="28:28" x14ac:dyDescent="0.4">
      <c r="AB159" t="str">
        <f>IFERROR(INDEX(KRI_KRI_ID,_xlfn.AGGREGATE(15,6,(ROW(KRI_KRI_ID)-5)/((KRI_Ciclo_Definizione=KRI_Ciclo)*(KRI_KRI_ID&lt;&gt;"")),148)),"")</f>
        <v/>
      </c>
    </row>
    <row r="160" spans="28:28" x14ac:dyDescent="0.4">
      <c r="AB160" t="str">
        <f>IFERROR(INDEX(KRI_KRI_ID,_xlfn.AGGREGATE(15,6,(ROW(KRI_KRI_ID)-5)/((KRI_Ciclo_Definizione=KRI_Ciclo)*(KRI_KRI_ID&lt;&gt;"")),149)),"")</f>
        <v/>
      </c>
    </row>
    <row r="161" spans="28:28" x14ac:dyDescent="0.4">
      <c r="AB161" t="str">
        <f>IFERROR(INDEX(KRI_KRI_ID,_xlfn.AGGREGATE(15,6,(ROW(KRI_KRI_ID)-5)/((KRI_Ciclo_Definizione=KRI_Ciclo)*(KRI_KRI_ID&lt;&gt;"")),150)),"")</f>
        <v/>
      </c>
    </row>
  </sheetData>
  <mergeCells count="2">
    <mergeCell ref="A1:U1"/>
    <mergeCell ref="A2:T2"/>
  </mergeCells>
  <conditionalFormatting sqref="I7:I66">
    <cfRule type="expression" dxfId="24" priority="1">
      <formula>I7="Rosso"</formula>
    </cfRule>
    <cfRule type="expression" dxfId="23" priority="2">
      <formula>I7="Ambra"</formula>
    </cfRule>
    <cfRule type="expression" dxfId="22" priority="3">
      <formula>I7="Verde"</formula>
    </cfRule>
    <cfRule type="expression" dxfId="21" priority="4">
      <formula>I7="SOGLIE INVERTITE — correggere"</formula>
    </cfRule>
  </conditionalFormatting>
  <conditionalFormatting sqref="K7:K66">
    <cfRule type="expression" dxfId="20" priority="5">
      <formula>LEFT(K7,1)="▲"</formula>
    </cfRule>
    <cfRule type="expression" dxfId="19" priority="6">
      <formula>LEFT(K7,1)="▼"</formula>
    </cfRule>
  </conditionalFormatting>
  <conditionalFormatting sqref="N12:P19">
    <cfRule type="expression" dxfId="18" priority="7">
      <formula>ISNA(N12)</formula>
    </cfRule>
  </conditionalFormatting>
  <conditionalFormatting sqref="Q12:Q19">
    <cfRule type="expression" dxfId="17" priority="8">
      <formula>Q12="Rosso"</formula>
    </cfRule>
    <cfRule type="expression" dxfId="16" priority="9">
      <formula>Q12="Ambra"</formula>
    </cfRule>
    <cfRule type="expression" dxfId="15" priority="10">
      <formula>Q12="Verde"</formula>
    </cfRule>
    <cfRule type="expression" dxfId="14" priority="11">
      <formula>Q12="SOGLIE INVERTITE — correggere"</formula>
    </cfRule>
  </conditionalFormatting>
  <dataValidations count="1">
    <dataValidation type="list" allowBlank="1" sqref="N4" xr:uid="{00000000-0002-0000-0900-000000000000}">
      <formula1>elencoKRI</formula1>
    </dataValidation>
  </dataValidation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5B6"/>
  </sheetPr>
  <dimension ref="A1:J30"/>
  <sheetViews>
    <sheetView showGridLines="0" workbookViewId="0"/>
  </sheetViews>
  <sheetFormatPr defaultRowHeight="14.6" x14ac:dyDescent="0.4"/>
  <cols>
    <col min="1" max="1" width="12" customWidth="1"/>
    <col min="2" max="2" width="50" customWidth="1"/>
    <col min="3" max="4" width="16" customWidth="1"/>
    <col min="5" max="5" width="14" customWidth="1"/>
    <col min="6" max="6" width="24" customWidth="1"/>
    <col min="7" max="9" width="12" customWidth="1"/>
    <col min="10" max="10" width="40" customWidth="1"/>
  </cols>
  <sheetData>
    <row r="1" spans="1:10" ht="28" customHeight="1" x14ac:dyDescent="0.4">
      <c r="A1" s="126" t="str">
        <f>"Horizon Scan NFR — Notizie: pressione sui sette event type   ·   "&amp;etichettaCiclo</f>
        <v>Horizon Scan NFR — Notizie: pressione sui sette event type   ·   Ciclo 2026Q3 · dati al 30/09/2026 · validato · Uso interno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 ht="45.55" customHeight="1" x14ac:dyDescent="0.4">
      <c r="A2" s="146" t="s">
        <v>409</v>
      </c>
      <c r="B2" s="98"/>
      <c r="C2" s="98"/>
      <c r="D2" s="98"/>
      <c r="E2" s="98"/>
      <c r="F2" s="98"/>
      <c r="G2" s="98"/>
      <c r="H2" s="98"/>
      <c r="I2" s="98"/>
      <c r="J2" s="98"/>
    </row>
    <row r="4" spans="1:10" ht="30" customHeight="1" x14ac:dyDescent="0.4">
      <c r="A4" s="26" t="s">
        <v>410</v>
      </c>
      <c r="B4" s="26" t="s">
        <v>176</v>
      </c>
      <c r="C4" s="26" t="s">
        <v>411</v>
      </c>
      <c r="D4" s="26" t="s">
        <v>412</v>
      </c>
      <c r="E4" s="26" t="s">
        <v>358</v>
      </c>
      <c r="F4" s="26" t="s">
        <v>413</v>
      </c>
      <c r="G4" s="26" t="s">
        <v>414</v>
      </c>
      <c r="H4" s="26" t="s">
        <v>415</v>
      </c>
      <c r="I4" s="26" t="s">
        <v>416</v>
      </c>
      <c r="J4" s="26" t="s">
        <v>157</v>
      </c>
    </row>
    <row r="5" spans="1:10" x14ac:dyDescent="0.4">
      <c r="A5" t="s">
        <v>417</v>
      </c>
      <c r="B5" t="s">
        <v>418</v>
      </c>
      <c r="C5">
        <f>_xlfn.MAXIFS(NW_Imp_L1_01,NW_Settimana,"&gt;="&amp;inizioFinestra4,NW_Settimana,"&lt;="&amp;settimanaCorrente)</f>
        <v>0</v>
      </c>
      <c r="D5">
        <f>COUNTIFS(NW_Imp_L1_01,"&gt;=2",NW_Settimana,"&gt;="&amp;inizioFinestra4,NW_Settimana,"&lt;="&amp;settimanaCorrente)</f>
        <v>0</v>
      </c>
      <c r="E5">
        <f t="shared" ref="E5:E11" si="0">COUNTIF(ANA_Event_Type,A5)</f>
        <v>2</v>
      </c>
      <c r="F5" t="str">
        <f t="shared" ref="F5:F11" si="1">IF(AND(D5&gt;0,E5=0),"AREA NON PRESIDIATA",IF(E5=0,"Nessun rischio censito","Presidiata"))</f>
        <v>Presidiata</v>
      </c>
      <c r="G5">
        <f>COUNTIFS(NW_Imp_L1_01,1,NW_Settimana,"&gt;="&amp;inizioFinestra4,NW_Settimana,"&lt;="&amp;settimanaCorrente)</f>
        <v>0</v>
      </c>
      <c r="H5">
        <f>COUNTIFS(NW_Imp_L1_01,2,NW_Settimana,"&gt;="&amp;inizioFinestra4,NW_Settimana,"&lt;="&amp;settimanaCorrente)</f>
        <v>0</v>
      </c>
      <c r="I5">
        <f>COUNTIFS(NW_Imp_L1_01,3,NW_Settimana,"&gt;="&amp;inizioFinestra4,NW_Settimana,"&lt;="&amp;settimanaCorrente)</f>
        <v>0</v>
      </c>
      <c r="J5" t="str">
        <f t="shared" ref="J5:J11" si="2">IF(F5="AREA NON PRESIDIATA","NON PRESIDIATA ► ","")&amp;A5&amp;" "&amp;B5</f>
        <v>L1-01 Frode interna</v>
      </c>
    </row>
    <row r="6" spans="1:10" x14ac:dyDescent="0.4">
      <c r="A6" t="s">
        <v>419</v>
      </c>
      <c r="B6" t="s">
        <v>420</v>
      </c>
      <c r="C6">
        <f>_xlfn.MAXIFS(NW_Imp_L1_02,NW_Settimana,"&gt;="&amp;inizioFinestra4,NW_Settimana,"&lt;="&amp;settimanaCorrente)</f>
        <v>3</v>
      </c>
      <c r="D6">
        <f>COUNTIFS(NW_Imp_L1_02,"&gt;=2",NW_Settimana,"&gt;="&amp;inizioFinestra4,NW_Settimana,"&lt;="&amp;settimanaCorrente)</f>
        <v>3</v>
      </c>
      <c r="E6">
        <f t="shared" si="0"/>
        <v>1</v>
      </c>
      <c r="F6" t="str">
        <f t="shared" si="1"/>
        <v>Presidiata</v>
      </c>
      <c r="G6">
        <f>COUNTIFS(NW_Imp_L1_02,1,NW_Settimana,"&gt;="&amp;inizioFinestra4,NW_Settimana,"&lt;="&amp;settimanaCorrente)</f>
        <v>0</v>
      </c>
      <c r="H6">
        <f>COUNTIFS(NW_Imp_L1_02,2,NW_Settimana,"&gt;="&amp;inizioFinestra4,NW_Settimana,"&lt;="&amp;settimanaCorrente)</f>
        <v>2</v>
      </c>
      <c r="I6">
        <f>COUNTIFS(NW_Imp_L1_02,3,NW_Settimana,"&gt;="&amp;inizioFinestra4,NW_Settimana,"&lt;="&amp;settimanaCorrente)</f>
        <v>1</v>
      </c>
      <c r="J6" t="str">
        <f t="shared" si="2"/>
        <v>L1-02 Frode esterna</v>
      </c>
    </row>
    <row r="7" spans="1:10" x14ac:dyDescent="0.4">
      <c r="A7" t="s">
        <v>421</v>
      </c>
      <c r="B7" t="s">
        <v>422</v>
      </c>
      <c r="C7">
        <f>_xlfn.MAXIFS(NW_Imp_L1_03,NW_Settimana,"&gt;="&amp;inizioFinestra4,NW_Settimana,"&lt;="&amp;settimanaCorrente)</f>
        <v>0</v>
      </c>
      <c r="D7">
        <f>COUNTIFS(NW_Imp_L1_03,"&gt;=2",NW_Settimana,"&gt;="&amp;inizioFinestra4,NW_Settimana,"&lt;="&amp;settimanaCorrente)</f>
        <v>0</v>
      </c>
      <c r="E7">
        <f t="shared" si="0"/>
        <v>0</v>
      </c>
      <c r="F7" t="str">
        <f t="shared" si="1"/>
        <v>Nessun rischio censito</v>
      </c>
      <c r="G7">
        <f>COUNTIFS(NW_Imp_L1_03,1,NW_Settimana,"&gt;="&amp;inizioFinestra4,NW_Settimana,"&lt;="&amp;settimanaCorrente)</f>
        <v>0</v>
      </c>
      <c r="H7">
        <f>COUNTIFS(NW_Imp_L1_03,2,NW_Settimana,"&gt;="&amp;inizioFinestra4,NW_Settimana,"&lt;="&amp;settimanaCorrente)</f>
        <v>0</v>
      </c>
      <c r="I7">
        <f>COUNTIFS(NW_Imp_L1_03,3,NW_Settimana,"&gt;="&amp;inizioFinestra4,NW_Settimana,"&lt;="&amp;settimanaCorrente)</f>
        <v>0</v>
      </c>
      <c r="J7" t="str">
        <f t="shared" si="2"/>
        <v>L1-03 Rapporti di impiego e sicurezza sul lavoro</v>
      </c>
    </row>
    <row r="8" spans="1:10" x14ac:dyDescent="0.4">
      <c r="A8" t="s">
        <v>423</v>
      </c>
      <c r="B8" t="s">
        <v>424</v>
      </c>
      <c r="C8">
        <f>_xlfn.MAXIFS(NW_Imp_L1_04,NW_Settimana,"&gt;="&amp;inizioFinestra4,NW_Settimana,"&lt;="&amp;settimanaCorrente)</f>
        <v>2</v>
      </c>
      <c r="D8">
        <f>COUNTIFS(NW_Imp_L1_04,"&gt;=2",NW_Settimana,"&gt;="&amp;inizioFinestra4,NW_Settimana,"&lt;="&amp;settimanaCorrente)</f>
        <v>1</v>
      </c>
      <c r="E8">
        <f t="shared" si="0"/>
        <v>3</v>
      </c>
      <c r="F8" t="str">
        <f t="shared" si="1"/>
        <v>Presidiata</v>
      </c>
      <c r="G8">
        <f>COUNTIFS(NW_Imp_L1_04,1,NW_Settimana,"&gt;="&amp;inizioFinestra4,NW_Settimana,"&lt;="&amp;settimanaCorrente)</f>
        <v>1</v>
      </c>
      <c r="H8">
        <f>COUNTIFS(NW_Imp_L1_04,2,NW_Settimana,"&gt;="&amp;inizioFinestra4,NW_Settimana,"&lt;="&amp;settimanaCorrente)</f>
        <v>1</v>
      </c>
      <c r="I8">
        <f>COUNTIFS(NW_Imp_L1_04,3,NW_Settimana,"&gt;="&amp;inizioFinestra4,NW_Settimana,"&lt;="&amp;settimanaCorrente)</f>
        <v>0</v>
      </c>
      <c r="J8" t="str">
        <f t="shared" si="2"/>
        <v>L1-04 Clientela, prodotti e prassi professionali</v>
      </c>
    </row>
    <row r="9" spans="1:10" x14ac:dyDescent="0.4">
      <c r="A9" t="s">
        <v>425</v>
      </c>
      <c r="B9" t="s">
        <v>426</v>
      </c>
      <c r="C9">
        <f>_xlfn.MAXIFS(NW_Imp_L1_05,NW_Settimana,"&gt;="&amp;inizioFinestra4,NW_Settimana,"&lt;="&amp;settimanaCorrente)</f>
        <v>1</v>
      </c>
      <c r="D9">
        <f>COUNTIFS(NW_Imp_L1_05,"&gt;=2",NW_Settimana,"&gt;="&amp;inizioFinestra4,NW_Settimana,"&lt;="&amp;settimanaCorrente)</f>
        <v>0</v>
      </c>
      <c r="E9">
        <f t="shared" si="0"/>
        <v>1</v>
      </c>
      <c r="F9" t="str">
        <f t="shared" si="1"/>
        <v>Presidiata</v>
      </c>
      <c r="G9">
        <f>COUNTIFS(NW_Imp_L1_05,1,NW_Settimana,"&gt;="&amp;inizioFinestra4,NW_Settimana,"&lt;="&amp;settimanaCorrente)</f>
        <v>1</v>
      </c>
      <c r="H9">
        <f>COUNTIFS(NW_Imp_L1_05,2,NW_Settimana,"&gt;="&amp;inizioFinestra4,NW_Settimana,"&lt;="&amp;settimanaCorrente)</f>
        <v>0</v>
      </c>
      <c r="I9">
        <f>COUNTIFS(NW_Imp_L1_05,3,NW_Settimana,"&gt;="&amp;inizioFinestra4,NW_Settimana,"&lt;="&amp;settimanaCorrente)</f>
        <v>0</v>
      </c>
      <c r="J9" t="str">
        <f t="shared" si="2"/>
        <v>L1-05 Danni a beni materiali</v>
      </c>
    </row>
    <row r="10" spans="1:10" x14ac:dyDescent="0.4">
      <c r="A10" t="s">
        <v>427</v>
      </c>
      <c r="B10" t="s">
        <v>428</v>
      </c>
      <c r="C10">
        <f>_xlfn.MAXIFS(NW_Imp_L1_06,NW_Settimana,"&gt;="&amp;inizioFinestra4,NW_Settimana,"&lt;="&amp;settimanaCorrente)</f>
        <v>1</v>
      </c>
      <c r="D10">
        <f>COUNTIFS(NW_Imp_L1_06,"&gt;=2",NW_Settimana,"&gt;="&amp;inizioFinestra4,NW_Settimana,"&lt;="&amp;settimanaCorrente)</f>
        <v>0</v>
      </c>
      <c r="E10">
        <f t="shared" si="0"/>
        <v>3</v>
      </c>
      <c r="F10" t="str">
        <f t="shared" si="1"/>
        <v>Presidiata</v>
      </c>
      <c r="G10">
        <f>COUNTIFS(NW_Imp_L1_06,1,NW_Settimana,"&gt;="&amp;inizioFinestra4,NW_Settimana,"&lt;="&amp;settimanaCorrente)</f>
        <v>2</v>
      </c>
      <c r="H10">
        <f>COUNTIFS(NW_Imp_L1_06,2,NW_Settimana,"&gt;="&amp;inizioFinestra4,NW_Settimana,"&lt;="&amp;settimanaCorrente)</f>
        <v>0</v>
      </c>
      <c r="I10">
        <f>COUNTIFS(NW_Imp_L1_06,3,NW_Settimana,"&gt;="&amp;inizioFinestra4,NW_Settimana,"&lt;="&amp;settimanaCorrente)</f>
        <v>0</v>
      </c>
      <c r="J10" t="str">
        <f t="shared" si="2"/>
        <v>L1-06 Interruzione dell'operativita' e disfunzione dei sistemi</v>
      </c>
    </row>
    <row r="11" spans="1:10" x14ac:dyDescent="0.4">
      <c r="A11" t="s">
        <v>429</v>
      </c>
      <c r="B11" t="s">
        <v>430</v>
      </c>
      <c r="C11">
        <f>_xlfn.MAXIFS(NW_Imp_L1_07,NW_Settimana,"&gt;="&amp;inizioFinestra4,NW_Settimana,"&lt;="&amp;settimanaCorrente)</f>
        <v>2</v>
      </c>
      <c r="D11">
        <f>COUNTIFS(NW_Imp_L1_07,"&gt;=2",NW_Settimana,"&gt;="&amp;inizioFinestra4,NW_Settimana,"&lt;="&amp;settimanaCorrente)</f>
        <v>2</v>
      </c>
      <c r="E11">
        <f t="shared" si="0"/>
        <v>2</v>
      </c>
      <c r="F11" t="str">
        <f t="shared" si="1"/>
        <v>Presidiata</v>
      </c>
      <c r="G11">
        <f>COUNTIFS(NW_Imp_L1_07,1,NW_Settimana,"&gt;="&amp;inizioFinestra4,NW_Settimana,"&lt;="&amp;settimanaCorrente)</f>
        <v>1</v>
      </c>
      <c r="H11">
        <f>COUNTIFS(NW_Imp_L1_07,2,NW_Settimana,"&gt;="&amp;inizioFinestra4,NW_Settimana,"&lt;="&amp;settimanaCorrente)</f>
        <v>2</v>
      </c>
      <c r="I11">
        <f>COUNTIFS(NW_Imp_L1_07,3,NW_Settimana,"&gt;="&amp;inizioFinestra4,NW_Settimana,"&lt;="&amp;settimanaCorrente)</f>
        <v>0</v>
      </c>
      <c r="J11" t="str">
        <f t="shared" si="2"/>
        <v>L1-07 Esecuzione, consegna e gestione dei processi</v>
      </c>
    </row>
    <row r="13" spans="1:10" x14ac:dyDescent="0.4">
      <c r="A13" t="s">
        <v>431</v>
      </c>
      <c r="D13">
        <f>COUNTIFS(NW_Rischio_ID,"NON PRESIDIATO",NW_Settimana,"&gt;="&amp;inizioFinestra4,NW_Settimana,"&lt;="&amp;settimanaCorrente)</f>
        <v>0</v>
      </c>
    </row>
    <row r="15" spans="1:10" ht="15.9" x14ac:dyDescent="0.45">
      <c r="A15" s="109" t="s">
        <v>432</v>
      </c>
      <c r="B15" s="110"/>
      <c r="C15" s="110"/>
      <c r="D15" s="110"/>
      <c r="E15" s="110"/>
    </row>
    <row r="16" spans="1:10" x14ac:dyDescent="0.4">
      <c r="A16" s="52" t="s">
        <v>433</v>
      </c>
      <c r="B16" s="52" t="s">
        <v>84</v>
      </c>
      <c r="C16" s="52" t="s">
        <v>434</v>
      </c>
      <c r="D16" s="52" t="s">
        <v>435</v>
      </c>
      <c r="E16" s="52" t="s">
        <v>436</v>
      </c>
    </row>
    <row r="17" spans="1:5" x14ac:dyDescent="0.4">
      <c r="A17" s="66">
        <f>Parametri!$B$34</f>
        <v>46125</v>
      </c>
      <c r="B17">
        <f t="shared" ref="B17:B28" si="3">COUNTIFS(NW_Settimana,A17)</f>
        <v>0</v>
      </c>
      <c r="C17">
        <f t="shared" ref="C17:C28" si="4">COUNTIFS(NW_Settimana,A17,NW_Segnale,"Peggiorativo")</f>
        <v>0</v>
      </c>
      <c r="D17">
        <f t="shared" ref="D17:D28" si="5">COUNTIFS(NW_Settimana,A17,NW_Segnale,"Migliorativo")</f>
        <v>0</v>
      </c>
      <c r="E17">
        <f t="shared" ref="E17:E28" si="6">C17-D17</f>
        <v>0</v>
      </c>
    </row>
    <row r="18" spans="1:5" x14ac:dyDescent="0.4">
      <c r="A18" s="66">
        <f>Parametri!$B$35</f>
        <v>46132</v>
      </c>
      <c r="B18">
        <f t="shared" si="3"/>
        <v>0</v>
      </c>
      <c r="C18">
        <f t="shared" si="4"/>
        <v>0</v>
      </c>
      <c r="D18">
        <f t="shared" si="5"/>
        <v>0</v>
      </c>
      <c r="E18">
        <f t="shared" si="6"/>
        <v>0</v>
      </c>
    </row>
    <row r="19" spans="1:5" x14ac:dyDescent="0.4">
      <c r="A19" s="66">
        <f>Parametri!$B$36</f>
        <v>46139</v>
      </c>
      <c r="B19">
        <f t="shared" si="3"/>
        <v>0</v>
      </c>
      <c r="C19">
        <f t="shared" si="4"/>
        <v>0</v>
      </c>
      <c r="D19">
        <f t="shared" si="5"/>
        <v>0</v>
      </c>
      <c r="E19">
        <f t="shared" si="6"/>
        <v>0</v>
      </c>
    </row>
    <row r="20" spans="1:5" x14ac:dyDescent="0.4">
      <c r="A20" s="66">
        <f>Parametri!$B$37</f>
        <v>46146</v>
      </c>
      <c r="B20">
        <f t="shared" si="3"/>
        <v>0</v>
      </c>
      <c r="C20">
        <f t="shared" si="4"/>
        <v>0</v>
      </c>
      <c r="D20">
        <f t="shared" si="5"/>
        <v>0</v>
      </c>
      <c r="E20">
        <f t="shared" si="6"/>
        <v>0</v>
      </c>
    </row>
    <row r="21" spans="1:5" x14ac:dyDescent="0.4">
      <c r="A21" s="66">
        <f>Parametri!$B$38</f>
        <v>46153</v>
      </c>
      <c r="B21">
        <f t="shared" si="3"/>
        <v>0</v>
      </c>
      <c r="C21">
        <f t="shared" si="4"/>
        <v>0</v>
      </c>
      <c r="D21">
        <f t="shared" si="5"/>
        <v>0</v>
      </c>
      <c r="E21">
        <f t="shared" si="6"/>
        <v>0</v>
      </c>
    </row>
    <row r="22" spans="1:5" x14ac:dyDescent="0.4">
      <c r="A22" s="66">
        <f>Parametri!$B$39</f>
        <v>46160</v>
      </c>
      <c r="B22">
        <f t="shared" si="3"/>
        <v>1</v>
      </c>
      <c r="C22">
        <f t="shared" si="4"/>
        <v>1</v>
      </c>
      <c r="D22">
        <f t="shared" si="5"/>
        <v>0</v>
      </c>
      <c r="E22">
        <f t="shared" si="6"/>
        <v>1</v>
      </c>
    </row>
    <row r="23" spans="1:5" x14ac:dyDescent="0.4">
      <c r="A23" s="66">
        <f>Parametri!$B$40</f>
        <v>46167</v>
      </c>
      <c r="B23">
        <f t="shared" si="3"/>
        <v>0</v>
      </c>
      <c r="C23">
        <f t="shared" si="4"/>
        <v>0</v>
      </c>
      <c r="D23">
        <f t="shared" si="5"/>
        <v>0</v>
      </c>
      <c r="E23">
        <f t="shared" si="6"/>
        <v>0</v>
      </c>
    </row>
    <row r="24" spans="1:5" x14ac:dyDescent="0.4">
      <c r="A24" s="66">
        <f>Parametri!$B$41</f>
        <v>46174</v>
      </c>
      <c r="B24">
        <f t="shared" si="3"/>
        <v>0</v>
      </c>
      <c r="C24">
        <f t="shared" si="4"/>
        <v>0</v>
      </c>
      <c r="D24">
        <f t="shared" si="5"/>
        <v>0</v>
      </c>
      <c r="E24">
        <f t="shared" si="6"/>
        <v>0</v>
      </c>
    </row>
    <row r="25" spans="1:5" x14ac:dyDescent="0.4">
      <c r="A25" s="66">
        <f>Parametri!$B$42</f>
        <v>46181</v>
      </c>
      <c r="B25">
        <f t="shared" si="3"/>
        <v>3</v>
      </c>
      <c r="C25">
        <f t="shared" si="4"/>
        <v>1</v>
      </c>
      <c r="D25">
        <f t="shared" si="5"/>
        <v>2</v>
      </c>
      <c r="E25">
        <f t="shared" si="6"/>
        <v>-1</v>
      </c>
    </row>
    <row r="26" spans="1:5" x14ac:dyDescent="0.4">
      <c r="A26" s="66">
        <f>Parametri!$B$43</f>
        <v>46188</v>
      </c>
      <c r="B26">
        <f t="shared" si="3"/>
        <v>3</v>
      </c>
      <c r="C26">
        <f t="shared" si="4"/>
        <v>1</v>
      </c>
      <c r="D26">
        <f t="shared" si="5"/>
        <v>1</v>
      </c>
      <c r="E26">
        <f t="shared" si="6"/>
        <v>0</v>
      </c>
    </row>
    <row r="27" spans="1:5" x14ac:dyDescent="0.4">
      <c r="A27" s="66">
        <f>Parametri!$B$44</f>
        <v>46195</v>
      </c>
      <c r="B27">
        <f t="shared" si="3"/>
        <v>3</v>
      </c>
      <c r="C27">
        <f t="shared" si="4"/>
        <v>2</v>
      </c>
      <c r="D27">
        <f t="shared" si="5"/>
        <v>1</v>
      </c>
      <c r="E27">
        <f t="shared" si="6"/>
        <v>1</v>
      </c>
    </row>
    <row r="28" spans="1:5" x14ac:dyDescent="0.4">
      <c r="A28" s="66">
        <f>Parametri!$B$45</f>
        <v>46202</v>
      </c>
      <c r="B28">
        <f t="shared" si="3"/>
        <v>0</v>
      </c>
      <c r="C28">
        <f t="shared" si="4"/>
        <v>0</v>
      </c>
      <c r="D28">
        <f t="shared" si="5"/>
        <v>0</v>
      </c>
      <c r="E28">
        <f t="shared" si="6"/>
        <v>0</v>
      </c>
    </row>
    <row r="30" spans="1:5" x14ac:dyDescent="0.4">
      <c r="A30" s="67" t="s">
        <v>437</v>
      </c>
    </row>
  </sheetData>
  <mergeCells count="3">
    <mergeCell ref="A1:J1"/>
    <mergeCell ref="A2:J2"/>
    <mergeCell ref="A15:E15"/>
  </mergeCells>
  <conditionalFormatting sqref="F5:F11">
    <cfRule type="expression" dxfId="13" priority="1">
      <formula>F5="AREA NON PRESIDIATA"</formula>
    </cfRule>
  </conditionalFormatting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5B6"/>
  </sheetPr>
  <dimension ref="A1:N157"/>
  <sheetViews>
    <sheetView showGridLines="0" workbookViewId="0">
      <pane ySplit="5" topLeftCell="A6" activePane="bottomLeft" state="frozen"/>
      <selection pane="bottomLeft"/>
    </sheetView>
  </sheetViews>
  <sheetFormatPr defaultRowHeight="14.6" x14ac:dyDescent="0.4"/>
  <cols>
    <col min="1" max="2" width="8" customWidth="1"/>
    <col min="3" max="3" width="17" customWidth="1"/>
    <col min="4" max="4" width="54" customWidth="1"/>
    <col min="5" max="5" width="26" customWidth="1"/>
    <col min="6" max="6" width="13" customWidth="1"/>
    <col min="7" max="7" width="9" customWidth="1"/>
    <col min="8" max="8" width="20" customWidth="1"/>
    <col min="9" max="10" width="11" customWidth="1"/>
    <col min="11" max="11" width="12" customWidth="1"/>
    <col min="14" max="14" width="13" hidden="1" customWidth="1"/>
  </cols>
  <sheetData>
    <row r="1" spans="1:14" ht="28" customHeight="1" x14ac:dyDescent="0.4">
      <c r="A1" s="126" t="str">
        <f>"Horizon Scan NFR — Piano delle azioni   ·   "&amp;etichettaCiclo</f>
        <v>Horizon Scan NFR — Piano delle azioni   ·   Ciclo 2026Q3 · dati al 30/09/2026 · validato · Uso interno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4" ht="45.55" customHeight="1" x14ac:dyDescent="0.4">
      <c r="A2" s="149" t="s">
        <v>438</v>
      </c>
      <c r="B2" s="98"/>
      <c r="C2" s="98"/>
      <c r="D2" s="98"/>
      <c r="E2" s="98"/>
      <c r="F2" s="98"/>
      <c r="G2" s="98"/>
      <c r="H2" s="98"/>
      <c r="I2" s="98"/>
      <c r="J2" s="98"/>
      <c r="K2" s="98"/>
    </row>
    <row r="4" spans="1:14" x14ac:dyDescent="0.4">
      <c r="A4" s="150" t="s">
        <v>439</v>
      </c>
      <c r="B4" s="144"/>
      <c r="C4" s="144"/>
      <c r="D4" s="144"/>
      <c r="E4" s="144"/>
      <c r="F4" s="144"/>
      <c r="G4" s="144"/>
      <c r="H4" s="147" t="s">
        <v>440</v>
      </c>
      <c r="I4" s="148"/>
      <c r="J4" s="148"/>
      <c r="K4" s="68" t="s">
        <v>7</v>
      </c>
    </row>
    <row r="5" spans="1:14" x14ac:dyDescent="0.4">
      <c r="A5" s="69" t="s">
        <v>407</v>
      </c>
      <c r="B5" s="69" t="s">
        <v>18</v>
      </c>
      <c r="C5" s="69" t="s">
        <v>441</v>
      </c>
      <c r="D5" s="69" t="s">
        <v>442</v>
      </c>
      <c r="E5" s="69" t="s">
        <v>156</v>
      </c>
      <c r="F5" s="69" t="s">
        <v>443</v>
      </c>
      <c r="G5" s="69" t="s">
        <v>444</v>
      </c>
      <c r="H5" s="69" t="s">
        <v>401</v>
      </c>
      <c r="I5" s="69" t="s">
        <v>445</v>
      </c>
      <c r="J5" s="69" t="s">
        <v>446</v>
      </c>
      <c r="K5" s="69" t="s">
        <v>7</v>
      </c>
    </row>
    <row r="6" spans="1:14" x14ac:dyDescent="0.4">
      <c r="A6" s="70" t="str">
        <f>IF($N6="","",INDEX(Azioni!$A:$A,$N6)&amp;"")</f>
        <v>2026Q2</v>
      </c>
      <c r="B6" s="70" t="str">
        <f>IF($N6="","",INDEX(Azioni!$B:$B,$N6)&amp;"")</f>
        <v>NFR-01</v>
      </c>
      <c r="C6" s="70" t="str">
        <f>IF($N6="","",INDEX(Azioni!$C:$C,$N6)&amp;"")</f>
        <v>2026Q2-NFR-01-A1</v>
      </c>
      <c r="D6" s="71" t="str">
        <f>IF($N6="","",INDEX(Azioni!$D:$D,$N6)&amp;"")</f>
        <v>Introdurre la verifica fuori banda per bonifici istantanei sopra soglia verso beneficiari nuovi.</v>
      </c>
      <c r="E6" s="70" t="str">
        <f>IF($N6="","",INDEX(Azioni!$E:$E,$N6)&amp;"")</f>
        <v>Funzione Antifrode</v>
      </c>
      <c r="F6" s="70" t="str">
        <f>IF($N6="","",INDEX(Azioni!$F:$F,$N6)&amp;"")</f>
        <v>gap_controlli</v>
      </c>
      <c r="G6" s="70" t="str">
        <f>IF($N6="","",INDEX(Azioni!$G:$G,$N6)&amp;"")</f>
        <v>6 mesi</v>
      </c>
      <c r="H6" s="70" t="str">
        <f>IF($N6="","",INDEX(Azioni!$J:$J,$N6)&amp;"")</f>
        <v>Approvata</v>
      </c>
      <c r="I6" s="72">
        <f>IF($N6="","",IF(INDEX(Azioni!$K:$K,$N6)="","",INDEX(Azioni!$K:$K,$N6)))</f>
        <v>46218</v>
      </c>
      <c r="J6" s="72">
        <f>IF(OR($N6="",I6=""),"",IF(OR(H6="Approvata",H6="In corso"),EDATE(I6,N(INDEX(Azioni!$H:$H,$N6))),""))</f>
        <v>46402</v>
      </c>
      <c r="K6" s="70" t="str">
        <f>IF($N6="","",INDEX(Azioni!$M:$M,$N6)&amp;"")</f>
        <v>Accettato</v>
      </c>
      <c r="N6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1),1000000),"")</f>
        <v>6</v>
      </c>
    </row>
    <row r="7" spans="1:14" x14ac:dyDescent="0.4">
      <c r="A7" s="70" t="str">
        <f>IF($N7="","",INDEX(Azioni!$A:$A,$N7)&amp;"")</f>
        <v>2026Q2</v>
      </c>
      <c r="B7" s="70" t="str">
        <f>IF($N7="","",INDEX(Azioni!$B:$B,$N7)&amp;"")</f>
        <v>NFR-02</v>
      </c>
      <c r="C7" s="70" t="str">
        <f>IF($N7="","",INDEX(Azioni!$C:$C,$N7)&amp;"")</f>
        <v>2026Q2-NFR-02-A1</v>
      </c>
      <c r="D7" s="71" t="str">
        <f>IF($N7="","",INDEX(Azioni!$D:$D,$N7)&amp;"")</f>
        <v>Eseguire il test completo di exit strategy sui due servizi critici non ancora coperti.</v>
      </c>
      <c r="E7" s="70" t="str">
        <f>IF($N7="","",INDEX(Azioni!$E:$E,$N7)&amp;"")</f>
        <v>Funzione ICT &amp; Security Risk</v>
      </c>
      <c r="F7" s="70" t="str">
        <f>IF($N7="","",INDEX(Azioni!$F:$F,$N7)&amp;"")</f>
        <v>gap_controlli</v>
      </c>
      <c r="G7" s="70" t="str">
        <f>IF($N7="","",INDEX(Azioni!$G:$G,$N7)&amp;"")</f>
        <v>12 mesi</v>
      </c>
      <c r="H7" s="70" t="str">
        <f>IF($N7="","",INDEX(Azioni!$J:$J,$N7)&amp;"")</f>
        <v>Approvata</v>
      </c>
      <c r="I7" s="72">
        <f>IF($N7="","",IF(INDEX(Azioni!$K:$K,$N7)="","",INDEX(Azioni!$K:$K,$N7)))</f>
        <v>46218</v>
      </c>
      <c r="J7" s="72">
        <f>IF(OR($N7="",I7=""),"",IF(OR(H7="Approvata",H7="In corso"),EDATE(I7,N(INDEX(Azioni!$H:$H,$N7))),""))</f>
        <v>46583</v>
      </c>
      <c r="K7" s="70" t="str">
        <f>IF($N7="","",INDEX(Azioni!$M:$M,$N7)&amp;"")</f>
        <v>Accettato</v>
      </c>
      <c r="N7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2),1000000),"")</f>
        <v>7</v>
      </c>
    </row>
    <row r="8" spans="1:14" x14ac:dyDescent="0.4">
      <c r="A8" s="70" t="str">
        <f>IF($N8="","",INDEX(Azioni!$A:$A,$N8)&amp;"")</f>
        <v>2026Q2</v>
      </c>
      <c r="B8" s="70" t="str">
        <f>IF($N8="","",INDEX(Azioni!$B:$B,$N8)&amp;"")</f>
        <v>NFR-03</v>
      </c>
      <c r="C8" s="70" t="str">
        <f>IF($N8="","",INDEX(Azioni!$C:$C,$N8)&amp;"")</f>
        <v>2026Q2-NFR-03-A1</v>
      </c>
      <c r="D8" s="71" t="str">
        <f>IF($N8="","",INDEX(Azioni!$D:$D,$N8)&amp;"")</f>
        <v>Revisione indipendente dei claim ambientali di tutti i prodotti ESG in catalogo.</v>
      </c>
      <c r="E8" s="70" t="str">
        <f>IF($N8="","",INDEX(Azioni!$E:$E,$N8)&amp;"")</f>
        <v>Funzione Compliance</v>
      </c>
      <c r="F8" s="70" t="str">
        <f>IF($N8="","",INDEX(Azioni!$F:$F,$N8)&amp;"")</f>
        <v>gap_controlli</v>
      </c>
      <c r="G8" s="70" t="str">
        <f>IF($N8="","",INDEX(Azioni!$G:$G,$N8)&amp;"")</f>
        <v>6 mesi</v>
      </c>
      <c r="H8" s="70" t="str">
        <f>IF($N8="","",INDEX(Azioni!$J:$J,$N8)&amp;"")</f>
        <v>Approvata</v>
      </c>
      <c r="I8" s="72">
        <f>IF($N8="","",IF(INDEX(Azioni!$K:$K,$N8)="","",INDEX(Azioni!$K:$K,$N8)))</f>
        <v>46218</v>
      </c>
      <c r="J8" s="72">
        <f>IF(OR($N8="",I8=""),"",IF(OR(H8="Approvata",H8="In corso"),EDATE(I8,N(INDEX(Azioni!$H:$H,$N8))),""))</f>
        <v>46402</v>
      </c>
      <c r="K8" s="70" t="str">
        <f>IF($N8="","",INDEX(Azioni!$M:$M,$N8)&amp;"")</f>
        <v>Accettato</v>
      </c>
      <c r="N8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3),1000000),"")</f>
        <v>8</v>
      </c>
    </row>
    <row r="9" spans="1:14" x14ac:dyDescent="0.4">
      <c r="A9" s="70" t="str">
        <f>IF($N9="","",INDEX(Azioni!$A:$A,$N9)&amp;"")</f>
        <v>2026Q2</v>
      </c>
      <c r="B9" s="70" t="str">
        <f>IF($N9="","",INDEX(Azioni!$B:$B,$N9)&amp;"")</f>
        <v>NFR-04</v>
      </c>
      <c r="C9" s="70" t="str">
        <f>IF($N9="","",INDEX(Azioni!$C:$C,$N9)&amp;"")</f>
        <v>2026Q2-NFR-04-A1</v>
      </c>
      <c r="D9" s="71" t="str">
        <f>IF($N9="","",INDEX(Azioni!$D:$D,$N9)&amp;"")</f>
        <v>Redigere piani di continuita' specifici per le due sedi critiche in aree a rischio.</v>
      </c>
      <c r="E9" s="70" t="str">
        <f>IF($N9="","",INDEX(Azioni!$E:$E,$N9)&amp;"")</f>
        <v>Funzione Business Continuity</v>
      </c>
      <c r="F9" s="70" t="str">
        <f>IF($N9="","",INDEX(Azioni!$F:$F,$N9)&amp;"")</f>
        <v>gap_controlli</v>
      </c>
      <c r="G9" s="70" t="str">
        <f>IF($N9="","",INDEX(Azioni!$G:$G,$N9)&amp;"")</f>
        <v>12 mesi</v>
      </c>
      <c r="H9" s="70" t="str">
        <f>IF($N9="","",INDEX(Azioni!$J:$J,$N9)&amp;"")</f>
        <v>Approvata</v>
      </c>
      <c r="I9" s="72">
        <f>IF($N9="","",IF(INDEX(Azioni!$K:$K,$N9)="","",INDEX(Azioni!$K:$K,$N9)))</f>
        <v>46218</v>
      </c>
      <c r="J9" s="72">
        <f>IF(OR($N9="",I9=""),"",IF(OR(H9="Approvata",H9="In corso"),EDATE(I9,N(INDEX(Azioni!$H:$H,$N9))),""))</f>
        <v>46583</v>
      </c>
      <c r="K9" s="70" t="str">
        <f>IF($N9="","",INDEX(Azioni!$M:$M,$N9)&amp;"")</f>
        <v>Accettato</v>
      </c>
      <c r="N9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4),1000000),"")</f>
        <v>9</v>
      </c>
    </row>
    <row r="10" spans="1:14" x14ac:dyDescent="0.4">
      <c r="A10" s="70" t="str">
        <f>IF($N10="","",INDEX(Azioni!$A:$A,$N10)&amp;"")</f>
        <v>2026Q2</v>
      </c>
      <c r="B10" s="70" t="str">
        <f>IF($N10="","",INDEX(Azioni!$B:$B,$N10)&amp;"")</f>
        <v>NFR-06</v>
      </c>
      <c r="C10" s="70" t="str">
        <f>IF($N10="","",INDEX(Azioni!$C:$C,$N10)&amp;"")</f>
        <v>2026Q2-NFR-06-A1</v>
      </c>
      <c r="D10" s="71" t="str">
        <f>IF($N10="","",INDEX(Azioni!$D:$D,$N10)&amp;"")</f>
        <v>Estendere il DLP a tutti i servizi di AI generativa e bloccare quelli non autorizzati.</v>
      </c>
      <c r="E10" s="70" t="str">
        <f>IF($N10="","",INDEX(Azioni!$E:$E,$N10)&amp;"")</f>
        <v>Funzione Sicurezza delle Informazioni</v>
      </c>
      <c r="F10" s="70" t="str">
        <f>IF($N10="","",INDEX(Azioni!$F:$F,$N10)&amp;"")</f>
        <v>gap_controlli</v>
      </c>
      <c r="G10" s="70" t="str">
        <f>IF($N10="","",INDEX(Azioni!$G:$G,$N10)&amp;"")</f>
        <v>3 mesi</v>
      </c>
      <c r="H10" s="70" t="str">
        <f>IF($N10="","",INDEX(Azioni!$J:$J,$N10)&amp;"")</f>
        <v>Approvata</v>
      </c>
      <c r="I10" s="72">
        <f>IF($N10="","",IF(INDEX(Azioni!$K:$K,$N10)="","",INDEX(Azioni!$K:$K,$N10)))</f>
        <v>46218</v>
      </c>
      <c r="J10" s="72">
        <f>IF(OR($N10="",I10=""),"",IF(OR(H10="Approvata",H10="In corso"),EDATE(I10,N(INDEX(Azioni!$H:$H,$N10))),""))</f>
        <v>46310</v>
      </c>
      <c r="K10" s="70" t="str">
        <f>IF($N10="","",INDEX(Azioni!$M:$M,$N10)&amp;"")</f>
        <v>Accettato</v>
      </c>
      <c r="N10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5),1000000),"")</f>
        <v>11</v>
      </c>
    </row>
    <row r="11" spans="1:14" x14ac:dyDescent="0.4">
      <c r="A11" s="70" t="str">
        <f>IF($N11="","",INDEX(Azioni!$A:$A,$N11)&amp;"")</f>
        <v>2026Q2</v>
      </c>
      <c r="B11" s="70" t="str">
        <f>IF($N11="","",INDEX(Azioni!$B:$B,$N11)&amp;"")</f>
        <v>NFR-07</v>
      </c>
      <c r="C11" s="70" t="str">
        <f>IF($N11="","",INDEX(Azioni!$C:$C,$N11)&amp;"")</f>
        <v>2026Q2-NFR-07-A1</v>
      </c>
      <c r="D11" s="71" t="str">
        <f>IF($N11="","",INDEX(Azioni!$D:$D,$N11)&amp;"")</f>
        <v>Test congiunto di ripristino da ransomware con il fornitore del gateway di pagamento.</v>
      </c>
      <c r="E11" s="70" t="str">
        <f>IF($N11="","",INDEX(Azioni!$E:$E,$N11)&amp;"")</f>
        <v>Funzione ICT &amp; Security Risk</v>
      </c>
      <c r="F11" s="70" t="str">
        <f>IF($N11="","",INDEX(Azioni!$F:$F,$N11)&amp;"")</f>
        <v>gap_controlli</v>
      </c>
      <c r="G11" s="70" t="str">
        <f>IF($N11="","",INDEX(Azioni!$G:$G,$N11)&amp;"")</f>
        <v>6 mesi</v>
      </c>
      <c r="H11" s="70" t="str">
        <f>IF($N11="","",INDEX(Azioni!$J:$J,$N11)&amp;"")</f>
        <v>Approvata</v>
      </c>
      <c r="I11" s="72">
        <f>IF($N11="","",IF(INDEX(Azioni!$K:$K,$N11)="","",INDEX(Azioni!$K:$K,$N11)))</f>
        <v>46218</v>
      </c>
      <c r="J11" s="72">
        <f>IF(OR($N11="",I11=""),"",IF(OR(H11="Approvata",H11="In corso"),EDATE(I11,N(INDEX(Azioni!$H:$H,$N11))),""))</f>
        <v>46402</v>
      </c>
      <c r="K11" s="70" t="str">
        <f>IF($N11="","",INDEX(Azioni!$M:$M,$N11)&amp;"")</f>
        <v>Accettato</v>
      </c>
      <c r="N11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6),1000000),"")</f>
        <v>12</v>
      </c>
    </row>
    <row r="12" spans="1:14" x14ac:dyDescent="0.4">
      <c r="A12" s="70" t="str">
        <f>IF($N12="","",INDEX(Azioni!$A:$A,$N12)&amp;"")</f>
        <v>2026Q2</v>
      </c>
      <c r="B12" s="70" t="str">
        <f>IF($N12="","",INDEX(Azioni!$B:$B,$N12)&amp;"")</f>
        <v>NFR-08</v>
      </c>
      <c r="C12" s="70" t="str">
        <f>IF($N12="","",INDEX(Azioni!$C:$C,$N12)&amp;"")</f>
        <v>2026Q2-NFR-08-A1</v>
      </c>
      <c r="D12" s="71" t="str">
        <f>IF($N12="","",INDEX(Azioni!$D:$D,$N12)&amp;"")</f>
        <v>Revisione trimestrale automatica degli accessi ai dati clienti senza pratica associata.</v>
      </c>
      <c r="E12" s="70" t="str">
        <f>IF($N12="","",INDEX(Azioni!$E:$E,$N12)&amp;"")</f>
        <v>Funzione Sicurezza delle Informazioni</v>
      </c>
      <c r="F12" s="70" t="str">
        <f>IF($N12="","",INDEX(Azioni!$F:$F,$N12)&amp;"")</f>
        <v>gap_controlli</v>
      </c>
      <c r="G12" s="70" t="str">
        <f>IF($N12="","",INDEX(Azioni!$G:$G,$N12)&amp;"")</f>
        <v>3 mesi</v>
      </c>
      <c r="H12" s="70" t="str">
        <f>IF($N12="","",INDEX(Azioni!$J:$J,$N12)&amp;"")</f>
        <v>Approvata</v>
      </c>
      <c r="I12" s="72">
        <f>IF($N12="","",IF(INDEX(Azioni!$K:$K,$N12)="","",INDEX(Azioni!$K:$K,$N12)))</f>
        <v>46218</v>
      </c>
      <c r="J12" s="72">
        <f>IF(OR($N12="",I12=""),"",IF(OR(H12="Approvata",H12="In corso"),EDATE(I12,N(INDEX(Azioni!$H:$H,$N12))),""))</f>
        <v>46310</v>
      </c>
      <c r="K12" s="70" t="str">
        <f>IF($N12="","",INDEX(Azioni!$M:$M,$N12)&amp;"")</f>
        <v>Accettato</v>
      </c>
      <c r="N12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7),1000000),"")</f>
        <v>13</v>
      </c>
    </row>
    <row r="13" spans="1:14" x14ac:dyDescent="0.4">
      <c r="A13" s="70" t="str">
        <f>IF($N13="","",INDEX(Azioni!$A:$A,$N13)&amp;"")</f>
        <v>2026Q2</v>
      </c>
      <c r="B13" s="70" t="str">
        <f>IF($N13="","",INDEX(Azioni!$B:$B,$N13)&amp;"")</f>
        <v>NFR-09</v>
      </c>
      <c r="C13" s="70" t="str">
        <f>IF($N13="","",INDEX(Azioni!$C:$C,$N13)&amp;"")</f>
        <v>2026Q2-NFR-09-A1</v>
      </c>
      <c r="D13" s="71" t="str">
        <f>IF($N13="","",INDEX(Azioni!$D:$D,$N13)&amp;"")</f>
        <v>Estendere lo screening sanzioni alle controparti indirette dei pagamenti verso paesi di transito.</v>
      </c>
      <c r="E13" s="70" t="str">
        <f>IF($N13="","",INDEX(Azioni!$E:$E,$N13)&amp;"")</f>
        <v>Funzione Compliance</v>
      </c>
      <c r="F13" s="70" t="str">
        <f>IF($N13="","",INDEX(Azioni!$F:$F,$N13)&amp;"")</f>
        <v>gap_controlli</v>
      </c>
      <c r="G13" s="70" t="str">
        <f>IF($N13="","",INDEX(Azioni!$G:$G,$N13)&amp;"")</f>
        <v>12 mesi</v>
      </c>
      <c r="H13" s="70" t="str">
        <f>IF($N13="","",INDEX(Azioni!$J:$J,$N13)&amp;"")</f>
        <v>Approvata</v>
      </c>
      <c r="I13" s="72">
        <f>IF($N13="","",IF(INDEX(Azioni!$K:$K,$N13)="","",INDEX(Azioni!$K:$K,$N13)))</f>
        <v>46218</v>
      </c>
      <c r="J13" s="72">
        <f>IF(OR($N13="",I13=""),"",IF(OR(H13="Approvata",H13="In corso"),EDATE(I13,N(INDEX(Azioni!$H:$H,$N13))),""))</f>
        <v>46583</v>
      </c>
      <c r="K13" s="70" t="str">
        <f>IF($N13="","",INDEX(Azioni!$M:$M,$N13)&amp;"")</f>
        <v>Accettato</v>
      </c>
      <c r="N13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8),1000000),"")</f>
        <v>14</v>
      </c>
    </row>
    <row r="14" spans="1:14" x14ac:dyDescent="0.4">
      <c r="A14" s="70" t="str">
        <f>IF($N14="","",INDEX(Azioni!$A:$A,$N14)&amp;"")</f>
        <v>2026Q2</v>
      </c>
      <c r="B14" s="70" t="str">
        <f>IF($N14="","",INDEX(Azioni!$B:$B,$N14)&amp;"")</f>
        <v>NFR-10</v>
      </c>
      <c r="C14" s="70" t="str">
        <f>IF($N14="","",INDEX(Azioni!$C:$C,$N14)&amp;"")</f>
        <v>2026Q2-NFR-10-A1</v>
      </c>
      <c r="D14" s="71" t="str">
        <f>IF($N14="","",INDEX(Azioni!$D:$D,$N14)&amp;"")</f>
        <v>Campionamento settimanale delle risposte del chatbot con verifica umana.</v>
      </c>
      <c r="E14" s="70" t="str">
        <f>IF($N14="","",INDEX(Azioni!$E:$E,$N14)&amp;"")</f>
        <v>Funzione Customer Experience</v>
      </c>
      <c r="F14" s="70" t="str">
        <f>IF($N14="","",INDEX(Azioni!$F:$F,$N14)&amp;"")</f>
        <v>probabilita</v>
      </c>
      <c r="G14" s="70" t="str">
        <f>IF($N14="","",INDEX(Azioni!$G:$G,$N14)&amp;"")</f>
        <v>3 mesi</v>
      </c>
      <c r="H14" s="70" t="str">
        <f>IF($N14="","",INDEX(Azioni!$J:$J,$N14)&amp;"")</f>
        <v>Approvata</v>
      </c>
      <c r="I14" s="72">
        <f>IF($N14="","",IF(INDEX(Azioni!$K:$K,$N14)="","",INDEX(Azioni!$K:$K,$N14)))</f>
        <v>46218</v>
      </c>
      <c r="J14" s="72">
        <f>IF(OR($N14="",I14=""),"",IF(OR(H14="Approvata",H14="In corso"),EDATE(I14,N(INDEX(Azioni!$H:$H,$N14))),""))</f>
        <v>46310</v>
      </c>
      <c r="K14" s="70" t="str">
        <f>IF($N14="","",INDEX(Azioni!$M:$M,$N14)&amp;"")</f>
        <v>Accettato</v>
      </c>
      <c r="N14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9),1000000),"")</f>
        <v>15</v>
      </c>
    </row>
    <row r="15" spans="1:14" x14ac:dyDescent="0.4">
      <c r="A15" s="70" t="str">
        <f>IF($N15="","",INDEX(Azioni!$A:$A,$N15)&amp;"")</f>
        <v>2026Q2</v>
      </c>
      <c r="B15" s="70" t="str">
        <f>IF($N15="","",INDEX(Azioni!$B:$B,$N15)&amp;"")</f>
        <v>NFR-11</v>
      </c>
      <c r="C15" s="70" t="str">
        <f>IF($N15="","",INDEX(Azioni!$C:$C,$N15)&amp;"")</f>
        <v>2026Q2-NFR-11-A1</v>
      </c>
      <c r="D15" s="71" t="str">
        <f>IF($N15="","",INDEX(Azioni!$D:$D,$N15)&amp;"")</f>
        <v>Piano di sostituzione delle componenti fuori supporto del sistema di pagamento.</v>
      </c>
      <c r="E15" s="70" t="str">
        <f>IF($N15="","",INDEX(Azioni!$E:$E,$N15)&amp;"")</f>
        <v>Funzione IT Operations</v>
      </c>
      <c r="F15" s="70" t="str">
        <f>IF($N15="","",INDEX(Azioni!$F:$F,$N15)&amp;"")</f>
        <v>gap_controlli</v>
      </c>
      <c r="G15" s="70" t="str">
        <f>IF($N15="","",INDEX(Azioni!$G:$G,$N15)&amp;"")</f>
        <v>12 mesi</v>
      </c>
      <c r="H15" s="70" t="str">
        <f>IF($N15="","",INDEX(Azioni!$J:$J,$N15)&amp;"")</f>
        <v>Approvata</v>
      </c>
      <c r="I15" s="72">
        <f>IF($N15="","",IF(INDEX(Azioni!$K:$K,$N15)="","",INDEX(Azioni!$K:$K,$N15)))</f>
        <v>46218</v>
      </c>
      <c r="J15" s="72">
        <f>IF(OR($N15="",I15=""),"",IF(OR(H15="Approvata",H15="In corso"),EDATE(I15,N(INDEX(Azioni!$H:$H,$N15))),""))</f>
        <v>46583</v>
      </c>
      <c r="K15" s="70" t="str">
        <f>IF($N15="","",INDEX(Azioni!$M:$M,$N15)&amp;"")</f>
        <v>Accettato</v>
      </c>
      <c r="N15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10),1000000),"")</f>
        <v>16</v>
      </c>
    </row>
    <row r="16" spans="1:14" x14ac:dyDescent="0.4">
      <c r="A16" s="70" t="str">
        <f>IF($N16="","",INDEX(Azioni!$A:$A,$N16)&amp;"")</f>
        <v>2026Q2</v>
      </c>
      <c r="B16" s="70" t="str">
        <f>IF($N16="","",INDEX(Azioni!$B:$B,$N16)&amp;"")</f>
        <v>NFR-12</v>
      </c>
      <c r="C16" s="70" t="str">
        <f>IF($N16="","",INDEX(Azioni!$C:$C,$N16)&amp;"")</f>
        <v>2026Q2-NFR-12-A1</v>
      </c>
      <c r="D16" s="71" t="str">
        <f>IF($N16="","",INDEX(Azioni!$D:$D,$N16)&amp;"")</f>
        <v>Controllo giornaliero automatico delle differenze di riconciliazione sui bonifici istantanei.</v>
      </c>
      <c r="E16" s="70" t="str">
        <f>IF($N16="","",INDEX(Azioni!$E:$E,$N16)&amp;"")</f>
        <v>Funzione Operations</v>
      </c>
      <c r="F16" s="70" t="str">
        <f>IF($N16="","",INDEX(Azioni!$F:$F,$N16)&amp;"")</f>
        <v>gap_controlli</v>
      </c>
      <c r="G16" s="70" t="str">
        <f>IF($N16="","",INDEX(Azioni!$G:$G,$N16)&amp;"")</f>
        <v>3 mesi</v>
      </c>
      <c r="H16" s="70" t="str">
        <f>IF($N16="","",INDEX(Azioni!$J:$J,$N16)&amp;"")</f>
        <v>Approvata</v>
      </c>
      <c r="I16" s="72">
        <f>IF($N16="","",IF(INDEX(Azioni!$K:$K,$N16)="","",INDEX(Azioni!$K:$K,$N16)))</f>
        <v>46218</v>
      </c>
      <c r="J16" s="72">
        <f>IF(OR($N16="",I16=""),"",IF(OR(H16="Approvata",H16="In corso"),EDATE(I16,N(INDEX(Azioni!$H:$H,$N16))),""))</f>
        <v>46310</v>
      </c>
      <c r="K16" s="70" t="str">
        <f>IF($N16="","",INDEX(Azioni!$M:$M,$N16)&amp;"")</f>
        <v>Accettato</v>
      </c>
      <c r="N16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11),1000000),"")</f>
        <v>17</v>
      </c>
    </row>
    <row r="17" spans="1:14" x14ac:dyDescent="0.4">
      <c r="A17" s="70" t="str">
        <f>IF($N17="","",INDEX(Azioni!$A:$A,$N17)&amp;"")</f>
        <v>2026Q3</v>
      </c>
      <c r="B17" s="70" t="str">
        <f>IF($N17="","",INDEX(Azioni!$B:$B,$N17)&amp;"")</f>
        <v>NFR-01</v>
      </c>
      <c r="C17" s="70" t="str">
        <f>IF($N17="","",INDEX(Azioni!$C:$C,$N17)&amp;"")</f>
        <v>2026Q3-NFR-01-A1</v>
      </c>
      <c r="D17" s="71" t="str">
        <f>IF($N17="","",INDEX(Azioni!$D:$D,$N17)&amp;"")</f>
        <v>Attivare la verifica fuori banda per bonifici istantanei sopra soglia verso beneficiari nuovi.</v>
      </c>
      <c r="E17" s="70" t="str">
        <f>IF($N17="","",INDEX(Azioni!$E:$E,$N17)&amp;"")</f>
        <v>Funzione Antifrode</v>
      </c>
      <c r="F17" s="70" t="str">
        <f>IF($N17="","",INDEX(Azioni!$F:$F,$N17)&amp;"")</f>
        <v>gap_controlli</v>
      </c>
      <c r="G17" s="70" t="str">
        <f>IF($N17="","",INDEX(Azioni!$G:$G,$N17)&amp;"")</f>
        <v>3 mesi</v>
      </c>
      <c r="H17" s="70" t="str">
        <f>IF($N17="","",INDEX(Azioni!$J:$J,$N17)&amp;"")</f>
        <v>Approvata</v>
      </c>
      <c r="I17" s="72">
        <f>IF($N17="","",IF(INDEX(Azioni!$K:$K,$N17)="","",INDEX(Azioni!$K:$K,$N17)))</f>
        <v>46290</v>
      </c>
      <c r="J17" s="72">
        <f>IF(OR($N17="",I17=""),"",IF(OR(H17="Approvata",H17="In corso"),EDATE(I17,N(INDEX(Azioni!$H:$H,$N17))),""))</f>
        <v>46381</v>
      </c>
      <c r="K17" s="70" t="str">
        <f>IF($N17="","",INDEX(Azioni!$M:$M,$N17)&amp;"")</f>
        <v>Accettato</v>
      </c>
      <c r="N17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12),1000000),"")</f>
        <v>18</v>
      </c>
    </row>
    <row r="18" spans="1:14" x14ac:dyDescent="0.4">
      <c r="A18" s="70" t="str">
        <f>IF($N18="","",INDEX(Azioni!$A:$A,$N18)&amp;"")</f>
        <v>2026Q3</v>
      </c>
      <c r="B18" s="70" t="str">
        <f>IF($N18="","",INDEX(Azioni!$B:$B,$N18)&amp;"")</f>
        <v>NFR-01</v>
      </c>
      <c r="C18" s="70" t="str">
        <f>IF($N18="","",INDEX(Azioni!$C:$C,$N18)&amp;"")</f>
        <v>2026Q3-NFR-01-A2</v>
      </c>
      <c r="D18" s="71" t="str">
        <f>IF($N18="","",INDEX(Azioni!$D:$D,$N18)&amp;"")</f>
        <v>Campagna di sensibilizzazione dei clienti corporate sulle frodi con voce clonata.</v>
      </c>
      <c r="E18" s="70" t="str">
        <f>IF($N18="","",INDEX(Azioni!$E:$E,$N18)&amp;"")</f>
        <v>Direzione Marketing e Comunicazione</v>
      </c>
      <c r="F18" s="70" t="str">
        <f>IF($N18="","",INDEX(Azioni!$F:$F,$N18)&amp;"")</f>
        <v>severity</v>
      </c>
      <c r="G18" s="70" t="str">
        <f>IF($N18="","",INDEX(Azioni!$G:$G,$N18)&amp;"")</f>
        <v>6 mesi</v>
      </c>
      <c r="H18" s="70" t="str">
        <f>IF($N18="","",INDEX(Azioni!$J:$J,$N18)&amp;"")</f>
        <v>Approvata</v>
      </c>
      <c r="I18" s="72">
        <f>IF($N18="","",IF(INDEX(Azioni!$K:$K,$N18)="","",INDEX(Azioni!$K:$K,$N18)))</f>
        <v>46290</v>
      </c>
      <c r="J18" s="72">
        <f>IF(OR($N18="",I18=""),"",IF(OR(H18="Approvata",H18="In corso"),EDATE(I18,N(INDEX(Azioni!$H:$H,$N18))),""))</f>
        <v>46471</v>
      </c>
      <c r="K18" s="70" t="str">
        <f>IF($N18="","",INDEX(Azioni!$M:$M,$N18)&amp;"")</f>
        <v>Accettato</v>
      </c>
      <c r="N18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13),1000000),"")</f>
        <v>19</v>
      </c>
    </row>
    <row r="19" spans="1:14" x14ac:dyDescent="0.4">
      <c r="A19" s="70" t="str">
        <f>IF($N19="","",INDEX(Azioni!$A:$A,$N19)&amp;"")</f>
        <v>2026Q3</v>
      </c>
      <c r="B19" s="70" t="str">
        <f>IF($N19="","",INDEX(Azioni!$B:$B,$N19)&amp;"")</f>
        <v>NFR-02</v>
      </c>
      <c r="C19" s="70" t="str">
        <f>IF($N19="","",INDEX(Azioni!$C:$C,$N19)&amp;"")</f>
        <v>2026Q3-NFR-02-A1</v>
      </c>
      <c r="D19" s="71" t="str">
        <f>IF($N19="","",INDEX(Azioni!$D:$D,$N19)&amp;"")</f>
        <v>Chiudere i rilievi minori emersi dal test di exit strategy entro il prossimo trimestre.</v>
      </c>
      <c r="E19" s="70" t="str">
        <f>IF($N19="","",INDEX(Azioni!$E:$E,$N19)&amp;"")</f>
        <v>Funzione ICT &amp; Security Risk</v>
      </c>
      <c r="F19" s="70" t="str">
        <f>IF($N19="","",INDEX(Azioni!$F:$F,$N19)&amp;"")</f>
        <v>gap_controlli</v>
      </c>
      <c r="G19" s="70" t="str">
        <f>IF($N19="","",INDEX(Azioni!$G:$G,$N19)&amp;"")</f>
        <v>3 mesi</v>
      </c>
      <c r="H19" s="70" t="str">
        <f>IF($N19="","",INDEX(Azioni!$J:$J,$N19)&amp;"")</f>
        <v>Approvata</v>
      </c>
      <c r="I19" s="72">
        <f>IF($N19="","",IF(INDEX(Azioni!$K:$K,$N19)="","",INDEX(Azioni!$K:$K,$N19)))</f>
        <v>46290</v>
      </c>
      <c r="J19" s="72">
        <f>IF(OR($N19="",I19=""),"",IF(OR(H19="Approvata",H19="In corso"),EDATE(I19,N(INDEX(Azioni!$H:$H,$N19))),""))</f>
        <v>46381</v>
      </c>
      <c r="K19" s="70" t="str">
        <f>IF($N19="","",INDEX(Azioni!$M:$M,$N19)&amp;"")</f>
        <v>Accettato</v>
      </c>
      <c r="N19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14),1000000),"")</f>
        <v>20</v>
      </c>
    </row>
    <row r="20" spans="1:14" x14ac:dyDescent="0.4">
      <c r="A20" s="70" t="str">
        <f>IF($N20="","",INDEX(Azioni!$A:$A,$N20)&amp;"")</f>
        <v>2026Q3</v>
      </c>
      <c r="B20" s="70" t="str">
        <f>IF($N20="","",INDEX(Azioni!$B:$B,$N20)&amp;"")</f>
        <v>NFR-02</v>
      </c>
      <c r="C20" s="70" t="str">
        <f>IF($N20="","",INDEX(Azioni!$C:$C,$N20)&amp;"")</f>
        <v>2026Q3-NFR-02-A2</v>
      </c>
      <c r="D20" s="71" t="str">
        <f>IF($N20="","",INDEX(Azioni!$D:$D,$N20)&amp;"")</f>
        <v>Valutare lo spostamento di un servizio critico sulla nuova region nazionale del fornitore.</v>
      </c>
      <c r="E20" s="70" t="str">
        <f>IF($N20="","",INDEX(Azioni!$E:$E,$N20)&amp;"")</f>
        <v>Direzione Sistemi Informativi</v>
      </c>
      <c r="F20" s="70" t="str">
        <f>IF($N20="","",INDEX(Azioni!$F:$F,$N20)&amp;"")</f>
        <v>severity</v>
      </c>
      <c r="G20" s="70" t="str">
        <f>IF($N20="","",INDEX(Azioni!$G:$G,$N20)&amp;"")</f>
        <v>12 mesi</v>
      </c>
      <c r="H20" s="70" t="str">
        <f>IF($N20="","",INDEX(Azioni!$J:$J,$N20)&amp;"")</f>
        <v>Approvata</v>
      </c>
      <c r="I20" s="72">
        <f>IF($N20="","",IF(INDEX(Azioni!$K:$K,$N20)="","",INDEX(Azioni!$K:$K,$N20)))</f>
        <v>46290</v>
      </c>
      <c r="J20" s="72">
        <f>IF(OR($N20="",I20=""),"",IF(OR(H20="Approvata",H20="In corso"),EDATE(I20,N(INDEX(Azioni!$H:$H,$N20))),""))</f>
        <v>46655</v>
      </c>
      <c r="K20" s="70" t="str">
        <f>IF($N20="","",INDEX(Azioni!$M:$M,$N20)&amp;"")</f>
        <v>Accettato</v>
      </c>
      <c r="N20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15),1000000),"")</f>
        <v>21</v>
      </c>
    </row>
    <row r="21" spans="1:14" x14ac:dyDescent="0.4">
      <c r="A21" s="70" t="str">
        <f>IF($N21="","",INDEX(Azioni!$A:$A,$N21)&amp;"")</f>
        <v>2026Q3</v>
      </c>
      <c r="B21" s="70" t="str">
        <f>IF($N21="","",INDEX(Azioni!$B:$B,$N21)&amp;"")</f>
        <v>NFR-03</v>
      </c>
      <c r="C21" s="70" t="str">
        <f>IF($N21="","",INDEX(Azioni!$C:$C,$N21)&amp;"")</f>
        <v>2026Q3-NFR-03-A1</v>
      </c>
      <c r="D21" s="71" t="str">
        <f>IF($N21="","",INDEX(Azioni!$D:$D,$N21)&amp;"")</f>
        <v>Completare la revisione indipendente dei claim ambientali di tutti i prodotti ESG in catalogo.</v>
      </c>
      <c r="E21" s="70" t="str">
        <f>IF($N21="","",INDEX(Azioni!$E:$E,$N21)&amp;"")</f>
        <v>Funzione Compliance</v>
      </c>
      <c r="F21" s="70" t="str">
        <f>IF($N21="","",INDEX(Azioni!$F:$F,$N21)&amp;"")</f>
        <v>gap_controlli</v>
      </c>
      <c r="G21" s="70" t="str">
        <f>IF($N21="","",INDEX(Azioni!$G:$G,$N21)&amp;"")</f>
        <v>3 mesi</v>
      </c>
      <c r="H21" s="70" t="str">
        <f>IF($N21="","",INDEX(Azioni!$J:$J,$N21)&amp;"")</f>
        <v>Approvata</v>
      </c>
      <c r="I21" s="72">
        <f>IF($N21="","",IF(INDEX(Azioni!$K:$K,$N21)="","",INDEX(Azioni!$K:$K,$N21)))</f>
        <v>46290</v>
      </c>
      <c r="J21" s="72">
        <f>IF(OR($N21="",I21=""),"",IF(OR(H21="Approvata",H21="In corso"),EDATE(I21,N(INDEX(Azioni!$H:$H,$N21))),""))</f>
        <v>46381</v>
      </c>
      <c r="K21" s="70" t="str">
        <f>IF($N21="","",INDEX(Azioni!$M:$M,$N21)&amp;"")</f>
        <v>Accettato</v>
      </c>
      <c r="N21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16),1000000),"")</f>
        <v>22</v>
      </c>
    </row>
    <row r="22" spans="1:14" x14ac:dyDescent="0.4">
      <c r="A22" s="70" t="str">
        <f>IF($N22="","",INDEX(Azioni!$A:$A,$N22)&amp;"")</f>
        <v>2026Q3</v>
      </c>
      <c r="B22" s="70" t="str">
        <f>IF($N22="","",INDEX(Azioni!$B:$B,$N22)&amp;"")</f>
        <v>NFR-04</v>
      </c>
      <c r="C22" s="70" t="str">
        <f>IF($N22="","",INDEX(Azioni!$C:$C,$N22)&amp;"")</f>
        <v>2026Q3-NFR-04-A1</v>
      </c>
      <c r="D22" s="71" t="str">
        <f>IF($N22="","",INDEX(Azioni!$D:$D,$N22)&amp;"")</f>
        <v>Redigere piani di continuita' specifici per le due sedi critiche in aree a rischio.</v>
      </c>
      <c r="E22" s="70" t="str">
        <f>IF($N22="","",INDEX(Azioni!$E:$E,$N22)&amp;"")</f>
        <v>Funzione Business Continuity</v>
      </c>
      <c r="F22" s="70" t="str">
        <f>IF($N22="","",INDEX(Azioni!$F:$F,$N22)&amp;"")</f>
        <v>gap_controlli</v>
      </c>
      <c r="G22" s="70" t="str">
        <f>IF($N22="","",INDEX(Azioni!$G:$G,$N22)&amp;"")</f>
        <v>6 mesi</v>
      </c>
      <c r="H22" s="70" t="str">
        <f>IF($N22="","",INDEX(Azioni!$J:$J,$N22)&amp;"")</f>
        <v>Approvata</v>
      </c>
      <c r="I22" s="72">
        <f>IF($N22="","",IF(INDEX(Azioni!$K:$K,$N22)="","",INDEX(Azioni!$K:$K,$N22)))</f>
        <v>46290</v>
      </c>
      <c r="J22" s="72">
        <f>IF(OR($N22="",I22=""),"",IF(OR(H22="Approvata",H22="In corso"),EDATE(I22,N(INDEX(Azioni!$H:$H,$N22))),""))</f>
        <v>46471</v>
      </c>
      <c r="K22" s="70" t="str">
        <f>IF($N22="","",INDEX(Azioni!$M:$M,$N22)&amp;"")</f>
        <v>Accettato</v>
      </c>
      <c r="N22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17),1000000),"")</f>
        <v>23</v>
      </c>
    </row>
    <row r="23" spans="1:14" x14ac:dyDescent="0.4">
      <c r="A23" s="70" t="str">
        <f>IF($N23="","",INDEX(Azioni!$A:$A,$N23)&amp;"")</f>
        <v>2026Q3</v>
      </c>
      <c r="B23" s="70" t="str">
        <f>IF($N23="","",INDEX(Azioni!$B:$B,$N23)&amp;"")</f>
        <v>NFR-05</v>
      </c>
      <c r="C23" s="70" t="str">
        <f>IF($N23="","",INDEX(Azioni!$C:$C,$N23)&amp;"")</f>
        <v>2026Q3-NFR-05-A1</v>
      </c>
      <c r="D23" s="71" t="str">
        <f>IF($N23="","",INDEX(Azioni!$D:$D,$N23)&amp;"")</f>
        <v>Monitoraggio giornaliero degli incidenti post-migrazione con escalation entro 4 ore.</v>
      </c>
      <c r="E23" s="70" t="str">
        <f>IF($N23="","",INDEX(Azioni!$E:$E,$N23)&amp;"")</f>
        <v>Funzione Operations</v>
      </c>
      <c r="F23" s="70" t="str">
        <f>IF($N23="","",INDEX(Azioni!$F:$F,$N23)&amp;"")</f>
        <v>velocity</v>
      </c>
      <c r="G23" s="70" t="str">
        <f>IF($N23="","",INDEX(Azioni!$G:$G,$N23)&amp;"")</f>
        <v>3 mesi</v>
      </c>
      <c r="H23" s="70" t="str">
        <f>IF($N23="","",INDEX(Azioni!$J:$J,$N23)&amp;"")</f>
        <v>Approvata</v>
      </c>
      <c r="I23" s="72">
        <f>IF($N23="","",IF(INDEX(Azioni!$K:$K,$N23)="","",INDEX(Azioni!$K:$K,$N23)))</f>
        <v>46290</v>
      </c>
      <c r="J23" s="72">
        <f>IF(OR($N23="",I23=""),"",IF(OR(H23="Approvata",H23="In corso"),EDATE(I23,N(INDEX(Azioni!$H:$H,$N23))),""))</f>
        <v>46381</v>
      </c>
      <c r="K23" s="70" t="str">
        <f>IF($N23="","",INDEX(Azioni!$M:$M,$N23)&amp;"")</f>
        <v>Accettato</v>
      </c>
      <c r="N23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18),1000000),"")</f>
        <v>24</v>
      </c>
    </row>
    <row r="24" spans="1:14" x14ac:dyDescent="0.4">
      <c r="A24" s="70" t="str">
        <f>IF($N24="","",INDEX(Azioni!$A:$A,$N24)&amp;"")</f>
        <v>2026Q3</v>
      </c>
      <c r="B24" s="70" t="str">
        <f>IF($N24="","",INDEX(Azioni!$B:$B,$N24)&amp;"")</f>
        <v>NFR-06</v>
      </c>
      <c r="C24" s="70" t="str">
        <f>IF($N24="","",INDEX(Azioni!$C:$C,$N24)&amp;"")</f>
        <v>2026Q3-NFR-06-A1</v>
      </c>
      <c r="D24" s="71" t="str">
        <f>IF($N24="","",INDEX(Azioni!$D:$D,$N24)&amp;"")</f>
        <v>Completare la formazione obbligatoria sull'uso dell'AI per tutto il personale.</v>
      </c>
      <c r="E24" s="70" t="str">
        <f>IF($N24="","",INDEX(Azioni!$E:$E,$N24)&amp;"")</f>
        <v>Direzione Risorse Umane</v>
      </c>
      <c r="F24" s="70" t="str">
        <f>IF($N24="","",INDEX(Azioni!$F:$F,$N24)&amp;"")</f>
        <v>prossimita</v>
      </c>
      <c r="G24" s="70" t="str">
        <f>IF($N24="","",INDEX(Azioni!$G:$G,$N24)&amp;"")</f>
        <v>6 mesi</v>
      </c>
      <c r="H24" s="70" t="str">
        <f>IF($N24="","",INDEX(Azioni!$J:$J,$N24)&amp;"")</f>
        <v>Approvata</v>
      </c>
      <c r="I24" s="72">
        <f>IF($N24="","",IF(INDEX(Azioni!$K:$K,$N24)="","",INDEX(Azioni!$K:$K,$N24)))</f>
        <v>46290</v>
      </c>
      <c r="J24" s="72">
        <f>IF(OR($N24="",I24=""),"",IF(OR(H24="Approvata",H24="In corso"),EDATE(I24,N(INDEX(Azioni!$H:$H,$N24))),""))</f>
        <v>46471</v>
      </c>
      <c r="K24" s="70" t="str">
        <f>IF($N24="","",INDEX(Azioni!$M:$M,$N24)&amp;"")</f>
        <v>Accettato</v>
      </c>
      <c r="N24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19),1000000),"")</f>
        <v>25</v>
      </c>
    </row>
    <row r="25" spans="1:14" x14ac:dyDescent="0.4">
      <c r="A25" s="70" t="str">
        <f>IF($N25="","",INDEX(Azioni!$A:$A,$N25)&amp;"")</f>
        <v>2026Q3</v>
      </c>
      <c r="B25" s="70" t="str">
        <f>IF($N25="","",INDEX(Azioni!$B:$B,$N25)&amp;"")</f>
        <v>NFR-06</v>
      </c>
      <c r="C25" s="70" t="str">
        <f>IF($N25="","",INDEX(Azioni!$C:$C,$N25)&amp;"")</f>
        <v>2026Q3-NFR-06-A2</v>
      </c>
      <c r="D25" s="71" t="str">
        <f>IF($N25="","",INDEX(Azioni!$D:$D,$N25)&amp;"")</f>
        <v>Chiedere all'audit interno la verifica dell'estensione del DLP.</v>
      </c>
      <c r="E25" s="70" t="str">
        <f>IF($N25="","",INDEX(Azioni!$E:$E,$N25)&amp;"")</f>
        <v>Funzione Sicurezza delle Informazioni</v>
      </c>
      <c r="F25" s="70" t="str">
        <f>IF($N25="","",INDEX(Azioni!$F:$F,$N25)&amp;"")</f>
        <v>gap_controlli</v>
      </c>
      <c r="G25" s="70" t="str">
        <f>IF($N25="","",INDEX(Azioni!$G:$G,$N25)&amp;"")</f>
        <v>6 mesi</v>
      </c>
      <c r="H25" s="70" t="str">
        <f>IF($N25="","",INDEX(Azioni!$J:$J,$N25)&amp;"")</f>
        <v>Approvata</v>
      </c>
      <c r="I25" s="72">
        <f>IF($N25="","",IF(INDEX(Azioni!$K:$K,$N25)="","",INDEX(Azioni!$K:$K,$N25)))</f>
        <v>46290</v>
      </c>
      <c r="J25" s="72">
        <f>IF(OR($N25="",I25=""),"",IF(OR(H25="Approvata",H25="In corso"),EDATE(I25,N(INDEX(Azioni!$H:$H,$N25))),""))</f>
        <v>46471</v>
      </c>
      <c r="K25" s="70" t="str">
        <f>IF($N25="","",INDEX(Azioni!$M:$M,$N25)&amp;"")</f>
        <v>Accettato</v>
      </c>
      <c r="N25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20),1000000),"")</f>
        <v>26</v>
      </c>
    </row>
    <row r="26" spans="1:14" x14ac:dyDescent="0.4">
      <c r="A26" s="70" t="str">
        <f>IF($N26="","",INDEX(Azioni!$A:$A,$N26)&amp;"")</f>
        <v>2026Q3</v>
      </c>
      <c r="B26" s="70" t="str">
        <f>IF($N26="","",INDEX(Azioni!$B:$B,$N26)&amp;"")</f>
        <v>NFR-07</v>
      </c>
      <c r="C26" s="70" t="str">
        <f>IF($N26="","",INDEX(Azioni!$C:$C,$N26)&amp;"")</f>
        <v>2026Q3-NFR-07-A1</v>
      </c>
      <c r="D26" s="71" t="str">
        <f>IF($N26="","",INDEX(Azioni!$D:$D,$N26)&amp;"")</f>
        <v>Test congiunto di ripristino da ransomware con il fornitore del gateway di pagamento.</v>
      </c>
      <c r="E26" s="70" t="str">
        <f>IF($N26="","",INDEX(Azioni!$E:$E,$N26)&amp;"")</f>
        <v>Funzione ICT &amp; Security Risk</v>
      </c>
      <c r="F26" s="70" t="str">
        <f>IF($N26="","",INDEX(Azioni!$F:$F,$N26)&amp;"")</f>
        <v>gap_controlli</v>
      </c>
      <c r="G26" s="70" t="str">
        <f>IF($N26="","",INDEX(Azioni!$G:$G,$N26)&amp;"")</f>
        <v>6 mesi</v>
      </c>
      <c r="H26" s="70" t="str">
        <f>IF($N26="","",INDEX(Azioni!$J:$J,$N26)&amp;"")</f>
        <v>Approvata</v>
      </c>
      <c r="I26" s="72">
        <f>IF($N26="","",IF(INDEX(Azioni!$K:$K,$N26)="","",INDEX(Azioni!$K:$K,$N26)))</f>
        <v>46290</v>
      </c>
      <c r="J26" s="72">
        <f>IF(OR($N26="",I26=""),"",IF(OR(H26="Approvata",H26="In corso"),EDATE(I26,N(INDEX(Azioni!$H:$H,$N26))),""))</f>
        <v>46471</v>
      </c>
      <c r="K26" s="70" t="str">
        <f>IF($N26="","",INDEX(Azioni!$M:$M,$N26)&amp;"")</f>
        <v>Accettato</v>
      </c>
      <c r="N26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21),1000000),"")</f>
        <v>27</v>
      </c>
    </row>
    <row r="27" spans="1:14" x14ac:dyDescent="0.4">
      <c r="A27" s="70" t="str">
        <f>IF($N27="","",INDEX(Azioni!$A:$A,$N27)&amp;"")</f>
        <v>2026Q3</v>
      </c>
      <c r="B27" s="70" t="str">
        <f>IF($N27="","",INDEX(Azioni!$B:$B,$N27)&amp;"")</f>
        <v>NFR-09</v>
      </c>
      <c r="C27" s="70" t="str">
        <f>IF($N27="","",INDEX(Azioni!$C:$C,$N27)&amp;"")</f>
        <v>2026Q3-NFR-09-A1</v>
      </c>
      <c r="D27" s="71" t="str">
        <f>IF($N27="","",INDEX(Azioni!$D:$D,$N27)&amp;"")</f>
        <v>Estendere lo screening sanzioni alle controparti indirette dei pagamenti verso paesi di transito.</v>
      </c>
      <c r="E27" s="70" t="str">
        <f>IF($N27="","",INDEX(Azioni!$E:$E,$N27)&amp;"")</f>
        <v>Funzione Compliance</v>
      </c>
      <c r="F27" s="70" t="str">
        <f>IF($N27="","",INDEX(Azioni!$F:$F,$N27)&amp;"")</f>
        <v>gap_controlli</v>
      </c>
      <c r="G27" s="70" t="str">
        <f>IF($N27="","",INDEX(Azioni!$G:$G,$N27)&amp;"")</f>
        <v>12 mesi</v>
      </c>
      <c r="H27" s="70" t="str">
        <f>IF($N27="","",INDEX(Azioni!$J:$J,$N27)&amp;"")</f>
        <v>Approvata</v>
      </c>
      <c r="I27" s="72">
        <f>IF($N27="","",IF(INDEX(Azioni!$K:$K,$N27)="","",INDEX(Azioni!$K:$K,$N27)))</f>
        <v>46290</v>
      </c>
      <c r="J27" s="72">
        <f>IF(OR($N27="",I27=""),"",IF(OR(H27="Approvata",H27="In corso"),EDATE(I27,N(INDEX(Azioni!$H:$H,$N27))),""))</f>
        <v>46655</v>
      </c>
      <c r="K27" s="70" t="str">
        <f>IF($N27="","",INDEX(Azioni!$M:$M,$N27)&amp;"")</f>
        <v>Accettato</v>
      </c>
      <c r="N27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22),1000000),"")</f>
        <v>29</v>
      </c>
    </row>
    <row r="28" spans="1:14" x14ac:dyDescent="0.4">
      <c r="A28" s="70" t="str">
        <f>IF($N28="","",INDEX(Azioni!$A:$A,$N28)&amp;"")</f>
        <v>2026Q3</v>
      </c>
      <c r="B28" s="70" t="str">
        <f>IF($N28="","",INDEX(Azioni!$B:$B,$N28)&amp;"")</f>
        <v>NFR-10</v>
      </c>
      <c r="C28" s="70" t="str">
        <f>IF($N28="","",INDEX(Azioni!$C:$C,$N28)&amp;"")</f>
        <v>2026Q3-NFR-10-A1</v>
      </c>
      <c r="D28" s="71" t="str">
        <f>IF($N28="","",INDEX(Azioni!$D:$D,$N28)&amp;"")</f>
        <v>Campionamento settimanale delle risposte del chatbot con verifica umana.</v>
      </c>
      <c r="E28" s="70" t="str">
        <f>IF($N28="","",INDEX(Azioni!$E:$E,$N28)&amp;"")</f>
        <v>Funzione Customer Experience</v>
      </c>
      <c r="F28" s="70" t="str">
        <f>IF($N28="","",INDEX(Azioni!$F:$F,$N28)&amp;"")</f>
        <v>probabilita</v>
      </c>
      <c r="G28" s="70" t="str">
        <f>IF($N28="","",INDEX(Azioni!$G:$G,$N28)&amp;"")</f>
        <v>3 mesi</v>
      </c>
      <c r="H28" s="70" t="str">
        <f>IF($N28="","",INDEX(Azioni!$J:$J,$N28)&amp;"")</f>
        <v>Approvata</v>
      </c>
      <c r="I28" s="72">
        <f>IF($N28="","",IF(INDEX(Azioni!$K:$K,$N28)="","",INDEX(Azioni!$K:$K,$N28)))</f>
        <v>46290</v>
      </c>
      <c r="J28" s="72">
        <f>IF(OR($N28="",I28=""),"",IF(OR(H28="Approvata",H28="In corso"),EDATE(I28,N(INDEX(Azioni!$H:$H,$N28))),""))</f>
        <v>46381</v>
      </c>
      <c r="K28" s="70" t="str">
        <f>IF($N28="","",INDEX(Azioni!$M:$M,$N28)&amp;"")</f>
        <v>Accettato</v>
      </c>
      <c r="N28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23),1000000),"")</f>
        <v>30</v>
      </c>
    </row>
    <row r="29" spans="1:14" x14ac:dyDescent="0.4">
      <c r="A29" s="70" t="str">
        <f>IF($N29="","",INDEX(Azioni!$A:$A,$N29)&amp;"")</f>
        <v>2026Q3</v>
      </c>
      <c r="B29" s="70" t="str">
        <f>IF($N29="","",INDEX(Azioni!$B:$B,$N29)&amp;"")</f>
        <v>NFR-11</v>
      </c>
      <c r="C29" s="70" t="str">
        <f>IF($N29="","",INDEX(Azioni!$C:$C,$N29)&amp;"")</f>
        <v>2026Q3-NFR-11-A1</v>
      </c>
      <c r="D29" s="71" t="str">
        <f>IF($N29="","",INDEX(Azioni!$D:$D,$N29)&amp;"")</f>
        <v>Piano di sostituzione delle componenti fuori supporto del sistema di pagamento.</v>
      </c>
      <c r="E29" s="70" t="str">
        <f>IF($N29="","",INDEX(Azioni!$E:$E,$N29)&amp;"")</f>
        <v>Funzione IT Operations</v>
      </c>
      <c r="F29" s="70" t="str">
        <f>IF($N29="","",INDEX(Azioni!$F:$F,$N29)&amp;"")</f>
        <v>gap_controlli</v>
      </c>
      <c r="G29" s="70" t="str">
        <f>IF($N29="","",INDEX(Azioni!$G:$G,$N29)&amp;"")</f>
        <v>12 mesi</v>
      </c>
      <c r="H29" s="70" t="str">
        <f>IF($N29="","",INDEX(Azioni!$J:$J,$N29)&amp;"")</f>
        <v>Approvata</v>
      </c>
      <c r="I29" s="72">
        <f>IF($N29="","",IF(INDEX(Azioni!$K:$K,$N29)="","",INDEX(Azioni!$K:$K,$N29)))</f>
        <v>46290</v>
      </c>
      <c r="J29" s="72">
        <f>IF(OR($N29="",I29=""),"",IF(OR(H29="Approvata",H29="In corso"),EDATE(I29,N(INDEX(Azioni!$H:$H,$N29))),""))</f>
        <v>46655</v>
      </c>
      <c r="K29" s="70" t="str">
        <f>IF($N29="","",INDEX(Azioni!$M:$M,$N29)&amp;"")</f>
        <v>Accettato</v>
      </c>
      <c r="N29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24),1000000),"")</f>
        <v>31</v>
      </c>
    </row>
    <row r="30" spans="1:14" x14ac:dyDescent="0.4">
      <c r="A30" s="70" t="str">
        <f>IF($N30="","",INDEX(Azioni!$A:$A,$N30)&amp;"")</f>
        <v>2026Q3</v>
      </c>
      <c r="B30" s="70" t="str">
        <f>IF($N30="","",INDEX(Azioni!$B:$B,$N30)&amp;"")</f>
        <v>NFR-12</v>
      </c>
      <c r="C30" s="70" t="str">
        <f>IF($N30="","",INDEX(Azioni!$C:$C,$N30)&amp;"")</f>
        <v>2026Q3-NFR-12-A1</v>
      </c>
      <c r="D30" s="71" t="str">
        <f>IF($N30="","",INDEX(Azioni!$D:$D,$N30)&amp;"")</f>
        <v>Controllo giornaliero automatico delle differenze di riconciliazione sui bonifici istantanei.</v>
      </c>
      <c r="E30" s="70" t="str">
        <f>IF($N30="","",INDEX(Azioni!$E:$E,$N30)&amp;"")</f>
        <v>Funzione Operations</v>
      </c>
      <c r="F30" s="70" t="str">
        <f>IF($N30="","",INDEX(Azioni!$F:$F,$N30)&amp;"")</f>
        <v>gap_controlli</v>
      </c>
      <c r="G30" s="70" t="str">
        <f>IF($N30="","",INDEX(Azioni!$G:$G,$N30)&amp;"")</f>
        <v>3 mesi</v>
      </c>
      <c r="H30" s="70" t="str">
        <f>IF($N30="","",INDEX(Azioni!$J:$J,$N30)&amp;"")</f>
        <v>Approvata</v>
      </c>
      <c r="I30" s="72">
        <f>IF($N30="","",IF(INDEX(Azioni!$K:$K,$N30)="","",INDEX(Azioni!$K:$K,$N30)))</f>
        <v>46290</v>
      </c>
      <c r="J30" s="72">
        <f>IF(OR($N30="",I30=""),"",IF(OR(H30="Approvata",H30="In corso"),EDATE(I30,N(INDEX(Azioni!$H:$H,$N30))),""))</f>
        <v>46381</v>
      </c>
      <c r="K30" s="70" t="str">
        <f>IF($N30="","",INDEX(Azioni!$M:$M,$N30)&amp;"")</f>
        <v>Accettato</v>
      </c>
      <c r="N30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25),1000000),"")</f>
        <v>32</v>
      </c>
    </row>
    <row r="31" spans="1:14" x14ac:dyDescent="0.4">
      <c r="A31" s="70" t="str">
        <f>IF($N31="","",INDEX(Azioni!$A:$A,$N31)&amp;"")</f>
        <v>2026Q2</v>
      </c>
      <c r="B31" s="70" t="str">
        <f>IF($N31="","",INDEX(Azioni!$B:$B,$N31)&amp;"")</f>
        <v>NFR-05</v>
      </c>
      <c r="C31" s="70" t="str">
        <f>IF($N31="","",INDEX(Azioni!$C:$C,$N31)&amp;"")</f>
        <v>2026Q2-NFR-05-A1</v>
      </c>
      <c r="D31" s="71" t="str">
        <f>IF($N31="","",INDEX(Azioni!$D:$D,$N31)&amp;"")</f>
        <v>Monitoraggio giornaliero degli incidenti post-migrazione con escalation entro 4 ore.</v>
      </c>
      <c r="E31" s="70" t="str">
        <f>IF($N31="","",INDEX(Azioni!$E:$E,$N31)&amp;"")</f>
        <v>Funzione Operations</v>
      </c>
      <c r="F31" s="70" t="str">
        <f>IF($N31="","",INDEX(Azioni!$F:$F,$N31)&amp;"")</f>
        <v>velocity</v>
      </c>
      <c r="G31" s="70" t="str">
        <f>IF($N31="","",INDEX(Azioni!$G:$G,$N31)&amp;"")</f>
        <v>3 mesi</v>
      </c>
      <c r="H31" s="70" t="str">
        <f>IF($N31="","",INDEX(Azioni!$J:$J,$N31)&amp;"")</f>
        <v>Respinta</v>
      </c>
      <c r="I31" s="72">
        <f>IF($N31="","",IF(INDEX(Azioni!$K:$K,$N31)="","",INDEX(Azioni!$K:$K,$N31)))</f>
        <v>46218</v>
      </c>
      <c r="J31" s="72" t="str">
        <f>IF(OR($N31="",I31=""),"",IF(OR(H31="Approvata",H31="In corso"),EDATE(I31,N(INDEX(Azioni!$H:$H,$N31))),""))</f>
        <v/>
      </c>
      <c r="K31" s="70" t="str">
        <f>IF($N31="","",INDEX(Azioni!$M:$M,$N31)&amp;"")</f>
        <v>Respinto</v>
      </c>
      <c r="N31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26),1000000),"")</f>
        <v>10</v>
      </c>
    </row>
    <row r="32" spans="1:14" x14ac:dyDescent="0.4">
      <c r="A32" s="70" t="str">
        <f>IF($N32="","",INDEX(Azioni!$A:$A,$N32)&amp;"")</f>
        <v>2026Q3</v>
      </c>
      <c r="B32" s="70" t="str">
        <f>IF($N32="","",INDEX(Azioni!$B:$B,$N32)&amp;"")</f>
        <v>NFR-08</v>
      </c>
      <c r="C32" s="70" t="str">
        <f>IF($N32="","",INDEX(Azioni!$C:$C,$N32)&amp;"")</f>
        <v>2026Q3-NFR-08-A1</v>
      </c>
      <c r="D32" s="71" t="str">
        <f>IF($N32="","",INDEX(Azioni!$D:$D,$N32)&amp;"")</f>
        <v>Revisione trimestrale automatica degli accessi ai dati clienti senza pratica associata.</v>
      </c>
      <c r="E32" s="70" t="str">
        <f>IF($N32="","",INDEX(Azioni!$E:$E,$N32)&amp;"")</f>
        <v>Funzione Sicurezza delle Informazioni</v>
      </c>
      <c r="F32" s="70" t="str">
        <f>IF($N32="","",INDEX(Azioni!$F:$F,$N32)&amp;"")</f>
        <v>gap_controlli</v>
      </c>
      <c r="G32" s="70" t="str">
        <f>IF($N32="","",INDEX(Azioni!$G:$G,$N32)&amp;"")</f>
        <v>3 mesi</v>
      </c>
      <c r="H32" s="70" t="str">
        <f>IF($N32="","",INDEX(Azioni!$J:$J,$N32)&amp;"")</f>
        <v>Respinta</v>
      </c>
      <c r="I32" s="72">
        <f>IF($N32="","",IF(INDEX(Azioni!$K:$K,$N32)="","",INDEX(Azioni!$K:$K,$N32)))</f>
        <v>46290</v>
      </c>
      <c r="J32" s="72" t="str">
        <f>IF(OR($N32="",I32=""),"",IF(OR(H32="Approvata",H32="In corso"),EDATE(I32,N(INDEX(Azioni!$H:$H,$N32))),""))</f>
        <v/>
      </c>
      <c r="K32" s="70" t="str">
        <f>IF($N32="","",INDEX(Azioni!$M:$M,$N32)&amp;"")</f>
        <v>Respinto</v>
      </c>
      <c r="N32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27),1000000),"")</f>
        <v>28</v>
      </c>
    </row>
    <row r="33" spans="1:14" x14ac:dyDescent="0.4">
      <c r="A33" s="70" t="str">
        <f>IF($N33="","",INDEX(Azioni!$A:$A,$N33)&amp;"")</f>
        <v/>
      </c>
      <c r="B33" s="70" t="str">
        <f>IF($N33="","",INDEX(Azioni!$B:$B,$N33)&amp;"")</f>
        <v/>
      </c>
      <c r="C33" s="70" t="str">
        <f>IF($N33="","",INDEX(Azioni!$C:$C,$N33)&amp;"")</f>
        <v/>
      </c>
      <c r="D33" s="71" t="str">
        <f>IF($N33="","",INDEX(Azioni!$D:$D,$N33)&amp;"")</f>
        <v/>
      </c>
      <c r="E33" s="70" t="str">
        <f>IF($N33="","",INDEX(Azioni!$E:$E,$N33)&amp;"")</f>
        <v/>
      </c>
      <c r="F33" s="70" t="str">
        <f>IF($N33="","",INDEX(Azioni!$F:$F,$N33)&amp;"")</f>
        <v/>
      </c>
      <c r="G33" s="70" t="str">
        <f>IF($N33="","",INDEX(Azioni!$G:$G,$N33)&amp;"")</f>
        <v/>
      </c>
      <c r="H33" s="70" t="str">
        <f>IF($N33="","",INDEX(Azioni!$J:$J,$N33)&amp;"")</f>
        <v/>
      </c>
      <c r="I33" s="72" t="str">
        <f>IF($N33="","",IF(INDEX(Azioni!$K:$K,$N33)="","",INDEX(Azioni!$K:$K,$N33)))</f>
        <v/>
      </c>
      <c r="J33" s="72" t="str">
        <f>IF(OR($N33="",I33=""),"",IF(OR(H33="Approvata",H33="In corso"),EDATE(I33,N(INDEX(Azioni!$H:$H,$N33))),""))</f>
        <v/>
      </c>
      <c r="K33" s="70" t="str">
        <f>IF($N33="","",INDEX(Azioni!$M:$M,$N33)&amp;"")</f>
        <v/>
      </c>
      <c r="N33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28),1000000),"")</f>
        <v/>
      </c>
    </row>
    <row r="34" spans="1:14" x14ac:dyDescent="0.4">
      <c r="A34" s="70" t="str">
        <f>IF($N34="","",INDEX(Azioni!$A:$A,$N34)&amp;"")</f>
        <v/>
      </c>
      <c r="B34" s="70" t="str">
        <f>IF($N34="","",INDEX(Azioni!$B:$B,$N34)&amp;"")</f>
        <v/>
      </c>
      <c r="C34" s="70" t="str">
        <f>IF($N34="","",INDEX(Azioni!$C:$C,$N34)&amp;"")</f>
        <v/>
      </c>
      <c r="D34" s="71" t="str">
        <f>IF($N34="","",INDEX(Azioni!$D:$D,$N34)&amp;"")</f>
        <v/>
      </c>
      <c r="E34" s="70" t="str">
        <f>IF($N34="","",INDEX(Azioni!$E:$E,$N34)&amp;"")</f>
        <v/>
      </c>
      <c r="F34" s="70" t="str">
        <f>IF($N34="","",INDEX(Azioni!$F:$F,$N34)&amp;"")</f>
        <v/>
      </c>
      <c r="G34" s="70" t="str">
        <f>IF($N34="","",INDEX(Azioni!$G:$G,$N34)&amp;"")</f>
        <v/>
      </c>
      <c r="H34" s="70" t="str">
        <f>IF($N34="","",INDEX(Azioni!$J:$J,$N34)&amp;"")</f>
        <v/>
      </c>
      <c r="I34" s="72" t="str">
        <f>IF($N34="","",IF(INDEX(Azioni!$K:$K,$N34)="","",INDEX(Azioni!$K:$K,$N34)))</f>
        <v/>
      </c>
      <c r="J34" s="72" t="str">
        <f>IF(OR($N34="",I34=""),"",IF(OR(H34="Approvata",H34="In corso"),EDATE(I34,N(INDEX(Azioni!$H:$H,$N34))),""))</f>
        <v/>
      </c>
      <c r="K34" s="70" t="str">
        <f>IF($N34="","",INDEX(Azioni!$M:$M,$N34)&amp;"")</f>
        <v/>
      </c>
      <c r="N34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29),1000000),"")</f>
        <v/>
      </c>
    </row>
    <row r="35" spans="1:14" x14ac:dyDescent="0.4">
      <c r="A35" s="70" t="str">
        <f>IF($N35="","",INDEX(Azioni!$A:$A,$N35)&amp;"")</f>
        <v/>
      </c>
      <c r="B35" s="70" t="str">
        <f>IF($N35="","",INDEX(Azioni!$B:$B,$N35)&amp;"")</f>
        <v/>
      </c>
      <c r="C35" s="70" t="str">
        <f>IF($N35="","",INDEX(Azioni!$C:$C,$N35)&amp;"")</f>
        <v/>
      </c>
      <c r="D35" s="71" t="str">
        <f>IF($N35="","",INDEX(Azioni!$D:$D,$N35)&amp;"")</f>
        <v/>
      </c>
      <c r="E35" s="70" t="str">
        <f>IF($N35="","",INDEX(Azioni!$E:$E,$N35)&amp;"")</f>
        <v/>
      </c>
      <c r="F35" s="70" t="str">
        <f>IF($N35="","",INDEX(Azioni!$F:$F,$N35)&amp;"")</f>
        <v/>
      </c>
      <c r="G35" s="70" t="str">
        <f>IF($N35="","",INDEX(Azioni!$G:$G,$N35)&amp;"")</f>
        <v/>
      </c>
      <c r="H35" s="70" t="str">
        <f>IF($N35="","",INDEX(Azioni!$J:$J,$N35)&amp;"")</f>
        <v/>
      </c>
      <c r="I35" s="72" t="str">
        <f>IF($N35="","",IF(INDEX(Azioni!$K:$K,$N35)="","",INDEX(Azioni!$K:$K,$N35)))</f>
        <v/>
      </c>
      <c r="J35" s="72" t="str">
        <f>IF(OR($N35="",I35=""),"",IF(OR(H35="Approvata",H35="In corso"),EDATE(I35,N(INDEX(Azioni!$H:$H,$N35))),""))</f>
        <v/>
      </c>
      <c r="K35" s="70" t="str">
        <f>IF($N35="","",INDEX(Azioni!$M:$M,$N35)&amp;"")</f>
        <v/>
      </c>
      <c r="N35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30),1000000),"")</f>
        <v/>
      </c>
    </row>
    <row r="36" spans="1:14" x14ac:dyDescent="0.4">
      <c r="A36" s="70" t="str">
        <f>IF($N36="","",INDEX(Azioni!$A:$A,$N36)&amp;"")</f>
        <v/>
      </c>
      <c r="B36" s="70" t="str">
        <f>IF($N36="","",INDEX(Azioni!$B:$B,$N36)&amp;"")</f>
        <v/>
      </c>
      <c r="C36" s="70" t="str">
        <f>IF($N36="","",INDEX(Azioni!$C:$C,$N36)&amp;"")</f>
        <v/>
      </c>
      <c r="D36" s="71" t="str">
        <f>IF($N36="","",INDEX(Azioni!$D:$D,$N36)&amp;"")</f>
        <v/>
      </c>
      <c r="E36" s="70" t="str">
        <f>IF($N36="","",INDEX(Azioni!$E:$E,$N36)&amp;"")</f>
        <v/>
      </c>
      <c r="F36" s="70" t="str">
        <f>IF($N36="","",INDEX(Azioni!$F:$F,$N36)&amp;"")</f>
        <v/>
      </c>
      <c r="G36" s="70" t="str">
        <f>IF($N36="","",INDEX(Azioni!$G:$G,$N36)&amp;"")</f>
        <v/>
      </c>
      <c r="H36" s="70" t="str">
        <f>IF($N36="","",INDEX(Azioni!$J:$J,$N36)&amp;"")</f>
        <v/>
      </c>
      <c r="I36" s="72" t="str">
        <f>IF($N36="","",IF(INDEX(Azioni!$K:$K,$N36)="","",INDEX(Azioni!$K:$K,$N36)))</f>
        <v/>
      </c>
      <c r="J36" s="72" t="str">
        <f>IF(OR($N36="",I36=""),"",IF(OR(H36="Approvata",H36="In corso"),EDATE(I36,N(INDEX(Azioni!$H:$H,$N36))),""))</f>
        <v/>
      </c>
      <c r="K36" s="70" t="str">
        <f>IF($N36="","",INDEX(Azioni!$M:$M,$N36)&amp;"")</f>
        <v/>
      </c>
      <c r="N36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31),1000000),"")</f>
        <v/>
      </c>
    </row>
    <row r="37" spans="1:14" x14ac:dyDescent="0.4">
      <c r="A37" s="70" t="str">
        <f>IF($N37="","",INDEX(Azioni!$A:$A,$N37)&amp;"")</f>
        <v/>
      </c>
      <c r="B37" s="70" t="str">
        <f>IF($N37="","",INDEX(Azioni!$B:$B,$N37)&amp;"")</f>
        <v/>
      </c>
      <c r="C37" s="70" t="str">
        <f>IF($N37="","",INDEX(Azioni!$C:$C,$N37)&amp;"")</f>
        <v/>
      </c>
      <c r="D37" s="71" t="str">
        <f>IF($N37="","",INDEX(Azioni!$D:$D,$N37)&amp;"")</f>
        <v/>
      </c>
      <c r="E37" s="70" t="str">
        <f>IF($N37="","",INDEX(Azioni!$E:$E,$N37)&amp;"")</f>
        <v/>
      </c>
      <c r="F37" s="70" t="str">
        <f>IF($N37="","",INDEX(Azioni!$F:$F,$N37)&amp;"")</f>
        <v/>
      </c>
      <c r="G37" s="70" t="str">
        <f>IF($N37="","",INDEX(Azioni!$G:$G,$N37)&amp;"")</f>
        <v/>
      </c>
      <c r="H37" s="70" t="str">
        <f>IF($N37="","",INDEX(Azioni!$J:$J,$N37)&amp;"")</f>
        <v/>
      </c>
      <c r="I37" s="72" t="str">
        <f>IF($N37="","",IF(INDEX(Azioni!$K:$K,$N37)="","",INDEX(Azioni!$K:$K,$N37)))</f>
        <v/>
      </c>
      <c r="J37" s="72" t="str">
        <f>IF(OR($N37="",I37=""),"",IF(OR(H37="Approvata",H37="In corso"),EDATE(I37,N(INDEX(Azioni!$H:$H,$N37))),""))</f>
        <v/>
      </c>
      <c r="K37" s="70" t="str">
        <f>IF($N37="","",INDEX(Azioni!$M:$M,$N37)&amp;"")</f>
        <v/>
      </c>
      <c r="N37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32),1000000),"")</f>
        <v/>
      </c>
    </row>
    <row r="38" spans="1:14" x14ac:dyDescent="0.4">
      <c r="A38" s="70" t="str">
        <f>IF($N38="","",INDEX(Azioni!$A:$A,$N38)&amp;"")</f>
        <v/>
      </c>
      <c r="B38" s="70" t="str">
        <f>IF($N38="","",INDEX(Azioni!$B:$B,$N38)&amp;"")</f>
        <v/>
      </c>
      <c r="C38" s="70" t="str">
        <f>IF($N38="","",INDEX(Azioni!$C:$C,$N38)&amp;"")</f>
        <v/>
      </c>
      <c r="D38" s="71" t="str">
        <f>IF($N38="","",INDEX(Azioni!$D:$D,$N38)&amp;"")</f>
        <v/>
      </c>
      <c r="E38" s="70" t="str">
        <f>IF($N38="","",INDEX(Azioni!$E:$E,$N38)&amp;"")</f>
        <v/>
      </c>
      <c r="F38" s="70" t="str">
        <f>IF($N38="","",INDEX(Azioni!$F:$F,$N38)&amp;"")</f>
        <v/>
      </c>
      <c r="G38" s="70" t="str">
        <f>IF($N38="","",INDEX(Azioni!$G:$G,$N38)&amp;"")</f>
        <v/>
      </c>
      <c r="H38" s="70" t="str">
        <f>IF($N38="","",INDEX(Azioni!$J:$J,$N38)&amp;"")</f>
        <v/>
      </c>
      <c r="I38" s="72" t="str">
        <f>IF($N38="","",IF(INDEX(Azioni!$K:$K,$N38)="","",INDEX(Azioni!$K:$K,$N38)))</f>
        <v/>
      </c>
      <c r="J38" s="72" t="str">
        <f>IF(OR($N38="",I38=""),"",IF(OR(H38="Approvata",H38="In corso"),EDATE(I38,N(INDEX(Azioni!$H:$H,$N38))),""))</f>
        <v/>
      </c>
      <c r="K38" s="70" t="str">
        <f>IF($N38="","",INDEX(Azioni!$M:$M,$N38)&amp;"")</f>
        <v/>
      </c>
      <c r="N38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33),1000000),"")</f>
        <v/>
      </c>
    </row>
    <row r="39" spans="1:14" x14ac:dyDescent="0.4">
      <c r="A39" s="70" t="str">
        <f>IF($N39="","",INDEX(Azioni!$A:$A,$N39)&amp;"")</f>
        <v/>
      </c>
      <c r="B39" s="70" t="str">
        <f>IF($N39="","",INDEX(Azioni!$B:$B,$N39)&amp;"")</f>
        <v/>
      </c>
      <c r="C39" s="70" t="str">
        <f>IF($N39="","",INDEX(Azioni!$C:$C,$N39)&amp;"")</f>
        <v/>
      </c>
      <c r="D39" s="71" t="str">
        <f>IF($N39="","",INDEX(Azioni!$D:$D,$N39)&amp;"")</f>
        <v/>
      </c>
      <c r="E39" s="70" t="str">
        <f>IF($N39="","",INDEX(Azioni!$E:$E,$N39)&amp;"")</f>
        <v/>
      </c>
      <c r="F39" s="70" t="str">
        <f>IF($N39="","",INDEX(Azioni!$F:$F,$N39)&amp;"")</f>
        <v/>
      </c>
      <c r="G39" s="70" t="str">
        <f>IF($N39="","",INDEX(Azioni!$G:$G,$N39)&amp;"")</f>
        <v/>
      </c>
      <c r="H39" s="70" t="str">
        <f>IF($N39="","",INDEX(Azioni!$J:$J,$N39)&amp;"")</f>
        <v/>
      </c>
      <c r="I39" s="72" t="str">
        <f>IF($N39="","",IF(INDEX(Azioni!$K:$K,$N39)="","",INDEX(Azioni!$K:$K,$N39)))</f>
        <v/>
      </c>
      <c r="J39" s="72" t="str">
        <f>IF(OR($N39="",I39=""),"",IF(OR(H39="Approvata",H39="In corso"),EDATE(I39,N(INDEX(Azioni!$H:$H,$N39))),""))</f>
        <v/>
      </c>
      <c r="K39" s="70" t="str">
        <f>IF($N39="","",INDEX(Azioni!$M:$M,$N39)&amp;"")</f>
        <v/>
      </c>
      <c r="N39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34),1000000),"")</f>
        <v/>
      </c>
    </row>
    <row r="40" spans="1:14" x14ac:dyDescent="0.4">
      <c r="A40" s="70" t="str">
        <f>IF($N40="","",INDEX(Azioni!$A:$A,$N40)&amp;"")</f>
        <v/>
      </c>
      <c r="B40" s="70" t="str">
        <f>IF($N40="","",INDEX(Azioni!$B:$B,$N40)&amp;"")</f>
        <v/>
      </c>
      <c r="C40" s="70" t="str">
        <f>IF($N40="","",INDEX(Azioni!$C:$C,$N40)&amp;"")</f>
        <v/>
      </c>
      <c r="D40" s="71" t="str">
        <f>IF($N40="","",INDEX(Azioni!$D:$D,$N40)&amp;"")</f>
        <v/>
      </c>
      <c r="E40" s="70" t="str">
        <f>IF($N40="","",INDEX(Azioni!$E:$E,$N40)&amp;"")</f>
        <v/>
      </c>
      <c r="F40" s="70" t="str">
        <f>IF($N40="","",INDEX(Azioni!$F:$F,$N40)&amp;"")</f>
        <v/>
      </c>
      <c r="G40" s="70" t="str">
        <f>IF($N40="","",INDEX(Azioni!$G:$G,$N40)&amp;"")</f>
        <v/>
      </c>
      <c r="H40" s="70" t="str">
        <f>IF($N40="","",INDEX(Azioni!$J:$J,$N40)&amp;"")</f>
        <v/>
      </c>
      <c r="I40" s="72" t="str">
        <f>IF($N40="","",IF(INDEX(Azioni!$K:$K,$N40)="","",INDEX(Azioni!$K:$K,$N40)))</f>
        <v/>
      </c>
      <c r="J40" s="72" t="str">
        <f>IF(OR($N40="",I40=""),"",IF(OR(H40="Approvata",H40="In corso"),EDATE(I40,N(INDEX(Azioni!$H:$H,$N40))),""))</f>
        <v/>
      </c>
      <c r="K40" s="70" t="str">
        <f>IF($N40="","",INDEX(Azioni!$M:$M,$N40)&amp;"")</f>
        <v/>
      </c>
      <c r="N40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35),1000000),"")</f>
        <v/>
      </c>
    </row>
    <row r="41" spans="1:14" x14ac:dyDescent="0.4">
      <c r="A41" s="70" t="str">
        <f>IF($N41="","",INDEX(Azioni!$A:$A,$N41)&amp;"")</f>
        <v/>
      </c>
      <c r="B41" s="70" t="str">
        <f>IF($N41="","",INDEX(Azioni!$B:$B,$N41)&amp;"")</f>
        <v/>
      </c>
      <c r="C41" s="70" t="str">
        <f>IF($N41="","",INDEX(Azioni!$C:$C,$N41)&amp;"")</f>
        <v/>
      </c>
      <c r="D41" s="71" t="str">
        <f>IF($N41="","",INDEX(Azioni!$D:$D,$N41)&amp;"")</f>
        <v/>
      </c>
      <c r="E41" s="70" t="str">
        <f>IF($N41="","",INDEX(Azioni!$E:$E,$N41)&amp;"")</f>
        <v/>
      </c>
      <c r="F41" s="70" t="str">
        <f>IF($N41="","",INDEX(Azioni!$F:$F,$N41)&amp;"")</f>
        <v/>
      </c>
      <c r="G41" s="70" t="str">
        <f>IF($N41="","",INDEX(Azioni!$G:$G,$N41)&amp;"")</f>
        <v/>
      </c>
      <c r="H41" s="70" t="str">
        <f>IF($N41="","",INDEX(Azioni!$J:$J,$N41)&amp;"")</f>
        <v/>
      </c>
      <c r="I41" s="72" t="str">
        <f>IF($N41="","",IF(INDEX(Azioni!$K:$K,$N41)="","",INDEX(Azioni!$K:$K,$N41)))</f>
        <v/>
      </c>
      <c r="J41" s="72" t="str">
        <f>IF(OR($N41="",I41=""),"",IF(OR(H41="Approvata",H41="In corso"),EDATE(I41,N(INDEX(Azioni!$H:$H,$N41))),""))</f>
        <v/>
      </c>
      <c r="K41" s="70" t="str">
        <f>IF($N41="","",INDEX(Azioni!$M:$M,$N41)&amp;"")</f>
        <v/>
      </c>
      <c r="N41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36),1000000),"")</f>
        <v/>
      </c>
    </row>
    <row r="42" spans="1:14" x14ac:dyDescent="0.4">
      <c r="A42" s="70" t="str">
        <f>IF($N42="","",INDEX(Azioni!$A:$A,$N42)&amp;"")</f>
        <v/>
      </c>
      <c r="B42" s="70" t="str">
        <f>IF($N42="","",INDEX(Azioni!$B:$B,$N42)&amp;"")</f>
        <v/>
      </c>
      <c r="C42" s="70" t="str">
        <f>IF($N42="","",INDEX(Azioni!$C:$C,$N42)&amp;"")</f>
        <v/>
      </c>
      <c r="D42" s="71" t="str">
        <f>IF($N42="","",INDEX(Azioni!$D:$D,$N42)&amp;"")</f>
        <v/>
      </c>
      <c r="E42" s="70" t="str">
        <f>IF($N42="","",INDEX(Azioni!$E:$E,$N42)&amp;"")</f>
        <v/>
      </c>
      <c r="F42" s="70" t="str">
        <f>IF($N42="","",INDEX(Azioni!$F:$F,$N42)&amp;"")</f>
        <v/>
      </c>
      <c r="G42" s="70" t="str">
        <f>IF($N42="","",INDEX(Azioni!$G:$G,$N42)&amp;"")</f>
        <v/>
      </c>
      <c r="H42" s="70" t="str">
        <f>IF($N42="","",INDEX(Azioni!$J:$J,$N42)&amp;"")</f>
        <v/>
      </c>
      <c r="I42" s="72" t="str">
        <f>IF($N42="","",IF(INDEX(Azioni!$K:$K,$N42)="","",INDEX(Azioni!$K:$K,$N42)))</f>
        <v/>
      </c>
      <c r="J42" s="72" t="str">
        <f>IF(OR($N42="",I42=""),"",IF(OR(H42="Approvata",H42="In corso"),EDATE(I42,N(INDEX(Azioni!$H:$H,$N42))),""))</f>
        <v/>
      </c>
      <c r="K42" s="70" t="str">
        <f>IF($N42="","",INDEX(Azioni!$M:$M,$N42)&amp;"")</f>
        <v/>
      </c>
      <c r="N42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37),1000000),"")</f>
        <v/>
      </c>
    </row>
    <row r="43" spans="1:14" x14ac:dyDescent="0.4">
      <c r="A43" s="70" t="str">
        <f>IF($N43="","",INDEX(Azioni!$A:$A,$N43)&amp;"")</f>
        <v/>
      </c>
      <c r="B43" s="70" t="str">
        <f>IF($N43="","",INDEX(Azioni!$B:$B,$N43)&amp;"")</f>
        <v/>
      </c>
      <c r="C43" s="70" t="str">
        <f>IF($N43="","",INDEX(Azioni!$C:$C,$N43)&amp;"")</f>
        <v/>
      </c>
      <c r="D43" s="71" t="str">
        <f>IF($N43="","",INDEX(Azioni!$D:$D,$N43)&amp;"")</f>
        <v/>
      </c>
      <c r="E43" s="70" t="str">
        <f>IF($N43="","",INDEX(Azioni!$E:$E,$N43)&amp;"")</f>
        <v/>
      </c>
      <c r="F43" s="70" t="str">
        <f>IF($N43="","",INDEX(Azioni!$F:$F,$N43)&amp;"")</f>
        <v/>
      </c>
      <c r="G43" s="70" t="str">
        <f>IF($N43="","",INDEX(Azioni!$G:$G,$N43)&amp;"")</f>
        <v/>
      </c>
      <c r="H43" s="70" t="str">
        <f>IF($N43="","",INDEX(Azioni!$J:$J,$N43)&amp;"")</f>
        <v/>
      </c>
      <c r="I43" s="72" t="str">
        <f>IF($N43="","",IF(INDEX(Azioni!$K:$K,$N43)="","",INDEX(Azioni!$K:$K,$N43)))</f>
        <v/>
      </c>
      <c r="J43" s="72" t="str">
        <f>IF(OR($N43="",I43=""),"",IF(OR(H43="Approvata",H43="In corso"),EDATE(I43,N(INDEX(Azioni!$H:$H,$N43))),""))</f>
        <v/>
      </c>
      <c r="K43" s="70" t="str">
        <f>IF($N43="","",INDEX(Azioni!$M:$M,$N43)&amp;"")</f>
        <v/>
      </c>
      <c r="N43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38),1000000),"")</f>
        <v/>
      </c>
    </row>
    <row r="44" spans="1:14" x14ac:dyDescent="0.4">
      <c r="A44" s="70" t="str">
        <f>IF($N44="","",INDEX(Azioni!$A:$A,$N44)&amp;"")</f>
        <v/>
      </c>
      <c r="B44" s="70" t="str">
        <f>IF($N44="","",INDEX(Azioni!$B:$B,$N44)&amp;"")</f>
        <v/>
      </c>
      <c r="C44" s="70" t="str">
        <f>IF($N44="","",INDEX(Azioni!$C:$C,$N44)&amp;"")</f>
        <v/>
      </c>
      <c r="D44" s="71" t="str">
        <f>IF($N44="","",INDEX(Azioni!$D:$D,$N44)&amp;"")</f>
        <v/>
      </c>
      <c r="E44" s="70" t="str">
        <f>IF($N44="","",INDEX(Azioni!$E:$E,$N44)&amp;"")</f>
        <v/>
      </c>
      <c r="F44" s="70" t="str">
        <f>IF($N44="","",INDEX(Azioni!$F:$F,$N44)&amp;"")</f>
        <v/>
      </c>
      <c r="G44" s="70" t="str">
        <f>IF($N44="","",INDEX(Azioni!$G:$G,$N44)&amp;"")</f>
        <v/>
      </c>
      <c r="H44" s="70" t="str">
        <f>IF($N44="","",INDEX(Azioni!$J:$J,$N44)&amp;"")</f>
        <v/>
      </c>
      <c r="I44" s="72" t="str">
        <f>IF($N44="","",IF(INDEX(Azioni!$K:$K,$N44)="","",INDEX(Azioni!$K:$K,$N44)))</f>
        <v/>
      </c>
      <c r="J44" s="72" t="str">
        <f>IF(OR($N44="",I44=""),"",IF(OR(H44="Approvata",H44="In corso"),EDATE(I44,N(INDEX(Azioni!$H:$H,$N44))),""))</f>
        <v/>
      </c>
      <c r="K44" s="70" t="str">
        <f>IF($N44="","",INDEX(Azioni!$M:$M,$N44)&amp;"")</f>
        <v/>
      </c>
      <c r="N44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39),1000000),"")</f>
        <v/>
      </c>
    </row>
    <row r="45" spans="1:14" x14ac:dyDescent="0.4">
      <c r="A45" s="70" t="str">
        <f>IF($N45="","",INDEX(Azioni!$A:$A,$N45)&amp;"")</f>
        <v/>
      </c>
      <c r="B45" s="70" t="str">
        <f>IF($N45="","",INDEX(Azioni!$B:$B,$N45)&amp;"")</f>
        <v/>
      </c>
      <c r="C45" s="70" t="str">
        <f>IF($N45="","",INDEX(Azioni!$C:$C,$N45)&amp;"")</f>
        <v/>
      </c>
      <c r="D45" s="71" t="str">
        <f>IF($N45="","",INDEX(Azioni!$D:$D,$N45)&amp;"")</f>
        <v/>
      </c>
      <c r="E45" s="70" t="str">
        <f>IF($N45="","",INDEX(Azioni!$E:$E,$N45)&amp;"")</f>
        <v/>
      </c>
      <c r="F45" s="70" t="str">
        <f>IF($N45="","",INDEX(Azioni!$F:$F,$N45)&amp;"")</f>
        <v/>
      </c>
      <c r="G45" s="70" t="str">
        <f>IF($N45="","",INDEX(Azioni!$G:$G,$N45)&amp;"")</f>
        <v/>
      </c>
      <c r="H45" s="70" t="str">
        <f>IF($N45="","",INDEX(Azioni!$J:$J,$N45)&amp;"")</f>
        <v/>
      </c>
      <c r="I45" s="72" t="str">
        <f>IF($N45="","",IF(INDEX(Azioni!$K:$K,$N45)="","",INDEX(Azioni!$K:$K,$N45)))</f>
        <v/>
      </c>
      <c r="J45" s="72" t="str">
        <f>IF(OR($N45="",I45=""),"",IF(OR(H45="Approvata",H45="In corso"),EDATE(I45,N(INDEX(Azioni!$H:$H,$N45))),""))</f>
        <v/>
      </c>
      <c r="K45" s="70" t="str">
        <f>IF($N45="","",INDEX(Azioni!$M:$M,$N45)&amp;"")</f>
        <v/>
      </c>
      <c r="N45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40),1000000),"")</f>
        <v/>
      </c>
    </row>
    <row r="46" spans="1:14" x14ac:dyDescent="0.4">
      <c r="A46" s="70" t="str">
        <f>IF($N46="","",INDEX(Azioni!$A:$A,$N46)&amp;"")</f>
        <v/>
      </c>
      <c r="B46" s="70" t="str">
        <f>IF($N46="","",INDEX(Azioni!$B:$B,$N46)&amp;"")</f>
        <v/>
      </c>
      <c r="C46" s="70" t="str">
        <f>IF($N46="","",INDEX(Azioni!$C:$C,$N46)&amp;"")</f>
        <v/>
      </c>
      <c r="D46" s="71" t="str">
        <f>IF($N46="","",INDEX(Azioni!$D:$D,$N46)&amp;"")</f>
        <v/>
      </c>
      <c r="E46" s="70" t="str">
        <f>IF($N46="","",INDEX(Azioni!$E:$E,$N46)&amp;"")</f>
        <v/>
      </c>
      <c r="F46" s="70" t="str">
        <f>IF($N46="","",INDEX(Azioni!$F:$F,$N46)&amp;"")</f>
        <v/>
      </c>
      <c r="G46" s="70" t="str">
        <f>IF($N46="","",INDEX(Azioni!$G:$G,$N46)&amp;"")</f>
        <v/>
      </c>
      <c r="H46" s="70" t="str">
        <f>IF($N46="","",INDEX(Azioni!$J:$J,$N46)&amp;"")</f>
        <v/>
      </c>
      <c r="I46" s="72" t="str">
        <f>IF($N46="","",IF(INDEX(Azioni!$K:$K,$N46)="","",INDEX(Azioni!$K:$K,$N46)))</f>
        <v/>
      </c>
      <c r="J46" s="72" t="str">
        <f>IF(OR($N46="",I46=""),"",IF(OR(H46="Approvata",H46="In corso"),EDATE(I46,N(INDEX(Azioni!$H:$H,$N46))),""))</f>
        <v/>
      </c>
      <c r="K46" s="70" t="str">
        <f>IF($N46="","",INDEX(Azioni!$M:$M,$N46)&amp;"")</f>
        <v/>
      </c>
      <c r="N46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41),1000000),"")</f>
        <v/>
      </c>
    </row>
    <row r="47" spans="1:14" x14ac:dyDescent="0.4">
      <c r="A47" s="70" t="str">
        <f>IF($N47="","",INDEX(Azioni!$A:$A,$N47)&amp;"")</f>
        <v/>
      </c>
      <c r="B47" s="70" t="str">
        <f>IF($N47="","",INDEX(Azioni!$B:$B,$N47)&amp;"")</f>
        <v/>
      </c>
      <c r="C47" s="70" t="str">
        <f>IF($N47="","",INDEX(Azioni!$C:$C,$N47)&amp;"")</f>
        <v/>
      </c>
      <c r="D47" s="71" t="str">
        <f>IF($N47="","",INDEX(Azioni!$D:$D,$N47)&amp;"")</f>
        <v/>
      </c>
      <c r="E47" s="70" t="str">
        <f>IF($N47="","",INDEX(Azioni!$E:$E,$N47)&amp;"")</f>
        <v/>
      </c>
      <c r="F47" s="70" t="str">
        <f>IF($N47="","",INDEX(Azioni!$F:$F,$N47)&amp;"")</f>
        <v/>
      </c>
      <c r="G47" s="70" t="str">
        <f>IF($N47="","",INDEX(Azioni!$G:$G,$N47)&amp;"")</f>
        <v/>
      </c>
      <c r="H47" s="70" t="str">
        <f>IF($N47="","",INDEX(Azioni!$J:$J,$N47)&amp;"")</f>
        <v/>
      </c>
      <c r="I47" s="72" t="str">
        <f>IF($N47="","",IF(INDEX(Azioni!$K:$K,$N47)="","",INDEX(Azioni!$K:$K,$N47)))</f>
        <v/>
      </c>
      <c r="J47" s="72" t="str">
        <f>IF(OR($N47="",I47=""),"",IF(OR(H47="Approvata",H47="In corso"),EDATE(I47,N(INDEX(Azioni!$H:$H,$N47))),""))</f>
        <v/>
      </c>
      <c r="K47" s="70" t="str">
        <f>IF($N47="","",INDEX(Azioni!$M:$M,$N47)&amp;"")</f>
        <v/>
      </c>
      <c r="N47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42),1000000),"")</f>
        <v/>
      </c>
    </row>
    <row r="48" spans="1:14" x14ac:dyDescent="0.4">
      <c r="A48" s="70" t="str">
        <f>IF($N48="","",INDEX(Azioni!$A:$A,$N48)&amp;"")</f>
        <v/>
      </c>
      <c r="B48" s="70" t="str">
        <f>IF($N48="","",INDEX(Azioni!$B:$B,$N48)&amp;"")</f>
        <v/>
      </c>
      <c r="C48" s="70" t="str">
        <f>IF($N48="","",INDEX(Azioni!$C:$C,$N48)&amp;"")</f>
        <v/>
      </c>
      <c r="D48" s="71" t="str">
        <f>IF($N48="","",INDEX(Azioni!$D:$D,$N48)&amp;"")</f>
        <v/>
      </c>
      <c r="E48" s="70" t="str">
        <f>IF($N48="","",INDEX(Azioni!$E:$E,$N48)&amp;"")</f>
        <v/>
      </c>
      <c r="F48" s="70" t="str">
        <f>IF($N48="","",INDEX(Azioni!$F:$F,$N48)&amp;"")</f>
        <v/>
      </c>
      <c r="G48" s="70" t="str">
        <f>IF($N48="","",INDEX(Azioni!$G:$G,$N48)&amp;"")</f>
        <v/>
      </c>
      <c r="H48" s="70" t="str">
        <f>IF($N48="","",INDEX(Azioni!$J:$J,$N48)&amp;"")</f>
        <v/>
      </c>
      <c r="I48" s="72" t="str">
        <f>IF($N48="","",IF(INDEX(Azioni!$K:$K,$N48)="","",INDEX(Azioni!$K:$K,$N48)))</f>
        <v/>
      </c>
      <c r="J48" s="72" t="str">
        <f>IF(OR($N48="",I48=""),"",IF(OR(H48="Approvata",H48="In corso"),EDATE(I48,N(INDEX(Azioni!$H:$H,$N48))),""))</f>
        <v/>
      </c>
      <c r="K48" s="70" t="str">
        <f>IF($N48="","",INDEX(Azioni!$M:$M,$N48)&amp;"")</f>
        <v/>
      </c>
      <c r="N48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43),1000000),"")</f>
        <v/>
      </c>
    </row>
    <row r="49" spans="1:14" x14ac:dyDescent="0.4">
      <c r="A49" s="70" t="str">
        <f>IF($N49="","",INDEX(Azioni!$A:$A,$N49)&amp;"")</f>
        <v/>
      </c>
      <c r="B49" s="70" t="str">
        <f>IF($N49="","",INDEX(Azioni!$B:$B,$N49)&amp;"")</f>
        <v/>
      </c>
      <c r="C49" s="70" t="str">
        <f>IF($N49="","",INDEX(Azioni!$C:$C,$N49)&amp;"")</f>
        <v/>
      </c>
      <c r="D49" s="71" t="str">
        <f>IF($N49="","",INDEX(Azioni!$D:$D,$N49)&amp;"")</f>
        <v/>
      </c>
      <c r="E49" s="70" t="str">
        <f>IF($N49="","",INDEX(Azioni!$E:$E,$N49)&amp;"")</f>
        <v/>
      </c>
      <c r="F49" s="70" t="str">
        <f>IF($N49="","",INDEX(Azioni!$F:$F,$N49)&amp;"")</f>
        <v/>
      </c>
      <c r="G49" s="70" t="str">
        <f>IF($N49="","",INDEX(Azioni!$G:$G,$N49)&amp;"")</f>
        <v/>
      </c>
      <c r="H49" s="70" t="str">
        <f>IF($N49="","",INDEX(Azioni!$J:$J,$N49)&amp;"")</f>
        <v/>
      </c>
      <c r="I49" s="72" t="str">
        <f>IF($N49="","",IF(INDEX(Azioni!$K:$K,$N49)="","",INDEX(Azioni!$K:$K,$N49)))</f>
        <v/>
      </c>
      <c r="J49" s="72" t="str">
        <f>IF(OR($N49="",I49=""),"",IF(OR(H49="Approvata",H49="In corso"),EDATE(I49,N(INDEX(Azioni!$H:$H,$N49))),""))</f>
        <v/>
      </c>
      <c r="K49" s="70" t="str">
        <f>IF($N49="","",INDEX(Azioni!$M:$M,$N49)&amp;"")</f>
        <v/>
      </c>
      <c r="N49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44),1000000),"")</f>
        <v/>
      </c>
    </row>
    <row r="50" spans="1:14" x14ac:dyDescent="0.4">
      <c r="A50" s="70" t="str">
        <f>IF($N50="","",INDEX(Azioni!$A:$A,$N50)&amp;"")</f>
        <v/>
      </c>
      <c r="B50" s="70" t="str">
        <f>IF($N50="","",INDEX(Azioni!$B:$B,$N50)&amp;"")</f>
        <v/>
      </c>
      <c r="C50" s="70" t="str">
        <f>IF($N50="","",INDEX(Azioni!$C:$C,$N50)&amp;"")</f>
        <v/>
      </c>
      <c r="D50" s="71" t="str">
        <f>IF($N50="","",INDEX(Azioni!$D:$D,$N50)&amp;"")</f>
        <v/>
      </c>
      <c r="E50" s="70" t="str">
        <f>IF($N50="","",INDEX(Azioni!$E:$E,$N50)&amp;"")</f>
        <v/>
      </c>
      <c r="F50" s="70" t="str">
        <f>IF($N50="","",INDEX(Azioni!$F:$F,$N50)&amp;"")</f>
        <v/>
      </c>
      <c r="G50" s="70" t="str">
        <f>IF($N50="","",INDEX(Azioni!$G:$G,$N50)&amp;"")</f>
        <v/>
      </c>
      <c r="H50" s="70" t="str">
        <f>IF($N50="","",INDEX(Azioni!$J:$J,$N50)&amp;"")</f>
        <v/>
      </c>
      <c r="I50" s="72" t="str">
        <f>IF($N50="","",IF(INDEX(Azioni!$K:$K,$N50)="","",INDEX(Azioni!$K:$K,$N50)))</f>
        <v/>
      </c>
      <c r="J50" s="72" t="str">
        <f>IF(OR($N50="",I50=""),"",IF(OR(H50="Approvata",H50="In corso"),EDATE(I50,N(INDEX(Azioni!$H:$H,$N50))),""))</f>
        <v/>
      </c>
      <c r="K50" s="70" t="str">
        <f>IF($N50="","",INDEX(Azioni!$M:$M,$N50)&amp;"")</f>
        <v/>
      </c>
      <c r="N50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45),1000000),"")</f>
        <v/>
      </c>
    </row>
    <row r="51" spans="1:14" x14ac:dyDescent="0.4">
      <c r="A51" s="70" t="str">
        <f>IF($N51="","",INDEX(Azioni!$A:$A,$N51)&amp;"")</f>
        <v/>
      </c>
      <c r="B51" s="70" t="str">
        <f>IF($N51="","",INDEX(Azioni!$B:$B,$N51)&amp;"")</f>
        <v/>
      </c>
      <c r="C51" s="70" t="str">
        <f>IF($N51="","",INDEX(Azioni!$C:$C,$N51)&amp;"")</f>
        <v/>
      </c>
      <c r="D51" s="71" t="str">
        <f>IF($N51="","",INDEX(Azioni!$D:$D,$N51)&amp;"")</f>
        <v/>
      </c>
      <c r="E51" s="70" t="str">
        <f>IF($N51="","",INDEX(Azioni!$E:$E,$N51)&amp;"")</f>
        <v/>
      </c>
      <c r="F51" s="70" t="str">
        <f>IF($N51="","",INDEX(Azioni!$F:$F,$N51)&amp;"")</f>
        <v/>
      </c>
      <c r="G51" s="70" t="str">
        <f>IF($N51="","",INDEX(Azioni!$G:$G,$N51)&amp;"")</f>
        <v/>
      </c>
      <c r="H51" s="70" t="str">
        <f>IF($N51="","",INDEX(Azioni!$J:$J,$N51)&amp;"")</f>
        <v/>
      </c>
      <c r="I51" s="72" t="str">
        <f>IF($N51="","",IF(INDEX(Azioni!$K:$K,$N51)="","",INDEX(Azioni!$K:$K,$N51)))</f>
        <v/>
      </c>
      <c r="J51" s="72" t="str">
        <f>IF(OR($N51="",I51=""),"",IF(OR(H51="Approvata",H51="In corso"),EDATE(I51,N(INDEX(Azioni!$H:$H,$N51))),""))</f>
        <v/>
      </c>
      <c r="K51" s="70" t="str">
        <f>IF($N51="","",INDEX(Azioni!$M:$M,$N51)&amp;"")</f>
        <v/>
      </c>
      <c r="N51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46),1000000),"")</f>
        <v/>
      </c>
    </row>
    <row r="52" spans="1:14" x14ac:dyDescent="0.4">
      <c r="A52" s="70" t="str">
        <f>IF($N52="","",INDEX(Azioni!$A:$A,$N52)&amp;"")</f>
        <v/>
      </c>
      <c r="B52" s="70" t="str">
        <f>IF($N52="","",INDEX(Azioni!$B:$B,$N52)&amp;"")</f>
        <v/>
      </c>
      <c r="C52" s="70" t="str">
        <f>IF($N52="","",INDEX(Azioni!$C:$C,$N52)&amp;"")</f>
        <v/>
      </c>
      <c r="D52" s="71" t="str">
        <f>IF($N52="","",INDEX(Azioni!$D:$D,$N52)&amp;"")</f>
        <v/>
      </c>
      <c r="E52" s="70" t="str">
        <f>IF($N52="","",INDEX(Azioni!$E:$E,$N52)&amp;"")</f>
        <v/>
      </c>
      <c r="F52" s="70" t="str">
        <f>IF($N52="","",INDEX(Azioni!$F:$F,$N52)&amp;"")</f>
        <v/>
      </c>
      <c r="G52" s="70" t="str">
        <f>IF($N52="","",INDEX(Azioni!$G:$G,$N52)&amp;"")</f>
        <v/>
      </c>
      <c r="H52" s="70" t="str">
        <f>IF($N52="","",INDEX(Azioni!$J:$J,$N52)&amp;"")</f>
        <v/>
      </c>
      <c r="I52" s="72" t="str">
        <f>IF($N52="","",IF(INDEX(Azioni!$K:$K,$N52)="","",INDEX(Azioni!$K:$K,$N52)))</f>
        <v/>
      </c>
      <c r="J52" s="72" t="str">
        <f>IF(OR($N52="",I52=""),"",IF(OR(H52="Approvata",H52="In corso"),EDATE(I52,N(INDEX(Azioni!$H:$H,$N52))),""))</f>
        <v/>
      </c>
      <c r="K52" s="70" t="str">
        <f>IF($N52="","",INDEX(Azioni!$M:$M,$N52)&amp;"")</f>
        <v/>
      </c>
      <c r="N52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47),1000000),"")</f>
        <v/>
      </c>
    </row>
    <row r="53" spans="1:14" x14ac:dyDescent="0.4">
      <c r="A53" s="70" t="str">
        <f>IF($N53="","",INDEX(Azioni!$A:$A,$N53)&amp;"")</f>
        <v/>
      </c>
      <c r="B53" s="70" t="str">
        <f>IF($N53="","",INDEX(Azioni!$B:$B,$N53)&amp;"")</f>
        <v/>
      </c>
      <c r="C53" s="70" t="str">
        <f>IF($N53="","",INDEX(Azioni!$C:$C,$N53)&amp;"")</f>
        <v/>
      </c>
      <c r="D53" s="71" t="str">
        <f>IF($N53="","",INDEX(Azioni!$D:$D,$N53)&amp;"")</f>
        <v/>
      </c>
      <c r="E53" s="70" t="str">
        <f>IF($N53="","",INDEX(Azioni!$E:$E,$N53)&amp;"")</f>
        <v/>
      </c>
      <c r="F53" s="70" t="str">
        <f>IF($N53="","",INDEX(Azioni!$F:$F,$N53)&amp;"")</f>
        <v/>
      </c>
      <c r="G53" s="70" t="str">
        <f>IF($N53="","",INDEX(Azioni!$G:$G,$N53)&amp;"")</f>
        <v/>
      </c>
      <c r="H53" s="70" t="str">
        <f>IF($N53="","",INDEX(Azioni!$J:$J,$N53)&amp;"")</f>
        <v/>
      </c>
      <c r="I53" s="72" t="str">
        <f>IF($N53="","",IF(INDEX(Azioni!$K:$K,$N53)="","",INDEX(Azioni!$K:$K,$N53)))</f>
        <v/>
      </c>
      <c r="J53" s="72" t="str">
        <f>IF(OR($N53="",I53=""),"",IF(OR(H53="Approvata",H53="In corso"),EDATE(I53,N(INDEX(Azioni!$H:$H,$N53))),""))</f>
        <v/>
      </c>
      <c r="K53" s="70" t="str">
        <f>IF($N53="","",INDEX(Azioni!$M:$M,$N53)&amp;"")</f>
        <v/>
      </c>
      <c r="N53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48),1000000),"")</f>
        <v/>
      </c>
    </row>
    <row r="54" spans="1:14" x14ac:dyDescent="0.4">
      <c r="A54" s="70" t="str">
        <f>IF($N54="","",INDEX(Azioni!$A:$A,$N54)&amp;"")</f>
        <v/>
      </c>
      <c r="B54" s="70" t="str">
        <f>IF($N54="","",INDEX(Azioni!$B:$B,$N54)&amp;"")</f>
        <v/>
      </c>
      <c r="C54" s="70" t="str">
        <f>IF($N54="","",INDEX(Azioni!$C:$C,$N54)&amp;"")</f>
        <v/>
      </c>
      <c r="D54" s="71" t="str">
        <f>IF($N54="","",INDEX(Azioni!$D:$D,$N54)&amp;"")</f>
        <v/>
      </c>
      <c r="E54" s="70" t="str">
        <f>IF($N54="","",INDEX(Azioni!$E:$E,$N54)&amp;"")</f>
        <v/>
      </c>
      <c r="F54" s="70" t="str">
        <f>IF($N54="","",INDEX(Azioni!$F:$F,$N54)&amp;"")</f>
        <v/>
      </c>
      <c r="G54" s="70" t="str">
        <f>IF($N54="","",INDEX(Azioni!$G:$G,$N54)&amp;"")</f>
        <v/>
      </c>
      <c r="H54" s="70" t="str">
        <f>IF($N54="","",INDEX(Azioni!$J:$J,$N54)&amp;"")</f>
        <v/>
      </c>
      <c r="I54" s="72" t="str">
        <f>IF($N54="","",IF(INDEX(Azioni!$K:$K,$N54)="","",INDEX(Azioni!$K:$K,$N54)))</f>
        <v/>
      </c>
      <c r="J54" s="72" t="str">
        <f>IF(OR($N54="",I54=""),"",IF(OR(H54="Approvata",H54="In corso"),EDATE(I54,N(INDEX(Azioni!$H:$H,$N54))),""))</f>
        <v/>
      </c>
      <c r="K54" s="70" t="str">
        <f>IF($N54="","",INDEX(Azioni!$M:$M,$N54)&amp;"")</f>
        <v/>
      </c>
      <c r="N54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49),1000000),"")</f>
        <v/>
      </c>
    </row>
    <row r="55" spans="1:14" x14ac:dyDescent="0.4">
      <c r="A55" s="70" t="str">
        <f>IF($N55="","",INDEX(Azioni!$A:$A,$N55)&amp;"")</f>
        <v/>
      </c>
      <c r="B55" s="70" t="str">
        <f>IF($N55="","",INDEX(Azioni!$B:$B,$N55)&amp;"")</f>
        <v/>
      </c>
      <c r="C55" s="70" t="str">
        <f>IF($N55="","",INDEX(Azioni!$C:$C,$N55)&amp;"")</f>
        <v/>
      </c>
      <c r="D55" s="71" t="str">
        <f>IF($N55="","",INDEX(Azioni!$D:$D,$N55)&amp;"")</f>
        <v/>
      </c>
      <c r="E55" s="70" t="str">
        <f>IF($N55="","",INDEX(Azioni!$E:$E,$N55)&amp;"")</f>
        <v/>
      </c>
      <c r="F55" s="70" t="str">
        <f>IF($N55="","",INDEX(Azioni!$F:$F,$N55)&amp;"")</f>
        <v/>
      </c>
      <c r="G55" s="70" t="str">
        <f>IF($N55="","",INDEX(Azioni!$G:$G,$N55)&amp;"")</f>
        <v/>
      </c>
      <c r="H55" s="70" t="str">
        <f>IF($N55="","",INDEX(Azioni!$J:$J,$N55)&amp;"")</f>
        <v/>
      </c>
      <c r="I55" s="72" t="str">
        <f>IF($N55="","",IF(INDEX(Azioni!$K:$K,$N55)="","",INDEX(Azioni!$K:$K,$N55)))</f>
        <v/>
      </c>
      <c r="J55" s="72" t="str">
        <f>IF(OR($N55="",I55=""),"",IF(OR(H55="Approvata",H55="In corso"),EDATE(I55,N(INDEX(Azioni!$H:$H,$N55))),""))</f>
        <v/>
      </c>
      <c r="K55" s="70" t="str">
        <f>IF($N55="","",INDEX(Azioni!$M:$M,$N55)&amp;"")</f>
        <v/>
      </c>
      <c r="N55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50),1000000),"")</f>
        <v/>
      </c>
    </row>
    <row r="56" spans="1:14" x14ac:dyDescent="0.4">
      <c r="A56" s="70" t="str">
        <f>IF($N56="","",INDEX(Azioni!$A:$A,$N56)&amp;"")</f>
        <v/>
      </c>
      <c r="B56" s="70" t="str">
        <f>IF($N56="","",INDEX(Azioni!$B:$B,$N56)&amp;"")</f>
        <v/>
      </c>
      <c r="C56" s="70" t="str">
        <f>IF($N56="","",INDEX(Azioni!$C:$C,$N56)&amp;"")</f>
        <v/>
      </c>
      <c r="D56" s="71" t="str">
        <f>IF($N56="","",INDEX(Azioni!$D:$D,$N56)&amp;"")</f>
        <v/>
      </c>
      <c r="E56" s="70" t="str">
        <f>IF($N56="","",INDEX(Azioni!$E:$E,$N56)&amp;"")</f>
        <v/>
      </c>
      <c r="F56" s="70" t="str">
        <f>IF($N56="","",INDEX(Azioni!$F:$F,$N56)&amp;"")</f>
        <v/>
      </c>
      <c r="G56" s="70" t="str">
        <f>IF($N56="","",INDEX(Azioni!$G:$G,$N56)&amp;"")</f>
        <v/>
      </c>
      <c r="H56" s="70" t="str">
        <f>IF($N56="","",INDEX(Azioni!$J:$J,$N56)&amp;"")</f>
        <v/>
      </c>
      <c r="I56" s="72" t="str">
        <f>IF($N56="","",IF(INDEX(Azioni!$K:$K,$N56)="","",INDEX(Azioni!$K:$K,$N56)))</f>
        <v/>
      </c>
      <c r="J56" s="72" t="str">
        <f>IF(OR($N56="",I56=""),"",IF(OR(H56="Approvata",H56="In corso"),EDATE(I56,N(INDEX(Azioni!$H:$H,$N56))),""))</f>
        <v/>
      </c>
      <c r="K56" s="70" t="str">
        <f>IF($N56="","",INDEX(Azioni!$M:$M,$N56)&amp;"")</f>
        <v/>
      </c>
      <c r="N56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51),1000000),"")</f>
        <v/>
      </c>
    </row>
    <row r="57" spans="1:14" x14ac:dyDescent="0.4">
      <c r="A57" s="70" t="str">
        <f>IF($N57="","",INDEX(Azioni!$A:$A,$N57)&amp;"")</f>
        <v/>
      </c>
      <c r="B57" s="70" t="str">
        <f>IF($N57="","",INDEX(Azioni!$B:$B,$N57)&amp;"")</f>
        <v/>
      </c>
      <c r="C57" s="70" t="str">
        <f>IF($N57="","",INDEX(Azioni!$C:$C,$N57)&amp;"")</f>
        <v/>
      </c>
      <c r="D57" s="71" t="str">
        <f>IF($N57="","",INDEX(Azioni!$D:$D,$N57)&amp;"")</f>
        <v/>
      </c>
      <c r="E57" s="70" t="str">
        <f>IF($N57="","",INDEX(Azioni!$E:$E,$N57)&amp;"")</f>
        <v/>
      </c>
      <c r="F57" s="70" t="str">
        <f>IF($N57="","",INDEX(Azioni!$F:$F,$N57)&amp;"")</f>
        <v/>
      </c>
      <c r="G57" s="70" t="str">
        <f>IF($N57="","",INDEX(Azioni!$G:$G,$N57)&amp;"")</f>
        <v/>
      </c>
      <c r="H57" s="70" t="str">
        <f>IF($N57="","",INDEX(Azioni!$J:$J,$N57)&amp;"")</f>
        <v/>
      </c>
      <c r="I57" s="72" t="str">
        <f>IF($N57="","",IF(INDEX(Azioni!$K:$K,$N57)="","",INDEX(Azioni!$K:$K,$N57)))</f>
        <v/>
      </c>
      <c r="J57" s="72" t="str">
        <f>IF(OR($N57="",I57=""),"",IF(OR(H57="Approvata",H57="In corso"),EDATE(I57,N(INDEX(Azioni!$H:$H,$N57))),""))</f>
        <v/>
      </c>
      <c r="K57" s="70" t="str">
        <f>IF($N57="","",INDEX(Azioni!$M:$M,$N57)&amp;"")</f>
        <v/>
      </c>
      <c r="N57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52),1000000),"")</f>
        <v/>
      </c>
    </row>
    <row r="58" spans="1:14" x14ac:dyDescent="0.4">
      <c r="A58" s="70" t="str">
        <f>IF($N58="","",INDEX(Azioni!$A:$A,$N58)&amp;"")</f>
        <v/>
      </c>
      <c r="B58" s="70" t="str">
        <f>IF($N58="","",INDEX(Azioni!$B:$B,$N58)&amp;"")</f>
        <v/>
      </c>
      <c r="C58" s="70" t="str">
        <f>IF($N58="","",INDEX(Azioni!$C:$C,$N58)&amp;"")</f>
        <v/>
      </c>
      <c r="D58" s="71" t="str">
        <f>IF($N58="","",INDEX(Azioni!$D:$D,$N58)&amp;"")</f>
        <v/>
      </c>
      <c r="E58" s="70" t="str">
        <f>IF($N58="","",INDEX(Azioni!$E:$E,$N58)&amp;"")</f>
        <v/>
      </c>
      <c r="F58" s="70" t="str">
        <f>IF($N58="","",INDEX(Azioni!$F:$F,$N58)&amp;"")</f>
        <v/>
      </c>
      <c r="G58" s="70" t="str">
        <f>IF($N58="","",INDEX(Azioni!$G:$G,$N58)&amp;"")</f>
        <v/>
      </c>
      <c r="H58" s="70" t="str">
        <f>IF($N58="","",INDEX(Azioni!$J:$J,$N58)&amp;"")</f>
        <v/>
      </c>
      <c r="I58" s="72" t="str">
        <f>IF($N58="","",IF(INDEX(Azioni!$K:$K,$N58)="","",INDEX(Azioni!$K:$K,$N58)))</f>
        <v/>
      </c>
      <c r="J58" s="72" t="str">
        <f>IF(OR($N58="",I58=""),"",IF(OR(H58="Approvata",H58="In corso"),EDATE(I58,N(INDEX(Azioni!$H:$H,$N58))),""))</f>
        <v/>
      </c>
      <c r="K58" s="70" t="str">
        <f>IF($N58="","",INDEX(Azioni!$M:$M,$N58)&amp;"")</f>
        <v/>
      </c>
      <c r="N58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53),1000000),"")</f>
        <v/>
      </c>
    </row>
    <row r="59" spans="1:14" x14ac:dyDescent="0.4">
      <c r="A59" s="70" t="str">
        <f>IF($N59="","",INDEX(Azioni!$A:$A,$N59)&amp;"")</f>
        <v/>
      </c>
      <c r="B59" s="70" t="str">
        <f>IF($N59="","",INDEX(Azioni!$B:$B,$N59)&amp;"")</f>
        <v/>
      </c>
      <c r="C59" s="70" t="str">
        <f>IF($N59="","",INDEX(Azioni!$C:$C,$N59)&amp;"")</f>
        <v/>
      </c>
      <c r="D59" s="71" t="str">
        <f>IF($N59="","",INDEX(Azioni!$D:$D,$N59)&amp;"")</f>
        <v/>
      </c>
      <c r="E59" s="70" t="str">
        <f>IF($N59="","",INDEX(Azioni!$E:$E,$N59)&amp;"")</f>
        <v/>
      </c>
      <c r="F59" s="70" t="str">
        <f>IF($N59="","",INDEX(Azioni!$F:$F,$N59)&amp;"")</f>
        <v/>
      </c>
      <c r="G59" s="70" t="str">
        <f>IF($N59="","",INDEX(Azioni!$G:$G,$N59)&amp;"")</f>
        <v/>
      </c>
      <c r="H59" s="70" t="str">
        <f>IF($N59="","",INDEX(Azioni!$J:$J,$N59)&amp;"")</f>
        <v/>
      </c>
      <c r="I59" s="72" t="str">
        <f>IF($N59="","",IF(INDEX(Azioni!$K:$K,$N59)="","",INDEX(Azioni!$K:$K,$N59)))</f>
        <v/>
      </c>
      <c r="J59" s="72" t="str">
        <f>IF(OR($N59="",I59=""),"",IF(OR(H59="Approvata",H59="In corso"),EDATE(I59,N(INDEX(Azioni!$H:$H,$N59))),""))</f>
        <v/>
      </c>
      <c r="K59" s="70" t="str">
        <f>IF($N59="","",INDEX(Azioni!$M:$M,$N59)&amp;"")</f>
        <v/>
      </c>
      <c r="N59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54),1000000),"")</f>
        <v/>
      </c>
    </row>
    <row r="60" spans="1:14" x14ac:dyDescent="0.4">
      <c r="A60" s="70" t="str">
        <f>IF($N60="","",INDEX(Azioni!$A:$A,$N60)&amp;"")</f>
        <v/>
      </c>
      <c r="B60" s="70" t="str">
        <f>IF($N60="","",INDEX(Azioni!$B:$B,$N60)&amp;"")</f>
        <v/>
      </c>
      <c r="C60" s="70" t="str">
        <f>IF($N60="","",INDEX(Azioni!$C:$C,$N60)&amp;"")</f>
        <v/>
      </c>
      <c r="D60" s="71" t="str">
        <f>IF($N60="","",INDEX(Azioni!$D:$D,$N60)&amp;"")</f>
        <v/>
      </c>
      <c r="E60" s="70" t="str">
        <f>IF($N60="","",INDEX(Azioni!$E:$E,$N60)&amp;"")</f>
        <v/>
      </c>
      <c r="F60" s="70" t="str">
        <f>IF($N60="","",INDEX(Azioni!$F:$F,$N60)&amp;"")</f>
        <v/>
      </c>
      <c r="G60" s="70" t="str">
        <f>IF($N60="","",INDEX(Azioni!$G:$G,$N60)&amp;"")</f>
        <v/>
      </c>
      <c r="H60" s="70" t="str">
        <f>IF($N60="","",INDEX(Azioni!$J:$J,$N60)&amp;"")</f>
        <v/>
      </c>
      <c r="I60" s="72" t="str">
        <f>IF($N60="","",IF(INDEX(Azioni!$K:$K,$N60)="","",INDEX(Azioni!$K:$K,$N60)))</f>
        <v/>
      </c>
      <c r="J60" s="72" t="str">
        <f>IF(OR($N60="",I60=""),"",IF(OR(H60="Approvata",H60="In corso"),EDATE(I60,N(INDEX(Azioni!$H:$H,$N60))),""))</f>
        <v/>
      </c>
      <c r="K60" s="70" t="str">
        <f>IF($N60="","",INDEX(Azioni!$M:$M,$N60)&amp;"")</f>
        <v/>
      </c>
      <c r="N60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55),1000000),"")</f>
        <v/>
      </c>
    </row>
    <row r="61" spans="1:14" x14ac:dyDescent="0.4">
      <c r="A61" s="70" t="str">
        <f>IF($N61="","",INDEX(Azioni!$A:$A,$N61)&amp;"")</f>
        <v/>
      </c>
      <c r="B61" s="70" t="str">
        <f>IF($N61="","",INDEX(Azioni!$B:$B,$N61)&amp;"")</f>
        <v/>
      </c>
      <c r="C61" s="70" t="str">
        <f>IF($N61="","",INDEX(Azioni!$C:$C,$N61)&amp;"")</f>
        <v/>
      </c>
      <c r="D61" s="71" t="str">
        <f>IF($N61="","",INDEX(Azioni!$D:$D,$N61)&amp;"")</f>
        <v/>
      </c>
      <c r="E61" s="70" t="str">
        <f>IF($N61="","",INDEX(Azioni!$E:$E,$N61)&amp;"")</f>
        <v/>
      </c>
      <c r="F61" s="70" t="str">
        <f>IF($N61="","",INDEX(Azioni!$F:$F,$N61)&amp;"")</f>
        <v/>
      </c>
      <c r="G61" s="70" t="str">
        <f>IF($N61="","",INDEX(Azioni!$G:$G,$N61)&amp;"")</f>
        <v/>
      </c>
      <c r="H61" s="70" t="str">
        <f>IF($N61="","",INDEX(Azioni!$J:$J,$N61)&amp;"")</f>
        <v/>
      </c>
      <c r="I61" s="72" t="str">
        <f>IF($N61="","",IF(INDEX(Azioni!$K:$K,$N61)="","",INDEX(Azioni!$K:$K,$N61)))</f>
        <v/>
      </c>
      <c r="J61" s="72" t="str">
        <f>IF(OR($N61="",I61=""),"",IF(OR(H61="Approvata",H61="In corso"),EDATE(I61,N(INDEX(Azioni!$H:$H,$N61))),""))</f>
        <v/>
      </c>
      <c r="K61" s="70" t="str">
        <f>IF($N61="","",INDEX(Azioni!$M:$M,$N61)&amp;"")</f>
        <v/>
      </c>
      <c r="N61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56),1000000),"")</f>
        <v/>
      </c>
    </row>
    <row r="62" spans="1:14" x14ac:dyDescent="0.4">
      <c r="A62" s="70" t="str">
        <f>IF($N62="","",INDEX(Azioni!$A:$A,$N62)&amp;"")</f>
        <v/>
      </c>
      <c r="B62" s="70" t="str">
        <f>IF($N62="","",INDEX(Azioni!$B:$B,$N62)&amp;"")</f>
        <v/>
      </c>
      <c r="C62" s="70" t="str">
        <f>IF($N62="","",INDEX(Azioni!$C:$C,$N62)&amp;"")</f>
        <v/>
      </c>
      <c r="D62" s="71" t="str">
        <f>IF($N62="","",INDEX(Azioni!$D:$D,$N62)&amp;"")</f>
        <v/>
      </c>
      <c r="E62" s="70" t="str">
        <f>IF($N62="","",INDEX(Azioni!$E:$E,$N62)&amp;"")</f>
        <v/>
      </c>
      <c r="F62" s="70" t="str">
        <f>IF($N62="","",INDEX(Azioni!$F:$F,$N62)&amp;"")</f>
        <v/>
      </c>
      <c r="G62" s="70" t="str">
        <f>IF($N62="","",INDEX(Azioni!$G:$G,$N62)&amp;"")</f>
        <v/>
      </c>
      <c r="H62" s="70" t="str">
        <f>IF($N62="","",INDEX(Azioni!$J:$J,$N62)&amp;"")</f>
        <v/>
      </c>
      <c r="I62" s="72" t="str">
        <f>IF($N62="","",IF(INDEX(Azioni!$K:$K,$N62)="","",INDEX(Azioni!$K:$K,$N62)))</f>
        <v/>
      </c>
      <c r="J62" s="72" t="str">
        <f>IF(OR($N62="",I62=""),"",IF(OR(H62="Approvata",H62="In corso"),EDATE(I62,N(INDEX(Azioni!$H:$H,$N62))),""))</f>
        <v/>
      </c>
      <c r="K62" s="70" t="str">
        <f>IF($N62="","",INDEX(Azioni!$M:$M,$N62)&amp;"")</f>
        <v/>
      </c>
      <c r="N62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57),1000000),"")</f>
        <v/>
      </c>
    </row>
    <row r="63" spans="1:14" x14ac:dyDescent="0.4">
      <c r="A63" s="70" t="str">
        <f>IF($N63="","",INDEX(Azioni!$A:$A,$N63)&amp;"")</f>
        <v/>
      </c>
      <c r="B63" s="70" t="str">
        <f>IF($N63="","",INDEX(Azioni!$B:$B,$N63)&amp;"")</f>
        <v/>
      </c>
      <c r="C63" s="70" t="str">
        <f>IF($N63="","",INDEX(Azioni!$C:$C,$N63)&amp;"")</f>
        <v/>
      </c>
      <c r="D63" s="71" t="str">
        <f>IF($N63="","",INDEX(Azioni!$D:$D,$N63)&amp;"")</f>
        <v/>
      </c>
      <c r="E63" s="70" t="str">
        <f>IF($N63="","",INDEX(Azioni!$E:$E,$N63)&amp;"")</f>
        <v/>
      </c>
      <c r="F63" s="70" t="str">
        <f>IF($N63="","",INDEX(Azioni!$F:$F,$N63)&amp;"")</f>
        <v/>
      </c>
      <c r="G63" s="70" t="str">
        <f>IF($N63="","",INDEX(Azioni!$G:$G,$N63)&amp;"")</f>
        <v/>
      </c>
      <c r="H63" s="70" t="str">
        <f>IF($N63="","",INDEX(Azioni!$J:$J,$N63)&amp;"")</f>
        <v/>
      </c>
      <c r="I63" s="72" t="str">
        <f>IF($N63="","",IF(INDEX(Azioni!$K:$K,$N63)="","",INDEX(Azioni!$K:$K,$N63)))</f>
        <v/>
      </c>
      <c r="J63" s="72" t="str">
        <f>IF(OR($N63="",I63=""),"",IF(OR(H63="Approvata",H63="In corso"),EDATE(I63,N(INDEX(Azioni!$H:$H,$N63))),""))</f>
        <v/>
      </c>
      <c r="K63" s="70" t="str">
        <f>IF($N63="","",INDEX(Azioni!$M:$M,$N63)&amp;"")</f>
        <v/>
      </c>
      <c r="N63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58),1000000),"")</f>
        <v/>
      </c>
    </row>
    <row r="64" spans="1:14" x14ac:dyDescent="0.4">
      <c r="A64" s="70" t="str">
        <f>IF($N64="","",INDEX(Azioni!$A:$A,$N64)&amp;"")</f>
        <v/>
      </c>
      <c r="B64" s="70" t="str">
        <f>IF($N64="","",INDEX(Azioni!$B:$B,$N64)&amp;"")</f>
        <v/>
      </c>
      <c r="C64" s="70" t="str">
        <f>IF($N64="","",INDEX(Azioni!$C:$C,$N64)&amp;"")</f>
        <v/>
      </c>
      <c r="D64" s="71" t="str">
        <f>IF($N64="","",INDEX(Azioni!$D:$D,$N64)&amp;"")</f>
        <v/>
      </c>
      <c r="E64" s="70" t="str">
        <f>IF($N64="","",INDEX(Azioni!$E:$E,$N64)&amp;"")</f>
        <v/>
      </c>
      <c r="F64" s="70" t="str">
        <f>IF($N64="","",INDEX(Azioni!$F:$F,$N64)&amp;"")</f>
        <v/>
      </c>
      <c r="G64" s="70" t="str">
        <f>IF($N64="","",INDEX(Azioni!$G:$G,$N64)&amp;"")</f>
        <v/>
      </c>
      <c r="H64" s="70" t="str">
        <f>IF($N64="","",INDEX(Azioni!$J:$J,$N64)&amp;"")</f>
        <v/>
      </c>
      <c r="I64" s="72" t="str">
        <f>IF($N64="","",IF(INDEX(Azioni!$K:$K,$N64)="","",INDEX(Azioni!$K:$K,$N64)))</f>
        <v/>
      </c>
      <c r="J64" s="72" t="str">
        <f>IF(OR($N64="",I64=""),"",IF(OR(H64="Approvata",H64="In corso"),EDATE(I64,N(INDEX(Azioni!$H:$H,$N64))),""))</f>
        <v/>
      </c>
      <c r="K64" s="70" t="str">
        <f>IF($N64="","",INDEX(Azioni!$M:$M,$N64)&amp;"")</f>
        <v/>
      </c>
      <c r="N64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59),1000000),"")</f>
        <v/>
      </c>
    </row>
    <row r="65" spans="1:14" x14ac:dyDescent="0.4">
      <c r="A65" s="70" t="str">
        <f>IF($N65="","",INDEX(Azioni!$A:$A,$N65)&amp;"")</f>
        <v/>
      </c>
      <c r="B65" s="70" t="str">
        <f>IF($N65="","",INDEX(Azioni!$B:$B,$N65)&amp;"")</f>
        <v/>
      </c>
      <c r="C65" s="70" t="str">
        <f>IF($N65="","",INDEX(Azioni!$C:$C,$N65)&amp;"")</f>
        <v/>
      </c>
      <c r="D65" s="71" t="str">
        <f>IF($N65="","",INDEX(Azioni!$D:$D,$N65)&amp;"")</f>
        <v/>
      </c>
      <c r="E65" s="70" t="str">
        <f>IF($N65="","",INDEX(Azioni!$E:$E,$N65)&amp;"")</f>
        <v/>
      </c>
      <c r="F65" s="70" t="str">
        <f>IF($N65="","",INDEX(Azioni!$F:$F,$N65)&amp;"")</f>
        <v/>
      </c>
      <c r="G65" s="70" t="str">
        <f>IF($N65="","",INDEX(Azioni!$G:$G,$N65)&amp;"")</f>
        <v/>
      </c>
      <c r="H65" s="70" t="str">
        <f>IF($N65="","",INDEX(Azioni!$J:$J,$N65)&amp;"")</f>
        <v/>
      </c>
      <c r="I65" s="72" t="str">
        <f>IF($N65="","",IF(INDEX(Azioni!$K:$K,$N65)="","",INDEX(Azioni!$K:$K,$N65)))</f>
        <v/>
      </c>
      <c r="J65" s="72" t="str">
        <f>IF(OR($N65="",I65=""),"",IF(OR(H65="Approvata",H65="In corso"),EDATE(I65,N(INDEX(Azioni!$H:$H,$N65))),""))</f>
        <v/>
      </c>
      <c r="K65" s="70" t="str">
        <f>IF($N65="","",INDEX(Azioni!$M:$M,$N65)&amp;"")</f>
        <v/>
      </c>
      <c r="N65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60),1000000),"")</f>
        <v/>
      </c>
    </row>
    <row r="66" spans="1:14" x14ac:dyDescent="0.4">
      <c r="A66" s="70" t="str">
        <f>IF($N66="","",INDEX(Azioni!$A:$A,$N66)&amp;"")</f>
        <v/>
      </c>
      <c r="B66" s="70" t="str">
        <f>IF($N66="","",INDEX(Azioni!$B:$B,$N66)&amp;"")</f>
        <v/>
      </c>
      <c r="C66" s="70" t="str">
        <f>IF($N66="","",INDEX(Azioni!$C:$C,$N66)&amp;"")</f>
        <v/>
      </c>
      <c r="D66" s="71" t="str">
        <f>IF($N66="","",INDEX(Azioni!$D:$D,$N66)&amp;"")</f>
        <v/>
      </c>
      <c r="E66" s="70" t="str">
        <f>IF($N66="","",INDEX(Azioni!$E:$E,$N66)&amp;"")</f>
        <v/>
      </c>
      <c r="F66" s="70" t="str">
        <f>IF($N66="","",INDEX(Azioni!$F:$F,$N66)&amp;"")</f>
        <v/>
      </c>
      <c r="G66" s="70" t="str">
        <f>IF($N66="","",INDEX(Azioni!$G:$G,$N66)&amp;"")</f>
        <v/>
      </c>
      <c r="H66" s="70" t="str">
        <f>IF($N66="","",INDEX(Azioni!$J:$J,$N66)&amp;"")</f>
        <v/>
      </c>
      <c r="I66" s="72" t="str">
        <f>IF($N66="","",IF(INDEX(Azioni!$K:$K,$N66)="","",INDEX(Azioni!$K:$K,$N66)))</f>
        <v/>
      </c>
      <c r="J66" s="72" t="str">
        <f>IF(OR($N66="",I66=""),"",IF(OR(H66="Approvata",H66="In corso"),EDATE(I66,N(INDEX(Azioni!$H:$H,$N66))),""))</f>
        <v/>
      </c>
      <c r="K66" s="70" t="str">
        <f>IF($N66="","",INDEX(Azioni!$M:$M,$N66)&amp;"")</f>
        <v/>
      </c>
      <c r="N66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61),1000000),"")</f>
        <v/>
      </c>
    </row>
    <row r="67" spans="1:14" x14ac:dyDescent="0.4">
      <c r="A67" s="70" t="str">
        <f>IF($N67="","",INDEX(Azioni!$A:$A,$N67)&amp;"")</f>
        <v/>
      </c>
      <c r="B67" s="70" t="str">
        <f>IF($N67="","",INDEX(Azioni!$B:$B,$N67)&amp;"")</f>
        <v/>
      </c>
      <c r="C67" s="70" t="str">
        <f>IF($N67="","",INDEX(Azioni!$C:$C,$N67)&amp;"")</f>
        <v/>
      </c>
      <c r="D67" s="71" t="str">
        <f>IF($N67="","",INDEX(Azioni!$D:$D,$N67)&amp;"")</f>
        <v/>
      </c>
      <c r="E67" s="70" t="str">
        <f>IF($N67="","",INDEX(Azioni!$E:$E,$N67)&amp;"")</f>
        <v/>
      </c>
      <c r="F67" s="70" t="str">
        <f>IF($N67="","",INDEX(Azioni!$F:$F,$N67)&amp;"")</f>
        <v/>
      </c>
      <c r="G67" s="70" t="str">
        <f>IF($N67="","",INDEX(Azioni!$G:$G,$N67)&amp;"")</f>
        <v/>
      </c>
      <c r="H67" s="70" t="str">
        <f>IF($N67="","",INDEX(Azioni!$J:$J,$N67)&amp;"")</f>
        <v/>
      </c>
      <c r="I67" s="72" t="str">
        <f>IF($N67="","",IF(INDEX(Azioni!$K:$K,$N67)="","",INDEX(Azioni!$K:$K,$N67)))</f>
        <v/>
      </c>
      <c r="J67" s="72" t="str">
        <f>IF(OR($N67="",I67=""),"",IF(OR(H67="Approvata",H67="In corso"),EDATE(I67,N(INDEX(Azioni!$H:$H,$N67))),""))</f>
        <v/>
      </c>
      <c r="K67" s="70" t="str">
        <f>IF($N67="","",INDEX(Azioni!$M:$M,$N67)&amp;"")</f>
        <v/>
      </c>
      <c r="N67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62),1000000),"")</f>
        <v/>
      </c>
    </row>
    <row r="68" spans="1:14" x14ac:dyDescent="0.4">
      <c r="A68" s="70" t="str">
        <f>IF($N68="","",INDEX(Azioni!$A:$A,$N68)&amp;"")</f>
        <v/>
      </c>
      <c r="B68" s="70" t="str">
        <f>IF($N68="","",INDEX(Azioni!$B:$B,$N68)&amp;"")</f>
        <v/>
      </c>
      <c r="C68" s="70" t="str">
        <f>IF($N68="","",INDEX(Azioni!$C:$C,$N68)&amp;"")</f>
        <v/>
      </c>
      <c r="D68" s="71" t="str">
        <f>IF($N68="","",INDEX(Azioni!$D:$D,$N68)&amp;"")</f>
        <v/>
      </c>
      <c r="E68" s="70" t="str">
        <f>IF($N68="","",INDEX(Azioni!$E:$E,$N68)&amp;"")</f>
        <v/>
      </c>
      <c r="F68" s="70" t="str">
        <f>IF($N68="","",INDEX(Azioni!$F:$F,$N68)&amp;"")</f>
        <v/>
      </c>
      <c r="G68" s="70" t="str">
        <f>IF($N68="","",INDEX(Azioni!$G:$G,$N68)&amp;"")</f>
        <v/>
      </c>
      <c r="H68" s="70" t="str">
        <f>IF($N68="","",INDEX(Azioni!$J:$J,$N68)&amp;"")</f>
        <v/>
      </c>
      <c r="I68" s="72" t="str">
        <f>IF($N68="","",IF(INDEX(Azioni!$K:$K,$N68)="","",INDEX(Azioni!$K:$K,$N68)))</f>
        <v/>
      </c>
      <c r="J68" s="72" t="str">
        <f>IF(OR($N68="",I68=""),"",IF(OR(H68="Approvata",H68="In corso"),EDATE(I68,N(INDEX(Azioni!$H:$H,$N68))),""))</f>
        <v/>
      </c>
      <c r="K68" s="70" t="str">
        <f>IF($N68="","",INDEX(Azioni!$M:$M,$N68)&amp;"")</f>
        <v/>
      </c>
      <c r="N68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63),1000000),"")</f>
        <v/>
      </c>
    </row>
    <row r="69" spans="1:14" x14ac:dyDescent="0.4">
      <c r="A69" s="70" t="str">
        <f>IF($N69="","",INDEX(Azioni!$A:$A,$N69)&amp;"")</f>
        <v/>
      </c>
      <c r="B69" s="70" t="str">
        <f>IF($N69="","",INDEX(Azioni!$B:$B,$N69)&amp;"")</f>
        <v/>
      </c>
      <c r="C69" s="70" t="str">
        <f>IF($N69="","",INDEX(Azioni!$C:$C,$N69)&amp;"")</f>
        <v/>
      </c>
      <c r="D69" s="71" t="str">
        <f>IF($N69="","",INDEX(Azioni!$D:$D,$N69)&amp;"")</f>
        <v/>
      </c>
      <c r="E69" s="70" t="str">
        <f>IF($N69="","",INDEX(Azioni!$E:$E,$N69)&amp;"")</f>
        <v/>
      </c>
      <c r="F69" s="70" t="str">
        <f>IF($N69="","",INDEX(Azioni!$F:$F,$N69)&amp;"")</f>
        <v/>
      </c>
      <c r="G69" s="70" t="str">
        <f>IF($N69="","",INDEX(Azioni!$G:$G,$N69)&amp;"")</f>
        <v/>
      </c>
      <c r="H69" s="70" t="str">
        <f>IF($N69="","",INDEX(Azioni!$J:$J,$N69)&amp;"")</f>
        <v/>
      </c>
      <c r="I69" s="72" t="str">
        <f>IF($N69="","",IF(INDEX(Azioni!$K:$K,$N69)="","",INDEX(Azioni!$K:$K,$N69)))</f>
        <v/>
      </c>
      <c r="J69" s="72" t="str">
        <f>IF(OR($N69="",I69=""),"",IF(OR(H69="Approvata",H69="In corso"),EDATE(I69,N(INDEX(Azioni!$H:$H,$N69))),""))</f>
        <v/>
      </c>
      <c r="K69" s="70" t="str">
        <f>IF($N69="","",INDEX(Azioni!$M:$M,$N69)&amp;"")</f>
        <v/>
      </c>
      <c r="N69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64),1000000),"")</f>
        <v/>
      </c>
    </row>
    <row r="70" spans="1:14" x14ac:dyDescent="0.4">
      <c r="A70" s="70" t="str">
        <f>IF($N70="","",INDEX(Azioni!$A:$A,$N70)&amp;"")</f>
        <v/>
      </c>
      <c r="B70" s="70" t="str">
        <f>IF($N70="","",INDEX(Azioni!$B:$B,$N70)&amp;"")</f>
        <v/>
      </c>
      <c r="C70" s="70" t="str">
        <f>IF($N70="","",INDEX(Azioni!$C:$C,$N70)&amp;"")</f>
        <v/>
      </c>
      <c r="D70" s="71" t="str">
        <f>IF($N70="","",INDEX(Azioni!$D:$D,$N70)&amp;"")</f>
        <v/>
      </c>
      <c r="E70" s="70" t="str">
        <f>IF($N70="","",INDEX(Azioni!$E:$E,$N70)&amp;"")</f>
        <v/>
      </c>
      <c r="F70" s="70" t="str">
        <f>IF($N70="","",INDEX(Azioni!$F:$F,$N70)&amp;"")</f>
        <v/>
      </c>
      <c r="G70" s="70" t="str">
        <f>IF($N70="","",INDEX(Azioni!$G:$G,$N70)&amp;"")</f>
        <v/>
      </c>
      <c r="H70" s="70" t="str">
        <f>IF($N70="","",INDEX(Azioni!$J:$J,$N70)&amp;"")</f>
        <v/>
      </c>
      <c r="I70" s="72" t="str">
        <f>IF($N70="","",IF(INDEX(Azioni!$K:$K,$N70)="","",INDEX(Azioni!$K:$K,$N70)))</f>
        <v/>
      </c>
      <c r="J70" s="72" t="str">
        <f>IF(OR($N70="",I70=""),"",IF(OR(H70="Approvata",H70="In corso"),EDATE(I70,N(INDEX(Azioni!$H:$H,$N70))),""))</f>
        <v/>
      </c>
      <c r="K70" s="70" t="str">
        <f>IF($N70="","",INDEX(Azioni!$M:$M,$N70)&amp;"")</f>
        <v/>
      </c>
      <c r="N70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65),1000000),"")</f>
        <v/>
      </c>
    </row>
    <row r="71" spans="1:14" x14ac:dyDescent="0.4">
      <c r="A71" s="70" t="str">
        <f>IF($N71="","",INDEX(Azioni!$A:$A,$N71)&amp;"")</f>
        <v/>
      </c>
      <c r="B71" s="70" t="str">
        <f>IF($N71="","",INDEX(Azioni!$B:$B,$N71)&amp;"")</f>
        <v/>
      </c>
      <c r="C71" s="70" t="str">
        <f>IF($N71="","",INDEX(Azioni!$C:$C,$N71)&amp;"")</f>
        <v/>
      </c>
      <c r="D71" s="71" t="str">
        <f>IF($N71="","",INDEX(Azioni!$D:$D,$N71)&amp;"")</f>
        <v/>
      </c>
      <c r="E71" s="70" t="str">
        <f>IF($N71="","",INDEX(Azioni!$E:$E,$N71)&amp;"")</f>
        <v/>
      </c>
      <c r="F71" s="70" t="str">
        <f>IF($N71="","",INDEX(Azioni!$F:$F,$N71)&amp;"")</f>
        <v/>
      </c>
      <c r="G71" s="70" t="str">
        <f>IF($N71="","",INDEX(Azioni!$G:$G,$N71)&amp;"")</f>
        <v/>
      </c>
      <c r="H71" s="70" t="str">
        <f>IF($N71="","",INDEX(Azioni!$J:$J,$N71)&amp;"")</f>
        <v/>
      </c>
      <c r="I71" s="72" t="str">
        <f>IF($N71="","",IF(INDEX(Azioni!$K:$K,$N71)="","",INDEX(Azioni!$K:$K,$N71)))</f>
        <v/>
      </c>
      <c r="J71" s="72" t="str">
        <f>IF(OR($N71="",I71=""),"",IF(OR(H71="Approvata",H71="In corso"),EDATE(I71,N(INDEX(Azioni!$H:$H,$N71))),""))</f>
        <v/>
      </c>
      <c r="K71" s="70" t="str">
        <f>IF($N71="","",INDEX(Azioni!$M:$M,$N71)&amp;"")</f>
        <v/>
      </c>
      <c r="N71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66),1000000),"")</f>
        <v/>
      </c>
    </row>
    <row r="72" spans="1:14" x14ac:dyDescent="0.4">
      <c r="A72" s="70" t="str">
        <f>IF($N72="","",INDEX(Azioni!$A:$A,$N72)&amp;"")</f>
        <v/>
      </c>
      <c r="B72" s="70" t="str">
        <f>IF($N72="","",INDEX(Azioni!$B:$B,$N72)&amp;"")</f>
        <v/>
      </c>
      <c r="C72" s="70" t="str">
        <f>IF($N72="","",INDEX(Azioni!$C:$C,$N72)&amp;"")</f>
        <v/>
      </c>
      <c r="D72" s="71" t="str">
        <f>IF($N72="","",INDEX(Azioni!$D:$D,$N72)&amp;"")</f>
        <v/>
      </c>
      <c r="E72" s="70" t="str">
        <f>IF($N72="","",INDEX(Azioni!$E:$E,$N72)&amp;"")</f>
        <v/>
      </c>
      <c r="F72" s="70" t="str">
        <f>IF($N72="","",INDEX(Azioni!$F:$F,$N72)&amp;"")</f>
        <v/>
      </c>
      <c r="G72" s="70" t="str">
        <f>IF($N72="","",INDEX(Azioni!$G:$G,$N72)&amp;"")</f>
        <v/>
      </c>
      <c r="H72" s="70" t="str">
        <f>IF($N72="","",INDEX(Azioni!$J:$J,$N72)&amp;"")</f>
        <v/>
      </c>
      <c r="I72" s="72" t="str">
        <f>IF($N72="","",IF(INDEX(Azioni!$K:$K,$N72)="","",INDEX(Azioni!$K:$K,$N72)))</f>
        <v/>
      </c>
      <c r="J72" s="72" t="str">
        <f>IF(OR($N72="",I72=""),"",IF(OR(H72="Approvata",H72="In corso"),EDATE(I72,N(INDEX(Azioni!$H:$H,$N72))),""))</f>
        <v/>
      </c>
      <c r="K72" s="70" t="str">
        <f>IF($N72="","",INDEX(Azioni!$M:$M,$N72)&amp;"")</f>
        <v/>
      </c>
      <c r="N72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67),1000000),"")</f>
        <v/>
      </c>
    </row>
    <row r="73" spans="1:14" x14ac:dyDescent="0.4">
      <c r="A73" s="70" t="str">
        <f>IF($N73="","",INDEX(Azioni!$A:$A,$N73)&amp;"")</f>
        <v/>
      </c>
      <c r="B73" s="70" t="str">
        <f>IF($N73="","",INDEX(Azioni!$B:$B,$N73)&amp;"")</f>
        <v/>
      </c>
      <c r="C73" s="70" t="str">
        <f>IF($N73="","",INDEX(Azioni!$C:$C,$N73)&amp;"")</f>
        <v/>
      </c>
      <c r="D73" s="71" t="str">
        <f>IF($N73="","",INDEX(Azioni!$D:$D,$N73)&amp;"")</f>
        <v/>
      </c>
      <c r="E73" s="70" t="str">
        <f>IF($N73="","",INDEX(Azioni!$E:$E,$N73)&amp;"")</f>
        <v/>
      </c>
      <c r="F73" s="70" t="str">
        <f>IF($N73="","",INDEX(Azioni!$F:$F,$N73)&amp;"")</f>
        <v/>
      </c>
      <c r="G73" s="70" t="str">
        <f>IF($N73="","",INDEX(Azioni!$G:$G,$N73)&amp;"")</f>
        <v/>
      </c>
      <c r="H73" s="70" t="str">
        <f>IF($N73="","",INDEX(Azioni!$J:$J,$N73)&amp;"")</f>
        <v/>
      </c>
      <c r="I73" s="72" t="str">
        <f>IF($N73="","",IF(INDEX(Azioni!$K:$K,$N73)="","",INDEX(Azioni!$K:$K,$N73)))</f>
        <v/>
      </c>
      <c r="J73" s="72" t="str">
        <f>IF(OR($N73="",I73=""),"",IF(OR(H73="Approvata",H73="In corso"),EDATE(I73,N(INDEX(Azioni!$H:$H,$N73))),""))</f>
        <v/>
      </c>
      <c r="K73" s="70" t="str">
        <f>IF($N73="","",INDEX(Azioni!$M:$M,$N73)&amp;"")</f>
        <v/>
      </c>
      <c r="N73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68),1000000),"")</f>
        <v/>
      </c>
    </row>
    <row r="74" spans="1:14" x14ac:dyDescent="0.4">
      <c r="A74" s="70" t="str">
        <f>IF($N74="","",INDEX(Azioni!$A:$A,$N74)&amp;"")</f>
        <v/>
      </c>
      <c r="B74" s="70" t="str">
        <f>IF($N74="","",INDEX(Azioni!$B:$B,$N74)&amp;"")</f>
        <v/>
      </c>
      <c r="C74" s="70" t="str">
        <f>IF($N74="","",INDEX(Azioni!$C:$C,$N74)&amp;"")</f>
        <v/>
      </c>
      <c r="D74" s="71" t="str">
        <f>IF($N74="","",INDEX(Azioni!$D:$D,$N74)&amp;"")</f>
        <v/>
      </c>
      <c r="E74" s="70" t="str">
        <f>IF($N74="","",INDEX(Azioni!$E:$E,$N74)&amp;"")</f>
        <v/>
      </c>
      <c r="F74" s="70" t="str">
        <f>IF($N74="","",INDEX(Azioni!$F:$F,$N74)&amp;"")</f>
        <v/>
      </c>
      <c r="G74" s="70" t="str">
        <f>IF($N74="","",INDEX(Azioni!$G:$G,$N74)&amp;"")</f>
        <v/>
      </c>
      <c r="H74" s="70" t="str">
        <f>IF($N74="","",INDEX(Azioni!$J:$J,$N74)&amp;"")</f>
        <v/>
      </c>
      <c r="I74" s="72" t="str">
        <f>IF($N74="","",IF(INDEX(Azioni!$K:$K,$N74)="","",INDEX(Azioni!$K:$K,$N74)))</f>
        <v/>
      </c>
      <c r="J74" s="72" t="str">
        <f>IF(OR($N74="",I74=""),"",IF(OR(H74="Approvata",H74="In corso"),EDATE(I74,N(INDEX(Azioni!$H:$H,$N74))),""))</f>
        <v/>
      </c>
      <c r="K74" s="70" t="str">
        <f>IF($N74="","",INDEX(Azioni!$M:$M,$N74)&amp;"")</f>
        <v/>
      </c>
      <c r="N74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69),1000000),"")</f>
        <v/>
      </c>
    </row>
    <row r="75" spans="1:14" x14ac:dyDescent="0.4">
      <c r="A75" s="70" t="str">
        <f>IF($N75="","",INDEX(Azioni!$A:$A,$N75)&amp;"")</f>
        <v/>
      </c>
      <c r="B75" s="70" t="str">
        <f>IF($N75="","",INDEX(Azioni!$B:$B,$N75)&amp;"")</f>
        <v/>
      </c>
      <c r="C75" s="70" t="str">
        <f>IF($N75="","",INDEX(Azioni!$C:$C,$N75)&amp;"")</f>
        <v/>
      </c>
      <c r="D75" s="71" t="str">
        <f>IF($N75="","",INDEX(Azioni!$D:$D,$N75)&amp;"")</f>
        <v/>
      </c>
      <c r="E75" s="70" t="str">
        <f>IF($N75="","",INDEX(Azioni!$E:$E,$N75)&amp;"")</f>
        <v/>
      </c>
      <c r="F75" s="70" t="str">
        <f>IF($N75="","",INDEX(Azioni!$F:$F,$N75)&amp;"")</f>
        <v/>
      </c>
      <c r="G75" s="70" t="str">
        <f>IF($N75="","",INDEX(Azioni!$G:$G,$N75)&amp;"")</f>
        <v/>
      </c>
      <c r="H75" s="70" t="str">
        <f>IF($N75="","",INDEX(Azioni!$J:$J,$N75)&amp;"")</f>
        <v/>
      </c>
      <c r="I75" s="72" t="str">
        <f>IF($N75="","",IF(INDEX(Azioni!$K:$K,$N75)="","",INDEX(Azioni!$K:$K,$N75)))</f>
        <v/>
      </c>
      <c r="J75" s="72" t="str">
        <f>IF(OR($N75="",I75=""),"",IF(OR(H75="Approvata",H75="In corso"),EDATE(I75,N(INDEX(Azioni!$H:$H,$N75))),""))</f>
        <v/>
      </c>
      <c r="K75" s="70" t="str">
        <f>IF($N75="","",INDEX(Azioni!$M:$M,$N75)&amp;"")</f>
        <v/>
      </c>
      <c r="N75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70),1000000),"")</f>
        <v/>
      </c>
    </row>
    <row r="76" spans="1:14" x14ac:dyDescent="0.4">
      <c r="A76" s="70" t="str">
        <f>IF($N76="","",INDEX(Azioni!$A:$A,$N76)&amp;"")</f>
        <v/>
      </c>
      <c r="B76" s="70" t="str">
        <f>IF($N76="","",INDEX(Azioni!$B:$B,$N76)&amp;"")</f>
        <v/>
      </c>
      <c r="C76" s="70" t="str">
        <f>IF($N76="","",INDEX(Azioni!$C:$C,$N76)&amp;"")</f>
        <v/>
      </c>
      <c r="D76" s="71" t="str">
        <f>IF($N76="","",INDEX(Azioni!$D:$D,$N76)&amp;"")</f>
        <v/>
      </c>
      <c r="E76" s="70" t="str">
        <f>IF($N76="","",INDEX(Azioni!$E:$E,$N76)&amp;"")</f>
        <v/>
      </c>
      <c r="F76" s="70" t="str">
        <f>IF($N76="","",INDEX(Azioni!$F:$F,$N76)&amp;"")</f>
        <v/>
      </c>
      <c r="G76" s="70" t="str">
        <f>IF($N76="","",INDEX(Azioni!$G:$G,$N76)&amp;"")</f>
        <v/>
      </c>
      <c r="H76" s="70" t="str">
        <f>IF($N76="","",INDEX(Azioni!$J:$J,$N76)&amp;"")</f>
        <v/>
      </c>
      <c r="I76" s="72" t="str">
        <f>IF($N76="","",IF(INDEX(Azioni!$K:$K,$N76)="","",INDEX(Azioni!$K:$K,$N76)))</f>
        <v/>
      </c>
      <c r="J76" s="72" t="str">
        <f>IF(OR($N76="",I76=""),"",IF(OR(H76="Approvata",H76="In corso"),EDATE(I76,N(INDEX(Azioni!$H:$H,$N76))),""))</f>
        <v/>
      </c>
      <c r="K76" s="70" t="str">
        <f>IF($N76="","",INDEX(Azioni!$M:$M,$N76)&amp;"")</f>
        <v/>
      </c>
      <c r="N76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71),1000000),"")</f>
        <v/>
      </c>
    </row>
    <row r="77" spans="1:14" x14ac:dyDescent="0.4">
      <c r="A77" s="70" t="str">
        <f>IF($N77="","",INDEX(Azioni!$A:$A,$N77)&amp;"")</f>
        <v/>
      </c>
      <c r="B77" s="70" t="str">
        <f>IF($N77="","",INDEX(Azioni!$B:$B,$N77)&amp;"")</f>
        <v/>
      </c>
      <c r="C77" s="70" t="str">
        <f>IF($N77="","",INDEX(Azioni!$C:$C,$N77)&amp;"")</f>
        <v/>
      </c>
      <c r="D77" s="71" t="str">
        <f>IF($N77="","",INDEX(Azioni!$D:$D,$N77)&amp;"")</f>
        <v/>
      </c>
      <c r="E77" s="70" t="str">
        <f>IF($N77="","",INDEX(Azioni!$E:$E,$N77)&amp;"")</f>
        <v/>
      </c>
      <c r="F77" s="70" t="str">
        <f>IF($N77="","",INDEX(Azioni!$F:$F,$N77)&amp;"")</f>
        <v/>
      </c>
      <c r="G77" s="70" t="str">
        <f>IF($N77="","",INDEX(Azioni!$G:$G,$N77)&amp;"")</f>
        <v/>
      </c>
      <c r="H77" s="70" t="str">
        <f>IF($N77="","",INDEX(Azioni!$J:$J,$N77)&amp;"")</f>
        <v/>
      </c>
      <c r="I77" s="72" t="str">
        <f>IF($N77="","",IF(INDEX(Azioni!$K:$K,$N77)="","",INDEX(Azioni!$K:$K,$N77)))</f>
        <v/>
      </c>
      <c r="J77" s="72" t="str">
        <f>IF(OR($N77="",I77=""),"",IF(OR(H77="Approvata",H77="In corso"),EDATE(I77,N(INDEX(Azioni!$H:$H,$N77))),""))</f>
        <v/>
      </c>
      <c r="K77" s="70" t="str">
        <f>IF($N77="","",INDEX(Azioni!$M:$M,$N77)&amp;"")</f>
        <v/>
      </c>
      <c r="N77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72),1000000),"")</f>
        <v/>
      </c>
    </row>
    <row r="78" spans="1:14" x14ac:dyDescent="0.4">
      <c r="A78" s="70" t="str">
        <f>IF($N78="","",INDEX(Azioni!$A:$A,$N78)&amp;"")</f>
        <v/>
      </c>
      <c r="B78" s="70" t="str">
        <f>IF($N78="","",INDEX(Azioni!$B:$B,$N78)&amp;"")</f>
        <v/>
      </c>
      <c r="C78" s="70" t="str">
        <f>IF($N78="","",INDEX(Azioni!$C:$C,$N78)&amp;"")</f>
        <v/>
      </c>
      <c r="D78" s="71" t="str">
        <f>IF($N78="","",INDEX(Azioni!$D:$D,$N78)&amp;"")</f>
        <v/>
      </c>
      <c r="E78" s="70" t="str">
        <f>IF($N78="","",INDEX(Azioni!$E:$E,$N78)&amp;"")</f>
        <v/>
      </c>
      <c r="F78" s="70" t="str">
        <f>IF($N78="","",INDEX(Azioni!$F:$F,$N78)&amp;"")</f>
        <v/>
      </c>
      <c r="G78" s="70" t="str">
        <f>IF($N78="","",INDEX(Azioni!$G:$G,$N78)&amp;"")</f>
        <v/>
      </c>
      <c r="H78" s="70" t="str">
        <f>IF($N78="","",INDEX(Azioni!$J:$J,$N78)&amp;"")</f>
        <v/>
      </c>
      <c r="I78" s="72" t="str">
        <f>IF($N78="","",IF(INDEX(Azioni!$K:$K,$N78)="","",INDEX(Azioni!$K:$K,$N78)))</f>
        <v/>
      </c>
      <c r="J78" s="72" t="str">
        <f>IF(OR($N78="",I78=""),"",IF(OR(H78="Approvata",H78="In corso"),EDATE(I78,N(INDEX(Azioni!$H:$H,$N78))),""))</f>
        <v/>
      </c>
      <c r="K78" s="70" t="str">
        <f>IF($N78="","",INDEX(Azioni!$M:$M,$N78)&amp;"")</f>
        <v/>
      </c>
      <c r="N78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73),1000000),"")</f>
        <v/>
      </c>
    </row>
    <row r="79" spans="1:14" x14ac:dyDescent="0.4">
      <c r="A79" s="70" t="str">
        <f>IF($N79="","",INDEX(Azioni!$A:$A,$N79)&amp;"")</f>
        <v/>
      </c>
      <c r="B79" s="70" t="str">
        <f>IF($N79="","",INDEX(Azioni!$B:$B,$N79)&amp;"")</f>
        <v/>
      </c>
      <c r="C79" s="70" t="str">
        <f>IF($N79="","",INDEX(Azioni!$C:$C,$N79)&amp;"")</f>
        <v/>
      </c>
      <c r="D79" s="71" t="str">
        <f>IF($N79="","",INDEX(Azioni!$D:$D,$N79)&amp;"")</f>
        <v/>
      </c>
      <c r="E79" s="70" t="str">
        <f>IF($N79="","",INDEX(Azioni!$E:$E,$N79)&amp;"")</f>
        <v/>
      </c>
      <c r="F79" s="70" t="str">
        <f>IF($N79="","",INDEX(Azioni!$F:$F,$N79)&amp;"")</f>
        <v/>
      </c>
      <c r="G79" s="70" t="str">
        <f>IF($N79="","",INDEX(Azioni!$G:$G,$N79)&amp;"")</f>
        <v/>
      </c>
      <c r="H79" s="70" t="str">
        <f>IF($N79="","",INDEX(Azioni!$J:$J,$N79)&amp;"")</f>
        <v/>
      </c>
      <c r="I79" s="72" t="str">
        <f>IF($N79="","",IF(INDEX(Azioni!$K:$K,$N79)="","",INDEX(Azioni!$K:$K,$N79)))</f>
        <v/>
      </c>
      <c r="J79" s="72" t="str">
        <f>IF(OR($N79="",I79=""),"",IF(OR(H79="Approvata",H79="In corso"),EDATE(I79,N(INDEX(Azioni!$H:$H,$N79))),""))</f>
        <v/>
      </c>
      <c r="K79" s="70" t="str">
        <f>IF($N79="","",INDEX(Azioni!$M:$M,$N79)&amp;"")</f>
        <v/>
      </c>
      <c r="N79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74),1000000),"")</f>
        <v/>
      </c>
    </row>
    <row r="80" spans="1:14" x14ac:dyDescent="0.4">
      <c r="A80" s="70" t="str">
        <f>IF($N80="","",INDEX(Azioni!$A:$A,$N80)&amp;"")</f>
        <v/>
      </c>
      <c r="B80" s="70" t="str">
        <f>IF($N80="","",INDEX(Azioni!$B:$B,$N80)&amp;"")</f>
        <v/>
      </c>
      <c r="C80" s="70" t="str">
        <f>IF($N80="","",INDEX(Azioni!$C:$C,$N80)&amp;"")</f>
        <v/>
      </c>
      <c r="D80" s="71" t="str">
        <f>IF($N80="","",INDEX(Azioni!$D:$D,$N80)&amp;"")</f>
        <v/>
      </c>
      <c r="E80" s="70" t="str">
        <f>IF($N80="","",INDEX(Azioni!$E:$E,$N80)&amp;"")</f>
        <v/>
      </c>
      <c r="F80" s="70" t="str">
        <f>IF($N80="","",INDEX(Azioni!$F:$F,$N80)&amp;"")</f>
        <v/>
      </c>
      <c r="G80" s="70" t="str">
        <f>IF($N80="","",INDEX(Azioni!$G:$G,$N80)&amp;"")</f>
        <v/>
      </c>
      <c r="H80" s="70" t="str">
        <f>IF($N80="","",INDEX(Azioni!$J:$J,$N80)&amp;"")</f>
        <v/>
      </c>
      <c r="I80" s="72" t="str">
        <f>IF($N80="","",IF(INDEX(Azioni!$K:$K,$N80)="","",INDEX(Azioni!$K:$K,$N80)))</f>
        <v/>
      </c>
      <c r="J80" s="72" t="str">
        <f>IF(OR($N80="",I80=""),"",IF(OR(H80="Approvata",H80="In corso"),EDATE(I80,N(INDEX(Azioni!$H:$H,$N80))),""))</f>
        <v/>
      </c>
      <c r="K80" s="70" t="str">
        <f>IF($N80="","",INDEX(Azioni!$M:$M,$N80)&amp;"")</f>
        <v/>
      </c>
      <c r="N80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75),1000000),"")</f>
        <v/>
      </c>
    </row>
    <row r="81" spans="1:14" x14ac:dyDescent="0.4">
      <c r="A81" s="70" t="str">
        <f>IF($N81="","",INDEX(Azioni!$A:$A,$N81)&amp;"")</f>
        <v/>
      </c>
      <c r="B81" s="70" t="str">
        <f>IF($N81="","",INDEX(Azioni!$B:$B,$N81)&amp;"")</f>
        <v/>
      </c>
      <c r="C81" s="70" t="str">
        <f>IF($N81="","",INDEX(Azioni!$C:$C,$N81)&amp;"")</f>
        <v/>
      </c>
      <c r="D81" s="71" t="str">
        <f>IF($N81="","",INDEX(Azioni!$D:$D,$N81)&amp;"")</f>
        <v/>
      </c>
      <c r="E81" s="70" t="str">
        <f>IF($N81="","",INDEX(Azioni!$E:$E,$N81)&amp;"")</f>
        <v/>
      </c>
      <c r="F81" s="70" t="str">
        <f>IF($N81="","",INDEX(Azioni!$F:$F,$N81)&amp;"")</f>
        <v/>
      </c>
      <c r="G81" s="70" t="str">
        <f>IF($N81="","",INDEX(Azioni!$G:$G,$N81)&amp;"")</f>
        <v/>
      </c>
      <c r="H81" s="70" t="str">
        <f>IF($N81="","",INDEX(Azioni!$J:$J,$N81)&amp;"")</f>
        <v/>
      </c>
      <c r="I81" s="72" t="str">
        <f>IF($N81="","",IF(INDEX(Azioni!$K:$K,$N81)="","",INDEX(Azioni!$K:$K,$N81)))</f>
        <v/>
      </c>
      <c r="J81" s="72" t="str">
        <f>IF(OR($N81="",I81=""),"",IF(OR(H81="Approvata",H81="In corso"),EDATE(I81,N(INDEX(Azioni!$H:$H,$N81))),""))</f>
        <v/>
      </c>
      <c r="K81" s="70" t="str">
        <f>IF($N81="","",INDEX(Azioni!$M:$M,$N81)&amp;"")</f>
        <v/>
      </c>
      <c r="N81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76),1000000),"")</f>
        <v/>
      </c>
    </row>
    <row r="82" spans="1:14" x14ac:dyDescent="0.4">
      <c r="A82" s="70" t="str">
        <f>IF($N82="","",INDEX(Azioni!$A:$A,$N82)&amp;"")</f>
        <v/>
      </c>
      <c r="B82" s="70" t="str">
        <f>IF($N82="","",INDEX(Azioni!$B:$B,$N82)&amp;"")</f>
        <v/>
      </c>
      <c r="C82" s="70" t="str">
        <f>IF($N82="","",INDEX(Azioni!$C:$C,$N82)&amp;"")</f>
        <v/>
      </c>
      <c r="D82" s="71" t="str">
        <f>IF($N82="","",INDEX(Azioni!$D:$D,$N82)&amp;"")</f>
        <v/>
      </c>
      <c r="E82" s="70" t="str">
        <f>IF($N82="","",INDEX(Azioni!$E:$E,$N82)&amp;"")</f>
        <v/>
      </c>
      <c r="F82" s="70" t="str">
        <f>IF($N82="","",INDEX(Azioni!$F:$F,$N82)&amp;"")</f>
        <v/>
      </c>
      <c r="G82" s="70" t="str">
        <f>IF($N82="","",INDEX(Azioni!$G:$G,$N82)&amp;"")</f>
        <v/>
      </c>
      <c r="H82" s="70" t="str">
        <f>IF($N82="","",INDEX(Azioni!$J:$J,$N82)&amp;"")</f>
        <v/>
      </c>
      <c r="I82" s="72" t="str">
        <f>IF($N82="","",IF(INDEX(Azioni!$K:$K,$N82)="","",INDEX(Azioni!$K:$K,$N82)))</f>
        <v/>
      </c>
      <c r="J82" s="72" t="str">
        <f>IF(OR($N82="",I82=""),"",IF(OR(H82="Approvata",H82="In corso"),EDATE(I82,N(INDEX(Azioni!$H:$H,$N82))),""))</f>
        <v/>
      </c>
      <c r="K82" s="70" t="str">
        <f>IF($N82="","",INDEX(Azioni!$M:$M,$N82)&amp;"")</f>
        <v/>
      </c>
      <c r="N82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77),1000000),"")</f>
        <v/>
      </c>
    </row>
    <row r="83" spans="1:14" x14ac:dyDescent="0.4">
      <c r="A83" s="70" t="str">
        <f>IF($N83="","",INDEX(Azioni!$A:$A,$N83)&amp;"")</f>
        <v/>
      </c>
      <c r="B83" s="70" t="str">
        <f>IF($N83="","",INDEX(Azioni!$B:$B,$N83)&amp;"")</f>
        <v/>
      </c>
      <c r="C83" s="70" t="str">
        <f>IF($N83="","",INDEX(Azioni!$C:$C,$N83)&amp;"")</f>
        <v/>
      </c>
      <c r="D83" s="71" t="str">
        <f>IF($N83="","",INDEX(Azioni!$D:$D,$N83)&amp;"")</f>
        <v/>
      </c>
      <c r="E83" s="70" t="str">
        <f>IF($N83="","",INDEX(Azioni!$E:$E,$N83)&amp;"")</f>
        <v/>
      </c>
      <c r="F83" s="70" t="str">
        <f>IF($N83="","",INDEX(Azioni!$F:$F,$N83)&amp;"")</f>
        <v/>
      </c>
      <c r="G83" s="70" t="str">
        <f>IF($N83="","",INDEX(Azioni!$G:$G,$N83)&amp;"")</f>
        <v/>
      </c>
      <c r="H83" s="70" t="str">
        <f>IF($N83="","",INDEX(Azioni!$J:$J,$N83)&amp;"")</f>
        <v/>
      </c>
      <c r="I83" s="72" t="str">
        <f>IF($N83="","",IF(INDEX(Azioni!$K:$K,$N83)="","",INDEX(Azioni!$K:$K,$N83)))</f>
        <v/>
      </c>
      <c r="J83" s="72" t="str">
        <f>IF(OR($N83="",I83=""),"",IF(OR(H83="Approvata",H83="In corso"),EDATE(I83,N(INDEX(Azioni!$H:$H,$N83))),""))</f>
        <v/>
      </c>
      <c r="K83" s="70" t="str">
        <f>IF($N83="","",INDEX(Azioni!$M:$M,$N83)&amp;"")</f>
        <v/>
      </c>
      <c r="N83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78),1000000),"")</f>
        <v/>
      </c>
    </row>
    <row r="84" spans="1:14" x14ac:dyDescent="0.4">
      <c r="A84" s="70" t="str">
        <f>IF($N84="","",INDEX(Azioni!$A:$A,$N84)&amp;"")</f>
        <v/>
      </c>
      <c r="B84" s="70" t="str">
        <f>IF($N84="","",INDEX(Azioni!$B:$B,$N84)&amp;"")</f>
        <v/>
      </c>
      <c r="C84" s="70" t="str">
        <f>IF($N84="","",INDEX(Azioni!$C:$C,$N84)&amp;"")</f>
        <v/>
      </c>
      <c r="D84" s="71" t="str">
        <f>IF($N84="","",INDEX(Azioni!$D:$D,$N84)&amp;"")</f>
        <v/>
      </c>
      <c r="E84" s="70" t="str">
        <f>IF($N84="","",INDEX(Azioni!$E:$E,$N84)&amp;"")</f>
        <v/>
      </c>
      <c r="F84" s="70" t="str">
        <f>IF($N84="","",INDEX(Azioni!$F:$F,$N84)&amp;"")</f>
        <v/>
      </c>
      <c r="G84" s="70" t="str">
        <f>IF($N84="","",INDEX(Azioni!$G:$G,$N84)&amp;"")</f>
        <v/>
      </c>
      <c r="H84" s="70" t="str">
        <f>IF($N84="","",INDEX(Azioni!$J:$J,$N84)&amp;"")</f>
        <v/>
      </c>
      <c r="I84" s="72" t="str">
        <f>IF($N84="","",IF(INDEX(Azioni!$K:$K,$N84)="","",INDEX(Azioni!$K:$K,$N84)))</f>
        <v/>
      </c>
      <c r="J84" s="72" t="str">
        <f>IF(OR($N84="",I84=""),"",IF(OR(H84="Approvata",H84="In corso"),EDATE(I84,N(INDEX(Azioni!$H:$H,$N84))),""))</f>
        <v/>
      </c>
      <c r="K84" s="70" t="str">
        <f>IF($N84="","",INDEX(Azioni!$M:$M,$N84)&amp;"")</f>
        <v/>
      </c>
      <c r="N84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79),1000000),"")</f>
        <v/>
      </c>
    </row>
    <row r="85" spans="1:14" x14ac:dyDescent="0.4">
      <c r="A85" s="70" t="str">
        <f>IF($N85="","",INDEX(Azioni!$A:$A,$N85)&amp;"")</f>
        <v/>
      </c>
      <c r="B85" s="70" t="str">
        <f>IF($N85="","",INDEX(Azioni!$B:$B,$N85)&amp;"")</f>
        <v/>
      </c>
      <c r="C85" s="70" t="str">
        <f>IF($N85="","",INDEX(Azioni!$C:$C,$N85)&amp;"")</f>
        <v/>
      </c>
      <c r="D85" s="71" t="str">
        <f>IF($N85="","",INDEX(Azioni!$D:$D,$N85)&amp;"")</f>
        <v/>
      </c>
      <c r="E85" s="70" t="str">
        <f>IF($N85="","",INDEX(Azioni!$E:$E,$N85)&amp;"")</f>
        <v/>
      </c>
      <c r="F85" s="70" t="str">
        <f>IF($N85="","",INDEX(Azioni!$F:$F,$N85)&amp;"")</f>
        <v/>
      </c>
      <c r="G85" s="70" t="str">
        <f>IF($N85="","",INDEX(Azioni!$G:$G,$N85)&amp;"")</f>
        <v/>
      </c>
      <c r="H85" s="70" t="str">
        <f>IF($N85="","",INDEX(Azioni!$J:$J,$N85)&amp;"")</f>
        <v/>
      </c>
      <c r="I85" s="72" t="str">
        <f>IF($N85="","",IF(INDEX(Azioni!$K:$K,$N85)="","",INDEX(Azioni!$K:$K,$N85)))</f>
        <v/>
      </c>
      <c r="J85" s="72" t="str">
        <f>IF(OR($N85="",I85=""),"",IF(OR(H85="Approvata",H85="In corso"),EDATE(I85,N(INDEX(Azioni!$H:$H,$N85))),""))</f>
        <v/>
      </c>
      <c r="K85" s="70" t="str">
        <f>IF($N85="","",INDEX(Azioni!$M:$M,$N85)&amp;"")</f>
        <v/>
      </c>
      <c r="N85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80),1000000),"")</f>
        <v/>
      </c>
    </row>
    <row r="86" spans="1:14" x14ac:dyDescent="0.4">
      <c r="A86" s="70" t="str">
        <f>IF($N86="","",INDEX(Azioni!$A:$A,$N86)&amp;"")</f>
        <v/>
      </c>
      <c r="B86" s="70" t="str">
        <f>IF($N86="","",INDEX(Azioni!$B:$B,$N86)&amp;"")</f>
        <v/>
      </c>
      <c r="C86" s="70" t="str">
        <f>IF($N86="","",INDEX(Azioni!$C:$C,$N86)&amp;"")</f>
        <v/>
      </c>
      <c r="D86" s="71" t="str">
        <f>IF($N86="","",INDEX(Azioni!$D:$D,$N86)&amp;"")</f>
        <v/>
      </c>
      <c r="E86" s="70" t="str">
        <f>IF($N86="","",INDEX(Azioni!$E:$E,$N86)&amp;"")</f>
        <v/>
      </c>
      <c r="F86" s="70" t="str">
        <f>IF($N86="","",INDEX(Azioni!$F:$F,$N86)&amp;"")</f>
        <v/>
      </c>
      <c r="G86" s="70" t="str">
        <f>IF($N86="","",INDEX(Azioni!$G:$G,$N86)&amp;"")</f>
        <v/>
      </c>
      <c r="H86" s="70" t="str">
        <f>IF($N86="","",INDEX(Azioni!$J:$J,$N86)&amp;"")</f>
        <v/>
      </c>
      <c r="I86" s="72" t="str">
        <f>IF($N86="","",IF(INDEX(Azioni!$K:$K,$N86)="","",INDEX(Azioni!$K:$K,$N86)))</f>
        <v/>
      </c>
      <c r="J86" s="72" t="str">
        <f>IF(OR($N86="",I86=""),"",IF(OR(H86="Approvata",H86="In corso"),EDATE(I86,N(INDEX(Azioni!$H:$H,$N86))),""))</f>
        <v/>
      </c>
      <c r="K86" s="70" t="str">
        <f>IF($N86="","",INDEX(Azioni!$M:$M,$N86)&amp;"")</f>
        <v/>
      </c>
      <c r="N86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81),1000000),"")</f>
        <v/>
      </c>
    </row>
    <row r="87" spans="1:14" x14ac:dyDescent="0.4">
      <c r="A87" s="70" t="str">
        <f>IF($N87="","",INDEX(Azioni!$A:$A,$N87)&amp;"")</f>
        <v/>
      </c>
      <c r="B87" s="70" t="str">
        <f>IF($N87="","",INDEX(Azioni!$B:$B,$N87)&amp;"")</f>
        <v/>
      </c>
      <c r="C87" s="70" t="str">
        <f>IF($N87="","",INDEX(Azioni!$C:$C,$N87)&amp;"")</f>
        <v/>
      </c>
      <c r="D87" s="71" t="str">
        <f>IF($N87="","",INDEX(Azioni!$D:$D,$N87)&amp;"")</f>
        <v/>
      </c>
      <c r="E87" s="70" t="str">
        <f>IF($N87="","",INDEX(Azioni!$E:$E,$N87)&amp;"")</f>
        <v/>
      </c>
      <c r="F87" s="70" t="str">
        <f>IF($N87="","",INDEX(Azioni!$F:$F,$N87)&amp;"")</f>
        <v/>
      </c>
      <c r="G87" s="70" t="str">
        <f>IF($N87="","",INDEX(Azioni!$G:$G,$N87)&amp;"")</f>
        <v/>
      </c>
      <c r="H87" s="70" t="str">
        <f>IF($N87="","",INDEX(Azioni!$J:$J,$N87)&amp;"")</f>
        <v/>
      </c>
      <c r="I87" s="72" t="str">
        <f>IF($N87="","",IF(INDEX(Azioni!$K:$K,$N87)="","",INDEX(Azioni!$K:$K,$N87)))</f>
        <v/>
      </c>
      <c r="J87" s="72" t="str">
        <f>IF(OR($N87="",I87=""),"",IF(OR(H87="Approvata",H87="In corso"),EDATE(I87,N(INDEX(Azioni!$H:$H,$N87))),""))</f>
        <v/>
      </c>
      <c r="K87" s="70" t="str">
        <f>IF($N87="","",INDEX(Azioni!$M:$M,$N87)&amp;"")</f>
        <v/>
      </c>
      <c r="N87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82),1000000),"")</f>
        <v/>
      </c>
    </row>
    <row r="88" spans="1:14" x14ac:dyDescent="0.4">
      <c r="A88" s="70" t="str">
        <f>IF($N88="","",INDEX(Azioni!$A:$A,$N88)&amp;"")</f>
        <v/>
      </c>
      <c r="B88" s="70" t="str">
        <f>IF($N88="","",INDEX(Azioni!$B:$B,$N88)&amp;"")</f>
        <v/>
      </c>
      <c r="C88" s="70" t="str">
        <f>IF($N88="","",INDEX(Azioni!$C:$C,$N88)&amp;"")</f>
        <v/>
      </c>
      <c r="D88" s="71" t="str">
        <f>IF($N88="","",INDEX(Azioni!$D:$D,$N88)&amp;"")</f>
        <v/>
      </c>
      <c r="E88" s="70" t="str">
        <f>IF($N88="","",INDEX(Azioni!$E:$E,$N88)&amp;"")</f>
        <v/>
      </c>
      <c r="F88" s="70" t="str">
        <f>IF($N88="","",INDEX(Azioni!$F:$F,$N88)&amp;"")</f>
        <v/>
      </c>
      <c r="G88" s="70" t="str">
        <f>IF($N88="","",INDEX(Azioni!$G:$G,$N88)&amp;"")</f>
        <v/>
      </c>
      <c r="H88" s="70" t="str">
        <f>IF($N88="","",INDEX(Azioni!$J:$J,$N88)&amp;"")</f>
        <v/>
      </c>
      <c r="I88" s="72" t="str">
        <f>IF($N88="","",IF(INDEX(Azioni!$K:$K,$N88)="","",INDEX(Azioni!$K:$K,$N88)))</f>
        <v/>
      </c>
      <c r="J88" s="72" t="str">
        <f>IF(OR($N88="",I88=""),"",IF(OR(H88="Approvata",H88="In corso"),EDATE(I88,N(INDEX(Azioni!$H:$H,$N88))),""))</f>
        <v/>
      </c>
      <c r="K88" s="70" t="str">
        <f>IF($N88="","",INDEX(Azioni!$M:$M,$N88)&amp;"")</f>
        <v/>
      </c>
      <c r="N88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83),1000000),"")</f>
        <v/>
      </c>
    </row>
    <row r="89" spans="1:14" x14ac:dyDescent="0.4">
      <c r="A89" s="70" t="str">
        <f>IF($N89="","",INDEX(Azioni!$A:$A,$N89)&amp;"")</f>
        <v/>
      </c>
      <c r="B89" s="70" t="str">
        <f>IF($N89="","",INDEX(Azioni!$B:$B,$N89)&amp;"")</f>
        <v/>
      </c>
      <c r="C89" s="70" t="str">
        <f>IF($N89="","",INDEX(Azioni!$C:$C,$N89)&amp;"")</f>
        <v/>
      </c>
      <c r="D89" s="71" t="str">
        <f>IF($N89="","",INDEX(Azioni!$D:$D,$N89)&amp;"")</f>
        <v/>
      </c>
      <c r="E89" s="70" t="str">
        <f>IF($N89="","",INDEX(Azioni!$E:$E,$N89)&amp;"")</f>
        <v/>
      </c>
      <c r="F89" s="70" t="str">
        <f>IF($N89="","",INDEX(Azioni!$F:$F,$N89)&amp;"")</f>
        <v/>
      </c>
      <c r="G89" s="70" t="str">
        <f>IF($N89="","",INDEX(Azioni!$G:$G,$N89)&amp;"")</f>
        <v/>
      </c>
      <c r="H89" s="70" t="str">
        <f>IF($N89="","",INDEX(Azioni!$J:$J,$N89)&amp;"")</f>
        <v/>
      </c>
      <c r="I89" s="72" t="str">
        <f>IF($N89="","",IF(INDEX(Azioni!$K:$K,$N89)="","",INDEX(Azioni!$K:$K,$N89)))</f>
        <v/>
      </c>
      <c r="J89" s="72" t="str">
        <f>IF(OR($N89="",I89=""),"",IF(OR(H89="Approvata",H89="In corso"),EDATE(I89,N(INDEX(Azioni!$H:$H,$N89))),""))</f>
        <v/>
      </c>
      <c r="K89" s="70" t="str">
        <f>IF($N89="","",INDEX(Azioni!$M:$M,$N89)&amp;"")</f>
        <v/>
      </c>
      <c r="N89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84),1000000),"")</f>
        <v/>
      </c>
    </row>
    <row r="90" spans="1:14" x14ac:dyDescent="0.4">
      <c r="A90" s="70" t="str">
        <f>IF($N90="","",INDEX(Azioni!$A:$A,$N90)&amp;"")</f>
        <v/>
      </c>
      <c r="B90" s="70" t="str">
        <f>IF($N90="","",INDEX(Azioni!$B:$B,$N90)&amp;"")</f>
        <v/>
      </c>
      <c r="C90" s="70" t="str">
        <f>IF($N90="","",INDEX(Azioni!$C:$C,$N90)&amp;"")</f>
        <v/>
      </c>
      <c r="D90" s="71" t="str">
        <f>IF($N90="","",INDEX(Azioni!$D:$D,$N90)&amp;"")</f>
        <v/>
      </c>
      <c r="E90" s="70" t="str">
        <f>IF($N90="","",INDEX(Azioni!$E:$E,$N90)&amp;"")</f>
        <v/>
      </c>
      <c r="F90" s="70" t="str">
        <f>IF($N90="","",INDEX(Azioni!$F:$F,$N90)&amp;"")</f>
        <v/>
      </c>
      <c r="G90" s="70" t="str">
        <f>IF($N90="","",INDEX(Azioni!$G:$G,$N90)&amp;"")</f>
        <v/>
      </c>
      <c r="H90" s="70" t="str">
        <f>IF($N90="","",INDEX(Azioni!$J:$J,$N90)&amp;"")</f>
        <v/>
      </c>
      <c r="I90" s="72" t="str">
        <f>IF($N90="","",IF(INDEX(Azioni!$K:$K,$N90)="","",INDEX(Azioni!$K:$K,$N90)))</f>
        <v/>
      </c>
      <c r="J90" s="72" t="str">
        <f>IF(OR($N90="",I90=""),"",IF(OR(H90="Approvata",H90="In corso"),EDATE(I90,N(INDEX(Azioni!$H:$H,$N90))),""))</f>
        <v/>
      </c>
      <c r="K90" s="70" t="str">
        <f>IF($N90="","",INDEX(Azioni!$M:$M,$N90)&amp;"")</f>
        <v/>
      </c>
      <c r="N90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85),1000000),"")</f>
        <v/>
      </c>
    </row>
    <row r="91" spans="1:14" x14ac:dyDescent="0.4">
      <c r="A91" s="70" t="str">
        <f>IF($N91="","",INDEX(Azioni!$A:$A,$N91)&amp;"")</f>
        <v/>
      </c>
      <c r="B91" s="70" t="str">
        <f>IF($N91="","",INDEX(Azioni!$B:$B,$N91)&amp;"")</f>
        <v/>
      </c>
      <c r="C91" s="70" t="str">
        <f>IF($N91="","",INDEX(Azioni!$C:$C,$N91)&amp;"")</f>
        <v/>
      </c>
      <c r="D91" s="71" t="str">
        <f>IF($N91="","",INDEX(Azioni!$D:$D,$N91)&amp;"")</f>
        <v/>
      </c>
      <c r="E91" s="70" t="str">
        <f>IF($N91="","",INDEX(Azioni!$E:$E,$N91)&amp;"")</f>
        <v/>
      </c>
      <c r="F91" s="70" t="str">
        <f>IF($N91="","",INDEX(Azioni!$F:$F,$N91)&amp;"")</f>
        <v/>
      </c>
      <c r="G91" s="70" t="str">
        <f>IF($N91="","",INDEX(Azioni!$G:$G,$N91)&amp;"")</f>
        <v/>
      </c>
      <c r="H91" s="70" t="str">
        <f>IF($N91="","",INDEX(Azioni!$J:$J,$N91)&amp;"")</f>
        <v/>
      </c>
      <c r="I91" s="72" t="str">
        <f>IF($N91="","",IF(INDEX(Azioni!$K:$K,$N91)="","",INDEX(Azioni!$K:$K,$N91)))</f>
        <v/>
      </c>
      <c r="J91" s="72" t="str">
        <f>IF(OR($N91="",I91=""),"",IF(OR(H91="Approvata",H91="In corso"),EDATE(I91,N(INDEX(Azioni!$H:$H,$N91))),""))</f>
        <v/>
      </c>
      <c r="K91" s="70" t="str">
        <f>IF($N91="","",INDEX(Azioni!$M:$M,$N91)&amp;"")</f>
        <v/>
      </c>
      <c r="N91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86),1000000),"")</f>
        <v/>
      </c>
    </row>
    <row r="92" spans="1:14" x14ac:dyDescent="0.4">
      <c r="A92" s="70" t="str">
        <f>IF($N92="","",INDEX(Azioni!$A:$A,$N92)&amp;"")</f>
        <v/>
      </c>
      <c r="B92" s="70" t="str">
        <f>IF($N92="","",INDEX(Azioni!$B:$B,$N92)&amp;"")</f>
        <v/>
      </c>
      <c r="C92" s="70" t="str">
        <f>IF($N92="","",INDEX(Azioni!$C:$C,$N92)&amp;"")</f>
        <v/>
      </c>
      <c r="D92" s="71" t="str">
        <f>IF($N92="","",INDEX(Azioni!$D:$D,$N92)&amp;"")</f>
        <v/>
      </c>
      <c r="E92" s="70" t="str">
        <f>IF($N92="","",INDEX(Azioni!$E:$E,$N92)&amp;"")</f>
        <v/>
      </c>
      <c r="F92" s="70" t="str">
        <f>IF($N92="","",INDEX(Azioni!$F:$F,$N92)&amp;"")</f>
        <v/>
      </c>
      <c r="G92" s="70" t="str">
        <f>IF($N92="","",INDEX(Azioni!$G:$G,$N92)&amp;"")</f>
        <v/>
      </c>
      <c r="H92" s="70" t="str">
        <f>IF($N92="","",INDEX(Azioni!$J:$J,$N92)&amp;"")</f>
        <v/>
      </c>
      <c r="I92" s="72" t="str">
        <f>IF($N92="","",IF(INDEX(Azioni!$K:$K,$N92)="","",INDEX(Azioni!$K:$K,$N92)))</f>
        <v/>
      </c>
      <c r="J92" s="72" t="str">
        <f>IF(OR($N92="",I92=""),"",IF(OR(H92="Approvata",H92="In corso"),EDATE(I92,N(INDEX(Azioni!$H:$H,$N92))),""))</f>
        <v/>
      </c>
      <c r="K92" s="70" t="str">
        <f>IF($N92="","",INDEX(Azioni!$M:$M,$N92)&amp;"")</f>
        <v/>
      </c>
      <c r="N92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87),1000000),"")</f>
        <v/>
      </c>
    </row>
    <row r="93" spans="1:14" x14ac:dyDescent="0.4">
      <c r="A93" s="70" t="str">
        <f>IF($N93="","",INDEX(Azioni!$A:$A,$N93)&amp;"")</f>
        <v/>
      </c>
      <c r="B93" s="70" t="str">
        <f>IF($N93="","",INDEX(Azioni!$B:$B,$N93)&amp;"")</f>
        <v/>
      </c>
      <c r="C93" s="70" t="str">
        <f>IF($N93="","",INDEX(Azioni!$C:$C,$N93)&amp;"")</f>
        <v/>
      </c>
      <c r="D93" s="71" t="str">
        <f>IF($N93="","",INDEX(Azioni!$D:$D,$N93)&amp;"")</f>
        <v/>
      </c>
      <c r="E93" s="70" t="str">
        <f>IF($N93="","",INDEX(Azioni!$E:$E,$N93)&amp;"")</f>
        <v/>
      </c>
      <c r="F93" s="70" t="str">
        <f>IF($N93="","",INDEX(Azioni!$F:$F,$N93)&amp;"")</f>
        <v/>
      </c>
      <c r="G93" s="70" t="str">
        <f>IF($N93="","",INDEX(Azioni!$G:$G,$N93)&amp;"")</f>
        <v/>
      </c>
      <c r="H93" s="70" t="str">
        <f>IF($N93="","",INDEX(Azioni!$J:$J,$N93)&amp;"")</f>
        <v/>
      </c>
      <c r="I93" s="72" t="str">
        <f>IF($N93="","",IF(INDEX(Azioni!$K:$K,$N93)="","",INDEX(Azioni!$K:$K,$N93)))</f>
        <v/>
      </c>
      <c r="J93" s="72" t="str">
        <f>IF(OR($N93="",I93=""),"",IF(OR(H93="Approvata",H93="In corso"),EDATE(I93,N(INDEX(Azioni!$H:$H,$N93))),""))</f>
        <v/>
      </c>
      <c r="K93" s="70" t="str">
        <f>IF($N93="","",INDEX(Azioni!$M:$M,$N93)&amp;"")</f>
        <v/>
      </c>
      <c r="N93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88),1000000),"")</f>
        <v/>
      </c>
    </row>
    <row r="94" spans="1:14" x14ac:dyDescent="0.4">
      <c r="A94" s="70" t="str">
        <f>IF($N94="","",INDEX(Azioni!$A:$A,$N94)&amp;"")</f>
        <v/>
      </c>
      <c r="B94" s="70" t="str">
        <f>IF($N94="","",INDEX(Azioni!$B:$B,$N94)&amp;"")</f>
        <v/>
      </c>
      <c r="C94" s="70" t="str">
        <f>IF($N94="","",INDEX(Azioni!$C:$C,$N94)&amp;"")</f>
        <v/>
      </c>
      <c r="D94" s="71" t="str">
        <f>IF($N94="","",INDEX(Azioni!$D:$D,$N94)&amp;"")</f>
        <v/>
      </c>
      <c r="E94" s="70" t="str">
        <f>IF($N94="","",INDEX(Azioni!$E:$E,$N94)&amp;"")</f>
        <v/>
      </c>
      <c r="F94" s="70" t="str">
        <f>IF($N94="","",INDEX(Azioni!$F:$F,$N94)&amp;"")</f>
        <v/>
      </c>
      <c r="G94" s="70" t="str">
        <f>IF($N94="","",INDEX(Azioni!$G:$G,$N94)&amp;"")</f>
        <v/>
      </c>
      <c r="H94" s="70" t="str">
        <f>IF($N94="","",INDEX(Azioni!$J:$J,$N94)&amp;"")</f>
        <v/>
      </c>
      <c r="I94" s="72" t="str">
        <f>IF($N94="","",IF(INDEX(Azioni!$K:$K,$N94)="","",INDEX(Azioni!$K:$K,$N94)))</f>
        <v/>
      </c>
      <c r="J94" s="72" t="str">
        <f>IF(OR($N94="",I94=""),"",IF(OR(H94="Approvata",H94="In corso"),EDATE(I94,N(INDEX(Azioni!$H:$H,$N94))),""))</f>
        <v/>
      </c>
      <c r="K94" s="70" t="str">
        <f>IF($N94="","",INDEX(Azioni!$M:$M,$N94)&amp;"")</f>
        <v/>
      </c>
      <c r="N94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89),1000000),"")</f>
        <v/>
      </c>
    </row>
    <row r="95" spans="1:14" x14ac:dyDescent="0.4">
      <c r="A95" s="70" t="str">
        <f>IF($N95="","",INDEX(Azioni!$A:$A,$N95)&amp;"")</f>
        <v/>
      </c>
      <c r="B95" s="70" t="str">
        <f>IF($N95="","",INDEX(Azioni!$B:$B,$N95)&amp;"")</f>
        <v/>
      </c>
      <c r="C95" s="70" t="str">
        <f>IF($N95="","",INDEX(Azioni!$C:$C,$N95)&amp;"")</f>
        <v/>
      </c>
      <c r="D95" s="71" t="str">
        <f>IF($N95="","",INDEX(Azioni!$D:$D,$N95)&amp;"")</f>
        <v/>
      </c>
      <c r="E95" s="70" t="str">
        <f>IF($N95="","",INDEX(Azioni!$E:$E,$N95)&amp;"")</f>
        <v/>
      </c>
      <c r="F95" s="70" t="str">
        <f>IF($N95="","",INDEX(Azioni!$F:$F,$N95)&amp;"")</f>
        <v/>
      </c>
      <c r="G95" s="70" t="str">
        <f>IF($N95="","",INDEX(Azioni!$G:$G,$N95)&amp;"")</f>
        <v/>
      </c>
      <c r="H95" s="70" t="str">
        <f>IF($N95="","",INDEX(Azioni!$J:$J,$N95)&amp;"")</f>
        <v/>
      </c>
      <c r="I95" s="72" t="str">
        <f>IF($N95="","",IF(INDEX(Azioni!$K:$K,$N95)="","",INDEX(Azioni!$K:$K,$N95)))</f>
        <v/>
      </c>
      <c r="J95" s="72" t="str">
        <f>IF(OR($N95="",I95=""),"",IF(OR(H95="Approvata",H95="In corso"),EDATE(I95,N(INDEX(Azioni!$H:$H,$N95))),""))</f>
        <v/>
      </c>
      <c r="K95" s="70" t="str">
        <f>IF($N95="","",INDEX(Azioni!$M:$M,$N95)&amp;"")</f>
        <v/>
      </c>
      <c r="N95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90),1000000),"")</f>
        <v/>
      </c>
    </row>
    <row r="96" spans="1:14" x14ac:dyDescent="0.4">
      <c r="A96" s="70" t="str">
        <f>IF($N96="","",INDEX(Azioni!$A:$A,$N96)&amp;"")</f>
        <v/>
      </c>
      <c r="B96" s="70" t="str">
        <f>IF($N96="","",INDEX(Azioni!$B:$B,$N96)&amp;"")</f>
        <v/>
      </c>
      <c r="C96" s="70" t="str">
        <f>IF($N96="","",INDEX(Azioni!$C:$C,$N96)&amp;"")</f>
        <v/>
      </c>
      <c r="D96" s="71" t="str">
        <f>IF($N96="","",INDEX(Azioni!$D:$D,$N96)&amp;"")</f>
        <v/>
      </c>
      <c r="E96" s="70" t="str">
        <f>IF($N96="","",INDEX(Azioni!$E:$E,$N96)&amp;"")</f>
        <v/>
      </c>
      <c r="F96" s="70" t="str">
        <f>IF($N96="","",INDEX(Azioni!$F:$F,$N96)&amp;"")</f>
        <v/>
      </c>
      <c r="G96" s="70" t="str">
        <f>IF($N96="","",INDEX(Azioni!$G:$G,$N96)&amp;"")</f>
        <v/>
      </c>
      <c r="H96" s="70" t="str">
        <f>IF($N96="","",INDEX(Azioni!$J:$J,$N96)&amp;"")</f>
        <v/>
      </c>
      <c r="I96" s="72" t="str">
        <f>IF($N96="","",IF(INDEX(Azioni!$K:$K,$N96)="","",INDEX(Azioni!$K:$K,$N96)))</f>
        <v/>
      </c>
      <c r="J96" s="72" t="str">
        <f>IF(OR($N96="",I96=""),"",IF(OR(H96="Approvata",H96="In corso"),EDATE(I96,N(INDEX(Azioni!$H:$H,$N96))),""))</f>
        <v/>
      </c>
      <c r="K96" s="70" t="str">
        <f>IF($N96="","",INDEX(Azioni!$M:$M,$N96)&amp;"")</f>
        <v/>
      </c>
      <c r="N96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91),1000000),"")</f>
        <v/>
      </c>
    </row>
    <row r="97" spans="1:14" x14ac:dyDescent="0.4">
      <c r="A97" s="70" t="str">
        <f>IF($N97="","",INDEX(Azioni!$A:$A,$N97)&amp;"")</f>
        <v/>
      </c>
      <c r="B97" s="70" t="str">
        <f>IF($N97="","",INDEX(Azioni!$B:$B,$N97)&amp;"")</f>
        <v/>
      </c>
      <c r="C97" s="70" t="str">
        <f>IF($N97="","",INDEX(Azioni!$C:$C,$N97)&amp;"")</f>
        <v/>
      </c>
      <c r="D97" s="71" t="str">
        <f>IF($N97="","",INDEX(Azioni!$D:$D,$N97)&amp;"")</f>
        <v/>
      </c>
      <c r="E97" s="70" t="str">
        <f>IF($N97="","",INDEX(Azioni!$E:$E,$N97)&amp;"")</f>
        <v/>
      </c>
      <c r="F97" s="70" t="str">
        <f>IF($N97="","",INDEX(Azioni!$F:$F,$N97)&amp;"")</f>
        <v/>
      </c>
      <c r="G97" s="70" t="str">
        <f>IF($N97="","",INDEX(Azioni!$G:$G,$N97)&amp;"")</f>
        <v/>
      </c>
      <c r="H97" s="70" t="str">
        <f>IF($N97="","",INDEX(Azioni!$J:$J,$N97)&amp;"")</f>
        <v/>
      </c>
      <c r="I97" s="72" t="str">
        <f>IF($N97="","",IF(INDEX(Azioni!$K:$K,$N97)="","",INDEX(Azioni!$K:$K,$N97)))</f>
        <v/>
      </c>
      <c r="J97" s="72" t="str">
        <f>IF(OR($N97="",I97=""),"",IF(OR(H97="Approvata",H97="In corso"),EDATE(I97,N(INDEX(Azioni!$H:$H,$N97))),""))</f>
        <v/>
      </c>
      <c r="K97" s="70" t="str">
        <f>IF($N97="","",INDEX(Azioni!$M:$M,$N97)&amp;"")</f>
        <v/>
      </c>
      <c r="N97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92),1000000),"")</f>
        <v/>
      </c>
    </row>
    <row r="98" spans="1:14" x14ac:dyDescent="0.4">
      <c r="A98" s="70" t="str">
        <f>IF($N98="","",INDEX(Azioni!$A:$A,$N98)&amp;"")</f>
        <v/>
      </c>
      <c r="B98" s="70" t="str">
        <f>IF($N98="","",INDEX(Azioni!$B:$B,$N98)&amp;"")</f>
        <v/>
      </c>
      <c r="C98" s="70" t="str">
        <f>IF($N98="","",INDEX(Azioni!$C:$C,$N98)&amp;"")</f>
        <v/>
      </c>
      <c r="D98" s="71" t="str">
        <f>IF($N98="","",INDEX(Azioni!$D:$D,$N98)&amp;"")</f>
        <v/>
      </c>
      <c r="E98" s="70" t="str">
        <f>IF($N98="","",INDEX(Azioni!$E:$E,$N98)&amp;"")</f>
        <v/>
      </c>
      <c r="F98" s="70" t="str">
        <f>IF($N98="","",INDEX(Azioni!$F:$F,$N98)&amp;"")</f>
        <v/>
      </c>
      <c r="G98" s="70" t="str">
        <f>IF($N98="","",INDEX(Azioni!$G:$G,$N98)&amp;"")</f>
        <v/>
      </c>
      <c r="H98" s="70" t="str">
        <f>IF($N98="","",INDEX(Azioni!$J:$J,$N98)&amp;"")</f>
        <v/>
      </c>
      <c r="I98" s="72" t="str">
        <f>IF($N98="","",IF(INDEX(Azioni!$K:$K,$N98)="","",INDEX(Azioni!$K:$K,$N98)))</f>
        <v/>
      </c>
      <c r="J98" s="72" t="str">
        <f>IF(OR($N98="",I98=""),"",IF(OR(H98="Approvata",H98="In corso"),EDATE(I98,N(INDEX(Azioni!$H:$H,$N98))),""))</f>
        <v/>
      </c>
      <c r="K98" s="70" t="str">
        <f>IF($N98="","",INDEX(Azioni!$M:$M,$N98)&amp;"")</f>
        <v/>
      </c>
      <c r="N98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93),1000000),"")</f>
        <v/>
      </c>
    </row>
    <row r="99" spans="1:14" x14ac:dyDescent="0.4">
      <c r="A99" s="70" t="str">
        <f>IF($N99="","",INDEX(Azioni!$A:$A,$N99)&amp;"")</f>
        <v/>
      </c>
      <c r="B99" s="70" t="str">
        <f>IF($N99="","",INDEX(Azioni!$B:$B,$N99)&amp;"")</f>
        <v/>
      </c>
      <c r="C99" s="70" t="str">
        <f>IF($N99="","",INDEX(Azioni!$C:$C,$N99)&amp;"")</f>
        <v/>
      </c>
      <c r="D99" s="71" t="str">
        <f>IF($N99="","",INDEX(Azioni!$D:$D,$N99)&amp;"")</f>
        <v/>
      </c>
      <c r="E99" s="70" t="str">
        <f>IF($N99="","",INDEX(Azioni!$E:$E,$N99)&amp;"")</f>
        <v/>
      </c>
      <c r="F99" s="70" t="str">
        <f>IF($N99="","",INDEX(Azioni!$F:$F,$N99)&amp;"")</f>
        <v/>
      </c>
      <c r="G99" s="70" t="str">
        <f>IF($N99="","",INDEX(Azioni!$G:$G,$N99)&amp;"")</f>
        <v/>
      </c>
      <c r="H99" s="70" t="str">
        <f>IF($N99="","",INDEX(Azioni!$J:$J,$N99)&amp;"")</f>
        <v/>
      </c>
      <c r="I99" s="72" t="str">
        <f>IF($N99="","",IF(INDEX(Azioni!$K:$K,$N99)="","",INDEX(Azioni!$K:$K,$N99)))</f>
        <v/>
      </c>
      <c r="J99" s="72" t="str">
        <f>IF(OR($N99="",I99=""),"",IF(OR(H99="Approvata",H99="In corso"),EDATE(I99,N(INDEX(Azioni!$H:$H,$N99))),""))</f>
        <v/>
      </c>
      <c r="K99" s="70" t="str">
        <f>IF($N99="","",INDEX(Azioni!$M:$M,$N99)&amp;"")</f>
        <v/>
      </c>
      <c r="N99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94),1000000),"")</f>
        <v/>
      </c>
    </row>
    <row r="100" spans="1:14" x14ac:dyDescent="0.4">
      <c r="A100" s="70" t="str">
        <f>IF($N100="","",INDEX(Azioni!$A:$A,$N100)&amp;"")</f>
        <v/>
      </c>
      <c r="B100" s="70" t="str">
        <f>IF($N100="","",INDEX(Azioni!$B:$B,$N100)&amp;"")</f>
        <v/>
      </c>
      <c r="C100" s="70" t="str">
        <f>IF($N100="","",INDEX(Azioni!$C:$C,$N100)&amp;"")</f>
        <v/>
      </c>
      <c r="D100" s="71" t="str">
        <f>IF($N100="","",INDEX(Azioni!$D:$D,$N100)&amp;"")</f>
        <v/>
      </c>
      <c r="E100" s="70" t="str">
        <f>IF($N100="","",INDEX(Azioni!$E:$E,$N100)&amp;"")</f>
        <v/>
      </c>
      <c r="F100" s="70" t="str">
        <f>IF($N100="","",INDEX(Azioni!$F:$F,$N100)&amp;"")</f>
        <v/>
      </c>
      <c r="G100" s="70" t="str">
        <f>IF($N100="","",INDEX(Azioni!$G:$G,$N100)&amp;"")</f>
        <v/>
      </c>
      <c r="H100" s="70" t="str">
        <f>IF($N100="","",INDEX(Azioni!$J:$J,$N100)&amp;"")</f>
        <v/>
      </c>
      <c r="I100" s="72" t="str">
        <f>IF($N100="","",IF(INDEX(Azioni!$K:$K,$N100)="","",INDEX(Azioni!$K:$K,$N100)))</f>
        <v/>
      </c>
      <c r="J100" s="72" t="str">
        <f>IF(OR($N100="",I100=""),"",IF(OR(H100="Approvata",H100="In corso"),EDATE(I100,N(INDEX(Azioni!$H:$H,$N100))),""))</f>
        <v/>
      </c>
      <c r="K100" s="70" t="str">
        <f>IF($N100="","",INDEX(Azioni!$M:$M,$N100)&amp;"")</f>
        <v/>
      </c>
      <c r="N100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95),1000000),"")</f>
        <v/>
      </c>
    </row>
    <row r="101" spans="1:14" x14ac:dyDescent="0.4">
      <c r="A101" s="70" t="str">
        <f>IF($N101="","",INDEX(Azioni!$A:$A,$N101)&amp;"")</f>
        <v/>
      </c>
      <c r="B101" s="70" t="str">
        <f>IF($N101="","",INDEX(Azioni!$B:$B,$N101)&amp;"")</f>
        <v/>
      </c>
      <c r="C101" s="70" t="str">
        <f>IF($N101="","",INDEX(Azioni!$C:$C,$N101)&amp;"")</f>
        <v/>
      </c>
      <c r="D101" s="71" t="str">
        <f>IF($N101="","",INDEX(Azioni!$D:$D,$N101)&amp;"")</f>
        <v/>
      </c>
      <c r="E101" s="70" t="str">
        <f>IF($N101="","",INDEX(Azioni!$E:$E,$N101)&amp;"")</f>
        <v/>
      </c>
      <c r="F101" s="70" t="str">
        <f>IF($N101="","",INDEX(Azioni!$F:$F,$N101)&amp;"")</f>
        <v/>
      </c>
      <c r="G101" s="70" t="str">
        <f>IF($N101="","",INDEX(Azioni!$G:$G,$N101)&amp;"")</f>
        <v/>
      </c>
      <c r="H101" s="70" t="str">
        <f>IF($N101="","",INDEX(Azioni!$J:$J,$N101)&amp;"")</f>
        <v/>
      </c>
      <c r="I101" s="72" t="str">
        <f>IF($N101="","",IF(INDEX(Azioni!$K:$K,$N101)="","",INDEX(Azioni!$K:$K,$N101)))</f>
        <v/>
      </c>
      <c r="J101" s="72" t="str">
        <f>IF(OR($N101="",I101=""),"",IF(OR(H101="Approvata",H101="In corso"),EDATE(I101,N(INDEX(Azioni!$H:$H,$N101))),""))</f>
        <v/>
      </c>
      <c r="K101" s="70" t="str">
        <f>IF($N101="","",INDEX(Azioni!$M:$M,$N101)&amp;"")</f>
        <v/>
      </c>
      <c r="N101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96),1000000),"")</f>
        <v/>
      </c>
    </row>
    <row r="102" spans="1:14" x14ac:dyDescent="0.4">
      <c r="A102" s="70" t="str">
        <f>IF($N102="","",INDEX(Azioni!$A:$A,$N102)&amp;"")</f>
        <v/>
      </c>
      <c r="B102" s="70" t="str">
        <f>IF($N102="","",INDEX(Azioni!$B:$B,$N102)&amp;"")</f>
        <v/>
      </c>
      <c r="C102" s="70" t="str">
        <f>IF($N102="","",INDEX(Azioni!$C:$C,$N102)&amp;"")</f>
        <v/>
      </c>
      <c r="D102" s="71" t="str">
        <f>IF($N102="","",INDEX(Azioni!$D:$D,$N102)&amp;"")</f>
        <v/>
      </c>
      <c r="E102" s="70" t="str">
        <f>IF($N102="","",INDEX(Azioni!$E:$E,$N102)&amp;"")</f>
        <v/>
      </c>
      <c r="F102" s="70" t="str">
        <f>IF($N102="","",INDEX(Azioni!$F:$F,$N102)&amp;"")</f>
        <v/>
      </c>
      <c r="G102" s="70" t="str">
        <f>IF($N102="","",INDEX(Azioni!$G:$G,$N102)&amp;"")</f>
        <v/>
      </c>
      <c r="H102" s="70" t="str">
        <f>IF($N102="","",INDEX(Azioni!$J:$J,$N102)&amp;"")</f>
        <v/>
      </c>
      <c r="I102" s="72" t="str">
        <f>IF($N102="","",IF(INDEX(Azioni!$K:$K,$N102)="","",INDEX(Azioni!$K:$K,$N102)))</f>
        <v/>
      </c>
      <c r="J102" s="72" t="str">
        <f>IF(OR($N102="",I102=""),"",IF(OR(H102="Approvata",H102="In corso"),EDATE(I102,N(INDEX(Azioni!$H:$H,$N102))),""))</f>
        <v/>
      </c>
      <c r="K102" s="70" t="str">
        <f>IF($N102="","",INDEX(Azioni!$M:$M,$N102)&amp;"")</f>
        <v/>
      </c>
      <c r="N102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97),1000000),"")</f>
        <v/>
      </c>
    </row>
    <row r="103" spans="1:14" x14ac:dyDescent="0.4">
      <c r="A103" s="70" t="str">
        <f>IF($N103="","",INDEX(Azioni!$A:$A,$N103)&amp;"")</f>
        <v/>
      </c>
      <c r="B103" s="70" t="str">
        <f>IF($N103="","",INDEX(Azioni!$B:$B,$N103)&amp;"")</f>
        <v/>
      </c>
      <c r="C103" s="70" t="str">
        <f>IF($N103="","",INDEX(Azioni!$C:$C,$N103)&amp;"")</f>
        <v/>
      </c>
      <c r="D103" s="71" t="str">
        <f>IF($N103="","",INDEX(Azioni!$D:$D,$N103)&amp;"")</f>
        <v/>
      </c>
      <c r="E103" s="70" t="str">
        <f>IF($N103="","",INDEX(Azioni!$E:$E,$N103)&amp;"")</f>
        <v/>
      </c>
      <c r="F103" s="70" t="str">
        <f>IF($N103="","",INDEX(Azioni!$F:$F,$N103)&amp;"")</f>
        <v/>
      </c>
      <c r="G103" s="70" t="str">
        <f>IF($N103="","",INDEX(Azioni!$G:$G,$N103)&amp;"")</f>
        <v/>
      </c>
      <c r="H103" s="70" t="str">
        <f>IF($N103="","",INDEX(Azioni!$J:$J,$N103)&amp;"")</f>
        <v/>
      </c>
      <c r="I103" s="72" t="str">
        <f>IF($N103="","",IF(INDEX(Azioni!$K:$K,$N103)="","",INDEX(Azioni!$K:$K,$N103)))</f>
        <v/>
      </c>
      <c r="J103" s="72" t="str">
        <f>IF(OR($N103="",I103=""),"",IF(OR(H103="Approvata",H103="In corso"),EDATE(I103,N(INDEX(Azioni!$H:$H,$N103))),""))</f>
        <v/>
      </c>
      <c r="K103" s="70" t="str">
        <f>IF($N103="","",INDEX(Azioni!$M:$M,$N103)&amp;"")</f>
        <v/>
      </c>
      <c r="N103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98),1000000),"")</f>
        <v/>
      </c>
    </row>
    <row r="104" spans="1:14" x14ac:dyDescent="0.4">
      <c r="A104" s="70" t="str">
        <f>IF($N104="","",INDEX(Azioni!$A:$A,$N104)&amp;"")</f>
        <v/>
      </c>
      <c r="B104" s="70" t="str">
        <f>IF($N104="","",INDEX(Azioni!$B:$B,$N104)&amp;"")</f>
        <v/>
      </c>
      <c r="C104" s="70" t="str">
        <f>IF($N104="","",INDEX(Azioni!$C:$C,$N104)&amp;"")</f>
        <v/>
      </c>
      <c r="D104" s="71" t="str">
        <f>IF($N104="","",INDEX(Azioni!$D:$D,$N104)&amp;"")</f>
        <v/>
      </c>
      <c r="E104" s="70" t="str">
        <f>IF($N104="","",INDEX(Azioni!$E:$E,$N104)&amp;"")</f>
        <v/>
      </c>
      <c r="F104" s="70" t="str">
        <f>IF($N104="","",INDEX(Azioni!$F:$F,$N104)&amp;"")</f>
        <v/>
      </c>
      <c r="G104" s="70" t="str">
        <f>IF($N104="","",INDEX(Azioni!$G:$G,$N104)&amp;"")</f>
        <v/>
      </c>
      <c r="H104" s="70" t="str">
        <f>IF($N104="","",INDEX(Azioni!$J:$J,$N104)&amp;"")</f>
        <v/>
      </c>
      <c r="I104" s="72" t="str">
        <f>IF($N104="","",IF(INDEX(Azioni!$K:$K,$N104)="","",INDEX(Azioni!$K:$K,$N104)))</f>
        <v/>
      </c>
      <c r="J104" s="72" t="str">
        <f>IF(OR($N104="",I104=""),"",IF(OR(H104="Approvata",H104="In corso"),EDATE(I104,N(INDEX(Azioni!$H:$H,$N104))),""))</f>
        <v/>
      </c>
      <c r="K104" s="70" t="str">
        <f>IF($N104="","",INDEX(Azioni!$M:$M,$N104)&amp;"")</f>
        <v/>
      </c>
      <c r="N104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99),1000000),"")</f>
        <v/>
      </c>
    </row>
    <row r="105" spans="1:14" x14ac:dyDescent="0.4">
      <c r="A105" s="70" t="str">
        <f>IF($N105="","",INDEX(Azioni!$A:$A,$N105)&amp;"")</f>
        <v/>
      </c>
      <c r="B105" s="70" t="str">
        <f>IF($N105="","",INDEX(Azioni!$B:$B,$N105)&amp;"")</f>
        <v/>
      </c>
      <c r="C105" s="70" t="str">
        <f>IF($N105="","",INDEX(Azioni!$C:$C,$N105)&amp;"")</f>
        <v/>
      </c>
      <c r="D105" s="71" t="str">
        <f>IF($N105="","",INDEX(Azioni!$D:$D,$N105)&amp;"")</f>
        <v/>
      </c>
      <c r="E105" s="70" t="str">
        <f>IF($N105="","",INDEX(Azioni!$E:$E,$N105)&amp;"")</f>
        <v/>
      </c>
      <c r="F105" s="70" t="str">
        <f>IF($N105="","",INDEX(Azioni!$F:$F,$N105)&amp;"")</f>
        <v/>
      </c>
      <c r="G105" s="70" t="str">
        <f>IF($N105="","",INDEX(Azioni!$G:$G,$N105)&amp;"")</f>
        <v/>
      </c>
      <c r="H105" s="70" t="str">
        <f>IF($N105="","",INDEX(Azioni!$J:$J,$N105)&amp;"")</f>
        <v/>
      </c>
      <c r="I105" s="72" t="str">
        <f>IF($N105="","",IF(INDEX(Azioni!$K:$K,$N105)="","",INDEX(Azioni!$K:$K,$N105)))</f>
        <v/>
      </c>
      <c r="J105" s="72" t="str">
        <f>IF(OR($N105="",I105=""),"",IF(OR(H105="Approvata",H105="In corso"),EDATE(I105,N(INDEX(Azioni!$H:$H,$N105))),""))</f>
        <v/>
      </c>
      <c r="K105" s="70" t="str">
        <f>IF($N105="","",INDEX(Azioni!$M:$M,$N105)&amp;"")</f>
        <v/>
      </c>
      <c r="N105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100),1000000),"")</f>
        <v/>
      </c>
    </row>
    <row r="106" spans="1:14" x14ac:dyDescent="0.4">
      <c r="A106" s="70" t="str">
        <f>IF($N106="","",INDEX(Azioni!$A:$A,$N106)&amp;"")</f>
        <v/>
      </c>
      <c r="B106" s="70" t="str">
        <f>IF($N106="","",INDEX(Azioni!$B:$B,$N106)&amp;"")</f>
        <v/>
      </c>
      <c r="C106" s="70" t="str">
        <f>IF($N106="","",INDEX(Azioni!$C:$C,$N106)&amp;"")</f>
        <v/>
      </c>
      <c r="D106" s="71" t="str">
        <f>IF($N106="","",INDEX(Azioni!$D:$D,$N106)&amp;"")</f>
        <v/>
      </c>
      <c r="E106" s="70" t="str">
        <f>IF($N106="","",INDEX(Azioni!$E:$E,$N106)&amp;"")</f>
        <v/>
      </c>
      <c r="F106" s="70" t="str">
        <f>IF($N106="","",INDEX(Azioni!$F:$F,$N106)&amp;"")</f>
        <v/>
      </c>
      <c r="G106" s="70" t="str">
        <f>IF($N106="","",INDEX(Azioni!$G:$G,$N106)&amp;"")</f>
        <v/>
      </c>
      <c r="H106" s="70" t="str">
        <f>IF($N106="","",INDEX(Azioni!$J:$J,$N106)&amp;"")</f>
        <v/>
      </c>
      <c r="I106" s="72" t="str">
        <f>IF($N106="","",IF(INDEX(Azioni!$K:$K,$N106)="","",INDEX(Azioni!$K:$K,$N106)))</f>
        <v/>
      </c>
      <c r="J106" s="72" t="str">
        <f>IF(OR($N106="",I106=""),"",IF(OR(H106="Approvata",H106="In corso"),EDATE(I106,N(INDEX(Azioni!$H:$H,$N106))),""))</f>
        <v/>
      </c>
      <c r="K106" s="70" t="str">
        <f>IF($N106="","",INDEX(Azioni!$M:$M,$N106)&amp;"")</f>
        <v/>
      </c>
      <c r="N106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101),1000000),"")</f>
        <v/>
      </c>
    </row>
    <row r="107" spans="1:14" x14ac:dyDescent="0.4">
      <c r="A107" s="70" t="str">
        <f>IF($N107="","",INDEX(Azioni!$A:$A,$N107)&amp;"")</f>
        <v/>
      </c>
      <c r="B107" s="70" t="str">
        <f>IF($N107="","",INDEX(Azioni!$B:$B,$N107)&amp;"")</f>
        <v/>
      </c>
      <c r="C107" s="70" t="str">
        <f>IF($N107="","",INDEX(Azioni!$C:$C,$N107)&amp;"")</f>
        <v/>
      </c>
      <c r="D107" s="71" t="str">
        <f>IF($N107="","",INDEX(Azioni!$D:$D,$N107)&amp;"")</f>
        <v/>
      </c>
      <c r="E107" s="70" t="str">
        <f>IF($N107="","",INDEX(Azioni!$E:$E,$N107)&amp;"")</f>
        <v/>
      </c>
      <c r="F107" s="70" t="str">
        <f>IF($N107="","",INDEX(Azioni!$F:$F,$N107)&amp;"")</f>
        <v/>
      </c>
      <c r="G107" s="70" t="str">
        <f>IF($N107="","",INDEX(Azioni!$G:$G,$N107)&amp;"")</f>
        <v/>
      </c>
      <c r="H107" s="70" t="str">
        <f>IF($N107="","",INDEX(Azioni!$J:$J,$N107)&amp;"")</f>
        <v/>
      </c>
      <c r="I107" s="72" t="str">
        <f>IF($N107="","",IF(INDEX(Azioni!$K:$K,$N107)="","",INDEX(Azioni!$K:$K,$N107)))</f>
        <v/>
      </c>
      <c r="J107" s="72" t="str">
        <f>IF(OR($N107="",I107=""),"",IF(OR(H107="Approvata",H107="In corso"),EDATE(I107,N(INDEX(Azioni!$H:$H,$N107))),""))</f>
        <v/>
      </c>
      <c r="K107" s="70" t="str">
        <f>IF($N107="","",INDEX(Azioni!$M:$M,$N107)&amp;"")</f>
        <v/>
      </c>
      <c r="N107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102),1000000),"")</f>
        <v/>
      </c>
    </row>
    <row r="108" spans="1:14" x14ac:dyDescent="0.4">
      <c r="A108" s="70" t="str">
        <f>IF($N108="","",INDEX(Azioni!$A:$A,$N108)&amp;"")</f>
        <v/>
      </c>
      <c r="B108" s="70" t="str">
        <f>IF($N108="","",INDEX(Azioni!$B:$B,$N108)&amp;"")</f>
        <v/>
      </c>
      <c r="C108" s="70" t="str">
        <f>IF($N108="","",INDEX(Azioni!$C:$C,$N108)&amp;"")</f>
        <v/>
      </c>
      <c r="D108" s="71" t="str">
        <f>IF($N108="","",INDEX(Azioni!$D:$D,$N108)&amp;"")</f>
        <v/>
      </c>
      <c r="E108" s="70" t="str">
        <f>IF($N108="","",INDEX(Azioni!$E:$E,$N108)&amp;"")</f>
        <v/>
      </c>
      <c r="F108" s="70" t="str">
        <f>IF($N108="","",INDEX(Azioni!$F:$F,$N108)&amp;"")</f>
        <v/>
      </c>
      <c r="G108" s="70" t="str">
        <f>IF($N108="","",INDEX(Azioni!$G:$G,$N108)&amp;"")</f>
        <v/>
      </c>
      <c r="H108" s="70" t="str">
        <f>IF($N108="","",INDEX(Azioni!$J:$J,$N108)&amp;"")</f>
        <v/>
      </c>
      <c r="I108" s="72" t="str">
        <f>IF($N108="","",IF(INDEX(Azioni!$K:$K,$N108)="","",INDEX(Azioni!$K:$K,$N108)))</f>
        <v/>
      </c>
      <c r="J108" s="72" t="str">
        <f>IF(OR($N108="",I108=""),"",IF(OR(H108="Approvata",H108="In corso"),EDATE(I108,N(INDEX(Azioni!$H:$H,$N108))),""))</f>
        <v/>
      </c>
      <c r="K108" s="70" t="str">
        <f>IF($N108="","",INDEX(Azioni!$M:$M,$N108)&amp;"")</f>
        <v/>
      </c>
      <c r="N108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103),1000000),"")</f>
        <v/>
      </c>
    </row>
    <row r="109" spans="1:14" x14ac:dyDescent="0.4">
      <c r="A109" s="70" t="str">
        <f>IF($N109="","",INDEX(Azioni!$A:$A,$N109)&amp;"")</f>
        <v/>
      </c>
      <c r="B109" s="70" t="str">
        <f>IF($N109="","",INDEX(Azioni!$B:$B,$N109)&amp;"")</f>
        <v/>
      </c>
      <c r="C109" s="70" t="str">
        <f>IF($N109="","",INDEX(Azioni!$C:$C,$N109)&amp;"")</f>
        <v/>
      </c>
      <c r="D109" s="71" t="str">
        <f>IF($N109="","",INDEX(Azioni!$D:$D,$N109)&amp;"")</f>
        <v/>
      </c>
      <c r="E109" s="70" t="str">
        <f>IF($N109="","",INDEX(Azioni!$E:$E,$N109)&amp;"")</f>
        <v/>
      </c>
      <c r="F109" s="70" t="str">
        <f>IF($N109="","",INDEX(Azioni!$F:$F,$N109)&amp;"")</f>
        <v/>
      </c>
      <c r="G109" s="70" t="str">
        <f>IF($N109="","",INDEX(Azioni!$G:$G,$N109)&amp;"")</f>
        <v/>
      </c>
      <c r="H109" s="70" t="str">
        <f>IF($N109="","",INDEX(Azioni!$J:$J,$N109)&amp;"")</f>
        <v/>
      </c>
      <c r="I109" s="72" t="str">
        <f>IF($N109="","",IF(INDEX(Azioni!$K:$K,$N109)="","",INDEX(Azioni!$K:$K,$N109)))</f>
        <v/>
      </c>
      <c r="J109" s="72" t="str">
        <f>IF(OR($N109="",I109=""),"",IF(OR(H109="Approvata",H109="In corso"),EDATE(I109,N(INDEX(Azioni!$H:$H,$N109))),""))</f>
        <v/>
      </c>
      <c r="K109" s="70" t="str">
        <f>IF($N109="","",INDEX(Azioni!$M:$M,$N109)&amp;"")</f>
        <v/>
      </c>
      <c r="N109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104),1000000),"")</f>
        <v/>
      </c>
    </row>
    <row r="110" spans="1:14" x14ac:dyDescent="0.4">
      <c r="A110" s="70" t="str">
        <f>IF($N110="","",INDEX(Azioni!$A:$A,$N110)&amp;"")</f>
        <v/>
      </c>
      <c r="B110" s="70" t="str">
        <f>IF($N110="","",INDEX(Azioni!$B:$B,$N110)&amp;"")</f>
        <v/>
      </c>
      <c r="C110" s="70" t="str">
        <f>IF($N110="","",INDEX(Azioni!$C:$C,$N110)&amp;"")</f>
        <v/>
      </c>
      <c r="D110" s="71" t="str">
        <f>IF($N110="","",INDEX(Azioni!$D:$D,$N110)&amp;"")</f>
        <v/>
      </c>
      <c r="E110" s="70" t="str">
        <f>IF($N110="","",INDEX(Azioni!$E:$E,$N110)&amp;"")</f>
        <v/>
      </c>
      <c r="F110" s="70" t="str">
        <f>IF($N110="","",INDEX(Azioni!$F:$F,$N110)&amp;"")</f>
        <v/>
      </c>
      <c r="G110" s="70" t="str">
        <f>IF($N110="","",INDEX(Azioni!$G:$G,$N110)&amp;"")</f>
        <v/>
      </c>
      <c r="H110" s="70" t="str">
        <f>IF($N110="","",INDEX(Azioni!$J:$J,$N110)&amp;"")</f>
        <v/>
      </c>
      <c r="I110" s="72" t="str">
        <f>IF($N110="","",IF(INDEX(Azioni!$K:$K,$N110)="","",INDEX(Azioni!$K:$K,$N110)))</f>
        <v/>
      </c>
      <c r="J110" s="72" t="str">
        <f>IF(OR($N110="",I110=""),"",IF(OR(H110="Approvata",H110="In corso"),EDATE(I110,N(INDEX(Azioni!$H:$H,$N110))),""))</f>
        <v/>
      </c>
      <c r="K110" s="70" t="str">
        <f>IF($N110="","",INDEX(Azioni!$M:$M,$N110)&amp;"")</f>
        <v/>
      </c>
      <c r="N110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105),1000000),"")</f>
        <v/>
      </c>
    </row>
    <row r="111" spans="1:14" x14ac:dyDescent="0.4">
      <c r="A111" s="70" t="str">
        <f>IF($N111="","",INDEX(Azioni!$A:$A,$N111)&amp;"")</f>
        <v/>
      </c>
      <c r="B111" s="70" t="str">
        <f>IF($N111="","",INDEX(Azioni!$B:$B,$N111)&amp;"")</f>
        <v/>
      </c>
      <c r="C111" s="70" t="str">
        <f>IF($N111="","",INDEX(Azioni!$C:$C,$N111)&amp;"")</f>
        <v/>
      </c>
      <c r="D111" s="71" t="str">
        <f>IF($N111="","",INDEX(Azioni!$D:$D,$N111)&amp;"")</f>
        <v/>
      </c>
      <c r="E111" s="70" t="str">
        <f>IF($N111="","",INDEX(Azioni!$E:$E,$N111)&amp;"")</f>
        <v/>
      </c>
      <c r="F111" s="70" t="str">
        <f>IF($N111="","",INDEX(Azioni!$F:$F,$N111)&amp;"")</f>
        <v/>
      </c>
      <c r="G111" s="70" t="str">
        <f>IF($N111="","",INDEX(Azioni!$G:$G,$N111)&amp;"")</f>
        <v/>
      </c>
      <c r="H111" s="70" t="str">
        <f>IF($N111="","",INDEX(Azioni!$J:$J,$N111)&amp;"")</f>
        <v/>
      </c>
      <c r="I111" s="72" t="str">
        <f>IF($N111="","",IF(INDEX(Azioni!$K:$K,$N111)="","",INDEX(Azioni!$K:$K,$N111)))</f>
        <v/>
      </c>
      <c r="J111" s="72" t="str">
        <f>IF(OR($N111="",I111=""),"",IF(OR(H111="Approvata",H111="In corso"),EDATE(I111,N(INDEX(Azioni!$H:$H,$N111))),""))</f>
        <v/>
      </c>
      <c r="K111" s="70" t="str">
        <f>IF($N111="","",INDEX(Azioni!$M:$M,$N111)&amp;"")</f>
        <v/>
      </c>
      <c r="N111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106),1000000),"")</f>
        <v/>
      </c>
    </row>
    <row r="112" spans="1:14" x14ac:dyDescent="0.4">
      <c r="A112" s="70" t="str">
        <f>IF($N112="","",INDEX(Azioni!$A:$A,$N112)&amp;"")</f>
        <v/>
      </c>
      <c r="B112" s="70" t="str">
        <f>IF($N112="","",INDEX(Azioni!$B:$B,$N112)&amp;"")</f>
        <v/>
      </c>
      <c r="C112" s="70" t="str">
        <f>IF($N112="","",INDEX(Azioni!$C:$C,$N112)&amp;"")</f>
        <v/>
      </c>
      <c r="D112" s="71" t="str">
        <f>IF($N112="","",INDEX(Azioni!$D:$D,$N112)&amp;"")</f>
        <v/>
      </c>
      <c r="E112" s="70" t="str">
        <f>IF($N112="","",INDEX(Azioni!$E:$E,$N112)&amp;"")</f>
        <v/>
      </c>
      <c r="F112" s="70" t="str">
        <f>IF($N112="","",INDEX(Azioni!$F:$F,$N112)&amp;"")</f>
        <v/>
      </c>
      <c r="G112" s="70" t="str">
        <f>IF($N112="","",INDEX(Azioni!$G:$G,$N112)&amp;"")</f>
        <v/>
      </c>
      <c r="H112" s="70" t="str">
        <f>IF($N112="","",INDEX(Azioni!$J:$J,$N112)&amp;"")</f>
        <v/>
      </c>
      <c r="I112" s="72" t="str">
        <f>IF($N112="","",IF(INDEX(Azioni!$K:$K,$N112)="","",INDEX(Azioni!$K:$K,$N112)))</f>
        <v/>
      </c>
      <c r="J112" s="72" t="str">
        <f>IF(OR($N112="",I112=""),"",IF(OR(H112="Approvata",H112="In corso"),EDATE(I112,N(INDEX(Azioni!$H:$H,$N112))),""))</f>
        <v/>
      </c>
      <c r="K112" s="70" t="str">
        <f>IF($N112="","",INDEX(Azioni!$M:$M,$N112)&amp;"")</f>
        <v/>
      </c>
      <c r="N112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107),1000000),"")</f>
        <v/>
      </c>
    </row>
    <row r="113" spans="1:14" x14ac:dyDescent="0.4">
      <c r="A113" s="70" t="str">
        <f>IF($N113="","",INDEX(Azioni!$A:$A,$N113)&amp;"")</f>
        <v/>
      </c>
      <c r="B113" s="70" t="str">
        <f>IF($N113="","",INDEX(Azioni!$B:$B,$N113)&amp;"")</f>
        <v/>
      </c>
      <c r="C113" s="70" t="str">
        <f>IF($N113="","",INDEX(Azioni!$C:$C,$N113)&amp;"")</f>
        <v/>
      </c>
      <c r="D113" s="71" t="str">
        <f>IF($N113="","",INDEX(Azioni!$D:$D,$N113)&amp;"")</f>
        <v/>
      </c>
      <c r="E113" s="70" t="str">
        <f>IF($N113="","",INDEX(Azioni!$E:$E,$N113)&amp;"")</f>
        <v/>
      </c>
      <c r="F113" s="70" t="str">
        <f>IF($N113="","",INDEX(Azioni!$F:$F,$N113)&amp;"")</f>
        <v/>
      </c>
      <c r="G113" s="70" t="str">
        <f>IF($N113="","",INDEX(Azioni!$G:$G,$N113)&amp;"")</f>
        <v/>
      </c>
      <c r="H113" s="70" t="str">
        <f>IF($N113="","",INDEX(Azioni!$J:$J,$N113)&amp;"")</f>
        <v/>
      </c>
      <c r="I113" s="72" t="str">
        <f>IF($N113="","",IF(INDEX(Azioni!$K:$K,$N113)="","",INDEX(Azioni!$K:$K,$N113)))</f>
        <v/>
      </c>
      <c r="J113" s="72" t="str">
        <f>IF(OR($N113="",I113=""),"",IF(OR(H113="Approvata",H113="In corso"),EDATE(I113,N(INDEX(Azioni!$H:$H,$N113))),""))</f>
        <v/>
      </c>
      <c r="K113" s="70" t="str">
        <f>IF($N113="","",INDEX(Azioni!$M:$M,$N113)&amp;"")</f>
        <v/>
      </c>
      <c r="N113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108),1000000),"")</f>
        <v/>
      </c>
    </row>
    <row r="114" spans="1:14" x14ac:dyDescent="0.4">
      <c r="A114" s="70" t="str">
        <f>IF($N114="","",INDEX(Azioni!$A:$A,$N114)&amp;"")</f>
        <v/>
      </c>
      <c r="B114" s="70" t="str">
        <f>IF($N114="","",INDEX(Azioni!$B:$B,$N114)&amp;"")</f>
        <v/>
      </c>
      <c r="C114" s="70" t="str">
        <f>IF($N114="","",INDEX(Azioni!$C:$C,$N114)&amp;"")</f>
        <v/>
      </c>
      <c r="D114" s="71" t="str">
        <f>IF($N114="","",INDEX(Azioni!$D:$D,$N114)&amp;"")</f>
        <v/>
      </c>
      <c r="E114" s="70" t="str">
        <f>IF($N114="","",INDEX(Azioni!$E:$E,$N114)&amp;"")</f>
        <v/>
      </c>
      <c r="F114" s="70" t="str">
        <f>IF($N114="","",INDEX(Azioni!$F:$F,$N114)&amp;"")</f>
        <v/>
      </c>
      <c r="G114" s="70" t="str">
        <f>IF($N114="","",INDEX(Azioni!$G:$G,$N114)&amp;"")</f>
        <v/>
      </c>
      <c r="H114" s="70" t="str">
        <f>IF($N114="","",INDEX(Azioni!$J:$J,$N114)&amp;"")</f>
        <v/>
      </c>
      <c r="I114" s="72" t="str">
        <f>IF($N114="","",IF(INDEX(Azioni!$K:$K,$N114)="","",INDEX(Azioni!$K:$K,$N114)))</f>
        <v/>
      </c>
      <c r="J114" s="72" t="str">
        <f>IF(OR($N114="",I114=""),"",IF(OR(H114="Approvata",H114="In corso"),EDATE(I114,N(INDEX(Azioni!$H:$H,$N114))),""))</f>
        <v/>
      </c>
      <c r="K114" s="70" t="str">
        <f>IF($N114="","",INDEX(Azioni!$M:$M,$N114)&amp;"")</f>
        <v/>
      </c>
      <c r="N114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109),1000000),"")</f>
        <v/>
      </c>
    </row>
    <row r="115" spans="1:14" x14ac:dyDescent="0.4">
      <c r="A115" s="70" t="str">
        <f>IF($N115="","",INDEX(Azioni!$A:$A,$N115)&amp;"")</f>
        <v/>
      </c>
      <c r="B115" s="70" t="str">
        <f>IF($N115="","",INDEX(Azioni!$B:$B,$N115)&amp;"")</f>
        <v/>
      </c>
      <c r="C115" s="70" t="str">
        <f>IF($N115="","",INDEX(Azioni!$C:$C,$N115)&amp;"")</f>
        <v/>
      </c>
      <c r="D115" s="71" t="str">
        <f>IF($N115="","",INDEX(Azioni!$D:$D,$N115)&amp;"")</f>
        <v/>
      </c>
      <c r="E115" s="70" t="str">
        <f>IF($N115="","",INDEX(Azioni!$E:$E,$N115)&amp;"")</f>
        <v/>
      </c>
      <c r="F115" s="70" t="str">
        <f>IF($N115="","",INDEX(Azioni!$F:$F,$N115)&amp;"")</f>
        <v/>
      </c>
      <c r="G115" s="70" t="str">
        <f>IF($N115="","",INDEX(Azioni!$G:$G,$N115)&amp;"")</f>
        <v/>
      </c>
      <c r="H115" s="70" t="str">
        <f>IF($N115="","",INDEX(Azioni!$J:$J,$N115)&amp;"")</f>
        <v/>
      </c>
      <c r="I115" s="72" t="str">
        <f>IF($N115="","",IF(INDEX(Azioni!$K:$K,$N115)="","",INDEX(Azioni!$K:$K,$N115)))</f>
        <v/>
      </c>
      <c r="J115" s="72" t="str">
        <f>IF(OR($N115="",I115=""),"",IF(OR(H115="Approvata",H115="In corso"),EDATE(I115,N(INDEX(Azioni!$H:$H,$N115))),""))</f>
        <v/>
      </c>
      <c r="K115" s="70" t="str">
        <f>IF($N115="","",INDEX(Azioni!$M:$M,$N115)&amp;"")</f>
        <v/>
      </c>
      <c r="N115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110),1000000),"")</f>
        <v/>
      </c>
    </row>
    <row r="116" spans="1:14" x14ac:dyDescent="0.4">
      <c r="A116" s="70" t="str">
        <f>IF($N116="","",INDEX(Azioni!$A:$A,$N116)&amp;"")</f>
        <v/>
      </c>
      <c r="B116" s="70" t="str">
        <f>IF($N116="","",INDEX(Azioni!$B:$B,$N116)&amp;"")</f>
        <v/>
      </c>
      <c r="C116" s="70" t="str">
        <f>IF($N116="","",INDEX(Azioni!$C:$C,$N116)&amp;"")</f>
        <v/>
      </c>
      <c r="D116" s="71" t="str">
        <f>IF($N116="","",INDEX(Azioni!$D:$D,$N116)&amp;"")</f>
        <v/>
      </c>
      <c r="E116" s="70" t="str">
        <f>IF($N116="","",INDEX(Azioni!$E:$E,$N116)&amp;"")</f>
        <v/>
      </c>
      <c r="F116" s="70" t="str">
        <f>IF($N116="","",INDEX(Azioni!$F:$F,$N116)&amp;"")</f>
        <v/>
      </c>
      <c r="G116" s="70" t="str">
        <f>IF($N116="","",INDEX(Azioni!$G:$G,$N116)&amp;"")</f>
        <v/>
      </c>
      <c r="H116" s="70" t="str">
        <f>IF($N116="","",INDEX(Azioni!$J:$J,$N116)&amp;"")</f>
        <v/>
      </c>
      <c r="I116" s="72" t="str">
        <f>IF($N116="","",IF(INDEX(Azioni!$K:$K,$N116)="","",INDEX(Azioni!$K:$K,$N116)))</f>
        <v/>
      </c>
      <c r="J116" s="72" t="str">
        <f>IF(OR($N116="",I116=""),"",IF(OR(H116="Approvata",H116="In corso"),EDATE(I116,N(INDEX(Azioni!$H:$H,$N116))),""))</f>
        <v/>
      </c>
      <c r="K116" s="70" t="str">
        <f>IF($N116="","",INDEX(Azioni!$M:$M,$N116)&amp;"")</f>
        <v/>
      </c>
      <c r="N116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111),1000000),"")</f>
        <v/>
      </c>
    </row>
    <row r="117" spans="1:14" x14ac:dyDescent="0.4">
      <c r="A117" s="70" t="str">
        <f>IF($N117="","",INDEX(Azioni!$A:$A,$N117)&amp;"")</f>
        <v/>
      </c>
      <c r="B117" s="70" t="str">
        <f>IF($N117="","",INDEX(Azioni!$B:$B,$N117)&amp;"")</f>
        <v/>
      </c>
      <c r="C117" s="70" t="str">
        <f>IF($N117="","",INDEX(Azioni!$C:$C,$N117)&amp;"")</f>
        <v/>
      </c>
      <c r="D117" s="71" t="str">
        <f>IF($N117="","",INDEX(Azioni!$D:$D,$N117)&amp;"")</f>
        <v/>
      </c>
      <c r="E117" s="70" t="str">
        <f>IF($N117="","",INDEX(Azioni!$E:$E,$N117)&amp;"")</f>
        <v/>
      </c>
      <c r="F117" s="70" t="str">
        <f>IF($N117="","",INDEX(Azioni!$F:$F,$N117)&amp;"")</f>
        <v/>
      </c>
      <c r="G117" s="70" t="str">
        <f>IF($N117="","",INDEX(Azioni!$G:$G,$N117)&amp;"")</f>
        <v/>
      </c>
      <c r="H117" s="70" t="str">
        <f>IF($N117="","",INDEX(Azioni!$J:$J,$N117)&amp;"")</f>
        <v/>
      </c>
      <c r="I117" s="72" t="str">
        <f>IF($N117="","",IF(INDEX(Azioni!$K:$K,$N117)="","",INDEX(Azioni!$K:$K,$N117)))</f>
        <v/>
      </c>
      <c r="J117" s="72" t="str">
        <f>IF(OR($N117="",I117=""),"",IF(OR(H117="Approvata",H117="In corso"),EDATE(I117,N(INDEX(Azioni!$H:$H,$N117))),""))</f>
        <v/>
      </c>
      <c r="K117" s="70" t="str">
        <f>IF($N117="","",INDEX(Azioni!$M:$M,$N117)&amp;"")</f>
        <v/>
      </c>
      <c r="N117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112),1000000),"")</f>
        <v/>
      </c>
    </row>
    <row r="118" spans="1:14" x14ac:dyDescent="0.4">
      <c r="A118" s="70" t="str">
        <f>IF($N118="","",INDEX(Azioni!$A:$A,$N118)&amp;"")</f>
        <v/>
      </c>
      <c r="B118" s="70" t="str">
        <f>IF($N118="","",INDEX(Azioni!$B:$B,$N118)&amp;"")</f>
        <v/>
      </c>
      <c r="C118" s="70" t="str">
        <f>IF($N118="","",INDEX(Azioni!$C:$C,$N118)&amp;"")</f>
        <v/>
      </c>
      <c r="D118" s="71" t="str">
        <f>IF($N118="","",INDEX(Azioni!$D:$D,$N118)&amp;"")</f>
        <v/>
      </c>
      <c r="E118" s="70" t="str">
        <f>IF($N118="","",INDEX(Azioni!$E:$E,$N118)&amp;"")</f>
        <v/>
      </c>
      <c r="F118" s="70" t="str">
        <f>IF($N118="","",INDEX(Azioni!$F:$F,$N118)&amp;"")</f>
        <v/>
      </c>
      <c r="G118" s="70" t="str">
        <f>IF($N118="","",INDEX(Azioni!$G:$G,$N118)&amp;"")</f>
        <v/>
      </c>
      <c r="H118" s="70" t="str">
        <f>IF($N118="","",INDEX(Azioni!$J:$J,$N118)&amp;"")</f>
        <v/>
      </c>
      <c r="I118" s="72" t="str">
        <f>IF($N118="","",IF(INDEX(Azioni!$K:$K,$N118)="","",INDEX(Azioni!$K:$K,$N118)))</f>
        <v/>
      </c>
      <c r="J118" s="72" t="str">
        <f>IF(OR($N118="",I118=""),"",IF(OR(H118="Approvata",H118="In corso"),EDATE(I118,N(INDEX(Azioni!$H:$H,$N118))),""))</f>
        <v/>
      </c>
      <c r="K118" s="70" t="str">
        <f>IF($N118="","",INDEX(Azioni!$M:$M,$N118)&amp;"")</f>
        <v/>
      </c>
      <c r="N118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113),1000000),"")</f>
        <v/>
      </c>
    </row>
    <row r="119" spans="1:14" x14ac:dyDescent="0.4">
      <c r="A119" s="70" t="str">
        <f>IF($N119="","",INDEX(Azioni!$A:$A,$N119)&amp;"")</f>
        <v/>
      </c>
      <c r="B119" s="70" t="str">
        <f>IF($N119="","",INDEX(Azioni!$B:$B,$N119)&amp;"")</f>
        <v/>
      </c>
      <c r="C119" s="70" t="str">
        <f>IF($N119="","",INDEX(Azioni!$C:$C,$N119)&amp;"")</f>
        <v/>
      </c>
      <c r="D119" s="71" t="str">
        <f>IF($N119="","",INDEX(Azioni!$D:$D,$N119)&amp;"")</f>
        <v/>
      </c>
      <c r="E119" s="70" t="str">
        <f>IF($N119="","",INDEX(Azioni!$E:$E,$N119)&amp;"")</f>
        <v/>
      </c>
      <c r="F119" s="70" t="str">
        <f>IF($N119="","",INDEX(Azioni!$F:$F,$N119)&amp;"")</f>
        <v/>
      </c>
      <c r="G119" s="70" t="str">
        <f>IF($N119="","",INDEX(Azioni!$G:$G,$N119)&amp;"")</f>
        <v/>
      </c>
      <c r="H119" s="70" t="str">
        <f>IF($N119="","",INDEX(Azioni!$J:$J,$N119)&amp;"")</f>
        <v/>
      </c>
      <c r="I119" s="72" t="str">
        <f>IF($N119="","",IF(INDEX(Azioni!$K:$K,$N119)="","",INDEX(Azioni!$K:$K,$N119)))</f>
        <v/>
      </c>
      <c r="J119" s="72" t="str">
        <f>IF(OR($N119="",I119=""),"",IF(OR(H119="Approvata",H119="In corso"),EDATE(I119,N(INDEX(Azioni!$H:$H,$N119))),""))</f>
        <v/>
      </c>
      <c r="K119" s="70" t="str">
        <f>IF($N119="","",INDEX(Azioni!$M:$M,$N119)&amp;"")</f>
        <v/>
      </c>
      <c r="N119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114),1000000),"")</f>
        <v/>
      </c>
    </row>
    <row r="120" spans="1:14" x14ac:dyDescent="0.4">
      <c r="A120" s="70" t="str">
        <f>IF($N120="","",INDEX(Azioni!$A:$A,$N120)&amp;"")</f>
        <v/>
      </c>
      <c r="B120" s="70" t="str">
        <f>IF($N120="","",INDEX(Azioni!$B:$B,$N120)&amp;"")</f>
        <v/>
      </c>
      <c r="C120" s="70" t="str">
        <f>IF($N120="","",INDEX(Azioni!$C:$C,$N120)&amp;"")</f>
        <v/>
      </c>
      <c r="D120" s="71" t="str">
        <f>IF($N120="","",INDEX(Azioni!$D:$D,$N120)&amp;"")</f>
        <v/>
      </c>
      <c r="E120" s="70" t="str">
        <f>IF($N120="","",INDEX(Azioni!$E:$E,$N120)&amp;"")</f>
        <v/>
      </c>
      <c r="F120" s="70" t="str">
        <f>IF($N120="","",INDEX(Azioni!$F:$F,$N120)&amp;"")</f>
        <v/>
      </c>
      <c r="G120" s="70" t="str">
        <f>IF($N120="","",INDEX(Azioni!$G:$G,$N120)&amp;"")</f>
        <v/>
      </c>
      <c r="H120" s="70" t="str">
        <f>IF($N120="","",INDEX(Azioni!$J:$J,$N120)&amp;"")</f>
        <v/>
      </c>
      <c r="I120" s="72" t="str">
        <f>IF($N120="","",IF(INDEX(Azioni!$K:$K,$N120)="","",INDEX(Azioni!$K:$K,$N120)))</f>
        <v/>
      </c>
      <c r="J120" s="72" t="str">
        <f>IF(OR($N120="",I120=""),"",IF(OR(H120="Approvata",H120="In corso"),EDATE(I120,N(INDEX(Azioni!$H:$H,$N120))),""))</f>
        <v/>
      </c>
      <c r="K120" s="70" t="str">
        <f>IF($N120="","",INDEX(Azioni!$M:$M,$N120)&amp;"")</f>
        <v/>
      </c>
      <c r="N120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115),1000000),"")</f>
        <v/>
      </c>
    </row>
    <row r="121" spans="1:14" x14ac:dyDescent="0.4">
      <c r="A121" s="70" t="str">
        <f>IF($N121="","",INDEX(Azioni!$A:$A,$N121)&amp;"")</f>
        <v/>
      </c>
      <c r="B121" s="70" t="str">
        <f>IF($N121="","",INDEX(Azioni!$B:$B,$N121)&amp;"")</f>
        <v/>
      </c>
      <c r="C121" s="70" t="str">
        <f>IF($N121="","",INDEX(Azioni!$C:$C,$N121)&amp;"")</f>
        <v/>
      </c>
      <c r="D121" s="71" t="str">
        <f>IF($N121="","",INDEX(Azioni!$D:$D,$N121)&amp;"")</f>
        <v/>
      </c>
      <c r="E121" s="70" t="str">
        <f>IF($N121="","",INDEX(Azioni!$E:$E,$N121)&amp;"")</f>
        <v/>
      </c>
      <c r="F121" s="70" t="str">
        <f>IF($N121="","",INDEX(Azioni!$F:$F,$N121)&amp;"")</f>
        <v/>
      </c>
      <c r="G121" s="70" t="str">
        <f>IF($N121="","",INDEX(Azioni!$G:$G,$N121)&amp;"")</f>
        <v/>
      </c>
      <c r="H121" s="70" t="str">
        <f>IF($N121="","",INDEX(Azioni!$J:$J,$N121)&amp;"")</f>
        <v/>
      </c>
      <c r="I121" s="72" t="str">
        <f>IF($N121="","",IF(INDEX(Azioni!$K:$K,$N121)="","",INDEX(Azioni!$K:$K,$N121)))</f>
        <v/>
      </c>
      <c r="J121" s="72" t="str">
        <f>IF(OR($N121="",I121=""),"",IF(OR(H121="Approvata",H121="In corso"),EDATE(I121,N(INDEX(Azioni!$H:$H,$N121))),""))</f>
        <v/>
      </c>
      <c r="K121" s="70" t="str">
        <f>IF($N121="","",INDEX(Azioni!$M:$M,$N121)&amp;"")</f>
        <v/>
      </c>
      <c r="N121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116),1000000),"")</f>
        <v/>
      </c>
    </row>
    <row r="122" spans="1:14" x14ac:dyDescent="0.4">
      <c r="A122" s="70" t="str">
        <f>IF($N122="","",INDEX(Azioni!$A:$A,$N122)&amp;"")</f>
        <v/>
      </c>
      <c r="B122" s="70" t="str">
        <f>IF($N122="","",INDEX(Azioni!$B:$B,$N122)&amp;"")</f>
        <v/>
      </c>
      <c r="C122" s="70" t="str">
        <f>IF($N122="","",INDEX(Azioni!$C:$C,$N122)&amp;"")</f>
        <v/>
      </c>
      <c r="D122" s="71" t="str">
        <f>IF($N122="","",INDEX(Azioni!$D:$D,$N122)&amp;"")</f>
        <v/>
      </c>
      <c r="E122" s="70" t="str">
        <f>IF($N122="","",INDEX(Azioni!$E:$E,$N122)&amp;"")</f>
        <v/>
      </c>
      <c r="F122" s="70" t="str">
        <f>IF($N122="","",INDEX(Azioni!$F:$F,$N122)&amp;"")</f>
        <v/>
      </c>
      <c r="G122" s="70" t="str">
        <f>IF($N122="","",INDEX(Azioni!$G:$G,$N122)&amp;"")</f>
        <v/>
      </c>
      <c r="H122" s="70" t="str">
        <f>IF($N122="","",INDEX(Azioni!$J:$J,$N122)&amp;"")</f>
        <v/>
      </c>
      <c r="I122" s="72" t="str">
        <f>IF($N122="","",IF(INDEX(Azioni!$K:$K,$N122)="","",INDEX(Azioni!$K:$K,$N122)))</f>
        <v/>
      </c>
      <c r="J122" s="72" t="str">
        <f>IF(OR($N122="",I122=""),"",IF(OR(H122="Approvata",H122="In corso"),EDATE(I122,N(INDEX(Azioni!$H:$H,$N122))),""))</f>
        <v/>
      </c>
      <c r="K122" s="70" t="str">
        <f>IF($N122="","",INDEX(Azioni!$M:$M,$N122)&amp;"")</f>
        <v/>
      </c>
      <c r="N122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117),1000000),"")</f>
        <v/>
      </c>
    </row>
    <row r="123" spans="1:14" x14ac:dyDescent="0.4">
      <c r="A123" s="70" t="str">
        <f>IF($N123="","",INDEX(Azioni!$A:$A,$N123)&amp;"")</f>
        <v/>
      </c>
      <c r="B123" s="70" t="str">
        <f>IF($N123="","",INDEX(Azioni!$B:$B,$N123)&amp;"")</f>
        <v/>
      </c>
      <c r="C123" s="70" t="str">
        <f>IF($N123="","",INDEX(Azioni!$C:$C,$N123)&amp;"")</f>
        <v/>
      </c>
      <c r="D123" s="71" t="str">
        <f>IF($N123="","",INDEX(Azioni!$D:$D,$N123)&amp;"")</f>
        <v/>
      </c>
      <c r="E123" s="70" t="str">
        <f>IF($N123="","",INDEX(Azioni!$E:$E,$N123)&amp;"")</f>
        <v/>
      </c>
      <c r="F123" s="70" t="str">
        <f>IF($N123="","",INDEX(Azioni!$F:$F,$N123)&amp;"")</f>
        <v/>
      </c>
      <c r="G123" s="70" t="str">
        <f>IF($N123="","",INDEX(Azioni!$G:$G,$N123)&amp;"")</f>
        <v/>
      </c>
      <c r="H123" s="70" t="str">
        <f>IF($N123="","",INDEX(Azioni!$J:$J,$N123)&amp;"")</f>
        <v/>
      </c>
      <c r="I123" s="72" t="str">
        <f>IF($N123="","",IF(INDEX(Azioni!$K:$K,$N123)="","",INDEX(Azioni!$K:$K,$N123)))</f>
        <v/>
      </c>
      <c r="J123" s="72" t="str">
        <f>IF(OR($N123="",I123=""),"",IF(OR(H123="Approvata",H123="In corso"),EDATE(I123,N(INDEX(Azioni!$H:$H,$N123))),""))</f>
        <v/>
      </c>
      <c r="K123" s="70" t="str">
        <f>IF($N123="","",INDEX(Azioni!$M:$M,$N123)&amp;"")</f>
        <v/>
      </c>
      <c r="N123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118),1000000),"")</f>
        <v/>
      </c>
    </row>
    <row r="124" spans="1:14" x14ac:dyDescent="0.4">
      <c r="A124" s="70" t="str">
        <f>IF($N124="","",INDEX(Azioni!$A:$A,$N124)&amp;"")</f>
        <v/>
      </c>
      <c r="B124" s="70" t="str">
        <f>IF($N124="","",INDEX(Azioni!$B:$B,$N124)&amp;"")</f>
        <v/>
      </c>
      <c r="C124" s="70" t="str">
        <f>IF($N124="","",INDEX(Azioni!$C:$C,$N124)&amp;"")</f>
        <v/>
      </c>
      <c r="D124" s="71" t="str">
        <f>IF($N124="","",INDEX(Azioni!$D:$D,$N124)&amp;"")</f>
        <v/>
      </c>
      <c r="E124" s="70" t="str">
        <f>IF($N124="","",INDEX(Azioni!$E:$E,$N124)&amp;"")</f>
        <v/>
      </c>
      <c r="F124" s="70" t="str">
        <f>IF($N124="","",INDEX(Azioni!$F:$F,$N124)&amp;"")</f>
        <v/>
      </c>
      <c r="G124" s="70" t="str">
        <f>IF($N124="","",INDEX(Azioni!$G:$G,$N124)&amp;"")</f>
        <v/>
      </c>
      <c r="H124" s="70" t="str">
        <f>IF($N124="","",INDEX(Azioni!$J:$J,$N124)&amp;"")</f>
        <v/>
      </c>
      <c r="I124" s="72" t="str">
        <f>IF($N124="","",IF(INDEX(Azioni!$K:$K,$N124)="","",INDEX(Azioni!$K:$K,$N124)))</f>
        <v/>
      </c>
      <c r="J124" s="72" t="str">
        <f>IF(OR($N124="",I124=""),"",IF(OR(H124="Approvata",H124="In corso"),EDATE(I124,N(INDEX(Azioni!$H:$H,$N124))),""))</f>
        <v/>
      </c>
      <c r="K124" s="70" t="str">
        <f>IF($N124="","",INDEX(Azioni!$M:$M,$N124)&amp;"")</f>
        <v/>
      </c>
      <c r="N124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119),1000000),"")</f>
        <v/>
      </c>
    </row>
    <row r="125" spans="1:14" x14ac:dyDescent="0.4">
      <c r="A125" s="70" t="str">
        <f>IF($N125="","",INDEX(Azioni!$A:$A,$N125)&amp;"")</f>
        <v/>
      </c>
      <c r="B125" s="70" t="str">
        <f>IF($N125="","",INDEX(Azioni!$B:$B,$N125)&amp;"")</f>
        <v/>
      </c>
      <c r="C125" s="70" t="str">
        <f>IF($N125="","",INDEX(Azioni!$C:$C,$N125)&amp;"")</f>
        <v/>
      </c>
      <c r="D125" s="71" t="str">
        <f>IF($N125="","",INDEX(Azioni!$D:$D,$N125)&amp;"")</f>
        <v/>
      </c>
      <c r="E125" s="70" t="str">
        <f>IF($N125="","",INDEX(Azioni!$E:$E,$N125)&amp;"")</f>
        <v/>
      </c>
      <c r="F125" s="70" t="str">
        <f>IF($N125="","",INDEX(Azioni!$F:$F,$N125)&amp;"")</f>
        <v/>
      </c>
      <c r="G125" s="70" t="str">
        <f>IF($N125="","",INDEX(Azioni!$G:$G,$N125)&amp;"")</f>
        <v/>
      </c>
      <c r="H125" s="70" t="str">
        <f>IF($N125="","",INDEX(Azioni!$J:$J,$N125)&amp;"")</f>
        <v/>
      </c>
      <c r="I125" s="72" t="str">
        <f>IF($N125="","",IF(INDEX(Azioni!$K:$K,$N125)="","",INDEX(Azioni!$K:$K,$N125)))</f>
        <v/>
      </c>
      <c r="J125" s="72" t="str">
        <f>IF(OR($N125="",I125=""),"",IF(OR(H125="Approvata",H125="In corso"),EDATE(I125,N(INDEX(Azioni!$H:$H,$N125))),""))</f>
        <v/>
      </c>
      <c r="K125" s="70" t="str">
        <f>IF($N125="","",INDEX(Azioni!$M:$M,$N125)&amp;"")</f>
        <v/>
      </c>
      <c r="N125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120),1000000),"")</f>
        <v/>
      </c>
    </row>
    <row r="126" spans="1:14" x14ac:dyDescent="0.4">
      <c r="A126" s="70" t="str">
        <f>IF($N126="","",INDEX(Azioni!$A:$A,$N126)&amp;"")</f>
        <v/>
      </c>
      <c r="B126" s="70" t="str">
        <f>IF($N126="","",INDEX(Azioni!$B:$B,$N126)&amp;"")</f>
        <v/>
      </c>
      <c r="C126" s="70" t="str">
        <f>IF($N126="","",INDEX(Azioni!$C:$C,$N126)&amp;"")</f>
        <v/>
      </c>
      <c r="D126" s="71" t="str">
        <f>IF($N126="","",INDEX(Azioni!$D:$D,$N126)&amp;"")</f>
        <v/>
      </c>
      <c r="E126" s="70" t="str">
        <f>IF($N126="","",INDEX(Azioni!$E:$E,$N126)&amp;"")</f>
        <v/>
      </c>
      <c r="F126" s="70" t="str">
        <f>IF($N126="","",INDEX(Azioni!$F:$F,$N126)&amp;"")</f>
        <v/>
      </c>
      <c r="G126" s="70" t="str">
        <f>IF($N126="","",INDEX(Azioni!$G:$G,$N126)&amp;"")</f>
        <v/>
      </c>
      <c r="H126" s="70" t="str">
        <f>IF($N126="","",INDEX(Azioni!$J:$J,$N126)&amp;"")</f>
        <v/>
      </c>
      <c r="I126" s="72" t="str">
        <f>IF($N126="","",IF(INDEX(Azioni!$K:$K,$N126)="","",INDEX(Azioni!$K:$K,$N126)))</f>
        <v/>
      </c>
      <c r="J126" s="72" t="str">
        <f>IF(OR($N126="",I126=""),"",IF(OR(H126="Approvata",H126="In corso"),EDATE(I126,N(INDEX(Azioni!$H:$H,$N126))),""))</f>
        <v/>
      </c>
      <c r="K126" s="70" t="str">
        <f>IF($N126="","",INDEX(Azioni!$M:$M,$N126)&amp;"")</f>
        <v/>
      </c>
      <c r="N126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121),1000000),"")</f>
        <v/>
      </c>
    </row>
    <row r="127" spans="1:14" x14ac:dyDescent="0.4">
      <c r="A127" s="70" t="str">
        <f>IF($N127="","",INDEX(Azioni!$A:$A,$N127)&amp;"")</f>
        <v/>
      </c>
      <c r="B127" s="70" t="str">
        <f>IF($N127="","",INDEX(Azioni!$B:$B,$N127)&amp;"")</f>
        <v/>
      </c>
      <c r="C127" s="70" t="str">
        <f>IF($N127="","",INDEX(Azioni!$C:$C,$N127)&amp;"")</f>
        <v/>
      </c>
      <c r="D127" s="71" t="str">
        <f>IF($N127="","",INDEX(Azioni!$D:$D,$N127)&amp;"")</f>
        <v/>
      </c>
      <c r="E127" s="70" t="str">
        <f>IF($N127="","",INDEX(Azioni!$E:$E,$N127)&amp;"")</f>
        <v/>
      </c>
      <c r="F127" s="70" t="str">
        <f>IF($N127="","",INDEX(Azioni!$F:$F,$N127)&amp;"")</f>
        <v/>
      </c>
      <c r="G127" s="70" t="str">
        <f>IF($N127="","",INDEX(Azioni!$G:$G,$N127)&amp;"")</f>
        <v/>
      </c>
      <c r="H127" s="70" t="str">
        <f>IF($N127="","",INDEX(Azioni!$J:$J,$N127)&amp;"")</f>
        <v/>
      </c>
      <c r="I127" s="72" t="str">
        <f>IF($N127="","",IF(INDEX(Azioni!$K:$K,$N127)="","",INDEX(Azioni!$K:$K,$N127)))</f>
        <v/>
      </c>
      <c r="J127" s="72" t="str">
        <f>IF(OR($N127="",I127=""),"",IF(OR(H127="Approvata",H127="In corso"),EDATE(I127,N(INDEX(Azioni!$H:$H,$N127))),""))</f>
        <v/>
      </c>
      <c r="K127" s="70" t="str">
        <f>IF($N127="","",INDEX(Azioni!$M:$M,$N127)&amp;"")</f>
        <v/>
      </c>
      <c r="N127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122),1000000),"")</f>
        <v/>
      </c>
    </row>
    <row r="128" spans="1:14" x14ac:dyDescent="0.4">
      <c r="A128" s="70" t="str">
        <f>IF($N128="","",INDEX(Azioni!$A:$A,$N128)&amp;"")</f>
        <v/>
      </c>
      <c r="B128" s="70" t="str">
        <f>IF($N128="","",INDEX(Azioni!$B:$B,$N128)&amp;"")</f>
        <v/>
      </c>
      <c r="C128" s="70" t="str">
        <f>IF($N128="","",INDEX(Azioni!$C:$C,$N128)&amp;"")</f>
        <v/>
      </c>
      <c r="D128" s="71" t="str">
        <f>IF($N128="","",INDEX(Azioni!$D:$D,$N128)&amp;"")</f>
        <v/>
      </c>
      <c r="E128" s="70" t="str">
        <f>IF($N128="","",INDEX(Azioni!$E:$E,$N128)&amp;"")</f>
        <v/>
      </c>
      <c r="F128" s="70" t="str">
        <f>IF($N128="","",INDEX(Azioni!$F:$F,$N128)&amp;"")</f>
        <v/>
      </c>
      <c r="G128" s="70" t="str">
        <f>IF($N128="","",INDEX(Azioni!$G:$G,$N128)&amp;"")</f>
        <v/>
      </c>
      <c r="H128" s="70" t="str">
        <f>IF($N128="","",INDEX(Azioni!$J:$J,$N128)&amp;"")</f>
        <v/>
      </c>
      <c r="I128" s="72" t="str">
        <f>IF($N128="","",IF(INDEX(Azioni!$K:$K,$N128)="","",INDEX(Azioni!$K:$K,$N128)))</f>
        <v/>
      </c>
      <c r="J128" s="72" t="str">
        <f>IF(OR($N128="",I128=""),"",IF(OR(H128="Approvata",H128="In corso"),EDATE(I128,N(INDEX(Azioni!$H:$H,$N128))),""))</f>
        <v/>
      </c>
      <c r="K128" s="70" t="str">
        <f>IF($N128="","",INDEX(Azioni!$M:$M,$N128)&amp;"")</f>
        <v/>
      </c>
      <c r="N128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123),1000000),"")</f>
        <v/>
      </c>
    </row>
    <row r="129" spans="1:14" x14ac:dyDescent="0.4">
      <c r="A129" s="70" t="str">
        <f>IF($N129="","",INDEX(Azioni!$A:$A,$N129)&amp;"")</f>
        <v/>
      </c>
      <c r="B129" s="70" t="str">
        <f>IF($N129="","",INDEX(Azioni!$B:$B,$N129)&amp;"")</f>
        <v/>
      </c>
      <c r="C129" s="70" t="str">
        <f>IF($N129="","",INDEX(Azioni!$C:$C,$N129)&amp;"")</f>
        <v/>
      </c>
      <c r="D129" s="71" t="str">
        <f>IF($N129="","",INDEX(Azioni!$D:$D,$N129)&amp;"")</f>
        <v/>
      </c>
      <c r="E129" s="70" t="str">
        <f>IF($N129="","",INDEX(Azioni!$E:$E,$N129)&amp;"")</f>
        <v/>
      </c>
      <c r="F129" s="70" t="str">
        <f>IF($N129="","",INDEX(Azioni!$F:$F,$N129)&amp;"")</f>
        <v/>
      </c>
      <c r="G129" s="70" t="str">
        <f>IF($N129="","",INDEX(Azioni!$G:$G,$N129)&amp;"")</f>
        <v/>
      </c>
      <c r="H129" s="70" t="str">
        <f>IF($N129="","",INDEX(Azioni!$J:$J,$N129)&amp;"")</f>
        <v/>
      </c>
      <c r="I129" s="72" t="str">
        <f>IF($N129="","",IF(INDEX(Azioni!$K:$K,$N129)="","",INDEX(Azioni!$K:$K,$N129)))</f>
        <v/>
      </c>
      <c r="J129" s="72" t="str">
        <f>IF(OR($N129="",I129=""),"",IF(OR(H129="Approvata",H129="In corso"),EDATE(I129,N(INDEX(Azioni!$H:$H,$N129))),""))</f>
        <v/>
      </c>
      <c r="K129" s="70" t="str">
        <f>IF($N129="","",INDEX(Azioni!$M:$M,$N129)&amp;"")</f>
        <v/>
      </c>
      <c r="N129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124),1000000),"")</f>
        <v/>
      </c>
    </row>
    <row r="130" spans="1:14" x14ac:dyDescent="0.4">
      <c r="A130" s="70" t="str">
        <f>IF($N130="","",INDEX(Azioni!$A:$A,$N130)&amp;"")</f>
        <v/>
      </c>
      <c r="B130" s="70" t="str">
        <f>IF($N130="","",INDEX(Azioni!$B:$B,$N130)&amp;"")</f>
        <v/>
      </c>
      <c r="C130" s="70" t="str">
        <f>IF($N130="","",INDEX(Azioni!$C:$C,$N130)&amp;"")</f>
        <v/>
      </c>
      <c r="D130" s="71" t="str">
        <f>IF($N130="","",INDEX(Azioni!$D:$D,$N130)&amp;"")</f>
        <v/>
      </c>
      <c r="E130" s="70" t="str">
        <f>IF($N130="","",INDEX(Azioni!$E:$E,$N130)&amp;"")</f>
        <v/>
      </c>
      <c r="F130" s="70" t="str">
        <f>IF($N130="","",INDEX(Azioni!$F:$F,$N130)&amp;"")</f>
        <v/>
      </c>
      <c r="G130" s="70" t="str">
        <f>IF($N130="","",INDEX(Azioni!$G:$G,$N130)&amp;"")</f>
        <v/>
      </c>
      <c r="H130" s="70" t="str">
        <f>IF($N130="","",INDEX(Azioni!$J:$J,$N130)&amp;"")</f>
        <v/>
      </c>
      <c r="I130" s="72" t="str">
        <f>IF($N130="","",IF(INDEX(Azioni!$K:$K,$N130)="","",INDEX(Azioni!$K:$K,$N130)))</f>
        <v/>
      </c>
      <c r="J130" s="72" t="str">
        <f>IF(OR($N130="",I130=""),"",IF(OR(H130="Approvata",H130="In corso"),EDATE(I130,N(INDEX(Azioni!$H:$H,$N130))),""))</f>
        <v/>
      </c>
      <c r="K130" s="70" t="str">
        <f>IF($N130="","",INDEX(Azioni!$M:$M,$N130)&amp;"")</f>
        <v/>
      </c>
      <c r="N130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125),1000000),"")</f>
        <v/>
      </c>
    </row>
    <row r="131" spans="1:14" x14ac:dyDescent="0.4">
      <c r="A131" s="70" t="str">
        <f>IF($N131="","",INDEX(Azioni!$A:$A,$N131)&amp;"")</f>
        <v/>
      </c>
      <c r="B131" s="70" t="str">
        <f>IF($N131="","",INDEX(Azioni!$B:$B,$N131)&amp;"")</f>
        <v/>
      </c>
      <c r="C131" s="70" t="str">
        <f>IF($N131="","",INDEX(Azioni!$C:$C,$N131)&amp;"")</f>
        <v/>
      </c>
      <c r="D131" s="71" t="str">
        <f>IF($N131="","",INDEX(Azioni!$D:$D,$N131)&amp;"")</f>
        <v/>
      </c>
      <c r="E131" s="70" t="str">
        <f>IF($N131="","",INDEX(Azioni!$E:$E,$N131)&amp;"")</f>
        <v/>
      </c>
      <c r="F131" s="70" t="str">
        <f>IF($N131="","",INDEX(Azioni!$F:$F,$N131)&amp;"")</f>
        <v/>
      </c>
      <c r="G131" s="70" t="str">
        <f>IF($N131="","",INDEX(Azioni!$G:$G,$N131)&amp;"")</f>
        <v/>
      </c>
      <c r="H131" s="70" t="str">
        <f>IF($N131="","",INDEX(Azioni!$J:$J,$N131)&amp;"")</f>
        <v/>
      </c>
      <c r="I131" s="72" t="str">
        <f>IF($N131="","",IF(INDEX(Azioni!$K:$K,$N131)="","",INDEX(Azioni!$K:$K,$N131)))</f>
        <v/>
      </c>
      <c r="J131" s="72" t="str">
        <f>IF(OR($N131="",I131=""),"",IF(OR(H131="Approvata",H131="In corso"),EDATE(I131,N(INDEX(Azioni!$H:$H,$N131))),""))</f>
        <v/>
      </c>
      <c r="K131" s="70" t="str">
        <f>IF($N131="","",INDEX(Azioni!$M:$M,$N131)&amp;"")</f>
        <v/>
      </c>
      <c r="N131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126),1000000),"")</f>
        <v/>
      </c>
    </row>
    <row r="132" spans="1:14" x14ac:dyDescent="0.4">
      <c r="A132" s="70" t="str">
        <f>IF($N132="","",INDEX(Azioni!$A:$A,$N132)&amp;"")</f>
        <v/>
      </c>
      <c r="B132" s="70" t="str">
        <f>IF($N132="","",INDEX(Azioni!$B:$B,$N132)&amp;"")</f>
        <v/>
      </c>
      <c r="C132" s="70" t="str">
        <f>IF($N132="","",INDEX(Azioni!$C:$C,$N132)&amp;"")</f>
        <v/>
      </c>
      <c r="D132" s="71" t="str">
        <f>IF($N132="","",INDEX(Azioni!$D:$D,$N132)&amp;"")</f>
        <v/>
      </c>
      <c r="E132" s="70" t="str">
        <f>IF($N132="","",INDEX(Azioni!$E:$E,$N132)&amp;"")</f>
        <v/>
      </c>
      <c r="F132" s="70" t="str">
        <f>IF($N132="","",INDEX(Azioni!$F:$F,$N132)&amp;"")</f>
        <v/>
      </c>
      <c r="G132" s="70" t="str">
        <f>IF($N132="","",INDEX(Azioni!$G:$G,$N132)&amp;"")</f>
        <v/>
      </c>
      <c r="H132" s="70" t="str">
        <f>IF($N132="","",INDEX(Azioni!$J:$J,$N132)&amp;"")</f>
        <v/>
      </c>
      <c r="I132" s="72" t="str">
        <f>IF($N132="","",IF(INDEX(Azioni!$K:$K,$N132)="","",INDEX(Azioni!$K:$K,$N132)))</f>
        <v/>
      </c>
      <c r="J132" s="72" t="str">
        <f>IF(OR($N132="",I132=""),"",IF(OR(H132="Approvata",H132="In corso"),EDATE(I132,N(INDEX(Azioni!$H:$H,$N132))),""))</f>
        <v/>
      </c>
      <c r="K132" s="70" t="str">
        <f>IF($N132="","",INDEX(Azioni!$M:$M,$N132)&amp;"")</f>
        <v/>
      </c>
      <c r="N132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127),1000000),"")</f>
        <v/>
      </c>
    </row>
    <row r="133" spans="1:14" x14ac:dyDescent="0.4">
      <c r="A133" s="70" t="str">
        <f>IF($N133="","",INDEX(Azioni!$A:$A,$N133)&amp;"")</f>
        <v/>
      </c>
      <c r="B133" s="70" t="str">
        <f>IF($N133="","",INDEX(Azioni!$B:$B,$N133)&amp;"")</f>
        <v/>
      </c>
      <c r="C133" s="70" t="str">
        <f>IF($N133="","",INDEX(Azioni!$C:$C,$N133)&amp;"")</f>
        <v/>
      </c>
      <c r="D133" s="71" t="str">
        <f>IF($N133="","",INDEX(Azioni!$D:$D,$N133)&amp;"")</f>
        <v/>
      </c>
      <c r="E133" s="70" t="str">
        <f>IF($N133="","",INDEX(Azioni!$E:$E,$N133)&amp;"")</f>
        <v/>
      </c>
      <c r="F133" s="70" t="str">
        <f>IF($N133="","",INDEX(Azioni!$F:$F,$N133)&amp;"")</f>
        <v/>
      </c>
      <c r="G133" s="70" t="str">
        <f>IF($N133="","",INDEX(Azioni!$G:$G,$N133)&amp;"")</f>
        <v/>
      </c>
      <c r="H133" s="70" t="str">
        <f>IF($N133="","",INDEX(Azioni!$J:$J,$N133)&amp;"")</f>
        <v/>
      </c>
      <c r="I133" s="72" t="str">
        <f>IF($N133="","",IF(INDEX(Azioni!$K:$K,$N133)="","",INDEX(Azioni!$K:$K,$N133)))</f>
        <v/>
      </c>
      <c r="J133" s="72" t="str">
        <f>IF(OR($N133="",I133=""),"",IF(OR(H133="Approvata",H133="In corso"),EDATE(I133,N(INDEX(Azioni!$H:$H,$N133))),""))</f>
        <v/>
      </c>
      <c r="K133" s="70" t="str">
        <f>IF($N133="","",INDEX(Azioni!$M:$M,$N133)&amp;"")</f>
        <v/>
      </c>
      <c r="N133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128),1000000),"")</f>
        <v/>
      </c>
    </row>
    <row r="134" spans="1:14" x14ac:dyDescent="0.4">
      <c r="A134" s="70" t="str">
        <f>IF($N134="","",INDEX(Azioni!$A:$A,$N134)&amp;"")</f>
        <v/>
      </c>
      <c r="B134" s="70" t="str">
        <f>IF($N134="","",INDEX(Azioni!$B:$B,$N134)&amp;"")</f>
        <v/>
      </c>
      <c r="C134" s="70" t="str">
        <f>IF($N134="","",INDEX(Azioni!$C:$C,$N134)&amp;"")</f>
        <v/>
      </c>
      <c r="D134" s="71" t="str">
        <f>IF($N134="","",INDEX(Azioni!$D:$D,$N134)&amp;"")</f>
        <v/>
      </c>
      <c r="E134" s="70" t="str">
        <f>IF($N134="","",INDEX(Azioni!$E:$E,$N134)&amp;"")</f>
        <v/>
      </c>
      <c r="F134" s="70" t="str">
        <f>IF($N134="","",INDEX(Azioni!$F:$F,$N134)&amp;"")</f>
        <v/>
      </c>
      <c r="G134" s="70" t="str">
        <f>IF($N134="","",INDEX(Azioni!$G:$G,$N134)&amp;"")</f>
        <v/>
      </c>
      <c r="H134" s="70" t="str">
        <f>IF($N134="","",INDEX(Azioni!$J:$J,$N134)&amp;"")</f>
        <v/>
      </c>
      <c r="I134" s="72" t="str">
        <f>IF($N134="","",IF(INDEX(Azioni!$K:$K,$N134)="","",INDEX(Azioni!$K:$K,$N134)))</f>
        <v/>
      </c>
      <c r="J134" s="72" t="str">
        <f>IF(OR($N134="",I134=""),"",IF(OR(H134="Approvata",H134="In corso"),EDATE(I134,N(INDEX(Azioni!$H:$H,$N134))),""))</f>
        <v/>
      </c>
      <c r="K134" s="70" t="str">
        <f>IF($N134="","",INDEX(Azioni!$M:$M,$N134)&amp;"")</f>
        <v/>
      </c>
      <c r="N134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129),1000000),"")</f>
        <v/>
      </c>
    </row>
    <row r="135" spans="1:14" x14ac:dyDescent="0.4">
      <c r="A135" s="70" t="str">
        <f>IF($N135="","",INDEX(Azioni!$A:$A,$N135)&amp;"")</f>
        <v/>
      </c>
      <c r="B135" s="70" t="str">
        <f>IF($N135="","",INDEX(Azioni!$B:$B,$N135)&amp;"")</f>
        <v/>
      </c>
      <c r="C135" s="70" t="str">
        <f>IF($N135="","",INDEX(Azioni!$C:$C,$N135)&amp;"")</f>
        <v/>
      </c>
      <c r="D135" s="71" t="str">
        <f>IF($N135="","",INDEX(Azioni!$D:$D,$N135)&amp;"")</f>
        <v/>
      </c>
      <c r="E135" s="70" t="str">
        <f>IF($N135="","",INDEX(Azioni!$E:$E,$N135)&amp;"")</f>
        <v/>
      </c>
      <c r="F135" s="70" t="str">
        <f>IF($N135="","",INDEX(Azioni!$F:$F,$N135)&amp;"")</f>
        <v/>
      </c>
      <c r="G135" s="70" t="str">
        <f>IF($N135="","",INDEX(Azioni!$G:$G,$N135)&amp;"")</f>
        <v/>
      </c>
      <c r="H135" s="70" t="str">
        <f>IF($N135="","",INDEX(Azioni!$J:$J,$N135)&amp;"")</f>
        <v/>
      </c>
      <c r="I135" s="72" t="str">
        <f>IF($N135="","",IF(INDEX(Azioni!$K:$K,$N135)="","",INDEX(Azioni!$K:$K,$N135)))</f>
        <v/>
      </c>
      <c r="J135" s="72" t="str">
        <f>IF(OR($N135="",I135=""),"",IF(OR(H135="Approvata",H135="In corso"),EDATE(I135,N(INDEX(Azioni!$H:$H,$N135))),""))</f>
        <v/>
      </c>
      <c r="K135" s="70" t="str">
        <f>IF($N135="","",INDEX(Azioni!$M:$M,$N135)&amp;"")</f>
        <v/>
      </c>
      <c r="N135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130),1000000),"")</f>
        <v/>
      </c>
    </row>
    <row r="136" spans="1:14" x14ac:dyDescent="0.4">
      <c r="A136" s="70" t="str">
        <f>IF($N136="","",INDEX(Azioni!$A:$A,$N136)&amp;"")</f>
        <v/>
      </c>
      <c r="B136" s="70" t="str">
        <f>IF($N136="","",INDEX(Azioni!$B:$B,$N136)&amp;"")</f>
        <v/>
      </c>
      <c r="C136" s="70" t="str">
        <f>IF($N136="","",INDEX(Azioni!$C:$C,$N136)&amp;"")</f>
        <v/>
      </c>
      <c r="D136" s="71" t="str">
        <f>IF($N136="","",INDEX(Azioni!$D:$D,$N136)&amp;"")</f>
        <v/>
      </c>
      <c r="E136" s="70" t="str">
        <f>IF($N136="","",INDEX(Azioni!$E:$E,$N136)&amp;"")</f>
        <v/>
      </c>
      <c r="F136" s="70" t="str">
        <f>IF($N136="","",INDEX(Azioni!$F:$F,$N136)&amp;"")</f>
        <v/>
      </c>
      <c r="G136" s="70" t="str">
        <f>IF($N136="","",INDEX(Azioni!$G:$G,$N136)&amp;"")</f>
        <v/>
      </c>
      <c r="H136" s="70" t="str">
        <f>IF($N136="","",INDEX(Azioni!$J:$J,$N136)&amp;"")</f>
        <v/>
      </c>
      <c r="I136" s="72" t="str">
        <f>IF($N136="","",IF(INDEX(Azioni!$K:$K,$N136)="","",INDEX(Azioni!$K:$K,$N136)))</f>
        <v/>
      </c>
      <c r="J136" s="72" t="str">
        <f>IF(OR($N136="",I136=""),"",IF(OR(H136="Approvata",H136="In corso"),EDATE(I136,N(INDEX(Azioni!$H:$H,$N136))),""))</f>
        <v/>
      </c>
      <c r="K136" s="70" t="str">
        <f>IF($N136="","",INDEX(Azioni!$M:$M,$N136)&amp;"")</f>
        <v/>
      </c>
      <c r="N136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131),1000000),"")</f>
        <v/>
      </c>
    </row>
    <row r="137" spans="1:14" x14ac:dyDescent="0.4">
      <c r="A137" s="70" t="str">
        <f>IF($N137="","",INDEX(Azioni!$A:$A,$N137)&amp;"")</f>
        <v/>
      </c>
      <c r="B137" s="70" t="str">
        <f>IF($N137="","",INDEX(Azioni!$B:$B,$N137)&amp;"")</f>
        <v/>
      </c>
      <c r="C137" s="70" t="str">
        <f>IF($N137="","",INDEX(Azioni!$C:$C,$N137)&amp;"")</f>
        <v/>
      </c>
      <c r="D137" s="71" t="str">
        <f>IF($N137="","",INDEX(Azioni!$D:$D,$N137)&amp;"")</f>
        <v/>
      </c>
      <c r="E137" s="70" t="str">
        <f>IF($N137="","",INDEX(Azioni!$E:$E,$N137)&amp;"")</f>
        <v/>
      </c>
      <c r="F137" s="70" t="str">
        <f>IF($N137="","",INDEX(Azioni!$F:$F,$N137)&amp;"")</f>
        <v/>
      </c>
      <c r="G137" s="70" t="str">
        <f>IF($N137="","",INDEX(Azioni!$G:$G,$N137)&amp;"")</f>
        <v/>
      </c>
      <c r="H137" s="70" t="str">
        <f>IF($N137="","",INDEX(Azioni!$J:$J,$N137)&amp;"")</f>
        <v/>
      </c>
      <c r="I137" s="72" t="str">
        <f>IF($N137="","",IF(INDEX(Azioni!$K:$K,$N137)="","",INDEX(Azioni!$K:$K,$N137)))</f>
        <v/>
      </c>
      <c r="J137" s="72" t="str">
        <f>IF(OR($N137="",I137=""),"",IF(OR(H137="Approvata",H137="In corso"),EDATE(I137,N(INDEX(Azioni!$H:$H,$N137))),""))</f>
        <v/>
      </c>
      <c r="K137" s="70" t="str">
        <f>IF($N137="","",INDEX(Azioni!$M:$M,$N137)&amp;"")</f>
        <v/>
      </c>
      <c r="N137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132),1000000),"")</f>
        <v/>
      </c>
    </row>
    <row r="138" spans="1:14" x14ac:dyDescent="0.4">
      <c r="A138" s="70" t="str">
        <f>IF($N138="","",INDEX(Azioni!$A:$A,$N138)&amp;"")</f>
        <v/>
      </c>
      <c r="B138" s="70" t="str">
        <f>IF($N138="","",INDEX(Azioni!$B:$B,$N138)&amp;"")</f>
        <v/>
      </c>
      <c r="C138" s="70" t="str">
        <f>IF($N138="","",INDEX(Azioni!$C:$C,$N138)&amp;"")</f>
        <v/>
      </c>
      <c r="D138" s="71" t="str">
        <f>IF($N138="","",INDEX(Azioni!$D:$D,$N138)&amp;"")</f>
        <v/>
      </c>
      <c r="E138" s="70" t="str">
        <f>IF($N138="","",INDEX(Azioni!$E:$E,$N138)&amp;"")</f>
        <v/>
      </c>
      <c r="F138" s="70" t="str">
        <f>IF($N138="","",INDEX(Azioni!$F:$F,$N138)&amp;"")</f>
        <v/>
      </c>
      <c r="G138" s="70" t="str">
        <f>IF($N138="","",INDEX(Azioni!$G:$G,$N138)&amp;"")</f>
        <v/>
      </c>
      <c r="H138" s="70" t="str">
        <f>IF($N138="","",INDEX(Azioni!$J:$J,$N138)&amp;"")</f>
        <v/>
      </c>
      <c r="I138" s="72" t="str">
        <f>IF($N138="","",IF(INDEX(Azioni!$K:$K,$N138)="","",INDEX(Azioni!$K:$K,$N138)))</f>
        <v/>
      </c>
      <c r="J138" s="72" t="str">
        <f>IF(OR($N138="",I138=""),"",IF(OR(H138="Approvata",H138="In corso"),EDATE(I138,N(INDEX(Azioni!$H:$H,$N138))),""))</f>
        <v/>
      </c>
      <c r="K138" s="70" t="str">
        <f>IF($N138="","",INDEX(Azioni!$M:$M,$N138)&amp;"")</f>
        <v/>
      </c>
      <c r="N138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133),1000000),"")</f>
        <v/>
      </c>
    </row>
    <row r="139" spans="1:14" x14ac:dyDescent="0.4">
      <c r="A139" s="70" t="str">
        <f>IF($N139="","",INDEX(Azioni!$A:$A,$N139)&amp;"")</f>
        <v/>
      </c>
      <c r="B139" s="70" t="str">
        <f>IF($N139="","",INDEX(Azioni!$B:$B,$N139)&amp;"")</f>
        <v/>
      </c>
      <c r="C139" s="70" t="str">
        <f>IF($N139="","",INDEX(Azioni!$C:$C,$N139)&amp;"")</f>
        <v/>
      </c>
      <c r="D139" s="71" t="str">
        <f>IF($N139="","",INDEX(Azioni!$D:$D,$N139)&amp;"")</f>
        <v/>
      </c>
      <c r="E139" s="70" t="str">
        <f>IF($N139="","",INDEX(Azioni!$E:$E,$N139)&amp;"")</f>
        <v/>
      </c>
      <c r="F139" s="70" t="str">
        <f>IF($N139="","",INDEX(Azioni!$F:$F,$N139)&amp;"")</f>
        <v/>
      </c>
      <c r="G139" s="70" t="str">
        <f>IF($N139="","",INDEX(Azioni!$G:$G,$N139)&amp;"")</f>
        <v/>
      </c>
      <c r="H139" s="70" t="str">
        <f>IF($N139="","",INDEX(Azioni!$J:$J,$N139)&amp;"")</f>
        <v/>
      </c>
      <c r="I139" s="72" t="str">
        <f>IF($N139="","",IF(INDEX(Azioni!$K:$K,$N139)="","",INDEX(Azioni!$K:$K,$N139)))</f>
        <v/>
      </c>
      <c r="J139" s="72" t="str">
        <f>IF(OR($N139="",I139=""),"",IF(OR(H139="Approvata",H139="In corso"),EDATE(I139,N(INDEX(Azioni!$H:$H,$N139))),""))</f>
        <v/>
      </c>
      <c r="K139" s="70" t="str">
        <f>IF($N139="","",INDEX(Azioni!$M:$M,$N139)&amp;"")</f>
        <v/>
      </c>
      <c r="N139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134),1000000),"")</f>
        <v/>
      </c>
    </row>
    <row r="140" spans="1:14" x14ac:dyDescent="0.4">
      <c r="A140" s="70" t="str">
        <f>IF($N140="","",INDEX(Azioni!$A:$A,$N140)&amp;"")</f>
        <v/>
      </c>
      <c r="B140" s="70" t="str">
        <f>IF($N140="","",INDEX(Azioni!$B:$B,$N140)&amp;"")</f>
        <v/>
      </c>
      <c r="C140" s="70" t="str">
        <f>IF($N140="","",INDEX(Azioni!$C:$C,$N140)&amp;"")</f>
        <v/>
      </c>
      <c r="D140" s="71" t="str">
        <f>IF($N140="","",INDEX(Azioni!$D:$D,$N140)&amp;"")</f>
        <v/>
      </c>
      <c r="E140" s="70" t="str">
        <f>IF($N140="","",INDEX(Azioni!$E:$E,$N140)&amp;"")</f>
        <v/>
      </c>
      <c r="F140" s="70" t="str">
        <f>IF($N140="","",INDEX(Azioni!$F:$F,$N140)&amp;"")</f>
        <v/>
      </c>
      <c r="G140" s="70" t="str">
        <f>IF($N140="","",INDEX(Azioni!$G:$G,$N140)&amp;"")</f>
        <v/>
      </c>
      <c r="H140" s="70" t="str">
        <f>IF($N140="","",INDEX(Azioni!$J:$J,$N140)&amp;"")</f>
        <v/>
      </c>
      <c r="I140" s="72" t="str">
        <f>IF($N140="","",IF(INDEX(Azioni!$K:$K,$N140)="","",INDEX(Azioni!$K:$K,$N140)))</f>
        <v/>
      </c>
      <c r="J140" s="72" t="str">
        <f>IF(OR($N140="",I140=""),"",IF(OR(H140="Approvata",H140="In corso"),EDATE(I140,N(INDEX(Azioni!$H:$H,$N140))),""))</f>
        <v/>
      </c>
      <c r="K140" s="70" t="str">
        <f>IF($N140="","",INDEX(Azioni!$M:$M,$N140)&amp;"")</f>
        <v/>
      </c>
      <c r="N140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135),1000000),"")</f>
        <v/>
      </c>
    </row>
    <row r="141" spans="1:14" x14ac:dyDescent="0.4">
      <c r="A141" s="70" t="str">
        <f>IF($N141="","",INDEX(Azioni!$A:$A,$N141)&amp;"")</f>
        <v/>
      </c>
      <c r="B141" s="70" t="str">
        <f>IF($N141="","",INDEX(Azioni!$B:$B,$N141)&amp;"")</f>
        <v/>
      </c>
      <c r="C141" s="70" t="str">
        <f>IF($N141="","",INDEX(Azioni!$C:$C,$N141)&amp;"")</f>
        <v/>
      </c>
      <c r="D141" s="71" t="str">
        <f>IF($N141="","",INDEX(Azioni!$D:$D,$N141)&amp;"")</f>
        <v/>
      </c>
      <c r="E141" s="70" t="str">
        <f>IF($N141="","",INDEX(Azioni!$E:$E,$N141)&amp;"")</f>
        <v/>
      </c>
      <c r="F141" s="70" t="str">
        <f>IF($N141="","",INDEX(Azioni!$F:$F,$N141)&amp;"")</f>
        <v/>
      </c>
      <c r="G141" s="70" t="str">
        <f>IF($N141="","",INDEX(Azioni!$G:$G,$N141)&amp;"")</f>
        <v/>
      </c>
      <c r="H141" s="70" t="str">
        <f>IF($N141="","",INDEX(Azioni!$J:$J,$N141)&amp;"")</f>
        <v/>
      </c>
      <c r="I141" s="72" t="str">
        <f>IF($N141="","",IF(INDEX(Azioni!$K:$K,$N141)="","",INDEX(Azioni!$K:$K,$N141)))</f>
        <v/>
      </c>
      <c r="J141" s="72" t="str">
        <f>IF(OR($N141="",I141=""),"",IF(OR(H141="Approvata",H141="In corso"),EDATE(I141,N(INDEX(Azioni!$H:$H,$N141))),""))</f>
        <v/>
      </c>
      <c r="K141" s="70" t="str">
        <f>IF($N141="","",INDEX(Azioni!$M:$M,$N141)&amp;"")</f>
        <v/>
      </c>
      <c r="N141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136),1000000),"")</f>
        <v/>
      </c>
    </row>
    <row r="142" spans="1:14" x14ac:dyDescent="0.4">
      <c r="A142" s="70" t="str">
        <f>IF($N142="","",INDEX(Azioni!$A:$A,$N142)&amp;"")</f>
        <v/>
      </c>
      <c r="B142" s="70" t="str">
        <f>IF($N142="","",INDEX(Azioni!$B:$B,$N142)&amp;"")</f>
        <v/>
      </c>
      <c r="C142" s="70" t="str">
        <f>IF($N142="","",INDEX(Azioni!$C:$C,$N142)&amp;"")</f>
        <v/>
      </c>
      <c r="D142" s="71" t="str">
        <f>IF($N142="","",INDEX(Azioni!$D:$D,$N142)&amp;"")</f>
        <v/>
      </c>
      <c r="E142" s="70" t="str">
        <f>IF($N142="","",INDEX(Azioni!$E:$E,$N142)&amp;"")</f>
        <v/>
      </c>
      <c r="F142" s="70" t="str">
        <f>IF($N142="","",INDEX(Azioni!$F:$F,$N142)&amp;"")</f>
        <v/>
      </c>
      <c r="G142" s="70" t="str">
        <f>IF($N142="","",INDEX(Azioni!$G:$G,$N142)&amp;"")</f>
        <v/>
      </c>
      <c r="H142" s="70" t="str">
        <f>IF($N142="","",INDEX(Azioni!$J:$J,$N142)&amp;"")</f>
        <v/>
      </c>
      <c r="I142" s="72" t="str">
        <f>IF($N142="","",IF(INDEX(Azioni!$K:$K,$N142)="","",INDEX(Azioni!$K:$K,$N142)))</f>
        <v/>
      </c>
      <c r="J142" s="72" t="str">
        <f>IF(OR($N142="",I142=""),"",IF(OR(H142="Approvata",H142="In corso"),EDATE(I142,N(INDEX(Azioni!$H:$H,$N142))),""))</f>
        <v/>
      </c>
      <c r="K142" s="70" t="str">
        <f>IF($N142="","",INDEX(Azioni!$M:$M,$N142)&amp;"")</f>
        <v/>
      </c>
      <c r="N142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137),1000000),"")</f>
        <v/>
      </c>
    </row>
    <row r="143" spans="1:14" x14ac:dyDescent="0.4">
      <c r="A143" s="70" t="str">
        <f>IF($N143="","",INDEX(Azioni!$A:$A,$N143)&amp;"")</f>
        <v/>
      </c>
      <c r="B143" s="70" t="str">
        <f>IF($N143="","",INDEX(Azioni!$B:$B,$N143)&amp;"")</f>
        <v/>
      </c>
      <c r="C143" s="70" t="str">
        <f>IF($N143="","",INDEX(Azioni!$C:$C,$N143)&amp;"")</f>
        <v/>
      </c>
      <c r="D143" s="71" t="str">
        <f>IF($N143="","",INDEX(Azioni!$D:$D,$N143)&amp;"")</f>
        <v/>
      </c>
      <c r="E143" s="70" t="str">
        <f>IF($N143="","",INDEX(Azioni!$E:$E,$N143)&amp;"")</f>
        <v/>
      </c>
      <c r="F143" s="70" t="str">
        <f>IF($N143="","",INDEX(Azioni!$F:$F,$N143)&amp;"")</f>
        <v/>
      </c>
      <c r="G143" s="70" t="str">
        <f>IF($N143="","",INDEX(Azioni!$G:$G,$N143)&amp;"")</f>
        <v/>
      </c>
      <c r="H143" s="70" t="str">
        <f>IF($N143="","",INDEX(Azioni!$J:$J,$N143)&amp;"")</f>
        <v/>
      </c>
      <c r="I143" s="72" t="str">
        <f>IF($N143="","",IF(INDEX(Azioni!$K:$K,$N143)="","",INDEX(Azioni!$K:$K,$N143)))</f>
        <v/>
      </c>
      <c r="J143" s="72" t="str">
        <f>IF(OR($N143="",I143=""),"",IF(OR(H143="Approvata",H143="In corso"),EDATE(I143,N(INDEX(Azioni!$H:$H,$N143))),""))</f>
        <v/>
      </c>
      <c r="K143" s="70" t="str">
        <f>IF($N143="","",INDEX(Azioni!$M:$M,$N143)&amp;"")</f>
        <v/>
      </c>
      <c r="N143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138),1000000),"")</f>
        <v/>
      </c>
    </row>
    <row r="144" spans="1:14" x14ac:dyDescent="0.4">
      <c r="A144" s="70" t="str">
        <f>IF($N144="","",INDEX(Azioni!$A:$A,$N144)&amp;"")</f>
        <v/>
      </c>
      <c r="B144" s="70" t="str">
        <f>IF($N144="","",INDEX(Azioni!$B:$B,$N144)&amp;"")</f>
        <v/>
      </c>
      <c r="C144" s="70" t="str">
        <f>IF($N144="","",INDEX(Azioni!$C:$C,$N144)&amp;"")</f>
        <v/>
      </c>
      <c r="D144" s="71" t="str">
        <f>IF($N144="","",INDEX(Azioni!$D:$D,$N144)&amp;"")</f>
        <v/>
      </c>
      <c r="E144" s="70" t="str">
        <f>IF($N144="","",INDEX(Azioni!$E:$E,$N144)&amp;"")</f>
        <v/>
      </c>
      <c r="F144" s="70" t="str">
        <f>IF($N144="","",INDEX(Azioni!$F:$F,$N144)&amp;"")</f>
        <v/>
      </c>
      <c r="G144" s="70" t="str">
        <f>IF($N144="","",INDEX(Azioni!$G:$G,$N144)&amp;"")</f>
        <v/>
      </c>
      <c r="H144" s="70" t="str">
        <f>IF($N144="","",INDEX(Azioni!$J:$J,$N144)&amp;"")</f>
        <v/>
      </c>
      <c r="I144" s="72" t="str">
        <f>IF($N144="","",IF(INDEX(Azioni!$K:$K,$N144)="","",INDEX(Azioni!$K:$K,$N144)))</f>
        <v/>
      </c>
      <c r="J144" s="72" t="str">
        <f>IF(OR($N144="",I144=""),"",IF(OR(H144="Approvata",H144="In corso"),EDATE(I144,N(INDEX(Azioni!$H:$H,$N144))),""))</f>
        <v/>
      </c>
      <c r="K144" s="70" t="str">
        <f>IF($N144="","",INDEX(Azioni!$M:$M,$N144)&amp;"")</f>
        <v/>
      </c>
      <c r="N144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139),1000000),"")</f>
        <v/>
      </c>
    </row>
    <row r="145" spans="1:14" x14ac:dyDescent="0.4">
      <c r="A145" s="70" t="str">
        <f>IF($N145="","",INDEX(Azioni!$A:$A,$N145)&amp;"")</f>
        <v/>
      </c>
      <c r="B145" s="70" t="str">
        <f>IF($N145="","",INDEX(Azioni!$B:$B,$N145)&amp;"")</f>
        <v/>
      </c>
      <c r="C145" s="70" t="str">
        <f>IF($N145="","",INDEX(Azioni!$C:$C,$N145)&amp;"")</f>
        <v/>
      </c>
      <c r="D145" s="71" t="str">
        <f>IF($N145="","",INDEX(Azioni!$D:$D,$N145)&amp;"")</f>
        <v/>
      </c>
      <c r="E145" s="70" t="str">
        <f>IF($N145="","",INDEX(Azioni!$E:$E,$N145)&amp;"")</f>
        <v/>
      </c>
      <c r="F145" s="70" t="str">
        <f>IF($N145="","",INDEX(Azioni!$F:$F,$N145)&amp;"")</f>
        <v/>
      </c>
      <c r="G145" s="70" t="str">
        <f>IF($N145="","",INDEX(Azioni!$G:$G,$N145)&amp;"")</f>
        <v/>
      </c>
      <c r="H145" s="70" t="str">
        <f>IF($N145="","",INDEX(Azioni!$J:$J,$N145)&amp;"")</f>
        <v/>
      </c>
      <c r="I145" s="72" t="str">
        <f>IF($N145="","",IF(INDEX(Azioni!$K:$K,$N145)="","",INDEX(Azioni!$K:$K,$N145)))</f>
        <v/>
      </c>
      <c r="J145" s="72" t="str">
        <f>IF(OR($N145="",I145=""),"",IF(OR(H145="Approvata",H145="In corso"),EDATE(I145,N(INDEX(Azioni!$H:$H,$N145))),""))</f>
        <v/>
      </c>
      <c r="K145" s="70" t="str">
        <f>IF($N145="","",INDEX(Azioni!$M:$M,$N145)&amp;"")</f>
        <v/>
      </c>
      <c r="N145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140),1000000),"")</f>
        <v/>
      </c>
    </row>
    <row r="146" spans="1:14" x14ac:dyDescent="0.4">
      <c r="A146" s="70" t="str">
        <f>IF($N146="","",INDEX(Azioni!$A:$A,$N146)&amp;"")</f>
        <v/>
      </c>
      <c r="B146" s="70" t="str">
        <f>IF($N146="","",INDEX(Azioni!$B:$B,$N146)&amp;"")</f>
        <v/>
      </c>
      <c r="C146" s="70" t="str">
        <f>IF($N146="","",INDEX(Azioni!$C:$C,$N146)&amp;"")</f>
        <v/>
      </c>
      <c r="D146" s="71" t="str">
        <f>IF($N146="","",INDEX(Azioni!$D:$D,$N146)&amp;"")</f>
        <v/>
      </c>
      <c r="E146" s="70" t="str">
        <f>IF($N146="","",INDEX(Azioni!$E:$E,$N146)&amp;"")</f>
        <v/>
      </c>
      <c r="F146" s="70" t="str">
        <f>IF($N146="","",INDEX(Azioni!$F:$F,$N146)&amp;"")</f>
        <v/>
      </c>
      <c r="G146" s="70" t="str">
        <f>IF($N146="","",INDEX(Azioni!$G:$G,$N146)&amp;"")</f>
        <v/>
      </c>
      <c r="H146" s="70" t="str">
        <f>IF($N146="","",INDEX(Azioni!$J:$J,$N146)&amp;"")</f>
        <v/>
      </c>
      <c r="I146" s="72" t="str">
        <f>IF($N146="","",IF(INDEX(Azioni!$K:$K,$N146)="","",INDEX(Azioni!$K:$K,$N146)))</f>
        <v/>
      </c>
      <c r="J146" s="72" t="str">
        <f>IF(OR($N146="",I146=""),"",IF(OR(H146="Approvata",H146="In corso"),EDATE(I146,N(INDEX(Azioni!$H:$H,$N146))),""))</f>
        <v/>
      </c>
      <c r="K146" s="70" t="str">
        <f>IF($N146="","",INDEX(Azioni!$M:$M,$N146)&amp;"")</f>
        <v/>
      </c>
      <c r="N146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141),1000000),"")</f>
        <v/>
      </c>
    </row>
    <row r="147" spans="1:14" x14ac:dyDescent="0.4">
      <c r="A147" s="70" t="str">
        <f>IF($N147="","",INDEX(Azioni!$A:$A,$N147)&amp;"")</f>
        <v/>
      </c>
      <c r="B147" s="70" t="str">
        <f>IF($N147="","",INDEX(Azioni!$B:$B,$N147)&amp;"")</f>
        <v/>
      </c>
      <c r="C147" s="70" t="str">
        <f>IF($N147="","",INDEX(Azioni!$C:$C,$N147)&amp;"")</f>
        <v/>
      </c>
      <c r="D147" s="71" t="str">
        <f>IF($N147="","",INDEX(Azioni!$D:$D,$N147)&amp;"")</f>
        <v/>
      </c>
      <c r="E147" s="70" t="str">
        <f>IF($N147="","",INDEX(Azioni!$E:$E,$N147)&amp;"")</f>
        <v/>
      </c>
      <c r="F147" s="70" t="str">
        <f>IF($N147="","",INDEX(Azioni!$F:$F,$N147)&amp;"")</f>
        <v/>
      </c>
      <c r="G147" s="70" t="str">
        <f>IF($N147="","",INDEX(Azioni!$G:$G,$N147)&amp;"")</f>
        <v/>
      </c>
      <c r="H147" s="70" t="str">
        <f>IF($N147="","",INDEX(Azioni!$J:$J,$N147)&amp;"")</f>
        <v/>
      </c>
      <c r="I147" s="72" t="str">
        <f>IF($N147="","",IF(INDEX(Azioni!$K:$K,$N147)="","",INDEX(Azioni!$K:$K,$N147)))</f>
        <v/>
      </c>
      <c r="J147" s="72" t="str">
        <f>IF(OR($N147="",I147=""),"",IF(OR(H147="Approvata",H147="In corso"),EDATE(I147,N(INDEX(Azioni!$H:$H,$N147))),""))</f>
        <v/>
      </c>
      <c r="K147" s="70" t="str">
        <f>IF($N147="","",INDEX(Azioni!$M:$M,$N147)&amp;"")</f>
        <v/>
      </c>
      <c r="N147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142),1000000),"")</f>
        <v/>
      </c>
    </row>
    <row r="148" spans="1:14" x14ac:dyDescent="0.4">
      <c r="A148" s="70" t="str">
        <f>IF($N148="","",INDEX(Azioni!$A:$A,$N148)&amp;"")</f>
        <v/>
      </c>
      <c r="B148" s="70" t="str">
        <f>IF($N148="","",INDEX(Azioni!$B:$B,$N148)&amp;"")</f>
        <v/>
      </c>
      <c r="C148" s="70" t="str">
        <f>IF($N148="","",INDEX(Azioni!$C:$C,$N148)&amp;"")</f>
        <v/>
      </c>
      <c r="D148" s="71" t="str">
        <f>IF($N148="","",INDEX(Azioni!$D:$D,$N148)&amp;"")</f>
        <v/>
      </c>
      <c r="E148" s="70" t="str">
        <f>IF($N148="","",INDEX(Azioni!$E:$E,$N148)&amp;"")</f>
        <v/>
      </c>
      <c r="F148" s="70" t="str">
        <f>IF($N148="","",INDEX(Azioni!$F:$F,$N148)&amp;"")</f>
        <v/>
      </c>
      <c r="G148" s="70" t="str">
        <f>IF($N148="","",INDEX(Azioni!$G:$G,$N148)&amp;"")</f>
        <v/>
      </c>
      <c r="H148" s="70" t="str">
        <f>IF($N148="","",INDEX(Azioni!$J:$J,$N148)&amp;"")</f>
        <v/>
      </c>
      <c r="I148" s="72" t="str">
        <f>IF($N148="","",IF(INDEX(Azioni!$K:$K,$N148)="","",INDEX(Azioni!$K:$K,$N148)))</f>
        <v/>
      </c>
      <c r="J148" s="72" t="str">
        <f>IF(OR($N148="",I148=""),"",IF(OR(H148="Approvata",H148="In corso"),EDATE(I148,N(INDEX(Azioni!$H:$H,$N148))),""))</f>
        <v/>
      </c>
      <c r="K148" s="70" t="str">
        <f>IF($N148="","",INDEX(Azioni!$M:$M,$N148)&amp;"")</f>
        <v/>
      </c>
      <c r="N148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143),1000000),"")</f>
        <v/>
      </c>
    </row>
    <row r="149" spans="1:14" x14ac:dyDescent="0.4">
      <c r="A149" s="70" t="str">
        <f>IF($N149="","",INDEX(Azioni!$A:$A,$N149)&amp;"")</f>
        <v/>
      </c>
      <c r="B149" s="70" t="str">
        <f>IF($N149="","",INDEX(Azioni!$B:$B,$N149)&amp;"")</f>
        <v/>
      </c>
      <c r="C149" s="70" t="str">
        <f>IF($N149="","",INDEX(Azioni!$C:$C,$N149)&amp;"")</f>
        <v/>
      </c>
      <c r="D149" s="71" t="str">
        <f>IF($N149="","",INDEX(Azioni!$D:$D,$N149)&amp;"")</f>
        <v/>
      </c>
      <c r="E149" s="70" t="str">
        <f>IF($N149="","",INDEX(Azioni!$E:$E,$N149)&amp;"")</f>
        <v/>
      </c>
      <c r="F149" s="70" t="str">
        <f>IF($N149="","",INDEX(Azioni!$F:$F,$N149)&amp;"")</f>
        <v/>
      </c>
      <c r="G149" s="70" t="str">
        <f>IF($N149="","",INDEX(Azioni!$G:$G,$N149)&amp;"")</f>
        <v/>
      </c>
      <c r="H149" s="70" t="str">
        <f>IF($N149="","",INDEX(Azioni!$J:$J,$N149)&amp;"")</f>
        <v/>
      </c>
      <c r="I149" s="72" t="str">
        <f>IF($N149="","",IF(INDEX(Azioni!$K:$K,$N149)="","",INDEX(Azioni!$K:$K,$N149)))</f>
        <v/>
      </c>
      <c r="J149" s="72" t="str">
        <f>IF(OR($N149="",I149=""),"",IF(OR(H149="Approvata",H149="In corso"),EDATE(I149,N(INDEX(Azioni!$H:$H,$N149))),""))</f>
        <v/>
      </c>
      <c r="K149" s="70" t="str">
        <f>IF($N149="","",INDEX(Azioni!$M:$M,$N149)&amp;"")</f>
        <v/>
      </c>
      <c r="N149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144),1000000),"")</f>
        <v/>
      </c>
    </row>
    <row r="150" spans="1:14" x14ac:dyDescent="0.4">
      <c r="A150" s="70" t="str">
        <f>IF($N150="","",INDEX(Azioni!$A:$A,$N150)&amp;"")</f>
        <v/>
      </c>
      <c r="B150" s="70" t="str">
        <f>IF($N150="","",INDEX(Azioni!$B:$B,$N150)&amp;"")</f>
        <v/>
      </c>
      <c r="C150" s="70" t="str">
        <f>IF($N150="","",INDEX(Azioni!$C:$C,$N150)&amp;"")</f>
        <v/>
      </c>
      <c r="D150" s="71" t="str">
        <f>IF($N150="","",INDEX(Azioni!$D:$D,$N150)&amp;"")</f>
        <v/>
      </c>
      <c r="E150" s="70" t="str">
        <f>IF($N150="","",INDEX(Azioni!$E:$E,$N150)&amp;"")</f>
        <v/>
      </c>
      <c r="F150" s="70" t="str">
        <f>IF($N150="","",INDEX(Azioni!$F:$F,$N150)&amp;"")</f>
        <v/>
      </c>
      <c r="G150" s="70" t="str">
        <f>IF($N150="","",INDEX(Azioni!$G:$G,$N150)&amp;"")</f>
        <v/>
      </c>
      <c r="H150" s="70" t="str">
        <f>IF($N150="","",INDEX(Azioni!$J:$J,$N150)&amp;"")</f>
        <v/>
      </c>
      <c r="I150" s="72" t="str">
        <f>IF($N150="","",IF(INDEX(Azioni!$K:$K,$N150)="","",INDEX(Azioni!$K:$K,$N150)))</f>
        <v/>
      </c>
      <c r="J150" s="72" t="str">
        <f>IF(OR($N150="",I150=""),"",IF(OR(H150="Approvata",H150="In corso"),EDATE(I150,N(INDEX(Azioni!$H:$H,$N150))),""))</f>
        <v/>
      </c>
      <c r="K150" s="70" t="str">
        <f>IF($N150="","",INDEX(Azioni!$M:$M,$N150)&amp;"")</f>
        <v/>
      </c>
      <c r="N150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145),1000000),"")</f>
        <v/>
      </c>
    </row>
    <row r="151" spans="1:14" x14ac:dyDescent="0.4">
      <c r="A151" s="70" t="str">
        <f>IF($N151="","",INDEX(Azioni!$A:$A,$N151)&amp;"")</f>
        <v/>
      </c>
      <c r="B151" s="70" t="str">
        <f>IF($N151="","",INDEX(Azioni!$B:$B,$N151)&amp;"")</f>
        <v/>
      </c>
      <c r="C151" s="70" t="str">
        <f>IF($N151="","",INDEX(Azioni!$C:$C,$N151)&amp;"")</f>
        <v/>
      </c>
      <c r="D151" s="71" t="str">
        <f>IF($N151="","",INDEX(Azioni!$D:$D,$N151)&amp;"")</f>
        <v/>
      </c>
      <c r="E151" s="70" t="str">
        <f>IF($N151="","",INDEX(Azioni!$E:$E,$N151)&amp;"")</f>
        <v/>
      </c>
      <c r="F151" s="70" t="str">
        <f>IF($N151="","",INDEX(Azioni!$F:$F,$N151)&amp;"")</f>
        <v/>
      </c>
      <c r="G151" s="70" t="str">
        <f>IF($N151="","",INDEX(Azioni!$G:$G,$N151)&amp;"")</f>
        <v/>
      </c>
      <c r="H151" s="70" t="str">
        <f>IF($N151="","",INDEX(Azioni!$J:$J,$N151)&amp;"")</f>
        <v/>
      </c>
      <c r="I151" s="72" t="str">
        <f>IF($N151="","",IF(INDEX(Azioni!$K:$K,$N151)="","",INDEX(Azioni!$K:$K,$N151)))</f>
        <v/>
      </c>
      <c r="J151" s="72" t="str">
        <f>IF(OR($N151="",I151=""),"",IF(OR(H151="Approvata",H151="In corso"),EDATE(I151,N(INDEX(Azioni!$H:$H,$N151))),""))</f>
        <v/>
      </c>
      <c r="K151" s="70" t="str">
        <f>IF($N151="","",INDEX(Azioni!$M:$M,$N151)&amp;"")</f>
        <v/>
      </c>
      <c r="N151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146),1000000),"")</f>
        <v/>
      </c>
    </row>
    <row r="152" spans="1:14" x14ac:dyDescent="0.4">
      <c r="A152" s="70" t="str">
        <f>IF($N152="","",INDEX(Azioni!$A:$A,$N152)&amp;"")</f>
        <v/>
      </c>
      <c r="B152" s="70" t="str">
        <f>IF($N152="","",INDEX(Azioni!$B:$B,$N152)&amp;"")</f>
        <v/>
      </c>
      <c r="C152" s="70" t="str">
        <f>IF($N152="","",INDEX(Azioni!$C:$C,$N152)&amp;"")</f>
        <v/>
      </c>
      <c r="D152" s="71" t="str">
        <f>IF($N152="","",INDEX(Azioni!$D:$D,$N152)&amp;"")</f>
        <v/>
      </c>
      <c r="E152" s="70" t="str">
        <f>IF($N152="","",INDEX(Azioni!$E:$E,$N152)&amp;"")</f>
        <v/>
      </c>
      <c r="F152" s="70" t="str">
        <f>IF($N152="","",INDEX(Azioni!$F:$F,$N152)&amp;"")</f>
        <v/>
      </c>
      <c r="G152" s="70" t="str">
        <f>IF($N152="","",INDEX(Azioni!$G:$G,$N152)&amp;"")</f>
        <v/>
      </c>
      <c r="H152" s="70" t="str">
        <f>IF($N152="","",INDEX(Azioni!$J:$J,$N152)&amp;"")</f>
        <v/>
      </c>
      <c r="I152" s="72" t="str">
        <f>IF($N152="","",IF(INDEX(Azioni!$K:$K,$N152)="","",INDEX(Azioni!$K:$K,$N152)))</f>
        <v/>
      </c>
      <c r="J152" s="72" t="str">
        <f>IF(OR($N152="",I152=""),"",IF(OR(H152="Approvata",H152="In corso"),EDATE(I152,N(INDEX(Azioni!$H:$H,$N152))),""))</f>
        <v/>
      </c>
      <c r="K152" s="70" t="str">
        <f>IF($N152="","",INDEX(Azioni!$M:$M,$N152)&amp;"")</f>
        <v/>
      </c>
      <c r="N152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147),1000000),"")</f>
        <v/>
      </c>
    </row>
    <row r="153" spans="1:14" x14ac:dyDescent="0.4">
      <c r="A153" s="70" t="str">
        <f>IF($N153="","",INDEX(Azioni!$A:$A,$N153)&amp;"")</f>
        <v/>
      </c>
      <c r="B153" s="70" t="str">
        <f>IF($N153="","",INDEX(Azioni!$B:$B,$N153)&amp;"")</f>
        <v/>
      </c>
      <c r="C153" s="70" t="str">
        <f>IF($N153="","",INDEX(Azioni!$C:$C,$N153)&amp;"")</f>
        <v/>
      </c>
      <c r="D153" s="71" t="str">
        <f>IF($N153="","",INDEX(Azioni!$D:$D,$N153)&amp;"")</f>
        <v/>
      </c>
      <c r="E153" s="70" t="str">
        <f>IF($N153="","",INDEX(Azioni!$E:$E,$N153)&amp;"")</f>
        <v/>
      </c>
      <c r="F153" s="70" t="str">
        <f>IF($N153="","",INDEX(Azioni!$F:$F,$N153)&amp;"")</f>
        <v/>
      </c>
      <c r="G153" s="70" t="str">
        <f>IF($N153="","",INDEX(Azioni!$G:$G,$N153)&amp;"")</f>
        <v/>
      </c>
      <c r="H153" s="70" t="str">
        <f>IF($N153="","",INDEX(Azioni!$J:$J,$N153)&amp;"")</f>
        <v/>
      </c>
      <c r="I153" s="72" t="str">
        <f>IF($N153="","",IF(INDEX(Azioni!$K:$K,$N153)="","",INDEX(Azioni!$K:$K,$N153)))</f>
        <v/>
      </c>
      <c r="J153" s="72" t="str">
        <f>IF(OR($N153="",I153=""),"",IF(OR(H153="Approvata",H153="In corso"),EDATE(I153,N(INDEX(Azioni!$H:$H,$N153))),""))</f>
        <v/>
      </c>
      <c r="K153" s="70" t="str">
        <f>IF($N153="","",INDEX(Azioni!$M:$M,$N153)&amp;"")</f>
        <v/>
      </c>
      <c r="N153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148),1000000),"")</f>
        <v/>
      </c>
    </row>
    <row r="154" spans="1:14" x14ac:dyDescent="0.4">
      <c r="A154" s="70" t="str">
        <f>IF($N154="","",INDEX(Azioni!$A:$A,$N154)&amp;"")</f>
        <v/>
      </c>
      <c r="B154" s="70" t="str">
        <f>IF($N154="","",INDEX(Azioni!$B:$B,$N154)&amp;"")</f>
        <v/>
      </c>
      <c r="C154" s="70" t="str">
        <f>IF($N154="","",INDEX(Azioni!$C:$C,$N154)&amp;"")</f>
        <v/>
      </c>
      <c r="D154" s="71" t="str">
        <f>IF($N154="","",INDEX(Azioni!$D:$D,$N154)&amp;"")</f>
        <v/>
      </c>
      <c r="E154" s="70" t="str">
        <f>IF($N154="","",INDEX(Azioni!$E:$E,$N154)&amp;"")</f>
        <v/>
      </c>
      <c r="F154" s="70" t="str">
        <f>IF($N154="","",INDEX(Azioni!$F:$F,$N154)&amp;"")</f>
        <v/>
      </c>
      <c r="G154" s="70" t="str">
        <f>IF($N154="","",INDEX(Azioni!$G:$G,$N154)&amp;"")</f>
        <v/>
      </c>
      <c r="H154" s="70" t="str">
        <f>IF($N154="","",INDEX(Azioni!$J:$J,$N154)&amp;"")</f>
        <v/>
      </c>
      <c r="I154" s="72" t="str">
        <f>IF($N154="","",IF(INDEX(Azioni!$K:$K,$N154)="","",INDEX(Azioni!$K:$K,$N154)))</f>
        <v/>
      </c>
      <c r="J154" s="72" t="str">
        <f>IF(OR($N154="",I154=""),"",IF(OR(H154="Approvata",H154="In corso"),EDATE(I154,N(INDEX(Azioni!$H:$H,$N154))),""))</f>
        <v/>
      </c>
      <c r="K154" s="70" t="str">
        <f>IF($N154="","",INDEX(Azioni!$M:$M,$N154)&amp;"")</f>
        <v/>
      </c>
      <c r="N154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149),1000000),"")</f>
        <v/>
      </c>
    </row>
    <row r="155" spans="1:14" x14ac:dyDescent="0.4">
      <c r="A155" s="70" t="str">
        <f>IF($N155="","",INDEX(Azioni!$A:$A,$N155)&amp;"")</f>
        <v/>
      </c>
      <c r="B155" s="70" t="str">
        <f>IF($N155="","",INDEX(Azioni!$B:$B,$N155)&amp;"")</f>
        <v/>
      </c>
      <c r="C155" s="70" t="str">
        <f>IF($N155="","",INDEX(Azioni!$C:$C,$N155)&amp;"")</f>
        <v/>
      </c>
      <c r="D155" s="71" t="str">
        <f>IF($N155="","",INDEX(Azioni!$D:$D,$N155)&amp;"")</f>
        <v/>
      </c>
      <c r="E155" s="70" t="str">
        <f>IF($N155="","",INDEX(Azioni!$E:$E,$N155)&amp;"")</f>
        <v/>
      </c>
      <c r="F155" s="70" t="str">
        <f>IF($N155="","",INDEX(Azioni!$F:$F,$N155)&amp;"")</f>
        <v/>
      </c>
      <c r="G155" s="70" t="str">
        <f>IF($N155="","",INDEX(Azioni!$G:$G,$N155)&amp;"")</f>
        <v/>
      </c>
      <c r="H155" s="70" t="str">
        <f>IF($N155="","",INDEX(Azioni!$J:$J,$N155)&amp;"")</f>
        <v/>
      </c>
      <c r="I155" s="72" t="str">
        <f>IF($N155="","",IF(INDEX(Azioni!$K:$K,$N155)="","",INDEX(Azioni!$K:$K,$N155)))</f>
        <v/>
      </c>
      <c r="J155" s="72" t="str">
        <f>IF(OR($N155="",I155=""),"",IF(OR(H155="Approvata",H155="In corso"),EDATE(I155,N(INDEX(Azioni!$H:$H,$N155))),""))</f>
        <v/>
      </c>
      <c r="K155" s="70" t="str">
        <f>IF($N155="","",INDEX(Azioni!$M:$M,$N155)&amp;"")</f>
        <v/>
      </c>
      <c r="N155" t="str">
        <f>IFERROR(MOD(_xlfn.AGGREGATE(15,6,(ROW(AZ_Stato)+1000000*((AZ_Stato&lt;&gt;"Proposta — da valutare")+((AZ_Stato="Completata")+(AZ_Stato="Respinta")+(AZ_Stato="Annullata"))))/((AZ_ID_Azione&lt;&gt;"")*((1-((AZ_Stato="Completata")+(AZ_Stato="Respinta")+(AZ_Stato="Annullata")))+((AZ_Stato="Completata")+(AZ_Stato="Respinta")+(AZ_Stato="Annullata"))*((AZ_Ciclo=cicloCorrente)+(AZ_Ciclo=cicloPrecedente)))&gt;0),150),1000000),"")</f>
        <v/>
      </c>
    </row>
    <row r="157" spans="1:14" ht="26.05" customHeight="1" x14ac:dyDescent="0.4">
      <c r="A157" s="123" t="s">
        <v>447</v>
      </c>
      <c r="B157" s="98"/>
      <c r="C157" s="98"/>
      <c r="D157" s="98"/>
      <c r="E157" s="98"/>
      <c r="F157" s="98"/>
      <c r="G157" s="98"/>
      <c r="H157" s="98"/>
      <c r="I157" s="98"/>
      <c r="J157" s="98"/>
      <c r="K157" s="98"/>
    </row>
  </sheetData>
  <mergeCells count="5">
    <mergeCell ref="A157:K157"/>
    <mergeCell ref="H4:J4"/>
    <mergeCell ref="A2:K2"/>
    <mergeCell ref="A4:G4"/>
    <mergeCell ref="A1:K1"/>
  </mergeCells>
  <conditionalFormatting sqref="H6:H155">
    <cfRule type="expression" dxfId="12" priority="1">
      <formula>H6="Proposta — da valutare"</formula>
    </cfRule>
    <cfRule type="expression" dxfId="11" priority="2">
      <formula>H6="Approvata"</formula>
    </cfRule>
    <cfRule type="expression" dxfId="10" priority="3">
      <formula>H6="In corso"</formula>
    </cfRule>
    <cfRule type="expression" dxfId="9" priority="4">
      <formula>H6="Completata"</formula>
    </cfRule>
    <cfRule type="expression" dxfId="8" priority="5">
      <formula>H6="Respinta"</formula>
    </cfRule>
    <cfRule type="expression" dxfId="7" priority="6">
      <formula>H6="Annullata"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75B6"/>
  </sheetPr>
  <dimension ref="A1:L442"/>
  <sheetViews>
    <sheetView showGridLines="0" workbookViewId="0"/>
  </sheetViews>
  <sheetFormatPr defaultRowHeight="14.6" x14ac:dyDescent="0.4"/>
  <cols>
    <col min="1" max="3" width="15" customWidth="1"/>
    <col min="4" max="4" width="44" customWidth="1"/>
    <col min="5" max="8" width="15" customWidth="1"/>
    <col min="9" max="9" width="50" customWidth="1"/>
    <col min="10" max="10" width="20" customWidth="1"/>
    <col min="11" max="12" width="15" customWidth="1"/>
  </cols>
  <sheetData>
    <row r="1" spans="1:12" ht="28" customHeight="1" x14ac:dyDescent="0.4">
      <c r="A1" s="126" t="str">
        <f>"Horizon Scan NFR — Validazione — decisioni sulle proposte degli agenti   ·   "&amp;etichettaCiclo</f>
        <v>Horizon Scan NFR — Validazione — decisioni sulle proposte degli agenti   ·   Ciclo 2026Q3 · dati al 30/09/2026 · validato · Uso interno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ht="126.55" customHeight="1" x14ac:dyDescent="0.4">
      <c r="A2" s="149" t="s">
        <v>448</v>
      </c>
      <c r="B2" s="98"/>
      <c r="C2" s="98"/>
      <c r="D2" s="98"/>
      <c r="E2" s="98"/>
      <c r="F2" s="98"/>
      <c r="G2" s="98"/>
      <c r="H2" s="98"/>
      <c r="I2" s="98"/>
    </row>
    <row r="3" spans="1:12" x14ac:dyDescent="0.4">
      <c r="A3" s="152" t="s">
        <v>449</v>
      </c>
      <c r="B3" s="98"/>
      <c r="C3" s="98"/>
      <c r="D3" s="98"/>
      <c r="E3" s="98"/>
      <c r="F3" s="98"/>
      <c r="G3" s="151" t="s">
        <v>450</v>
      </c>
      <c r="H3" s="98"/>
      <c r="I3" s="98"/>
      <c r="J3" s="152" t="s">
        <v>449</v>
      </c>
      <c r="K3" s="98"/>
      <c r="L3" s="98"/>
    </row>
    <row r="4" spans="1:12" ht="47.05" customHeight="1" x14ac:dyDescent="0.4">
      <c r="A4" s="75" t="s">
        <v>451</v>
      </c>
      <c r="B4" s="75" t="s">
        <v>452</v>
      </c>
      <c r="C4" s="75" t="s">
        <v>453</v>
      </c>
      <c r="D4" s="75" t="s">
        <v>454</v>
      </c>
      <c r="E4" s="75" t="s">
        <v>455</v>
      </c>
      <c r="F4" s="75" t="s">
        <v>456</v>
      </c>
      <c r="G4" s="75" t="s">
        <v>457</v>
      </c>
      <c r="H4" s="75" t="s">
        <v>458</v>
      </c>
      <c r="I4" s="75" t="s">
        <v>459</v>
      </c>
      <c r="J4" s="75" t="s">
        <v>460</v>
      </c>
      <c r="K4" s="75" t="s">
        <v>461</v>
      </c>
      <c r="L4" s="75" t="s">
        <v>462</v>
      </c>
    </row>
    <row r="5" spans="1:12" x14ac:dyDescent="0.4">
      <c r="A5" s="53" t="s">
        <v>463</v>
      </c>
      <c r="B5" s="53" t="s">
        <v>464</v>
      </c>
      <c r="C5" s="53" t="s">
        <v>148</v>
      </c>
      <c r="D5" s="53" t="s">
        <v>149</v>
      </c>
      <c r="E5" s="53" t="s">
        <v>465</v>
      </c>
      <c r="F5" s="53" t="s">
        <v>466</v>
      </c>
      <c r="G5" s="51" t="s">
        <v>467</v>
      </c>
      <c r="H5" s="51" t="s">
        <v>468</v>
      </c>
      <c r="I5" s="51" t="s">
        <v>469</v>
      </c>
      <c r="J5" s="53" t="s">
        <v>470</v>
      </c>
      <c r="K5" s="53" t="s">
        <v>471</v>
      </c>
      <c r="L5" s="53" t="s">
        <v>401</v>
      </c>
    </row>
    <row r="6" spans="1:12" ht="29.15" x14ac:dyDescent="0.4">
      <c r="A6" s="76" t="s">
        <v>472</v>
      </c>
      <c r="B6" s="76" t="s">
        <v>18</v>
      </c>
      <c r="C6" s="76" t="s">
        <v>473</v>
      </c>
      <c r="D6" s="77" t="s">
        <v>474</v>
      </c>
      <c r="E6" s="76" t="s">
        <v>207</v>
      </c>
      <c r="F6" s="76">
        <v>4</v>
      </c>
      <c r="G6" s="76" t="s">
        <v>475</v>
      </c>
      <c r="H6" s="76">
        <v>4</v>
      </c>
      <c r="I6" s="77"/>
      <c r="J6" s="76" t="s">
        <v>476</v>
      </c>
      <c r="K6" s="78">
        <v>46218</v>
      </c>
      <c r="L6" s="76" t="s">
        <v>477</v>
      </c>
    </row>
    <row r="7" spans="1:12" ht="29.15" x14ac:dyDescent="0.4">
      <c r="A7" s="76" t="s">
        <v>472</v>
      </c>
      <c r="B7" s="76" t="s">
        <v>18</v>
      </c>
      <c r="C7" s="76" t="s">
        <v>473</v>
      </c>
      <c r="D7" s="77" t="s">
        <v>474</v>
      </c>
      <c r="E7" s="76" t="s">
        <v>263</v>
      </c>
      <c r="F7" s="76">
        <v>4</v>
      </c>
      <c r="G7" s="76" t="s">
        <v>475</v>
      </c>
      <c r="H7" s="76">
        <v>4</v>
      </c>
      <c r="I7" s="77"/>
      <c r="J7" s="76" t="s">
        <v>476</v>
      </c>
      <c r="K7" s="78">
        <v>46218</v>
      </c>
      <c r="L7" s="76" t="s">
        <v>477</v>
      </c>
    </row>
    <row r="8" spans="1:12" ht="29.15" x14ac:dyDescent="0.4">
      <c r="A8" s="76" t="s">
        <v>472</v>
      </c>
      <c r="B8" s="76" t="s">
        <v>18</v>
      </c>
      <c r="C8" s="76" t="s">
        <v>473</v>
      </c>
      <c r="D8" s="77" t="s">
        <v>474</v>
      </c>
      <c r="E8" s="76" t="s">
        <v>180</v>
      </c>
      <c r="F8" s="76">
        <v>4</v>
      </c>
      <c r="G8" s="76" t="s">
        <v>475</v>
      </c>
      <c r="H8" s="76">
        <v>4</v>
      </c>
      <c r="I8" s="77"/>
      <c r="J8" s="76" t="s">
        <v>476</v>
      </c>
      <c r="K8" s="78">
        <v>46218</v>
      </c>
      <c r="L8" s="76" t="s">
        <v>477</v>
      </c>
    </row>
    <row r="9" spans="1:12" ht="29.15" x14ac:dyDescent="0.4">
      <c r="A9" s="76" t="s">
        <v>472</v>
      </c>
      <c r="B9" s="76" t="s">
        <v>18</v>
      </c>
      <c r="C9" s="76" t="s">
        <v>473</v>
      </c>
      <c r="D9" s="77" t="s">
        <v>474</v>
      </c>
      <c r="E9" s="76" t="s">
        <v>261</v>
      </c>
      <c r="F9" s="76">
        <v>3</v>
      </c>
      <c r="G9" s="76" t="s">
        <v>475</v>
      </c>
      <c r="H9" s="76">
        <v>3</v>
      </c>
      <c r="I9" s="77"/>
      <c r="J9" s="76" t="s">
        <v>476</v>
      </c>
      <c r="K9" s="78">
        <v>46218</v>
      </c>
      <c r="L9" s="76" t="s">
        <v>477</v>
      </c>
    </row>
    <row r="10" spans="1:12" ht="29.15" x14ac:dyDescent="0.4">
      <c r="A10" s="76" t="s">
        <v>472</v>
      </c>
      <c r="B10" s="76" t="s">
        <v>18</v>
      </c>
      <c r="C10" s="76" t="s">
        <v>473</v>
      </c>
      <c r="D10" s="77" t="s">
        <v>474</v>
      </c>
      <c r="E10" s="76" t="s">
        <v>178</v>
      </c>
      <c r="F10" s="76">
        <v>4</v>
      </c>
      <c r="G10" s="76" t="s">
        <v>475</v>
      </c>
      <c r="H10" s="76">
        <v>4</v>
      </c>
      <c r="I10" s="77"/>
      <c r="J10" s="76" t="s">
        <v>476</v>
      </c>
      <c r="K10" s="78">
        <v>46218</v>
      </c>
      <c r="L10" s="76" t="s">
        <v>477</v>
      </c>
    </row>
    <row r="11" spans="1:12" ht="29.15" x14ac:dyDescent="0.4">
      <c r="A11" s="76" t="s">
        <v>472</v>
      </c>
      <c r="B11" s="76" t="s">
        <v>18</v>
      </c>
      <c r="C11" s="76" t="s">
        <v>473</v>
      </c>
      <c r="D11" s="77" t="s">
        <v>474</v>
      </c>
      <c r="E11" s="76" t="s">
        <v>382</v>
      </c>
      <c r="F11" s="76">
        <v>4</v>
      </c>
      <c r="G11" s="76" t="s">
        <v>475</v>
      </c>
      <c r="H11" s="76">
        <v>4</v>
      </c>
      <c r="I11" s="77"/>
      <c r="J11" s="76" t="s">
        <v>476</v>
      </c>
      <c r="K11" s="78">
        <v>46218</v>
      </c>
      <c r="L11" s="76" t="s">
        <v>477</v>
      </c>
    </row>
    <row r="12" spans="1:12" x14ac:dyDescent="0.4">
      <c r="A12" s="76" t="s">
        <v>472</v>
      </c>
      <c r="B12" s="76" t="s">
        <v>18</v>
      </c>
      <c r="C12" s="76" t="s">
        <v>478</v>
      </c>
      <c r="D12" s="77" t="s">
        <v>479</v>
      </c>
      <c r="E12" s="76" t="s">
        <v>207</v>
      </c>
      <c r="F12" s="76">
        <v>4</v>
      </c>
      <c r="G12" s="76" t="s">
        <v>475</v>
      </c>
      <c r="H12" s="76">
        <v>4</v>
      </c>
      <c r="I12" s="77"/>
      <c r="J12" s="76" t="s">
        <v>476</v>
      </c>
      <c r="K12" s="78">
        <v>46218</v>
      </c>
      <c r="L12" s="76" t="s">
        <v>477</v>
      </c>
    </row>
    <row r="13" spans="1:12" x14ac:dyDescent="0.4">
      <c r="A13" s="76" t="s">
        <v>472</v>
      </c>
      <c r="B13" s="76" t="s">
        <v>18</v>
      </c>
      <c r="C13" s="76" t="s">
        <v>478</v>
      </c>
      <c r="D13" s="77" t="s">
        <v>479</v>
      </c>
      <c r="E13" s="76" t="s">
        <v>263</v>
      </c>
      <c r="F13" s="76">
        <v>4</v>
      </c>
      <c r="G13" s="76" t="s">
        <v>475</v>
      </c>
      <c r="H13" s="76">
        <v>4</v>
      </c>
      <c r="I13" s="77"/>
      <c r="J13" s="76" t="s">
        <v>476</v>
      </c>
      <c r="K13" s="78">
        <v>46218</v>
      </c>
      <c r="L13" s="76" t="s">
        <v>477</v>
      </c>
    </row>
    <row r="14" spans="1:12" x14ac:dyDescent="0.4">
      <c r="A14" s="76" t="s">
        <v>472</v>
      </c>
      <c r="B14" s="76" t="s">
        <v>18</v>
      </c>
      <c r="C14" s="76" t="s">
        <v>478</v>
      </c>
      <c r="D14" s="77" t="s">
        <v>479</v>
      </c>
      <c r="E14" s="76" t="s">
        <v>180</v>
      </c>
      <c r="F14" s="76">
        <v>3</v>
      </c>
      <c r="G14" s="76" t="s">
        <v>475</v>
      </c>
      <c r="H14" s="76">
        <v>3</v>
      </c>
      <c r="I14" s="77"/>
      <c r="J14" s="76" t="s">
        <v>476</v>
      </c>
      <c r="K14" s="78">
        <v>46218</v>
      </c>
      <c r="L14" s="76" t="s">
        <v>477</v>
      </c>
    </row>
    <row r="15" spans="1:12" x14ac:dyDescent="0.4">
      <c r="A15" s="76" t="s">
        <v>472</v>
      </c>
      <c r="B15" s="76" t="s">
        <v>18</v>
      </c>
      <c r="C15" s="76" t="s">
        <v>478</v>
      </c>
      <c r="D15" s="77" t="s">
        <v>479</v>
      </c>
      <c r="E15" s="76" t="s">
        <v>261</v>
      </c>
      <c r="F15" s="76">
        <v>4</v>
      </c>
      <c r="G15" s="76" t="s">
        <v>475</v>
      </c>
      <c r="H15" s="76">
        <v>4</v>
      </c>
      <c r="I15" s="77"/>
      <c r="J15" s="76" t="s">
        <v>476</v>
      </c>
      <c r="K15" s="78">
        <v>46218</v>
      </c>
      <c r="L15" s="76" t="s">
        <v>477</v>
      </c>
    </row>
    <row r="16" spans="1:12" x14ac:dyDescent="0.4">
      <c r="A16" s="76" t="s">
        <v>472</v>
      </c>
      <c r="B16" s="76" t="s">
        <v>18</v>
      </c>
      <c r="C16" s="76" t="s">
        <v>478</v>
      </c>
      <c r="D16" s="77" t="s">
        <v>479</v>
      </c>
      <c r="E16" s="76" t="s">
        <v>178</v>
      </c>
      <c r="F16" s="76">
        <v>2</v>
      </c>
      <c r="G16" s="76" t="s">
        <v>475</v>
      </c>
      <c r="H16" s="76">
        <v>2</v>
      </c>
      <c r="I16" s="77"/>
      <c r="J16" s="76" t="s">
        <v>476</v>
      </c>
      <c r="K16" s="78">
        <v>46218</v>
      </c>
      <c r="L16" s="76" t="s">
        <v>477</v>
      </c>
    </row>
    <row r="17" spans="1:12" x14ac:dyDescent="0.4">
      <c r="A17" s="76" t="s">
        <v>472</v>
      </c>
      <c r="B17" s="76" t="s">
        <v>18</v>
      </c>
      <c r="C17" s="76" t="s">
        <v>478</v>
      </c>
      <c r="D17" s="77" t="s">
        <v>479</v>
      </c>
      <c r="E17" s="76" t="s">
        <v>382</v>
      </c>
      <c r="F17" s="76">
        <v>3</v>
      </c>
      <c r="G17" s="76" t="s">
        <v>475</v>
      </c>
      <c r="H17" s="76">
        <v>3</v>
      </c>
      <c r="I17" s="77"/>
      <c r="J17" s="76" t="s">
        <v>476</v>
      </c>
      <c r="K17" s="78">
        <v>46218</v>
      </c>
      <c r="L17" s="76" t="s">
        <v>477</v>
      </c>
    </row>
    <row r="18" spans="1:12" ht="29.15" x14ac:dyDescent="0.4">
      <c r="A18" s="76" t="s">
        <v>472</v>
      </c>
      <c r="B18" s="76" t="s">
        <v>18</v>
      </c>
      <c r="C18" s="76" t="s">
        <v>480</v>
      </c>
      <c r="D18" s="77" t="s">
        <v>481</v>
      </c>
      <c r="E18" s="76" t="s">
        <v>207</v>
      </c>
      <c r="F18" s="76">
        <v>3</v>
      </c>
      <c r="G18" s="76" t="s">
        <v>475</v>
      </c>
      <c r="H18" s="76">
        <v>3</v>
      </c>
      <c r="I18" s="77"/>
      <c r="J18" s="76" t="s">
        <v>476</v>
      </c>
      <c r="K18" s="78">
        <v>46218</v>
      </c>
      <c r="L18" s="76" t="s">
        <v>477</v>
      </c>
    </row>
    <row r="19" spans="1:12" ht="29.15" x14ac:dyDescent="0.4">
      <c r="A19" s="76" t="s">
        <v>472</v>
      </c>
      <c r="B19" s="76" t="s">
        <v>18</v>
      </c>
      <c r="C19" s="76" t="s">
        <v>480</v>
      </c>
      <c r="D19" s="77" t="s">
        <v>481</v>
      </c>
      <c r="E19" s="76" t="s">
        <v>263</v>
      </c>
      <c r="F19" s="76">
        <v>2</v>
      </c>
      <c r="G19" s="76" t="s">
        <v>475</v>
      </c>
      <c r="H19" s="76">
        <v>2</v>
      </c>
      <c r="I19" s="77"/>
      <c r="J19" s="76" t="s">
        <v>476</v>
      </c>
      <c r="K19" s="78">
        <v>46218</v>
      </c>
      <c r="L19" s="76" t="s">
        <v>477</v>
      </c>
    </row>
    <row r="20" spans="1:12" ht="29.15" x14ac:dyDescent="0.4">
      <c r="A20" s="76" t="s">
        <v>472</v>
      </c>
      <c r="B20" s="76" t="s">
        <v>18</v>
      </c>
      <c r="C20" s="76" t="s">
        <v>480</v>
      </c>
      <c r="D20" s="77" t="s">
        <v>481</v>
      </c>
      <c r="E20" s="76" t="s">
        <v>180</v>
      </c>
      <c r="F20" s="76">
        <v>3</v>
      </c>
      <c r="G20" s="76" t="s">
        <v>475</v>
      </c>
      <c r="H20" s="76">
        <v>3</v>
      </c>
      <c r="I20" s="77"/>
      <c r="J20" s="76" t="s">
        <v>476</v>
      </c>
      <c r="K20" s="78">
        <v>46218</v>
      </c>
      <c r="L20" s="76" t="s">
        <v>477</v>
      </c>
    </row>
    <row r="21" spans="1:12" ht="29.15" x14ac:dyDescent="0.4">
      <c r="A21" s="76" t="s">
        <v>472</v>
      </c>
      <c r="B21" s="76" t="s">
        <v>18</v>
      </c>
      <c r="C21" s="76" t="s">
        <v>480</v>
      </c>
      <c r="D21" s="77" t="s">
        <v>481</v>
      </c>
      <c r="E21" s="76" t="s">
        <v>261</v>
      </c>
      <c r="F21" s="76">
        <v>3</v>
      </c>
      <c r="G21" s="76" t="s">
        <v>475</v>
      </c>
      <c r="H21" s="76">
        <v>3</v>
      </c>
      <c r="I21" s="77"/>
      <c r="J21" s="76" t="s">
        <v>476</v>
      </c>
      <c r="K21" s="78">
        <v>46218</v>
      </c>
      <c r="L21" s="76" t="s">
        <v>477</v>
      </c>
    </row>
    <row r="22" spans="1:12" ht="29.15" x14ac:dyDescent="0.4">
      <c r="A22" s="76" t="s">
        <v>472</v>
      </c>
      <c r="B22" s="76" t="s">
        <v>18</v>
      </c>
      <c r="C22" s="76" t="s">
        <v>480</v>
      </c>
      <c r="D22" s="77" t="s">
        <v>481</v>
      </c>
      <c r="E22" s="76" t="s">
        <v>178</v>
      </c>
      <c r="F22" s="76">
        <v>3</v>
      </c>
      <c r="G22" s="76" t="s">
        <v>475</v>
      </c>
      <c r="H22" s="76">
        <v>3</v>
      </c>
      <c r="I22" s="77"/>
      <c r="J22" s="76" t="s">
        <v>476</v>
      </c>
      <c r="K22" s="78">
        <v>46218</v>
      </c>
      <c r="L22" s="76" t="s">
        <v>477</v>
      </c>
    </row>
    <row r="23" spans="1:12" ht="29.15" x14ac:dyDescent="0.4">
      <c r="A23" s="76" t="s">
        <v>472</v>
      </c>
      <c r="B23" s="76" t="s">
        <v>18</v>
      </c>
      <c r="C23" s="76" t="s">
        <v>480</v>
      </c>
      <c r="D23" s="77" t="s">
        <v>481</v>
      </c>
      <c r="E23" s="76" t="s">
        <v>382</v>
      </c>
      <c r="F23" s="76">
        <v>3</v>
      </c>
      <c r="G23" s="76" t="s">
        <v>475</v>
      </c>
      <c r="H23" s="76">
        <v>3</v>
      </c>
      <c r="I23" s="77"/>
      <c r="J23" s="76" t="s">
        <v>476</v>
      </c>
      <c r="K23" s="78">
        <v>46218</v>
      </c>
      <c r="L23" s="76" t="s">
        <v>477</v>
      </c>
    </row>
    <row r="24" spans="1:12" x14ac:dyDescent="0.4">
      <c r="A24" s="76" t="s">
        <v>472</v>
      </c>
      <c r="B24" s="76" t="s">
        <v>18</v>
      </c>
      <c r="C24" s="76" t="s">
        <v>482</v>
      </c>
      <c r="D24" s="77" t="s">
        <v>483</v>
      </c>
      <c r="E24" s="76" t="s">
        <v>207</v>
      </c>
      <c r="F24" s="76">
        <v>3</v>
      </c>
      <c r="G24" s="76" t="s">
        <v>475</v>
      </c>
      <c r="H24" s="76">
        <v>3</v>
      </c>
      <c r="I24" s="77"/>
      <c r="J24" s="76" t="s">
        <v>476</v>
      </c>
      <c r="K24" s="78">
        <v>46218</v>
      </c>
      <c r="L24" s="76" t="s">
        <v>477</v>
      </c>
    </row>
    <row r="25" spans="1:12" x14ac:dyDescent="0.4">
      <c r="A25" s="76" t="s">
        <v>472</v>
      </c>
      <c r="B25" s="76" t="s">
        <v>18</v>
      </c>
      <c r="C25" s="76" t="s">
        <v>482</v>
      </c>
      <c r="D25" s="77" t="s">
        <v>483</v>
      </c>
      <c r="E25" s="76" t="s">
        <v>263</v>
      </c>
      <c r="F25" s="76">
        <v>2</v>
      </c>
      <c r="G25" s="76" t="s">
        <v>475</v>
      </c>
      <c r="H25" s="76">
        <v>2</v>
      </c>
      <c r="I25" s="77"/>
      <c r="J25" s="76" t="s">
        <v>476</v>
      </c>
      <c r="K25" s="78">
        <v>46218</v>
      </c>
      <c r="L25" s="76" t="s">
        <v>477</v>
      </c>
    </row>
    <row r="26" spans="1:12" x14ac:dyDescent="0.4">
      <c r="A26" s="76" t="s">
        <v>472</v>
      </c>
      <c r="B26" s="76" t="s">
        <v>18</v>
      </c>
      <c r="C26" s="76" t="s">
        <v>482</v>
      </c>
      <c r="D26" s="77" t="s">
        <v>483</v>
      </c>
      <c r="E26" s="76" t="s">
        <v>180</v>
      </c>
      <c r="F26" s="76">
        <v>3</v>
      </c>
      <c r="G26" s="76" t="s">
        <v>475</v>
      </c>
      <c r="H26" s="76">
        <v>3</v>
      </c>
      <c r="I26" s="77"/>
      <c r="J26" s="76" t="s">
        <v>476</v>
      </c>
      <c r="K26" s="78">
        <v>46218</v>
      </c>
      <c r="L26" s="76" t="s">
        <v>477</v>
      </c>
    </row>
    <row r="27" spans="1:12" x14ac:dyDescent="0.4">
      <c r="A27" s="76" t="s">
        <v>472</v>
      </c>
      <c r="B27" s="76" t="s">
        <v>18</v>
      </c>
      <c r="C27" s="76" t="s">
        <v>482</v>
      </c>
      <c r="D27" s="77" t="s">
        <v>483</v>
      </c>
      <c r="E27" s="76" t="s">
        <v>261</v>
      </c>
      <c r="F27" s="76">
        <v>3</v>
      </c>
      <c r="G27" s="76" t="s">
        <v>475</v>
      </c>
      <c r="H27" s="76">
        <v>3</v>
      </c>
      <c r="I27" s="77"/>
      <c r="J27" s="76" t="s">
        <v>476</v>
      </c>
      <c r="K27" s="78">
        <v>46218</v>
      </c>
      <c r="L27" s="76" t="s">
        <v>477</v>
      </c>
    </row>
    <row r="28" spans="1:12" x14ac:dyDescent="0.4">
      <c r="A28" s="76" t="s">
        <v>472</v>
      </c>
      <c r="B28" s="76" t="s">
        <v>18</v>
      </c>
      <c r="C28" s="76" t="s">
        <v>482</v>
      </c>
      <c r="D28" s="77" t="s">
        <v>483</v>
      </c>
      <c r="E28" s="76" t="s">
        <v>178</v>
      </c>
      <c r="F28" s="76">
        <v>3</v>
      </c>
      <c r="G28" s="76" t="s">
        <v>475</v>
      </c>
      <c r="H28" s="76">
        <v>3</v>
      </c>
      <c r="I28" s="77"/>
      <c r="J28" s="76" t="s">
        <v>476</v>
      </c>
      <c r="K28" s="78">
        <v>46218</v>
      </c>
      <c r="L28" s="76" t="s">
        <v>477</v>
      </c>
    </row>
    <row r="29" spans="1:12" x14ac:dyDescent="0.4">
      <c r="A29" s="76" t="s">
        <v>472</v>
      </c>
      <c r="B29" s="76" t="s">
        <v>18</v>
      </c>
      <c r="C29" s="76" t="s">
        <v>482</v>
      </c>
      <c r="D29" s="77" t="s">
        <v>483</v>
      </c>
      <c r="E29" s="76" t="s">
        <v>382</v>
      </c>
      <c r="F29" s="76">
        <v>3</v>
      </c>
      <c r="G29" s="76" t="s">
        <v>475</v>
      </c>
      <c r="H29" s="76">
        <v>3</v>
      </c>
      <c r="I29" s="77"/>
      <c r="J29" s="76" t="s">
        <v>476</v>
      </c>
      <c r="K29" s="78">
        <v>46218</v>
      </c>
      <c r="L29" s="76" t="s">
        <v>477</v>
      </c>
    </row>
    <row r="30" spans="1:12" x14ac:dyDescent="0.4">
      <c r="A30" s="76" t="s">
        <v>472</v>
      </c>
      <c r="B30" s="76" t="s">
        <v>18</v>
      </c>
      <c r="C30" s="76" t="s">
        <v>484</v>
      </c>
      <c r="D30" s="77" t="s">
        <v>485</v>
      </c>
      <c r="E30" s="76" t="s">
        <v>207</v>
      </c>
      <c r="F30" s="76">
        <v>3</v>
      </c>
      <c r="G30" s="76" t="s">
        <v>475</v>
      </c>
      <c r="H30" s="76">
        <v>3</v>
      </c>
      <c r="I30" s="77"/>
      <c r="J30" s="76" t="s">
        <v>476</v>
      </c>
      <c r="K30" s="78">
        <v>46218</v>
      </c>
      <c r="L30" s="76" t="s">
        <v>477</v>
      </c>
    </row>
    <row r="31" spans="1:12" x14ac:dyDescent="0.4">
      <c r="A31" s="76" t="s">
        <v>472</v>
      </c>
      <c r="B31" s="76" t="s">
        <v>18</v>
      </c>
      <c r="C31" s="76" t="s">
        <v>484</v>
      </c>
      <c r="D31" s="77" t="s">
        <v>485</v>
      </c>
      <c r="E31" s="76" t="s">
        <v>263</v>
      </c>
      <c r="F31" s="76">
        <v>3</v>
      </c>
      <c r="G31" s="76" t="s">
        <v>475</v>
      </c>
      <c r="H31" s="76">
        <v>3</v>
      </c>
      <c r="I31" s="77"/>
      <c r="J31" s="76" t="s">
        <v>476</v>
      </c>
      <c r="K31" s="78">
        <v>46218</v>
      </c>
      <c r="L31" s="76" t="s">
        <v>477</v>
      </c>
    </row>
    <row r="32" spans="1:12" x14ac:dyDescent="0.4">
      <c r="A32" s="76" t="s">
        <v>472</v>
      </c>
      <c r="B32" s="76" t="s">
        <v>18</v>
      </c>
      <c r="C32" s="76" t="s">
        <v>484</v>
      </c>
      <c r="D32" s="77" t="s">
        <v>485</v>
      </c>
      <c r="E32" s="76" t="s">
        <v>180</v>
      </c>
      <c r="F32" s="76">
        <v>3</v>
      </c>
      <c r="G32" s="76" t="s">
        <v>475</v>
      </c>
      <c r="H32" s="76">
        <v>3</v>
      </c>
      <c r="I32" s="77"/>
      <c r="J32" s="76" t="s">
        <v>476</v>
      </c>
      <c r="K32" s="78">
        <v>46218</v>
      </c>
      <c r="L32" s="76" t="s">
        <v>477</v>
      </c>
    </row>
    <row r="33" spans="1:12" x14ac:dyDescent="0.4">
      <c r="A33" s="76" t="s">
        <v>472</v>
      </c>
      <c r="B33" s="76" t="s">
        <v>18</v>
      </c>
      <c r="C33" s="76" t="s">
        <v>484</v>
      </c>
      <c r="D33" s="77" t="s">
        <v>485</v>
      </c>
      <c r="E33" s="76" t="s">
        <v>261</v>
      </c>
      <c r="F33" s="76">
        <v>3</v>
      </c>
      <c r="G33" s="76" t="s">
        <v>475</v>
      </c>
      <c r="H33" s="76">
        <v>3</v>
      </c>
      <c r="I33" s="77"/>
      <c r="J33" s="76" t="s">
        <v>476</v>
      </c>
      <c r="K33" s="78">
        <v>46218</v>
      </c>
      <c r="L33" s="76" t="s">
        <v>477</v>
      </c>
    </row>
    <row r="34" spans="1:12" x14ac:dyDescent="0.4">
      <c r="A34" s="76" t="s">
        <v>472</v>
      </c>
      <c r="B34" s="76" t="s">
        <v>18</v>
      </c>
      <c r="C34" s="76" t="s">
        <v>484</v>
      </c>
      <c r="D34" s="77" t="s">
        <v>485</v>
      </c>
      <c r="E34" s="76" t="s">
        <v>178</v>
      </c>
      <c r="F34" s="76">
        <v>3</v>
      </c>
      <c r="G34" s="76" t="s">
        <v>475</v>
      </c>
      <c r="H34" s="76">
        <v>3</v>
      </c>
      <c r="I34" s="77"/>
      <c r="J34" s="76" t="s">
        <v>476</v>
      </c>
      <c r="K34" s="78">
        <v>46218</v>
      </c>
      <c r="L34" s="76" t="s">
        <v>477</v>
      </c>
    </row>
    <row r="35" spans="1:12" x14ac:dyDescent="0.4">
      <c r="A35" s="76" t="s">
        <v>472</v>
      </c>
      <c r="B35" s="76" t="s">
        <v>18</v>
      </c>
      <c r="C35" s="76" t="s">
        <v>484</v>
      </c>
      <c r="D35" s="77" t="s">
        <v>485</v>
      </c>
      <c r="E35" s="76" t="s">
        <v>382</v>
      </c>
      <c r="F35" s="76">
        <v>4</v>
      </c>
      <c r="G35" s="76" t="s">
        <v>475</v>
      </c>
      <c r="H35" s="76">
        <v>4</v>
      </c>
      <c r="I35" s="77"/>
      <c r="J35" s="76" t="s">
        <v>476</v>
      </c>
      <c r="K35" s="78">
        <v>46218</v>
      </c>
      <c r="L35" s="76" t="s">
        <v>477</v>
      </c>
    </row>
    <row r="36" spans="1:12" ht="29.15" x14ac:dyDescent="0.4">
      <c r="A36" s="76" t="s">
        <v>472</v>
      </c>
      <c r="B36" s="76" t="s">
        <v>18</v>
      </c>
      <c r="C36" s="76" t="s">
        <v>486</v>
      </c>
      <c r="D36" s="77" t="s">
        <v>487</v>
      </c>
      <c r="E36" s="76" t="s">
        <v>207</v>
      </c>
      <c r="F36" s="76">
        <v>3</v>
      </c>
      <c r="G36" s="76" t="s">
        <v>475</v>
      </c>
      <c r="H36" s="76">
        <v>3</v>
      </c>
      <c r="I36" s="77"/>
      <c r="J36" s="76" t="s">
        <v>476</v>
      </c>
      <c r="K36" s="78">
        <v>46218</v>
      </c>
      <c r="L36" s="76" t="s">
        <v>477</v>
      </c>
    </row>
    <row r="37" spans="1:12" ht="29.15" x14ac:dyDescent="0.4">
      <c r="A37" s="76" t="s">
        <v>472</v>
      </c>
      <c r="B37" s="76" t="s">
        <v>18</v>
      </c>
      <c r="C37" s="76" t="s">
        <v>486</v>
      </c>
      <c r="D37" s="77" t="s">
        <v>487</v>
      </c>
      <c r="E37" s="76" t="s">
        <v>263</v>
      </c>
      <c r="F37" s="76">
        <v>3</v>
      </c>
      <c r="G37" s="76" t="s">
        <v>475</v>
      </c>
      <c r="H37" s="76">
        <v>3</v>
      </c>
      <c r="I37" s="77"/>
      <c r="J37" s="76" t="s">
        <v>476</v>
      </c>
      <c r="K37" s="78">
        <v>46218</v>
      </c>
      <c r="L37" s="76" t="s">
        <v>477</v>
      </c>
    </row>
    <row r="38" spans="1:12" ht="29.15" x14ac:dyDescent="0.4">
      <c r="A38" s="76" t="s">
        <v>472</v>
      </c>
      <c r="B38" s="76" t="s">
        <v>18</v>
      </c>
      <c r="C38" s="76" t="s">
        <v>486</v>
      </c>
      <c r="D38" s="77" t="s">
        <v>487</v>
      </c>
      <c r="E38" s="76" t="s">
        <v>180</v>
      </c>
      <c r="F38" s="76">
        <v>3</v>
      </c>
      <c r="G38" s="76" t="s">
        <v>475</v>
      </c>
      <c r="H38" s="76">
        <v>3</v>
      </c>
      <c r="I38" s="77"/>
      <c r="J38" s="76" t="s">
        <v>476</v>
      </c>
      <c r="K38" s="78">
        <v>46218</v>
      </c>
      <c r="L38" s="76" t="s">
        <v>477</v>
      </c>
    </row>
    <row r="39" spans="1:12" ht="29.15" x14ac:dyDescent="0.4">
      <c r="A39" s="76" t="s">
        <v>472</v>
      </c>
      <c r="B39" s="76" t="s">
        <v>18</v>
      </c>
      <c r="C39" s="76" t="s">
        <v>486</v>
      </c>
      <c r="D39" s="77" t="s">
        <v>487</v>
      </c>
      <c r="E39" s="76" t="s">
        <v>261</v>
      </c>
      <c r="F39" s="76">
        <v>4</v>
      </c>
      <c r="G39" s="76" t="s">
        <v>475</v>
      </c>
      <c r="H39" s="76">
        <v>4</v>
      </c>
      <c r="I39" s="77"/>
      <c r="J39" s="76" t="s">
        <v>476</v>
      </c>
      <c r="K39" s="78">
        <v>46218</v>
      </c>
      <c r="L39" s="76" t="s">
        <v>477</v>
      </c>
    </row>
    <row r="40" spans="1:12" ht="29.15" x14ac:dyDescent="0.4">
      <c r="A40" s="76" t="s">
        <v>472</v>
      </c>
      <c r="B40" s="76" t="s">
        <v>18</v>
      </c>
      <c r="C40" s="76" t="s">
        <v>486</v>
      </c>
      <c r="D40" s="77" t="s">
        <v>487</v>
      </c>
      <c r="E40" s="76" t="s">
        <v>178</v>
      </c>
      <c r="F40" s="76">
        <v>3</v>
      </c>
      <c r="G40" s="76" t="s">
        <v>475</v>
      </c>
      <c r="H40" s="76">
        <v>3</v>
      </c>
      <c r="I40" s="77"/>
      <c r="J40" s="76" t="s">
        <v>476</v>
      </c>
      <c r="K40" s="78">
        <v>46218</v>
      </c>
      <c r="L40" s="76" t="s">
        <v>477</v>
      </c>
    </row>
    <row r="41" spans="1:12" ht="29.15" x14ac:dyDescent="0.4">
      <c r="A41" s="76" t="s">
        <v>472</v>
      </c>
      <c r="B41" s="76" t="s">
        <v>18</v>
      </c>
      <c r="C41" s="76" t="s">
        <v>486</v>
      </c>
      <c r="D41" s="77" t="s">
        <v>487</v>
      </c>
      <c r="E41" s="76" t="s">
        <v>382</v>
      </c>
      <c r="F41" s="76">
        <v>2</v>
      </c>
      <c r="G41" s="76" t="s">
        <v>475</v>
      </c>
      <c r="H41" s="76">
        <v>2</v>
      </c>
      <c r="I41" s="77"/>
      <c r="J41" s="76" t="s">
        <v>476</v>
      </c>
      <c r="K41" s="78">
        <v>46218</v>
      </c>
      <c r="L41" s="76" t="s">
        <v>477</v>
      </c>
    </row>
    <row r="42" spans="1:12" ht="29.15" x14ac:dyDescent="0.4">
      <c r="A42" s="76" t="s">
        <v>472</v>
      </c>
      <c r="B42" s="76" t="s">
        <v>18</v>
      </c>
      <c r="C42" s="76" t="s">
        <v>488</v>
      </c>
      <c r="D42" s="77" t="s">
        <v>489</v>
      </c>
      <c r="E42" s="76" t="s">
        <v>207</v>
      </c>
      <c r="F42" s="76">
        <v>4</v>
      </c>
      <c r="G42" s="76" t="s">
        <v>475</v>
      </c>
      <c r="H42" s="76">
        <v>4</v>
      </c>
      <c r="I42" s="77"/>
      <c r="J42" s="76" t="s">
        <v>476</v>
      </c>
      <c r="K42" s="78">
        <v>46218</v>
      </c>
      <c r="L42" s="76" t="s">
        <v>477</v>
      </c>
    </row>
    <row r="43" spans="1:12" ht="29.15" x14ac:dyDescent="0.4">
      <c r="A43" s="76" t="s">
        <v>472</v>
      </c>
      <c r="B43" s="76" t="s">
        <v>18</v>
      </c>
      <c r="C43" s="76" t="s">
        <v>488</v>
      </c>
      <c r="D43" s="77" t="s">
        <v>489</v>
      </c>
      <c r="E43" s="76" t="s">
        <v>263</v>
      </c>
      <c r="F43" s="76">
        <v>5</v>
      </c>
      <c r="G43" s="76" t="s">
        <v>475</v>
      </c>
      <c r="H43" s="76">
        <v>5</v>
      </c>
      <c r="I43" s="77"/>
      <c r="J43" s="76" t="s">
        <v>476</v>
      </c>
      <c r="K43" s="78">
        <v>46218</v>
      </c>
      <c r="L43" s="76" t="s">
        <v>477</v>
      </c>
    </row>
    <row r="44" spans="1:12" ht="29.15" x14ac:dyDescent="0.4">
      <c r="A44" s="76" t="s">
        <v>472</v>
      </c>
      <c r="B44" s="76" t="s">
        <v>18</v>
      </c>
      <c r="C44" s="76" t="s">
        <v>488</v>
      </c>
      <c r="D44" s="77" t="s">
        <v>489</v>
      </c>
      <c r="E44" s="76" t="s">
        <v>180</v>
      </c>
      <c r="F44" s="76">
        <v>3</v>
      </c>
      <c r="G44" s="76" t="s">
        <v>475</v>
      </c>
      <c r="H44" s="76">
        <v>3</v>
      </c>
      <c r="I44" s="77"/>
      <c r="J44" s="76" t="s">
        <v>476</v>
      </c>
      <c r="K44" s="78">
        <v>46218</v>
      </c>
      <c r="L44" s="76" t="s">
        <v>477</v>
      </c>
    </row>
    <row r="45" spans="1:12" ht="29.15" x14ac:dyDescent="0.4">
      <c r="A45" s="76" t="s">
        <v>472</v>
      </c>
      <c r="B45" s="76" t="s">
        <v>18</v>
      </c>
      <c r="C45" s="76" t="s">
        <v>488</v>
      </c>
      <c r="D45" s="77" t="s">
        <v>489</v>
      </c>
      <c r="E45" s="76" t="s">
        <v>261</v>
      </c>
      <c r="F45" s="76">
        <v>3</v>
      </c>
      <c r="G45" s="76" t="s">
        <v>475</v>
      </c>
      <c r="H45" s="76">
        <v>3</v>
      </c>
      <c r="I45" s="77"/>
      <c r="J45" s="76" t="s">
        <v>476</v>
      </c>
      <c r="K45" s="78">
        <v>46218</v>
      </c>
      <c r="L45" s="76" t="s">
        <v>477</v>
      </c>
    </row>
    <row r="46" spans="1:12" ht="29.15" x14ac:dyDescent="0.4">
      <c r="A46" s="76" t="s">
        <v>472</v>
      </c>
      <c r="B46" s="76" t="s">
        <v>18</v>
      </c>
      <c r="C46" s="76" t="s">
        <v>488</v>
      </c>
      <c r="D46" s="77" t="s">
        <v>489</v>
      </c>
      <c r="E46" s="76" t="s">
        <v>178</v>
      </c>
      <c r="F46" s="76">
        <v>3</v>
      </c>
      <c r="G46" s="76" t="s">
        <v>475</v>
      </c>
      <c r="H46" s="76">
        <v>3</v>
      </c>
      <c r="I46" s="77"/>
      <c r="J46" s="76" t="s">
        <v>476</v>
      </c>
      <c r="K46" s="78">
        <v>46218</v>
      </c>
      <c r="L46" s="76" t="s">
        <v>477</v>
      </c>
    </row>
    <row r="47" spans="1:12" ht="29.15" x14ac:dyDescent="0.4">
      <c r="A47" s="76" t="s">
        <v>472</v>
      </c>
      <c r="B47" s="76" t="s">
        <v>18</v>
      </c>
      <c r="C47" s="76" t="s">
        <v>488</v>
      </c>
      <c r="D47" s="77" t="s">
        <v>489</v>
      </c>
      <c r="E47" s="76" t="s">
        <v>382</v>
      </c>
      <c r="F47" s="76">
        <v>3</v>
      </c>
      <c r="G47" s="76" t="s">
        <v>475</v>
      </c>
      <c r="H47" s="76">
        <v>3</v>
      </c>
      <c r="I47" s="77"/>
      <c r="J47" s="76" t="s">
        <v>476</v>
      </c>
      <c r="K47" s="78">
        <v>46218</v>
      </c>
      <c r="L47" s="76" t="s">
        <v>477</v>
      </c>
    </row>
    <row r="48" spans="1:12" x14ac:dyDescent="0.4">
      <c r="A48" s="76" t="s">
        <v>472</v>
      </c>
      <c r="B48" s="76" t="s">
        <v>18</v>
      </c>
      <c r="C48" s="76" t="s">
        <v>490</v>
      </c>
      <c r="D48" s="77" t="s">
        <v>491</v>
      </c>
      <c r="E48" s="76" t="s">
        <v>207</v>
      </c>
      <c r="F48" s="76">
        <v>3</v>
      </c>
      <c r="G48" s="76" t="s">
        <v>475</v>
      </c>
      <c r="H48" s="76">
        <v>3</v>
      </c>
      <c r="I48" s="77"/>
      <c r="J48" s="76" t="s">
        <v>476</v>
      </c>
      <c r="K48" s="78">
        <v>46218</v>
      </c>
      <c r="L48" s="76" t="s">
        <v>477</v>
      </c>
    </row>
    <row r="49" spans="1:12" x14ac:dyDescent="0.4">
      <c r="A49" s="76" t="s">
        <v>472</v>
      </c>
      <c r="B49" s="76" t="s">
        <v>18</v>
      </c>
      <c r="C49" s="76" t="s">
        <v>490</v>
      </c>
      <c r="D49" s="77" t="s">
        <v>491</v>
      </c>
      <c r="E49" s="76" t="s">
        <v>263</v>
      </c>
      <c r="F49" s="76">
        <v>3</v>
      </c>
      <c r="G49" s="76" t="s">
        <v>475</v>
      </c>
      <c r="H49" s="76">
        <v>3</v>
      </c>
      <c r="I49" s="77"/>
      <c r="J49" s="76" t="s">
        <v>476</v>
      </c>
      <c r="K49" s="78">
        <v>46218</v>
      </c>
      <c r="L49" s="76" t="s">
        <v>477</v>
      </c>
    </row>
    <row r="50" spans="1:12" x14ac:dyDescent="0.4">
      <c r="A50" s="76" t="s">
        <v>472</v>
      </c>
      <c r="B50" s="76" t="s">
        <v>18</v>
      </c>
      <c r="C50" s="76" t="s">
        <v>490</v>
      </c>
      <c r="D50" s="77" t="s">
        <v>491</v>
      </c>
      <c r="E50" s="76" t="s">
        <v>180</v>
      </c>
      <c r="F50" s="76">
        <v>3</v>
      </c>
      <c r="G50" s="76" t="s">
        <v>475</v>
      </c>
      <c r="H50" s="76">
        <v>3</v>
      </c>
      <c r="I50" s="77"/>
      <c r="J50" s="76" t="s">
        <v>476</v>
      </c>
      <c r="K50" s="78">
        <v>46218</v>
      </c>
      <c r="L50" s="76" t="s">
        <v>477</v>
      </c>
    </row>
    <row r="51" spans="1:12" x14ac:dyDescent="0.4">
      <c r="A51" s="76" t="s">
        <v>472</v>
      </c>
      <c r="B51" s="76" t="s">
        <v>18</v>
      </c>
      <c r="C51" s="76" t="s">
        <v>490</v>
      </c>
      <c r="D51" s="77" t="s">
        <v>491</v>
      </c>
      <c r="E51" s="76" t="s">
        <v>261</v>
      </c>
      <c r="F51" s="76">
        <v>3</v>
      </c>
      <c r="G51" s="76" t="s">
        <v>475</v>
      </c>
      <c r="H51" s="76">
        <v>3</v>
      </c>
      <c r="I51" s="77"/>
      <c r="J51" s="76" t="s">
        <v>476</v>
      </c>
      <c r="K51" s="78">
        <v>46218</v>
      </c>
      <c r="L51" s="76" t="s">
        <v>477</v>
      </c>
    </row>
    <row r="52" spans="1:12" x14ac:dyDescent="0.4">
      <c r="A52" s="76" t="s">
        <v>472</v>
      </c>
      <c r="B52" s="76" t="s">
        <v>18</v>
      </c>
      <c r="C52" s="76" t="s">
        <v>490</v>
      </c>
      <c r="D52" s="77" t="s">
        <v>491</v>
      </c>
      <c r="E52" s="76" t="s">
        <v>178</v>
      </c>
      <c r="F52" s="76">
        <v>2</v>
      </c>
      <c r="G52" s="76" t="s">
        <v>475</v>
      </c>
      <c r="H52" s="76">
        <v>2</v>
      </c>
      <c r="I52" s="77"/>
      <c r="J52" s="76" t="s">
        <v>476</v>
      </c>
      <c r="K52" s="78">
        <v>46218</v>
      </c>
      <c r="L52" s="76" t="s">
        <v>477</v>
      </c>
    </row>
    <row r="53" spans="1:12" x14ac:dyDescent="0.4">
      <c r="A53" s="76" t="s">
        <v>472</v>
      </c>
      <c r="B53" s="76" t="s">
        <v>18</v>
      </c>
      <c r="C53" s="76" t="s">
        <v>490</v>
      </c>
      <c r="D53" s="77" t="s">
        <v>491</v>
      </c>
      <c r="E53" s="76" t="s">
        <v>382</v>
      </c>
      <c r="F53" s="76">
        <v>3</v>
      </c>
      <c r="G53" s="76" t="s">
        <v>475</v>
      </c>
      <c r="H53" s="76">
        <v>3</v>
      </c>
      <c r="I53" s="77"/>
      <c r="J53" s="76" t="s">
        <v>476</v>
      </c>
      <c r="K53" s="78">
        <v>46218</v>
      </c>
      <c r="L53" s="76" t="s">
        <v>477</v>
      </c>
    </row>
    <row r="54" spans="1:12" ht="29.15" x14ac:dyDescent="0.4">
      <c r="A54" s="76" t="s">
        <v>472</v>
      </c>
      <c r="B54" s="76" t="s">
        <v>18</v>
      </c>
      <c r="C54" s="76" t="s">
        <v>492</v>
      </c>
      <c r="D54" s="77" t="s">
        <v>493</v>
      </c>
      <c r="E54" s="76" t="s">
        <v>207</v>
      </c>
      <c r="F54" s="76">
        <v>4</v>
      </c>
      <c r="G54" s="76" t="s">
        <v>475</v>
      </c>
      <c r="H54" s="76">
        <v>4</v>
      </c>
      <c r="I54" s="77"/>
      <c r="J54" s="76" t="s">
        <v>476</v>
      </c>
      <c r="K54" s="78">
        <v>46218</v>
      </c>
      <c r="L54" s="76" t="s">
        <v>477</v>
      </c>
    </row>
    <row r="55" spans="1:12" ht="29.15" x14ac:dyDescent="0.4">
      <c r="A55" s="76" t="s">
        <v>472</v>
      </c>
      <c r="B55" s="76" t="s">
        <v>18</v>
      </c>
      <c r="C55" s="76" t="s">
        <v>492</v>
      </c>
      <c r="D55" s="77" t="s">
        <v>493</v>
      </c>
      <c r="E55" s="76" t="s">
        <v>263</v>
      </c>
      <c r="F55" s="76">
        <v>3</v>
      </c>
      <c r="G55" s="76" t="s">
        <v>475</v>
      </c>
      <c r="H55" s="76">
        <v>3</v>
      </c>
      <c r="I55" s="77"/>
      <c r="J55" s="76" t="s">
        <v>476</v>
      </c>
      <c r="K55" s="78">
        <v>46218</v>
      </c>
      <c r="L55" s="76" t="s">
        <v>477</v>
      </c>
    </row>
    <row r="56" spans="1:12" ht="29.15" x14ac:dyDescent="0.4">
      <c r="A56" s="76" t="s">
        <v>472</v>
      </c>
      <c r="B56" s="76" t="s">
        <v>18</v>
      </c>
      <c r="C56" s="76" t="s">
        <v>492</v>
      </c>
      <c r="D56" s="77" t="s">
        <v>493</v>
      </c>
      <c r="E56" s="76" t="s">
        <v>180</v>
      </c>
      <c r="F56" s="76">
        <v>2</v>
      </c>
      <c r="G56" s="76" t="s">
        <v>475</v>
      </c>
      <c r="H56" s="76">
        <v>2</v>
      </c>
      <c r="I56" s="77"/>
      <c r="J56" s="76" t="s">
        <v>476</v>
      </c>
      <c r="K56" s="78">
        <v>46218</v>
      </c>
      <c r="L56" s="76" t="s">
        <v>477</v>
      </c>
    </row>
    <row r="57" spans="1:12" ht="29.15" x14ac:dyDescent="0.4">
      <c r="A57" s="76" t="s">
        <v>472</v>
      </c>
      <c r="B57" s="76" t="s">
        <v>18</v>
      </c>
      <c r="C57" s="76" t="s">
        <v>492</v>
      </c>
      <c r="D57" s="77" t="s">
        <v>493</v>
      </c>
      <c r="E57" s="76" t="s">
        <v>261</v>
      </c>
      <c r="F57" s="76">
        <v>3</v>
      </c>
      <c r="G57" s="76" t="s">
        <v>475</v>
      </c>
      <c r="H57" s="76">
        <v>3</v>
      </c>
      <c r="I57" s="77"/>
      <c r="J57" s="76" t="s">
        <v>476</v>
      </c>
      <c r="K57" s="78">
        <v>46218</v>
      </c>
      <c r="L57" s="76" t="s">
        <v>477</v>
      </c>
    </row>
    <row r="58" spans="1:12" ht="29.15" x14ac:dyDescent="0.4">
      <c r="A58" s="76" t="s">
        <v>472</v>
      </c>
      <c r="B58" s="76" t="s">
        <v>18</v>
      </c>
      <c r="C58" s="76" t="s">
        <v>492</v>
      </c>
      <c r="D58" s="77" t="s">
        <v>493</v>
      </c>
      <c r="E58" s="76" t="s">
        <v>178</v>
      </c>
      <c r="F58" s="76">
        <v>2</v>
      </c>
      <c r="G58" s="76" t="s">
        <v>475</v>
      </c>
      <c r="H58" s="76">
        <v>2</v>
      </c>
      <c r="I58" s="77"/>
      <c r="J58" s="76" t="s">
        <v>476</v>
      </c>
      <c r="K58" s="78">
        <v>46218</v>
      </c>
      <c r="L58" s="76" t="s">
        <v>477</v>
      </c>
    </row>
    <row r="59" spans="1:12" ht="29.15" x14ac:dyDescent="0.4">
      <c r="A59" s="76" t="s">
        <v>472</v>
      </c>
      <c r="B59" s="76" t="s">
        <v>18</v>
      </c>
      <c r="C59" s="76" t="s">
        <v>492</v>
      </c>
      <c r="D59" s="77" t="s">
        <v>493</v>
      </c>
      <c r="E59" s="76" t="s">
        <v>382</v>
      </c>
      <c r="F59" s="76">
        <v>2</v>
      </c>
      <c r="G59" s="76" t="s">
        <v>475</v>
      </c>
      <c r="H59" s="76">
        <v>2</v>
      </c>
      <c r="I59" s="77"/>
      <c r="J59" s="76" t="s">
        <v>476</v>
      </c>
      <c r="K59" s="78">
        <v>46218</v>
      </c>
      <c r="L59" s="76" t="s">
        <v>477</v>
      </c>
    </row>
    <row r="60" spans="1:12" ht="29.15" x14ac:dyDescent="0.4">
      <c r="A60" s="76" t="s">
        <v>472</v>
      </c>
      <c r="B60" s="76" t="s">
        <v>18</v>
      </c>
      <c r="C60" s="76" t="s">
        <v>494</v>
      </c>
      <c r="D60" s="77" t="s">
        <v>495</v>
      </c>
      <c r="E60" s="76" t="s">
        <v>207</v>
      </c>
      <c r="F60" s="76">
        <v>3</v>
      </c>
      <c r="G60" s="76" t="s">
        <v>475</v>
      </c>
      <c r="H60" s="76">
        <v>3</v>
      </c>
      <c r="I60" s="77"/>
      <c r="J60" s="76" t="s">
        <v>476</v>
      </c>
      <c r="K60" s="78">
        <v>46218</v>
      </c>
      <c r="L60" s="76" t="s">
        <v>477</v>
      </c>
    </row>
    <row r="61" spans="1:12" ht="29.15" x14ac:dyDescent="0.4">
      <c r="A61" s="76" t="s">
        <v>472</v>
      </c>
      <c r="B61" s="76" t="s">
        <v>18</v>
      </c>
      <c r="C61" s="76" t="s">
        <v>494</v>
      </c>
      <c r="D61" s="77" t="s">
        <v>495</v>
      </c>
      <c r="E61" s="76" t="s">
        <v>263</v>
      </c>
      <c r="F61" s="76">
        <v>3</v>
      </c>
      <c r="G61" s="76" t="s">
        <v>475</v>
      </c>
      <c r="H61" s="76">
        <v>3</v>
      </c>
      <c r="I61" s="77"/>
      <c r="J61" s="76" t="s">
        <v>476</v>
      </c>
      <c r="K61" s="78">
        <v>46218</v>
      </c>
      <c r="L61" s="76" t="s">
        <v>477</v>
      </c>
    </row>
    <row r="62" spans="1:12" ht="29.15" x14ac:dyDescent="0.4">
      <c r="A62" s="76" t="s">
        <v>472</v>
      </c>
      <c r="B62" s="76" t="s">
        <v>18</v>
      </c>
      <c r="C62" s="76" t="s">
        <v>494</v>
      </c>
      <c r="D62" s="77" t="s">
        <v>495</v>
      </c>
      <c r="E62" s="76" t="s">
        <v>180</v>
      </c>
      <c r="F62" s="76">
        <v>3</v>
      </c>
      <c r="G62" s="76" t="s">
        <v>475</v>
      </c>
      <c r="H62" s="76">
        <v>3</v>
      </c>
      <c r="I62" s="77"/>
      <c r="J62" s="76" t="s">
        <v>476</v>
      </c>
      <c r="K62" s="78">
        <v>46218</v>
      </c>
      <c r="L62" s="76" t="s">
        <v>477</v>
      </c>
    </row>
    <row r="63" spans="1:12" ht="29.15" x14ac:dyDescent="0.4">
      <c r="A63" s="76" t="s">
        <v>472</v>
      </c>
      <c r="B63" s="76" t="s">
        <v>18</v>
      </c>
      <c r="C63" s="76" t="s">
        <v>494</v>
      </c>
      <c r="D63" s="77" t="s">
        <v>495</v>
      </c>
      <c r="E63" s="76" t="s">
        <v>261</v>
      </c>
      <c r="F63" s="76">
        <v>4</v>
      </c>
      <c r="G63" s="76" t="s">
        <v>475</v>
      </c>
      <c r="H63" s="76">
        <v>4</v>
      </c>
      <c r="I63" s="77"/>
      <c r="J63" s="76" t="s">
        <v>476</v>
      </c>
      <c r="K63" s="78">
        <v>46218</v>
      </c>
      <c r="L63" s="76" t="s">
        <v>477</v>
      </c>
    </row>
    <row r="64" spans="1:12" ht="29.15" x14ac:dyDescent="0.4">
      <c r="A64" s="76" t="s">
        <v>472</v>
      </c>
      <c r="B64" s="76" t="s">
        <v>18</v>
      </c>
      <c r="C64" s="76" t="s">
        <v>494</v>
      </c>
      <c r="D64" s="77" t="s">
        <v>495</v>
      </c>
      <c r="E64" s="76" t="s">
        <v>178</v>
      </c>
      <c r="F64" s="76">
        <v>4</v>
      </c>
      <c r="G64" s="76" t="s">
        <v>496</v>
      </c>
      <c r="H64" s="76">
        <v>3</v>
      </c>
      <c r="I64" s="77" t="s">
        <v>497</v>
      </c>
      <c r="J64" s="76" t="s">
        <v>476</v>
      </c>
      <c r="K64" s="78">
        <v>46218</v>
      </c>
      <c r="L64" s="76" t="s">
        <v>477</v>
      </c>
    </row>
    <row r="65" spans="1:12" ht="29.15" x14ac:dyDescent="0.4">
      <c r="A65" s="76" t="s">
        <v>472</v>
      </c>
      <c r="B65" s="76" t="s">
        <v>18</v>
      </c>
      <c r="C65" s="76" t="s">
        <v>494</v>
      </c>
      <c r="D65" s="77" t="s">
        <v>495</v>
      </c>
      <c r="E65" s="76" t="s">
        <v>382</v>
      </c>
      <c r="F65" s="76">
        <v>2</v>
      </c>
      <c r="G65" s="76" t="s">
        <v>475</v>
      </c>
      <c r="H65" s="76">
        <v>2</v>
      </c>
      <c r="I65" s="77"/>
      <c r="J65" s="76" t="s">
        <v>476</v>
      </c>
      <c r="K65" s="78">
        <v>46218</v>
      </c>
      <c r="L65" s="76" t="s">
        <v>477</v>
      </c>
    </row>
    <row r="66" spans="1:12" x14ac:dyDescent="0.4">
      <c r="A66" s="76" t="s">
        <v>472</v>
      </c>
      <c r="B66" s="76" t="s">
        <v>18</v>
      </c>
      <c r="C66" s="76" t="s">
        <v>498</v>
      </c>
      <c r="D66" s="77" t="s">
        <v>499</v>
      </c>
      <c r="E66" s="76" t="s">
        <v>207</v>
      </c>
      <c r="F66" s="76">
        <v>3</v>
      </c>
      <c r="G66" s="76" t="s">
        <v>475</v>
      </c>
      <c r="H66" s="76">
        <v>3</v>
      </c>
      <c r="I66" s="77"/>
      <c r="J66" s="76" t="s">
        <v>476</v>
      </c>
      <c r="K66" s="78">
        <v>46218</v>
      </c>
      <c r="L66" s="76" t="s">
        <v>477</v>
      </c>
    </row>
    <row r="67" spans="1:12" x14ac:dyDescent="0.4">
      <c r="A67" s="76" t="s">
        <v>472</v>
      </c>
      <c r="B67" s="76" t="s">
        <v>18</v>
      </c>
      <c r="C67" s="76" t="s">
        <v>498</v>
      </c>
      <c r="D67" s="77" t="s">
        <v>499</v>
      </c>
      <c r="E67" s="76" t="s">
        <v>263</v>
      </c>
      <c r="F67" s="76">
        <v>2</v>
      </c>
      <c r="G67" s="76" t="s">
        <v>475</v>
      </c>
      <c r="H67" s="76">
        <v>2</v>
      </c>
      <c r="I67" s="77"/>
      <c r="J67" s="76" t="s">
        <v>476</v>
      </c>
      <c r="K67" s="78">
        <v>46218</v>
      </c>
      <c r="L67" s="76" t="s">
        <v>477</v>
      </c>
    </row>
    <row r="68" spans="1:12" x14ac:dyDescent="0.4">
      <c r="A68" s="76" t="s">
        <v>472</v>
      </c>
      <c r="B68" s="76" t="s">
        <v>18</v>
      </c>
      <c r="C68" s="76" t="s">
        <v>498</v>
      </c>
      <c r="D68" s="77" t="s">
        <v>499</v>
      </c>
      <c r="E68" s="76" t="s">
        <v>180</v>
      </c>
      <c r="F68" s="76">
        <v>3</v>
      </c>
      <c r="G68" s="76" t="s">
        <v>475</v>
      </c>
      <c r="H68" s="76">
        <v>3</v>
      </c>
      <c r="I68" s="77"/>
      <c r="J68" s="76" t="s">
        <v>476</v>
      </c>
      <c r="K68" s="78">
        <v>46218</v>
      </c>
      <c r="L68" s="76" t="s">
        <v>477</v>
      </c>
    </row>
    <row r="69" spans="1:12" x14ac:dyDescent="0.4">
      <c r="A69" s="76" t="s">
        <v>472</v>
      </c>
      <c r="B69" s="76" t="s">
        <v>18</v>
      </c>
      <c r="C69" s="76" t="s">
        <v>498</v>
      </c>
      <c r="D69" s="77" t="s">
        <v>499</v>
      </c>
      <c r="E69" s="76" t="s">
        <v>261</v>
      </c>
      <c r="F69" s="76">
        <v>4</v>
      </c>
      <c r="G69" s="76" t="s">
        <v>475</v>
      </c>
      <c r="H69" s="76">
        <v>4</v>
      </c>
      <c r="I69" s="77"/>
      <c r="J69" s="76" t="s">
        <v>476</v>
      </c>
      <c r="K69" s="78">
        <v>46218</v>
      </c>
      <c r="L69" s="76" t="s">
        <v>477</v>
      </c>
    </row>
    <row r="70" spans="1:12" x14ac:dyDescent="0.4">
      <c r="A70" s="76" t="s">
        <v>472</v>
      </c>
      <c r="B70" s="76" t="s">
        <v>18</v>
      </c>
      <c r="C70" s="76" t="s">
        <v>498</v>
      </c>
      <c r="D70" s="77" t="s">
        <v>499</v>
      </c>
      <c r="E70" s="76" t="s">
        <v>178</v>
      </c>
      <c r="F70" s="76">
        <v>3</v>
      </c>
      <c r="G70" s="76" t="s">
        <v>475</v>
      </c>
      <c r="H70" s="76">
        <v>3</v>
      </c>
      <c r="I70" s="77"/>
      <c r="J70" s="76" t="s">
        <v>476</v>
      </c>
      <c r="K70" s="78">
        <v>46218</v>
      </c>
      <c r="L70" s="76" t="s">
        <v>477</v>
      </c>
    </row>
    <row r="71" spans="1:12" x14ac:dyDescent="0.4">
      <c r="A71" s="76" t="s">
        <v>472</v>
      </c>
      <c r="B71" s="76" t="s">
        <v>18</v>
      </c>
      <c r="C71" s="76" t="s">
        <v>498</v>
      </c>
      <c r="D71" s="77" t="s">
        <v>499</v>
      </c>
      <c r="E71" s="76" t="s">
        <v>382</v>
      </c>
      <c r="F71" s="76">
        <v>3</v>
      </c>
      <c r="G71" s="76" t="s">
        <v>475</v>
      </c>
      <c r="H71" s="76">
        <v>3</v>
      </c>
      <c r="I71" s="77"/>
      <c r="J71" s="76" t="s">
        <v>476</v>
      </c>
      <c r="K71" s="78">
        <v>46218</v>
      </c>
      <c r="L71" s="76" t="s">
        <v>477</v>
      </c>
    </row>
    <row r="72" spans="1:12" x14ac:dyDescent="0.4">
      <c r="A72" s="76" t="s">
        <v>472</v>
      </c>
      <c r="B72" s="76" t="s">
        <v>18</v>
      </c>
      <c r="C72" s="76" t="s">
        <v>500</v>
      </c>
      <c r="D72" s="77" t="s">
        <v>501</v>
      </c>
      <c r="E72" s="76" t="s">
        <v>207</v>
      </c>
      <c r="F72" s="76">
        <v>3</v>
      </c>
      <c r="G72" s="76" t="s">
        <v>475</v>
      </c>
      <c r="H72" s="76">
        <v>3</v>
      </c>
      <c r="I72" s="77"/>
      <c r="J72" s="76" t="s">
        <v>476</v>
      </c>
      <c r="K72" s="78">
        <v>46218</v>
      </c>
      <c r="L72" s="76" t="s">
        <v>477</v>
      </c>
    </row>
    <row r="73" spans="1:12" x14ac:dyDescent="0.4">
      <c r="A73" s="76" t="s">
        <v>472</v>
      </c>
      <c r="B73" s="76" t="s">
        <v>18</v>
      </c>
      <c r="C73" s="76" t="s">
        <v>500</v>
      </c>
      <c r="D73" s="77" t="s">
        <v>501</v>
      </c>
      <c r="E73" s="76" t="s">
        <v>263</v>
      </c>
      <c r="F73" s="76">
        <v>4</v>
      </c>
      <c r="G73" s="76" t="s">
        <v>475</v>
      </c>
      <c r="H73" s="76">
        <v>4</v>
      </c>
      <c r="I73" s="77"/>
      <c r="J73" s="76" t="s">
        <v>476</v>
      </c>
      <c r="K73" s="78">
        <v>46218</v>
      </c>
      <c r="L73" s="76" t="s">
        <v>477</v>
      </c>
    </row>
    <row r="74" spans="1:12" x14ac:dyDescent="0.4">
      <c r="A74" s="76" t="s">
        <v>472</v>
      </c>
      <c r="B74" s="76" t="s">
        <v>18</v>
      </c>
      <c r="C74" s="76" t="s">
        <v>500</v>
      </c>
      <c r="D74" s="77" t="s">
        <v>501</v>
      </c>
      <c r="E74" s="76" t="s">
        <v>180</v>
      </c>
      <c r="F74" s="76">
        <v>4</v>
      </c>
      <c r="G74" s="76" t="s">
        <v>475</v>
      </c>
      <c r="H74" s="76">
        <v>4</v>
      </c>
      <c r="I74" s="77"/>
      <c r="J74" s="76" t="s">
        <v>476</v>
      </c>
      <c r="K74" s="78">
        <v>46218</v>
      </c>
      <c r="L74" s="76" t="s">
        <v>477</v>
      </c>
    </row>
    <row r="75" spans="1:12" x14ac:dyDescent="0.4">
      <c r="A75" s="76" t="s">
        <v>472</v>
      </c>
      <c r="B75" s="76" t="s">
        <v>18</v>
      </c>
      <c r="C75" s="76" t="s">
        <v>500</v>
      </c>
      <c r="D75" s="77" t="s">
        <v>501</v>
      </c>
      <c r="E75" s="76" t="s">
        <v>261</v>
      </c>
      <c r="F75" s="76">
        <v>3</v>
      </c>
      <c r="G75" s="76" t="s">
        <v>475</v>
      </c>
      <c r="H75" s="76">
        <v>3</v>
      </c>
      <c r="I75" s="77"/>
      <c r="J75" s="76" t="s">
        <v>476</v>
      </c>
      <c r="K75" s="78">
        <v>46218</v>
      </c>
      <c r="L75" s="76" t="s">
        <v>477</v>
      </c>
    </row>
    <row r="76" spans="1:12" x14ac:dyDescent="0.4">
      <c r="A76" s="76" t="s">
        <v>472</v>
      </c>
      <c r="B76" s="76" t="s">
        <v>18</v>
      </c>
      <c r="C76" s="76" t="s">
        <v>500</v>
      </c>
      <c r="D76" s="77" t="s">
        <v>501</v>
      </c>
      <c r="E76" s="76" t="s">
        <v>178</v>
      </c>
      <c r="F76" s="76">
        <v>4</v>
      </c>
      <c r="G76" s="76" t="s">
        <v>475</v>
      </c>
      <c r="H76" s="76">
        <v>4</v>
      </c>
      <c r="I76" s="77"/>
      <c r="J76" s="76" t="s">
        <v>476</v>
      </c>
      <c r="K76" s="78">
        <v>46218</v>
      </c>
      <c r="L76" s="76" t="s">
        <v>477</v>
      </c>
    </row>
    <row r="77" spans="1:12" x14ac:dyDescent="0.4">
      <c r="A77" s="76" t="s">
        <v>472</v>
      </c>
      <c r="B77" s="76" t="s">
        <v>18</v>
      </c>
      <c r="C77" s="76" t="s">
        <v>500</v>
      </c>
      <c r="D77" s="77" t="s">
        <v>501</v>
      </c>
      <c r="E77" s="76" t="s">
        <v>382</v>
      </c>
      <c r="F77" s="76">
        <v>3</v>
      </c>
      <c r="G77" s="76" t="s">
        <v>475</v>
      </c>
      <c r="H77" s="76">
        <v>3</v>
      </c>
      <c r="I77" s="77"/>
      <c r="J77" s="76" t="s">
        <v>476</v>
      </c>
      <c r="K77" s="78">
        <v>46218</v>
      </c>
      <c r="L77" s="76" t="s">
        <v>477</v>
      </c>
    </row>
    <row r="78" spans="1:12" x14ac:dyDescent="0.4">
      <c r="A78" s="76" t="s">
        <v>472</v>
      </c>
      <c r="B78" s="76" t="s">
        <v>109</v>
      </c>
      <c r="C78" s="76" t="s">
        <v>394</v>
      </c>
      <c r="D78" s="77" t="s">
        <v>502</v>
      </c>
      <c r="E78" s="76" t="s">
        <v>503</v>
      </c>
      <c r="F78" s="76">
        <v>4.2</v>
      </c>
      <c r="G78" s="76" t="s">
        <v>475</v>
      </c>
      <c r="H78" s="76">
        <v>4.2</v>
      </c>
      <c r="I78" s="77"/>
      <c r="J78" s="76" t="s">
        <v>476</v>
      </c>
      <c r="K78" s="78">
        <v>46218</v>
      </c>
      <c r="L78" s="76" t="s">
        <v>477</v>
      </c>
    </row>
    <row r="79" spans="1:12" x14ac:dyDescent="0.4">
      <c r="A79" s="76" t="s">
        <v>472</v>
      </c>
      <c r="B79" s="76" t="s">
        <v>109</v>
      </c>
      <c r="C79" s="76" t="s">
        <v>394</v>
      </c>
      <c r="D79" s="77" t="s">
        <v>502</v>
      </c>
      <c r="E79" s="76" t="s">
        <v>504</v>
      </c>
      <c r="F79" s="76">
        <v>3</v>
      </c>
      <c r="G79" s="76" t="s">
        <v>475</v>
      </c>
      <c r="H79" s="76">
        <v>3</v>
      </c>
      <c r="I79" s="77"/>
      <c r="J79" s="76" t="s">
        <v>476</v>
      </c>
      <c r="K79" s="78">
        <v>46218</v>
      </c>
      <c r="L79" s="76" t="s">
        <v>477</v>
      </c>
    </row>
    <row r="80" spans="1:12" x14ac:dyDescent="0.4">
      <c r="A80" s="76" t="s">
        <v>472</v>
      </c>
      <c r="B80" s="76" t="s">
        <v>109</v>
      </c>
      <c r="C80" s="76" t="s">
        <v>394</v>
      </c>
      <c r="D80" s="77" t="s">
        <v>502</v>
      </c>
      <c r="E80" s="76" t="s">
        <v>505</v>
      </c>
      <c r="F80" s="76">
        <v>6</v>
      </c>
      <c r="G80" s="76" t="s">
        <v>475</v>
      </c>
      <c r="H80" s="76">
        <v>6</v>
      </c>
      <c r="I80" s="77"/>
      <c r="J80" s="76" t="s">
        <v>476</v>
      </c>
      <c r="K80" s="78">
        <v>46218</v>
      </c>
      <c r="L80" s="76" t="s">
        <v>477</v>
      </c>
    </row>
    <row r="81" spans="1:12" x14ac:dyDescent="0.4">
      <c r="A81" s="76" t="s">
        <v>472</v>
      </c>
      <c r="B81" s="76" t="s">
        <v>109</v>
      </c>
      <c r="C81" s="76" t="s">
        <v>506</v>
      </c>
      <c r="D81" s="77" t="s">
        <v>507</v>
      </c>
      <c r="E81" s="76" t="s">
        <v>503</v>
      </c>
      <c r="F81" s="76">
        <v>12</v>
      </c>
      <c r="G81" s="76" t="s">
        <v>475</v>
      </c>
      <c r="H81" s="76">
        <v>12</v>
      </c>
      <c r="I81" s="77"/>
      <c r="J81" s="76" t="s">
        <v>476</v>
      </c>
      <c r="K81" s="78">
        <v>46218</v>
      </c>
      <c r="L81" s="76" t="s">
        <v>477</v>
      </c>
    </row>
    <row r="82" spans="1:12" x14ac:dyDescent="0.4">
      <c r="A82" s="76" t="s">
        <v>472</v>
      </c>
      <c r="B82" s="76" t="s">
        <v>109</v>
      </c>
      <c r="C82" s="76" t="s">
        <v>506</v>
      </c>
      <c r="D82" s="77" t="s">
        <v>507</v>
      </c>
      <c r="E82" s="76" t="s">
        <v>504</v>
      </c>
      <c r="F82" s="76">
        <v>10</v>
      </c>
      <c r="G82" s="76" t="s">
        <v>475</v>
      </c>
      <c r="H82" s="76">
        <v>10</v>
      </c>
      <c r="I82" s="77"/>
      <c r="J82" s="76" t="s">
        <v>476</v>
      </c>
      <c r="K82" s="78">
        <v>46218</v>
      </c>
      <c r="L82" s="76" t="s">
        <v>477</v>
      </c>
    </row>
    <row r="83" spans="1:12" x14ac:dyDescent="0.4">
      <c r="A83" s="76" t="s">
        <v>472</v>
      </c>
      <c r="B83" s="76" t="s">
        <v>109</v>
      </c>
      <c r="C83" s="76" t="s">
        <v>506</v>
      </c>
      <c r="D83" s="77" t="s">
        <v>507</v>
      </c>
      <c r="E83" s="76" t="s">
        <v>505</v>
      </c>
      <c r="F83" s="76">
        <v>25</v>
      </c>
      <c r="G83" s="76" t="s">
        <v>475</v>
      </c>
      <c r="H83" s="76">
        <v>25</v>
      </c>
      <c r="I83" s="77"/>
      <c r="J83" s="76" t="s">
        <v>476</v>
      </c>
      <c r="K83" s="78">
        <v>46218</v>
      </c>
      <c r="L83" s="76" t="s">
        <v>477</v>
      </c>
    </row>
    <row r="84" spans="1:12" ht="29.15" x14ac:dyDescent="0.4">
      <c r="A84" s="76" t="s">
        <v>472</v>
      </c>
      <c r="B84" s="76" t="s">
        <v>109</v>
      </c>
      <c r="C84" s="76" t="s">
        <v>508</v>
      </c>
      <c r="D84" s="77" t="s">
        <v>509</v>
      </c>
      <c r="E84" s="76" t="s">
        <v>503</v>
      </c>
      <c r="F84" s="76">
        <v>2.5</v>
      </c>
      <c r="G84" s="76" t="s">
        <v>475</v>
      </c>
      <c r="H84" s="76">
        <v>2.5</v>
      </c>
      <c r="I84" s="77"/>
      <c r="J84" s="76" t="s">
        <v>476</v>
      </c>
      <c r="K84" s="78">
        <v>46218</v>
      </c>
      <c r="L84" s="76" t="s">
        <v>477</v>
      </c>
    </row>
    <row r="85" spans="1:12" ht="29.15" x14ac:dyDescent="0.4">
      <c r="A85" s="76" t="s">
        <v>472</v>
      </c>
      <c r="B85" s="76" t="s">
        <v>109</v>
      </c>
      <c r="C85" s="76" t="s">
        <v>508</v>
      </c>
      <c r="D85" s="77" t="s">
        <v>509</v>
      </c>
      <c r="E85" s="76" t="s">
        <v>504</v>
      </c>
      <c r="F85" s="76">
        <v>4</v>
      </c>
      <c r="G85" s="76" t="s">
        <v>475</v>
      </c>
      <c r="H85" s="76">
        <v>4</v>
      </c>
      <c r="I85" s="77"/>
      <c r="J85" s="76" t="s">
        <v>476</v>
      </c>
      <c r="K85" s="78">
        <v>46218</v>
      </c>
      <c r="L85" s="76" t="s">
        <v>477</v>
      </c>
    </row>
    <row r="86" spans="1:12" ht="29.15" x14ac:dyDescent="0.4">
      <c r="A86" s="76" t="s">
        <v>472</v>
      </c>
      <c r="B86" s="76" t="s">
        <v>109</v>
      </c>
      <c r="C86" s="76" t="s">
        <v>508</v>
      </c>
      <c r="D86" s="77" t="s">
        <v>509</v>
      </c>
      <c r="E86" s="76" t="s">
        <v>505</v>
      </c>
      <c r="F86" s="76">
        <v>12</v>
      </c>
      <c r="G86" s="76" t="s">
        <v>475</v>
      </c>
      <c r="H86" s="76">
        <v>12</v>
      </c>
      <c r="I86" s="77"/>
      <c r="J86" s="76" t="s">
        <v>476</v>
      </c>
      <c r="K86" s="78">
        <v>46218</v>
      </c>
      <c r="L86" s="76" t="s">
        <v>477</v>
      </c>
    </row>
    <row r="87" spans="1:12" x14ac:dyDescent="0.4">
      <c r="A87" s="76" t="s">
        <v>472</v>
      </c>
      <c r="B87" s="76" t="s">
        <v>109</v>
      </c>
      <c r="C87" s="76" t="s">
        <v>510</v>
      </c>
      <c r="D87" s="77" t="s">
        <v>511</v>
      </c>
      <c r="E87" s="76" t="s">
        <v>503</v>
      </c>
      <c r="F87" s="76">
        <v>78</v>
      </c>
      <c r="G87" s="76" t="s">
        <v>475</v>
      </c>
      <c r="H87" s="76">
        <v>78</v>
      </c>
      <c r="I87" s="77"/>
      <c r="J87" s="76" t="s">
        <v>476</v>
      </c>
      <c r="K87" s="78">
        <v>46218</v>
      </c>
      <c r="L87" s="76" t="s">
        <v>477</v>
      </c>
    </row>
    <row r="88" spans="1:12" x14ac:dyDescent="0.4">
      <c r="A88" s="76" t="s">
        <v>472</v>
      </c>
      <c r="B88" s="76" t="s">
        <v>109</v>
      </c>
      <c r="C88" s="76" t="s">
        <v>510</v>
      </c>
      <c r="D88" s="77" t="s">
        <v>511</v>
      </c>
      <c r="E88" s="76" t="s">
        <v>504</v>
      </c>
      <c r="F88" s="76">
        <v>60</v>
      </c>
      <c r="G88" s="76" t="s">
        <v>475</v>
      </c>
      <c r="H88" s="76">
        <v>60</v>
      </c>
      <c r="I88" s="77"/>
      <c r="J88" s="76" t="s">
        <v>476</v>
      </c>
      <c r="K88" s="78">
        <v>46218</v>
      </c>
      <c r="L88" s="76" t="s">
        <v>477</v>
      </c>
    </row>
    <row r="89" spans="1:12" x14ac:dyDescent="0.4">
      <c r="A89" s="76" t="s">
        <v>472</v>
      </c>
      <c r="B89" s="76" t="s">
        <v>109</v>
      </c>
      <c r="C89" s="76" t="s">
        <v>510</v>
      </c>
      <c r="D89" s="77" t="s">
        <v>511</v>
      </c>
      <c r="E89" s="76" t="s">
        <v>505</v>
      </c>
      <c r="F89" s="76">
        <v>75</v>
      </c>
      <c r="G89" s="76" t="s">
        <v>475</v>
      </c>
      <c r="H89" s="76">
        <v>75</v>
      </c>
      <c r="I89" s="77"/>
      <c r="J89" s="76" t="s">
        <v>476</v>
      </c>
      <c r="K89" s="78">
        <v>46218</v>
      </c>
      <c r="L89" s="76" t="s">
        <v>477</v>
      </c>
    </row>
    <row r="90" spans="1:12" x14ac:dyDescent="0.4">
      <c r="A90" s="76" t="s">
        <v>472</v>
      </c>
      <c r="B90" s="76" t="s">
        <v>109</v>
      </c>
      <c r="C90" s="76" t="s">
        <v>512</v>
      </c>
      <c r="D90" s="77" t="s">
        <v>513</v>
      </c>
      <c r="E90" s="76" t="s">
        <v>503</v>
      </c>
      <c r="F90" s="76">
        <v>49</v>
      </c>
      <c r="G90" s="76" t="s">
        <v>475</v>
      </c>
      <c r="H90" s="76">
        <v>49</v>
      </c>
      <c r="I90" s="77"/>
      <c r="J90" s="76" t="s">
        <v>476</v>
      </c>
      <c r="K90" s="78">
        <v>46218</v>
      </c>
      <c r="L90" s="76" t="s">
        <v>477</v>
      </c>
    </row>
    <row r="91" spans="1:12" x14ac:dyDescent="0.4">
      <c r="A91" s="76" t="s">
        <v>472</v>
      </c>
      <c r="B91" s="76" t="s">
        <v>109</v>
      </c>
      <c r="C91" s="76" t="s">
        <v>512</v>
      </c>
      <c r="D91" s="77" t="s">
        <v>513</v>
      </c>
      <c r="E91" s="76" t="s">
        <v>504</v>
      </c>
      <c r="F91" s="76">
        <v>365</v>
      </c>
      <c r="G91" s="76" t="s">
        <v>475</v>
      </c>
      <c r="H91" s="76">
        <v>365</v>
      </c>
      <c r="I91" s="77"/>
      <c r="J91" s="76" t="s">
        <v>476</v>
      </c>
      <c r="K91" s="78">
        <v>46218</v>
      </c>
      <c r="L91" s="76" t="s">
        <v>477</v>
      </c>
    </row>
    <row r="92" spans="1:12" x14ac:dyDescent="0.4">
      <c r="A92" s="76" t="s">
        <v>472</v>
      </c>
      <c r="B92" s="76" t="s">
        <v>109</v>
      </c>
      <c r="C92" s="76" t="s">
        <v>512</v>
      </c>
      <c r="D92" s="77" t="s">
        <v>513</v>
      </c>
      <c r="E92" s="76" t="s">
        <v>505</v>
      </c>
      <c r="F92" s="76">
        <v>540</v>
      </c>
      <c r="G92" s="76" t="s">
        <v>475</v>
      </c>
      <c r="H92" s="76">
        <v>540</v>
      </c>
      <c r="I92" s="77"/>
      <c r="J92" s="76" t="s">
        <v>476</v>
      </c>
      <c r="K92" s="78">
        <v>46218</v>
      </c>
      <c r="L92" s="76" t="s">
        <v>477</v>
      </c>
    </row>
    <row r="93" spans="1:12" ht="29.15" x14ac:dyDescent="0.4">
      <c r="A93" s="76" t="s">
        <v>472</v>
      </c>
      <c r="B93" s="76" t="s">
        <v>109</v>
      </c>
      <c r="C93" s="76" t="s">
        <v>514</v>
      </c>
      <c r="D93" s="77" t="s">
        <v>515</v>
      </c>
      <c r="E93" s="76" t="s">
        <v>503</v>
      </c>
      <c r="F93" s="76">
        <v>1</v>
      </c>
      <c r="G93" s="76" t="s">
        <v>475</v>
      </c>
      <c r="H93" s="76">
        <v>1</v>
      </c>
      <c r="I93" s="77"/>
      <c r="J93" s="76" t="s">
        <v>476</v>
      </c>
      <c r="K93" s="78">
        <v>46218</v>
      </c>
      <c r="L93" s="76" t="s">
        <v>477</v>
      </c>
    </row>
    <row r="94" spans="1:12" ht="29.15" x14ac:dyDescent="0.4">
      <c r="A94" s="76" t="s">
        <v>472</v>
      </c>
      <c r="B94" s="76" t="s">
        <v>109</v>
      </c>
      <c r="C94" s="76" t="s">
        <v>514</v>
      </c>
      <c r="D94" s="77" t="s">
        <v>515</v>
      </c>
      <c r="E94" s="76" t="s">
        <v>504</v>
      </c>
      <c r="F94" s="76">
        <v>2</v>
      </c>
      <c r="G94" s="76" t="s">
        <v>475</v>
      </c>
      <c r="H94" s="76">
        <v>2</v>
      </c>
      <c r="I94" s="77"/>
      <c r="J94" s="76" t="s">
        <v>476</v>
      </c>
      <c r="K94" s="78">
        <v>46218</v>
      </c>
      <c r="L94" s="76" t="s">
        <v>477</v>
      </c>
    </row>
    <row r="95" spans="1:12" ht="29.15" x14ac:dyDescent="0.4">
      <c r="A95" s="76" t="s">
        <v>472</v>
      </c>
      <c r="B95" s="76" t="s">
        <v>109</v>
      </c>
      <c r="C95" s="76" t="s">
        <v>514</v>
      </c>
      <c r="D95" s="77" t="s">
        <v>515</v>
      </c>
      <c r="E95" s="76" t="s">
        <v>505</v>
      </c>
      <c r="F95" s="76">
        <v>4</v>
      </c>
      <c r="G95" s="76" t="s">
        <v>475</v>
      </c>
      <c r="H95" s="76">
        <v>4</v>
      </c>
      <c r="I95" s="77"/>
      <c r="J95" s="76" t="s">
        <v>476</v>
      </c>
      <c r="K95" s="78">
        <v>46218</v>
      </c>
      <c r="L95" s="76" t="s">
        <v>477</v>
      </c>
    </row>
    <row r="96" spans="1:12" x14ac:dyDescent="0.4">
      <c r="A96" s="76" t="s">
        <v>472</v>
      </c>
      <c r="B96" s="76" t="s">
        <v>109</v>
      </c>
      <c r="C96" s="76" t="s">
        <v>516</v>
      </c>
      <c r="D96" s="77" t="s">
        <v>517</v>
      </c>
      <c r="E96" s="76" t="s">
        <v>503</v>
      </c>
      <c r="F96" s="76">
        <v>0.8</v>
      </c>
      <c r="G96" s="76" t="s">
        <v>475</v>
      </c>
      <c r="H96" s="76">
        <v>0.8</v>
      </c>
      <c r="I96" s="77"/>
      <c r="J96" s="76" t="s">
        <v>476</v>
      </c>
      <c r="K96" s="78">
        <v>46218</v>
      </c>
      <c r="L96" s="76" t="s">
        <v>477</v>
      </c>
    </row>
    <row r="97" spans="1:12" x14ac:dyDescent="0.4">
      <c r="A97" s="76" t="s">
        <v>472</v>
      </c>
      <c r="B97" s="76" t="s">
        <v>109</v>
      </c>
      <c r="C97" s="76" t="s">
        <v>516</v>
      </c>
      <c r="D97" s="77" t="s">
        <v>517</v>
      </c>
      <c r="E97" s="76" t="s">
        <v>504</v>
      </c>
      <c r="F97" s="76">
        <v>1.5</v>
      </c>
      <c r="G97" s="76" t="s">
        <v>475</v>
      </c>
      <c r="H97" s="76">
        <v>1.5</v>
      </c>
      <c r="I97" s="77"/>
      <c r="J97" s="76" t="s">
        <v>476</v>
      </c>
      <c r="K97" s="78">
        <v>46218</v>
      </c>
      <c r="L97" s="76" t="s">
        <v>477</v>
      </c>
    </row>
    <row r="98" spans="1:12" x14ac:dyDescent="0.4">
      <c r="A98" s="76" t="s">
        <v>472</v>
      </c>
      <c r="B98" s="76" t="s">
        <v>109</v>
      </c>
      <c r="C98" s="76" t="s">
        <v>516</v>
      </c>
      <c r="D98" s="77" t="s">
        <v>517</v>
      </c>
      <c r="E98" s="76" t="s">
        <v>505</v>
      </c>
      <c r="F98" s="76">
        <v>3</v>
      </c>
      <c r="G98" s="76" t="s">
        <v>475</v>
      </c>
      <c r="H98" s="76">
        <v>3</v>
      </c>
      <c r="I98" s="77"/>
      <c r="J98" s="76" t="s">
        <v>476</v>
      </c>
      <c r="K98" s="78">
        <v>46218</v>
      </c>
      <c r="L98" s="76" t="s">
        <v>477</v>
      </c>
    </row>
    <row r="99" spans="1:12" ht="29.15" x14ac:dyDescent="0.4">
      <c r="A99" s="76" t="s">
        <v>472</v>
      </c>
      <c r="B99" s="76" t="s">
        <v>109</v>
      </c>
      <c r="C99" s="76" t="s">
        <v>518</v>
      </c>
      <c r="D99" s="77" t="s">
        <v>519</v>
      </c>
      <c r="E99" s="76" t="s">
        <v>503</v>
      </c>
      <c r="F99" s="76"/>
      <c r="G99" s="76" t="s">
        <v>475</v>
      </c>
      <c r="H99" s="76"/>
      <c r="I99" s="77"/>
      <c r="J99" s="76" t="s">
        <v>476</v>
      </c>
      <c r="K99" s="78">
        <v>46218</v>
      </c>
      <c r="L99" s="76" t="s">
        <v>477</v>
      </c>
    </row>
    <row r="100" spans="1:12" ht="29.15" x14ac:dyDescent="0.4">
      <c r="A100" s="76" t="s">
        <v>472</v>
      </c>
      <c r="B100" s="76" t="s">
        <v>109</v>
      </c>
      <c r="C100" s="76" t="s">
        <v>518</v>
      </c>
      <c r="D100" s="77" t="s">
        <v>519</v>
      </c>
      <c r="E100" s="76" t="s">
        <v>504</v>
      </c>
      <c r="F100" s="76">
        <v>20</v>
      </c>
      <c r="G100" s="76" t="s">
        <v>475</v>
      </c>
      <c r="H100" s="76">
        <v>20</v>
      </c>
      <c r="I100" s="77"/>
      <c r="J100" s="76" t="s">
        <v>476</v>
      </c>
      <c r="K100" s="78">
        <v>46218</v>
      </c>
      <c r="L100" s="76" t="s">
        <v>477</v>
      </c>
    </row>
    <row r="101" spans="1:12" ht="29.15" x14ac:dyDescent="0.4">
      <c r="A101" s="76" t="s">
        <v>472</v>
      </c>
      <c r="B101" s="76" t="s">
        <v>109</v>
      </c>
      <c r="C101" s="76" t="s">
        <v>518</v>
      </c>
      <c r="D101" s="77" t="s">
        <v>519</v>
      </c>
      <c r="E101" s="76" t="s">
        <v>505</v>
      </c>
      <c r="F101" s="76">
        <v>40</v>
      </c>
      <c r="G101" s="76" t="s">
        <v>475</v>
      </c>
      <c r="H101" s="76">
        <v>40</v>
      </c>
      <c r="I101" s="77"/>
      <c r="J101" s="76" t="s">
        <v>476</v>
      </c>
      <c r="K101" s="78">
        <v>46218</v>
      </c>
      <c r="L101" s="76" t="s">
        <v>477</v>
      </c>
    </row>
    <row r="102" spans="1:12" x14ac:dyDescent="0.4">
      <c r="A102" s="76" t="s">
        <v>472</v>
      </c>
      <c r="B102" s="76" t="s">
        <v>109</v>
      </c>
      <c r="C102" s="76" t="s">
        <v>520</v>
      </c>
      <c r="D102" s="77" t="s">
        <v>521</v>
      </c>
      <c r="E102" s="76" t="s">
        <v>503</v>
      </c>
      <c r="F102" s="76">
        <v>1</v>
      </c>
      <c r="G102" s="76" t="s">
        <v>475</v>
      </c>
      <c r="H102" s="76">
        <v>1</v>
      </c>
      <c r="I102" s="77"/>
      <c r="J102" s="76" t="s">
        <v>476</v>
      </c>
      <c r="K102" s="78">
        <v>46218</v>
      </c>
      <c r="L102" s="76" t="s">
        <v>477</v>
      </c>
    </row>
    <row r="103" spans="1:12" x14ac:dyDescent="0.4">
      <c r="A103" s="76" t="s">
        <v>472</v>
      </c>
      <c r="B103" s="76" t="s">
        <v>109</v>
      </c>
      <c r="C103" s="76" t="s">
        <v>520</v>
      </c>
      <c r="D103" s="77" t="s">
        <v>521</v>
      </c>
      <c r="E103" s="76" t="s">
        <v>504</v>
      </c>
      <c r="F103" s="76">
        <v>1</v>
      </c>
      <c r="G103" s="76" t="s">
        <v>475</v>
      </c>
      <c r="H103" s="76">
        <v>1</v>
      </c>
      <c r="I103" s="77"/>
      <c r="J103" s="76" t="s">
        <v>476</v>
      </c>
      <c r="K103" s="78">
        <v>46218</v>
      </c>
      <c r="L103" s="76" t="s">
        <v>477</v>
      </c>
    </row>
    <row r="104" spans="1:12" x14ac:dyDescent="0.4">
      <c r="A104" s="76" t="s">
        <v>472</v>
      </c>
      <c r="B104" s="76" t="s">
        <v>109</v>
      </c>
      <c r="C104" s="76" t="s">
        <v>520</v>
      </c>
      <c r="D104" s="77" t="s">
        <v>521</v>
      </c>
      <c r="E104" s="76" t="s">
        <v>505</v>
      </c>
      <c r="F104" s="76">
        <v>3</v>
      </c>
      <c r="G104" s="76" t="s">
        <v>475</v>
      </c>
      <c r="H104" s="76">
        <v>3</v>
      </c>
      <c r="I104" s="77"/>
      <c r="J104" s="76" t="s">
        <v>476</v>
      </c>
      <c r="K104" s="78">
        <v>46218</v>
      </c>
      <c r="L104" s="76" t="s">
        <v>477</v>
      </c>
    </row>
    <row r="105" spans="1:12" ht="29.15" x14ac:dyDescent="0.4">
      <c r="A105" s="76" t="s">
        <v>472</v>
      </c>
      <c r="B105" s="76" t="s">
        <v>109</v>
      </c>
      <c r="C105" s="76" t="s">
        <v>522</v>
      </c>
      <c r="D105" s="77" t="s">
        <v>523</v>
      </c>
      <c r="E105" s="76" t="s">
        <v>503</v>
      </c>
      <c r="F105" s="76">
        <v>2</v>
      </c>
      <c r="G105" s="76" t="s">
        <v>475</v>
      </c>
      <c r="H105" s="76">
        <v>2</v>
      </c>
      <c r="I105" s="77"/>
      <c r="J105" s="76" t="s">
        <v>476</v>
      </c>
      <c r="K105" s="78">
        <v>46218</v>
      </c>
      <c r="L105" s="76" t="s">
        <v>477</v>
      </c>
    </row>
    <row r="106" spans="1:12" ht="29.15" x14ac:dyDescent="0.4">
      <c r="A106" s="76" t="s">
        <v>472</v>
      </c>
      <c r="B106" s="76" t="s">
        <v>109</v>
      </c>
      <c r="C106" s="76" t="s">
        <v>522</v>
      </c>
      <c r="D106" s="77" t="s">
        <v>523</v>
      </c>
      <c r="E106" s="76" t="s">
        <v>504</v>
      </c>
      <c r="F106" s="76">
        <v>1</v>
      </c>
      <c r="G106" s="76" t="s">
        <v>475</v>
      </c>
      <c r="H106" s="76">
        <v>1</v>
      </c>
      <c r="I106" s="77"/>
      <c r="J106" s="76" t="s">
        <v>476</v>
      </c>
      <c r="K106" s="78">
        <v>46218</v>
      </c>
      <c r="L106" s="76" t="s">
        <v>477</v>
      </c>
    </row>
    <row r="107" spans="1:12" ht="29.15" x14ac:dyDescent="0.4">
      <c r="A107" s="76" t="s">
        <v>472</v>
      </c>
      <c r="B107" s="76" t="s">
        <v>109</v>
      </c>
      <c r="C107" s="76" t="s">
        <v>522</v>
      </c>
      <c r="D107" s="77" t="s">
        <v>523</v>
      </c>
      <c r="E107" s="76" t="s">
        <v>505</v>
      </c>
      <c r="F107" s="76">
        <v>3</v>
      </c>
      <c r="G107" s="76" t="s">
        <v>475</v>
      </c>
      <c r="H107" s="76">
        <v>3</v>
      </c>
      <c r="I107" s="77"/>
      <c r="J107" s="76" t="s">
        <v>476</v>
      </c>
      <c r="K107" s="78">
        <v>46218</v>
      </c>
      <c r="L107" s="76" t="s">
        <v>477</v>
      </c>
    </row>
    <row r="108" spans="1:12" x14ac:dyDescent="0.4">
      <c r="A108" s="76" t="s">
        <v>472</v>
      </c>
      <c r="B108" s="76" t="s">
        <v>109</v>
      </c>
      <c r="C108" s="76" t="s">
        <v>524</v>
      </c>
      <c r="D108" s="77" t="s">
        <v>525</v>
      </c>
      <c r="E108" s="76" t="s">
        <v>503</v>
      </c>
      <c r="F108" s="76">
        <v>3</v>
      </c>
      <c r="G108" s="76" t="s">
        <v>475</v>
      </c>
      <c r="H108" s="76">
        <v>3</v>
      </c>
      <c r="I108" s="77"/>
      <c r="J108" s="76" t="s">
        <v>476</v>
      </c>
      <c r="K108" s="78">
        <v>46218</v>
      </c>
      <c r="L108" s="76" t="s">
        <v>477</v>
      </c>
    </row>
    <row r="109" spans="1:12" x14ac:dyDescent="0.4">
      <c r="A109" s="76" t="s">
        <v>472</v>
      </c>
      <c r="B109" s="76" t="s">
        <v>109</v>
      </c>
      <c r="C109" s="76" t="s">
        <v>524</v>
      </c>
      <c r="D109" s="77" t="s">
        <v>525</v>
      </c>
      <c r="E109" s="76" t="s">
        <v>504</v>
      </c>
      <c r="F109" s="76">
        <v>2</v>
      </c>
      <c r="G109" s="76" t="s">
        <v>475</v>
      </c>
      <c r="H109" s="76">
        <v>2</v>
      </c>
      <c r="I109" s="77"/>
      <c r="J109" s="76" t="s">
        <v>476</v>
      </c>
      <c r="K109" s="78">
        <v>46218</v>
      </c>
      <c r="L109" s="76" t="s">
        <v>477</v>
      </c>
    </row>
    <row r="110" spans="1:12" x14ac:dyDescent="0.4">
      <c r="A110" s="76" t="s">
        <v>472</v>
      </c>
      <c r="B110" s="76" t="s">
        <v>109</v>
      </c>
      <c r="C110" s="76" t="s">
        <v>524</v>
      </c>
      <c r="D110" s="77" t="s">
        <v>525</v>
      </c>
      <c r="E110" s="76" t="s">
        <v>505</v>
      </c>
      <c r="F110" s="76">
        <v>5</v>
      </c>
      <c r="G110" s="76" t="s">
        <v>475</v>
      </c>
      <c r="H110" s="76">
        <v>5</v>
      </c>
      <c r="I110" s="77"/>
      <c r="J110" s="76" t="s">
        <v>476</v>
      </c>
      <c r="K110" s="78">
        <v>46218</v>
      </c>
      <c r="L110" s="76" t="s">
        <v>477</v>
      </c>
    </row>
    <row r="111" spans="1:12" ht="29.15" x14ac:dyDescent="0.4">
      <c r="A111" s="76" t="s">
        <v>472</v>
      </c>
      <c r="B111" s="76" t="s">
        <v>109</v>
      </c>
      <c r="C111" s="76" t="s">
        <v>526</v>
      </c>
      <c r="D111" s="77" t="s">
        <v>527</v>
      </c>
      <c r="E111" s="76" t="s">
        <v>503</v>
      </c>
      <c r="F111" s="76">
        <v>0.5</v>
      </c>
      <c r="G111" s="76" t="s">
        <v>475</v>
      </c>
      <c r="H111" s="76">
        <v>0.5</v>
      </c>
      <c r="I111" s="77"/>
      <c r="J111" s="76" t="s">
        <v>476</v>
      </c>
      <c r="K111" s="78">
        <v>46218</v>
      </c>
      <c r="L111" s="76" t="s">
        <v>477</v>
      </c>
    </row>
    <row r="112" spans="1:12" ht="29.15" x14ac:dyDescent="0.4">
      <c r="A112" s="76" t="s">
        <v>472</v>
      </c>
      <c r="B112" s="76" t="s">
        <v>109</v>
      </c>
      <c r="C112" s="76" t="s">
        <v>526</v>
      </c>
      <c r="D112" s="77" t="s">
        <v>527</v>
      </c>
      <c r="E112" s="76" t="s">
        <v>504</v>
      </c>
      <c r="F112" s="76">
        <v>1</v>
      </c>
      <c r="G112" s="76" t="s">
        <v>475</v>
      </c>
      <c r="H112" s="76">
        <v>1</v>
      </c>
      <c r="I112" s="77"/>
      <c r="J112" s="76" t="s">
        <v>476</v>
      </c>
      <c r="K112" s="78">
        <v>46218</v>
      </c>
      <c r="L112" s="76" t="s">
        <v>477</v>
      </c>
    </row>
    <row r="113" spans="1:12" ht="29.15" x14ac:dyDescent="0.4">
      <c r="A113" s="76" t="s">
        <v>472</v>
      </c>
      <c r="B113" s="76" t="s">
        <v>109</v>
      </c>
      <c r="C113" s="76" t="s">
        <v>526</v>
      </c>
      <c r="D113" s="77" t="s">
        <v>527</v>
      </c>
      <c r="E113" s="76" t="s">
        <v>505</v>
      </c>
      <c r="F113" s="76">
        <v>4</v>
      </c>
      <c r="G113" s="76" t="s">
        <v>475</v>
      </c>
      <c r="H113" s="76">
        <v>4</v>
      </c>
      <c r="I113" s="77"/>
      <c r="J113" s="76" t="s">
        <v>476</v>
      </c>
      <c r="K113" s="78">
        <v>46218</v>
      </c>
      <c r="L113" s="76" t="s">
        <v>477</v>
      </c>
    </row>
    <row r="114" spans="1:12" x14ac:dyDescent="0.4">
      <c r="A114" s="76" t="s">
        <v>472</v>
      </c>
      <c r="B114" s="76" t="s">
        <v>109</v>
      </c>
      <c r="C114" s="76" t="s">
        <v>528</v>
      </c>
      <c r="D114" s="77" t="s">
        <v>529</v>
      </c>
      <c r="E114" s="76" t="s">
        <v>503</v>
      </c>
      <c r="F114" s="76">
        <v>12</v>
      </c>
      <c r="G114" s="76" t="s">
        <v>475</v>
      </c>
      <c r="H114" s="76">
        <v>12</v>
      </c>
      <c r="I114" s="77"/>
      <c r="J114" s="76" t="s">
        <v>476</v>
      </c>
      <c r="K114" s="78">
        <v>46218</v>
      </c>
      <c r="L114" s="76" t="s">
        <v>477</v>
      </c>
    </row>
    <row r="115" spans="1:12" x14ac:dyDescent="0.4">
      <c r="A115" s="76" t="s">
        <v>472</v>
      </c>
      <c r="B115" s="76" t="s">
        <v>109</v>
      </c>
      <c r="C115" s="76" t="s">
        <v>528</v>
      </c>
      <c r="D115" s="77" t="s">
        <v>529</v>
      </c>
      <c r="E115" s="76" t="s">
        <v>504</v>
      </c>
      <c r="F115" s="76">
        <v>20</v>
      </c>
      <c r="G115" s="76" t="s">
        <v>475</v>
      </c>
      <c r="H115" s="76">
        <v>20</v>
      </c>
      <c r="I115" s="77"/>
      <c r="J115" s="76" t="s">
        <v>476</v>
      </c>
      <c r="K115" s="78">
        <v>46218</v>
      </c>
      <c r="L115" s="76" t="s">
        <v>477</v>
      </c>
    </row>
    <row r="116" spans="1:12" x14ac:dyDescent="0.4">
      <c r="A116" s="76" t="s">
        <v>472</v>
      </c>
      <c r="B116" s="76" t="s">
        <v>109</v>
      </c>
      <c r="C116" s="76" t="s">
        <v>528</v>
      </c>
      <c r="D116" s="77" t="s">
        <v>529</v>
      </c>
      <c r="E116" s="76" t="s">
        <v>505</v>
      </c>
      <c r="F116" s="76">
        <v>50</v>
      </c>
      <c r="G116" s="76" t="s">
        <v>475</v>
      </c>
      <c r="H116" s="76">
        <v>50</v>
      </c>
      <c r="I116" s="77"/>
      <c r="J116" s="76" t="s">
        <v>476</v>
      </c>
      <c r="K116" s="78">
        <v>46218</v>
      </c>
      <c r="L116" s="76" t="s">
        <v>477</v>
      </c>
    </row>
    <row r="117" spans="1:12" x14ac:dyDescent="0.4">
      <c r="A117" s="76" t="s">
        <v>472</v>
      </c>
      <c r="B117" s="76" t="s">
        <v>109</v>
      </c>
      <c r="C117" s="76" t="s">
        <v>530</v>
      </c>
      <c r="D117" s="77" t="s">
        <v>531</v>
      </c>
      <c r="E117" s="76" t="s">
        <v>503</v>
      </c>
      <c r="F117" s="76">
        <v>7</v>
      </c>
      <c r="G117" s="76" t="s">
        <v>475</v>
      </c>
      <c r="H117" s="76">
        <v>7</v>
      </c>
      <c r="I117" s="77"/>
      <c r="J117" s="76" t="s">
        <v>476</v>
      </c>
      <c r="K117" s="78">
        <v>46218</v>
      </c>
      <c r="L117" s="76" t="s">
        <v>477</v>
      </c>
    </row>
    <row r="118" spans="1:12" x14ac:dyDescent="0.4">
      <c r="A118" s="76" t="s">
        <v>472</v>
      </c>
      <c r="B118" s="76" t="s">
        <v>109</v>
      </c>
      <c r="C118" s="76" t="s">
        <v>530</v>
      </c>
      <c r="D118" s="77" t="s">
        <v>531</v>
      </c>
      <c r="E118" s="76" t="s">
        <v>504</v>
      </c>
      <c r="F118" s="76">
        <v>3</v>
      </c>
      <c r="G118" s="76" t="s">
        <v>475</v>
      </c>
      <c r="H118" s="76">
        <v>3</v>
      </c>
      <c r="I118" s="77"/>
      <c r="J118" s="76" t="s">
        <v>476</v>
      </c>
      <c r="K118" s="78">
        <v>46218</v>
      </c>
      <c r="L118" s="76" t="s">
        <v>477</v>
      </c>
    </row>
    <row r="119" spans="1:12" x14ac:dyDescent="0.4">
      <c r="A119" s="76" t="s">
        <v>472</v>
      </c>
      <c r="B119" s="76" t="s">
        <v>109</v>
      </c>
      <c r="C119" s="76" t="s">
        <v>530</v>
      </c>
      <c r="D119" s="77" t="s">
        <v>531</v>
      </c>
      <c r="E119" s="76" t="s">
        <v>505</v>
      </c>
      <c r="F119" s="76">
        <v>6</v>
      </c>
      <c r="G119" s="76" t="s">
        <v>475</v>
      </c>
      <c r="H119" s="76">
        <v>6</v>
      </c>
      <c r="I119" s="77"/>
      <c r="J119" s="76" t="s">
        <v>476</v>
      </c>
      <c r="K119" s="78">
        <v>46218</v>
      </c>
      <c r="L119" s="76" t="s">
        <v>477</v>
      </c>
    </row>
    <row r="120" spans="1:12" ht="29.15" x14ac:dyDescent="0.4">
      <c r="A120" s="76" t="s">
        <v>472</v>
      </c>
      <c r="B120" s="76" t="s">
        <v>109</v>
      </c>
      <c r="C120" s="76" t="s">
        <v>532</v>
      </c>
      <c r="D120" s="77" t="s">
        <v>533</v>
      </c>
      <c r="E120" s="76" t="s">
        <v>503</v>
      </c>
      <c r="F120" s="76">
        <v>25</v>
      </c>
      <c r="G120" s="76" t="s">
        <v>475</v>
      </c>
      <c r="H120" s="76">
        <v>25</v>
      </c>
      <c r="I120" s="77"/>
      <c r="J120" s="76" t="s">
        <v>476</v>
      </c>
      <c r="K120" s="78">
        <v>46218</v>
      </c>
      <c r="L120" s="76" t="s">
        <v>477</v>
      </c>
    </row>
    <row r="121" spans="1:12" ht="29.15" x14ac:dyDescent="0.4">
      <c r="A121" s="76" t="s">
        <v>472</v>
      </c>
      <c r="B121" s="76" t="s">
        <v>109</v>
      </c>
      <c r="C121" s="76" t="s">
        <v>532</v>
      </c>
      <c r="D121" s="77" t="s">
        <v>533</v>
      </c>
      <c r="E121" s="76" t="s">
        <v>504</v>
      </c>
      <c r="F121" s="76">
        <v>30</v>
      </c>
      <c r="G121" s="76" t="s">
        <v>475</v>
      </c>
      <c r="H121" s="76">
        <v>30</v>
      </c>
      <c r="I121" s="77"/>
      <c r="J121" s="76" t="s">
        <v>476</v>
      </c>
      <c r="K121" s="78">
        <v>46218</v>
      </c>
      <c r="L121" s="76" t="s">
        <v>477</v>
      </c>
    </row>
    <row r="122" spans="1:12" ht="29.15" x14ac:dyDescent="0.4">
      <c r="A122" s="76" t="s">
        <v>472</v>
      </c>
      <c r="B122" s="76" t="s">
        <v>109</v>
      </c>
      <c r="C122" s="76" t="s">
        <v>532</v>
      </c>
      <c r="D122" s="77" t="s">
        <v>533</v>
      </c>
      <c r="E122" s="76" t="s">
        <v>505</v>
      </c>
      <c r="F122" s="76">
        <v>60</v>
      </c>
      <c r="G122" s="76" t="s">
        <v>475</v>
      </c>
      <c r="H122" s="76">
        <v>60</v>
      </c>
      <c r="I122" s="77"/>
      <c r="J122" s="76" t="s">
        <v>476</v>
      </c>
      <c r="K122" s="78">
        <v>46218</v>
      </c>
      <c r="L122" s="76" t="s">
        <v>477</v>
      </c>
    </row>
    <row r="123" spans="1:12" ht="29.15" x14ac:dyDescent="0.4">
      <c r="A123" s="76" t="s">
        <v>472</v>
      </c>
      <c r="B123" s="76" t="s">
        <v>109</v>
      </c>
      <c r="C123" s="76" t="s">
        <v>534</v>
      </c>
      <c r="D123" s="77" t="s">
        <v>535</v>
      </c>
      <c r="E123" s="76" t="s">
        <v>503</v>
      </c>
      <c r="F123" s="76">
        <v>14</v>
      </c>
      <c r="G123" s="76" t="s">
        <v>475</v>
      </c>
      <c r="H123" s="76">
        <v>14</v>
      </c>
      <c r="I123" s="77"/>
      <c r="J123" s="76" t="s">
        <v>476</v>
      </c>
      <c r="K123" s="78">
        <v>46218</v>
      </c>
      <c r="L123" s="76" t="s">
        <v>477</v>
      </c>
    </row>
    <row r="124" spans="1:12" ht="29.15" x14ac:dyDescent="0.4">
      <c r="A124" s="76" t="s">
        <v>472</v>
      </c>
      <c r="B124" s="76" t="s">
        <v>109</v>
      </c>
      <c r="C124" s="76" t="s">
        <v>534</v>
      </c>
      <c r="D124" s="77" t="s">
        <v>535</v>
      </c>
      <c r="E124" s="76" t="s">
        <v>504</v>
      </c>
      <c r="F124" s="76">
        <v>10</v>
      </c>
      <c r="G124" s="76" t="s">
        <v>475</v>
      </c>
      <c r="H124" s="76">
        <v>10</v>
      </c>
      <c r="I124" s="77"/>
      <c r="J124" s="76" t="s">
        <v>476</v>
      </c>
      <c r="K124" s="78">
        <v>46218</v>
      </c>
      <c r="L124" s="76" t="s">
        <v>477</v>
      </c>
    </row>
    <row r="125" spans="1:12" ht="29.15" x14ac:dyDescent="0.4">
      <c r="A125" s="76" t="s">
        <v>472</v>
      </c>
      <c r="B125" s="76" t="s">
        <v>109</v>
      </c>
      <c r="C125" s="76" t="s">
        <v>534</v>
      </c>
      <c r="D125" s="77" t="s">
        <v>535</v>
      </c>
      <c r="E125" s="76" t="s">
        <v>505</v>
      </c>
      <c r="F125" s="76">
        <v>30</v>
      </c>
      <c r="G125" s="76" t="s">
        <v>475</v>
      </c>
      <c r="H125" s="76">
        <v>30</v>
      </c>
      <c r="I125" s="77"/>
      <c r="J125" s="76" t="s">
        <v>476</v>
      </c>
      <c r="K125" s="78">
        <v>46218</v>
      </c>
      <c r="L125" s="76" t="s">
        <v>477</v>
      </c>
    </row>
    <row r="126" spans="1:12" ht="29.15" x14ac:dyDescent="0.4">
      <c r="A126" s="76" t="s">
        <v>472</v>
      </c>
      <c r="B126" s="76" t="s">
        <v>109</v>
      </c>
      <c r="C126" s="76" t="s">
        <v>536</v>
      </c>
      <c r="D126" s="77" t="s">
        <v>537</v>
      </c>
      <c r="E126" s="76" t="s">
        <v>503</v>
      </c>
      <c r="F126" s="76">
        <v>35</v>
      </c>
      <c r="G126" s="76" t="s">
        <v>475</v>
      </c>
      <c r="H126" s="76">
        <v>35</v>
      </c>
      <c r="I126" s="77"/>
      <c r="J126" s="76" t="s">
        <v>476</v>
      </c>
      <c r="K126" s="78">
        <v>46218</v>
      </c>
      <c r="L126" s="76" t="s">
        <v>477</v>
      </c>
    </row>
    <row r="127" spans="1:12" ht="29.15" x14ac:dyDescent="0.4">
      <c r="A127" s="76" t="s">
        <v>472</v>
      </c>
      <c r="B127" s="76" t="s">
        <v>109</v>
      </c>
      <c r="C127" s="76" t="s">
        <v>536</v>
      </c>
      <c r="D127" s="77" t="s">
        <v>537</v>
      </c>
      <c r="E127" s="76" t="s">
        <v>504</v>
      </c>
      <c r="F127" s="76">
        <v>30</v>
      </c>
      <c r="G127" s="76" t="s">
        <v>496</v>
      </c>
      <c r="H127" s="76">
        <v>20</v>
      </c>
      <c r="I127" s="77" t="s">
        <v>538</v>
      </c>
      <c r="J127" s="76" t="s">
        <v>476</v>
      </c>
      <c r="K127" s="78">
        <v>46218</v>
      </c>
      <c r="L127" s="76" t="s">
        <v>477</v>
      </c>
    </row>
    <row r="128" spans="1:12" ht="29.15" x14ac:dyDescent="0.4">
      <c r="A128" s="76" t="s">
        <v>472</v>
      </c>
      <c r="B128" s="76" t="s">
        <v>109</v>
      </c>
      <c r="C128" s="76" t="s">
        <v>536</v>
      </c>
      <c r="D128" s="77" t="s">
        <v>537</v>
      </c>
      <c r="E128" s="76" t="s">
        <v>505</v>
      </c>
      <c r="F128" s="76">
        <v>40</v>
      </c>
      <c r="G128" s="76" t="s">
        <v>475</v>
      </c>
      <c r="H128" s="76">
        <v>40</v>
      </c>
      <c r="I128" s="77"/>
      <c r="J128" s="76" t="s">
        <v>476</v>
      </c>
      <c r="K128" s="78">
        <v>46218</v>
      </c>
      <c r="L128" s="76" t="s">
        <v>477</v>
      </c>
    </row>
    <row r="129" spans="1:12" ht="29.15" x14ac:dyDescent="0.4">
      <c r="A129" s="76" t="s">
        <v>472</v>
      </c>
      <c r="B129" s="76" t="s">
        <v>109</v>
      </c>
      <c r="C129" s="76" t="s">
        <v>539</v>
      </c>
      <c r="D129" s="77" t="s">
        <v>540</v>
      </c>
      <c r="E129" s="76" t="s">
        <v>503</v>
      </c>
      <c r="F129" s="76">
        <v>3</v>
      </c>
      <c r="G129" s="76" t="s">
        <v>475</v>
      </c>
      <c r="H129" s="76">
        <v>3</v>
      </c>
      <c r="I129" s="77"/>
      <c r="J129" s="76" t="s">
        <v>476</v>
      </c>
      <c r="K129" s="78">
        <v>46218</v>
      </c>
      <c r="L129" s="76" t="s">
        <v>477</v>
      </c>
    </row>
    <row r="130" spans="1:12" ht="29.15" x14ac:dyDescent="0.4">
      <c r="A130" s="76" t="s">
        <v>472</v>
      </c>
      <c r="B130" s="76" t="s">
        <v>109</v>
      </c>
      <c r="C130" s="76" t="s">
        <v>539</v>
      </c>
      <c r="D130" s="77" t="s">
        <v>540</v>
      </c>
      <c r="E130" s="76" t="s">
        <v>504</v>
      </c>
      <c r="F130" s="76">
        <v>5</v>
      </c>
      <c r="G130" s="76" t="s">
        <v>475</v>
      </c>
      <c r="H130" s="76">
        <v>5</v>
      </c>
      <c r="I130" s="77"/>
      <c r="J130" s="76" t="s">
        <v>476</v>
      </c>
      <c r="K130" s="78">
        <v>46218</v>
      </c>
      <c r="L130" s="76" t="s">
        <v>477</v>
      </c>
    </row>
    <row r="131" spans="1:12" ht="29.15" x14ac:dyDescent="0.4">
      <c r="A131" s="76" t="s">
        <v>472</v>
      </c>
      <c r="B131" s="76" t="s">
        <v>109</v>
      </c>
      <c r="C131" s="76" t="s">
        <v>539</v>
      </c>
      <c r="D131" s="77" t="s">
        <v>540</v>
      </c>
      <c r="E131" s="76" t="s">
        <v>505</v>
      </c>
      <c r="F131" s="76">
        <v>15</v>
      </c>
      <c r="G131" s="76" t="s">
        <v>475</v>
      </c>
      <c r="H131" s="76">
        <v>15</v>
      </c>
      <c r="I131" s="77"/>
      <c r="J131" s="76" t="s">
        <v>476</v>
      </c>
      <c r="K131" s="78">
        <v>46218</v>
      </c>
      <c r="L131" s="76" t="s">
        <v>477</v>
      </c>
    </row>
    <row r="132" spans="1:12" ht="29.15" x14ac:dyDescent="0.4">
      <c r="A132" s="76" t="s">
        <v>472</v>
      </c>
      <c r="B132" s="76" t="s">
        <v>109</v>
      </c>
      <c r="C132" s="76" t="s">
        <v>541</v>
      </c>
      <c r="D132" s="77" t="s">
        <v>542</v>
      </c>
      <c r="E132" s="76" t="s">
        <v>503</v>
      </c>
      <c r="F132" s="76">
        <v>1</v>
      </c>
      <c r="G132" s="76" t="s">
        <v>475</v>
      </c>
      <c r="H132" s="76">
        <v>1</v>
      </c>
      <c r="I132" s="77"/>
      <c r="J132" s="76" t="s">
        <v>476</v>
      </c>
      <c r="K132" s="78">
        <v>46218</v>
      </c>
      <c r="L132" s="76" t="s">
        <v>477</v>
      </c>
    </row>
    <row r="133" spans="1:12" ht="29.15" x14ac:dyDescent="0.4">
      <c r="A133" s="76" t="s">
        <v>472</v>
      </c>
      <c r="B133" s="76" t="s">
        <v>109</v>
      </c>
      <c r="C133" s="76" t="s">
        <v>541</v>
      </c>
      <c r="D133" s="77" t="s">
        <v>542</v>
      </c>
      <c r="E133" s="76" t="s">
        <v>504</v>
      </c>
      <c r="F133" s="76">
        <v>1</v>
      </c>
      <c r="G133" s="76" t="s">
        <v>475</v>
      </c>
      <c r="H133" s="76">
        <v>1</v>
      </c>
      <c r="I133" s="77"/>
      <c r="J133" s="76" t="s">
        <v>476</v>
      </c>
      <c r="K133" s="78">
        <v>46218</v>
      </c>
      <c r="L133" s="76" t="s">
        <v>477</v>
      </c>
    </row>
    <row r="134" spans="1:12" ht="29.15" x14ac:dyDescent="0.4">
      <c r="A134" s="76" t="s">
        <v>472</v>
      </c>
      <c r="B134" s="76" t="s">
        <v>109</v>
      </c>
      <c r="C134" s="76" t="s">
        <v>541</v>
      </c>
      <c r="D134" s="77" t="s">
        <v>542</v>
      </c>
      <c r="E134" s="76" t="s">
        <v>505</v>
      </c>
      <c r="F134" s="76">
        <v>2</v>
      </c>
      <c r="G134" s="76" t="s">
        <v>475</v>
      </c>
      <c r="H134" s="76">
        <v>2</v>
      </c>
      <c r="I134" s="77"/>
      <c r="J134" s="76" t="s">
        <v>476</v>
      </c>
      <c r="K134" s="78">
        <v>46218</v>
      </c>
      <c r="L134" s="76" t="s">
        <v>477</v>
      </c>
    </row>
    <row r="135" spans="1:12" ht="29.15" x14ac:dyDescent="0.4">
      <c r="A135" s="76" t="s">
        <v>472</v>
      </c>
      <c r="B135" s="76" t="s">
        <v>109</v>
      </c>
      <c r="C135" s="76" t="s">
        <v>543</v>
      </c>
      <c r="D135" s="77" t="s">
        <v>544</v>
      </c>
      <c r="E135" s="76" t="s">
        <v>503</v>
      </c>
      <c r="F135" s="76">
        <v>3</v>
      </c>
      <c r="G135" s="76" t="s">
        <v>475</v>
      </c>
      <c r="H135" s="76">
        <v>3</v>
      </c>
      <c r="I135" s="77"/>
      <c r="J135" s="76" t="s">
        <v>476</v>
      </c>
      <c r="K135" s="78">
        <v>46218</v>
      </c>
      <c r="L135" s="76" t="s">
        <v>477</v>
      </c>
    </row>
    <row r="136" spans="1:12" ht="29.15" x14ac:dyDescent="0.4">
      <c r="A136" s="76" t="s">
        <v>472</v>
      </c>
      <c r="B136" s="76" t="s">
        <v>109</v>
      </c>
      <c r="C136" s="76" t="s">
        <v>543</v>
      </c>
      <c r="D136" s="77" t="s">
        <v>544</v>
      </c>
      <c r="E136" s="76" t="s">
        <v>504</v>
      </c>
      <c r="F136" s="76">
        <v>4</v>
      </c>
      <c r="G136" s="76" t="s">
        <v>475</v>
      </c>
      <c r="H136" s="76">
        <v>4</v>
      </c>
      <c r="I136" s="77"/>
      <c r="J136" s="76" t="s">
        <v>476</v>
      </c>
      <c r="K136" s="78">
        <v>46218</v>
      </c>
      <c r="L136" s="76" t="s">
        <v>477</v>
      </c>
    </row>
    <row r="137" spans="1:12" ht="29.15" x14ac:dyDescent="0.4">
      <c r="A137" s="76" t="s">
        <v>472</v>
      </c>
      <c r="B137" s="76" t="s">
        <v>109</v>
      </c>
      <c r="C137" s="76" t="s">
        <v>543</v>
      </c>
      <c r="D137" s="77" t="s">
        <v>544</v>
      </c>
      <c r="E137" s="76" t="s">
        <v>505</v>
      </c>
      <c r="F137" s="76">
        <v>12</v>
      </c>
      <c r="G137" s="76" t="s">
        <v>475</v>
      </c>
      <c r="H137" s="76">
        <v>12</v>
      </c>
      <c r="I137" s="77"/>
      <c r="J137" s="76" t="s">
        <v>476</v>
      </c>
      <c r="K137" s="78">
        <v>46218</v>
      </c>
      <c r="L137" s="76" t="s">
        <v>477</v>
      </c>
    </row>
    <row r="138" spans="1:12" ht="29.15" x14ac:dyDescent="0.4">
      <c r="A138" s="76" t="s">
        <v>472</v>
      </c>
      <c r="B138" s="76" t="s">
        <v>109</v>
      </c>
      <c r="C138" s="76" t="s">
        <v>545</v>
      </c>
      <c r="D138" s="77" t="s">
        <v>546</v>
      </c>
      <c r="E138" s="76" t="s">
        <v>503</v>
      </c>
      <c r="F138" s="76">
        <v>2</v>
      </c>
      <c r="G138" s="76" t="s">
        <v>475</v>
      </c>
      <c r="H138" s="76">
        <v>2</v>
      </c>
      <c r="I138" s="77"/>
      <c r="J138" s="76" t="s">
        <v>476</v>
      </c>
      <c r="K138" s="78">
        <v>46218</v>
      </c>
      <c r="L138" s="76" t="s">
        <v>477</v>
      </c>
    </row>
    <row r="139" spans="1:12" ht="29.15" x14ac:dyDescent="0.4">
      <c r="A139" s="76" t="s">
        <v>472</v>
      </c>
      <c r="B139" s="76" t="s">
        <v>109</v>
      </c>
      <c r="C139" s="76" t="s">
        <v>545</v>
      </c>
      <c r="D139" s="77" t="s">
        <v>546</v>
      </c>
      <c r="E139" s="76" t="s">
        <v>504</v>
      </c>
      <c r="F139" s="76">
        <v>2</v>
      </c>
      <c r="G139" s="76" t="s">
        <v>475</v>
      </c>
      <c r="H139" s="76">
        <v>2</v>
      </c>
      <c r="I139" s="77"/>
      <c r="J139" s="76" t="s">
        <v>476</v>
      </c>
      <c r="K139" s="78">
        <v>46218</v>
      </c>
      <c r="L139" s="76" t="s">
        <v>477</v>
      </c>
    </row>
    <row r="140" spans="1:12" ht="29.15" x14ac:dyDescent="0.4">
      <c r="A140" s="76" t="s">
        <v>472</v>
      </c>
      <c r="B140" s="76" t="s">
        <v>109</v>
      </c>
      <c r="C140" s="76" t="s">
        <v>545</v>
      </c>
      <c r="D140" s="77" t="s">
        <v>546</v>
      </c>
      <c r="E140" s="76" t="s">
        <v>505</v>
      </c>
      <c r="F140" s="76">
        <v>5</v>
      </c>
      <c r="G140" s="76" t="s">
        <v>475</v>
      </c>
      <c r="H140" s="76">
        <v>5</v>
      </c>
      <c r="I140" s="77"/>
      <c r="J140" s="76" t="s">
        <v>476</v>
      </c>
      <c r="K140" s="78">
        <v>46218</v>
      </c>
      <c r="L140" s="76" t="s">
        <v>477</v>
      </c>
    </row>
    <row r="141" spans="1:12" x14ac:dyDescent="0.4">
      <c r="A141" s="76" t="s">
        <v>472</v>
      </c>
      <c r="B141" s="76" t="s">
        <v>109</v>
      </c>
      <c r="C141" s="76" t="s">
        <v>547</v>
      </c>
      <c r="D141" s="77" t="s">
        <v>548</v>
      </c>
      <c r="E141" s="76" t="s">
        <v>503</v>
      </c>
      <c r="F141" s="76">
        <v>24</v>
      </c>
      <c r="G141" s="76" t="s">
        <v>475</v>
      </c>
      <c r="H141" s="76">
        <v>24</v>
      </c>
      <c r="I141" s="77"/>
      <c r="J141" s="76" t="s">
        <v>476</v>
      </c>
      <c r="K141" s="78">
        <v>46218</v>
      </c>
      <c r="L141" s="76" t="s">
        <v>477</v>
      </c>
    </row>
    <row r="142" spans="1:12" x14ac:dyDescent="0.4">
      <c r="A142" s="76" t="s">
        <v>472</v>
      </c>
      <c r="B142" s="76" t="s">
        <v>109</v>
      </c>
      <c r="C142" s="76" t="s">
        <v>547</v>
      </c>
      <c r="D142" s="77" t="s">
        <v>548</v>
      </c>
      <c r="E142" s="76" t="s">
        <v>504</v>
      </c>
      <c r="F142" s="76">
        <v>20</v>
      </c>
      <c r="G142" s="76" t="s">
        <v>475</v>
      </c>
      <c r="H142" s="76">
        <v>20</v>
      </c>
      <c r="I142" s="77"/>
      <c r="J142" s="76" t="s">
        <v>476</v>
      </c>
      <c r="K142" s="78">
        <v>46218</v>
      </c>
      <c r="L142" s="76" t="s">
        <v>477</v>
      </c>
    </row>
    <row r="143" spans="1:12" x14ac:dyDescent="0.4">
      <c r="A143" s="76" t="s">
        <v>472</v>
      </c>
      <c r="B143" s="76" t="s">
        <v>109</v>
      </c>
      <c r="C143" s="76" t="s">
        <v>547</v>
      </c>
      <c r="D143" s="77" t="s">
        <v>548</v>
      </c>
      <c r="E143" s="76" t="s">
        <v>505</v>
      </c>
      <c r="F143" s="76">
        <v>50</v>
      </c>
      <c r="G143" s="76" t="s">
        <v>475</v>
      </c>
      <c r="H143" s="76">
        <v>50</v>
      </c>
      <c r="I143" s="77"/>
      <c r="J143" s="76" t="s">
        <v>476</v>
      </c>
      <c r="K143" s="78">
        <v>46218</v>
      </c>
      <c r="L143" s="76" t="s">
        <v>477</v>
      </c>
    </row>
    <row r="144" spans="1:12" x14ac:dyDescent="0.4">
      <c r="A144" s="76" t="s">
        <v>472</v>
      </c>
      <c r="B144" s="76" t="s">
        <v>109</v>
      </c>
      <c r="C144" s="76" t="s">
        <v>549</v>
      </c>
      <c r="D144" s="77" t="s">
        <v>550</v>
      </c>
      <c r="E144" s="76" t="s">
        <v>503</v>
      </c>
      <c r="F144" s="76">
        <v>6</v>
      </c>
      <c r="G144" s="76" t="s">
        <v>475</v>
      </c>
      <c r="H144" s="76">
        <v>6</v>
      </c>
      <c r="I144" s="77"/>
      <c r="J144" s="76" t="s">
        <v>476</v>
      </c>
      <c r="K144" s="78">
        <v>46218</v>
      </c>
      <c r="L144" s="76" t="s">
        <v>477</v>
      </c>
    </row>
    <row r="145" spans="1:12" x14ac:dyDescent="0.4">
      <c r="A145" s="76" t="s">
        <v>472</v>
      </c>
      <c r="B145" s="76" t="s">
        <v>109</v>
      </c>
      <c r="C145" s="76" t="s">
        <v>549</v>
      </c>
      <c r="D145" s="77" t="s">
        <v>550</v>
      </c>
      <c r="E145" s="76" t="s">
        <v>504</v>
      </c>
      <c r="F145" s="76">
        <v>5</v>
      </c>
      <c r="G145" s="76" t="s">
        <v>475</v>
      </c>
      <c r="H145" s="76">
        <v>5</v>
      </c>
      <c r="I145" s="77"/>
      <c r="J145" s="76" t="s">
        <v>476</v>
      </c>
      <c r="K145" s="78">
        <v>46218</v>
      </c>
      <c r="L145" s="76" t="s">
        <v>477</v>
      </c>
    </row>
    <row r="146" spans="1:12" x14ac:dyDescent="0.4">
      <c r="A146" s="76" t="s">
        <v>472</v>
      </c>
      <c r="B146" s="76" t="s">
        <v>109</v>
      </c>
      <c r="C146" s="76" t="s">
        <v>549</v>
      </c>
      <c r="D146" s="77" t="s">
        <v>550</v>
      </c>
      <c r="E146" s="76" t="s">
        <v>505</v>
      </c>
      <c r="F146" s="76">
        <v>15</v>
      </c>
      <c r="G146" s="76" t="s">
        <v>475</v>
      </c>
      <c r="H146" s="76">
        <v>15</v>
      </c>
      <c r="I146" s="77"/>
      <c r="J146" s="76" t="s">
        <v>476</v>
      </c>
      <c r="K146" s="78">
        <v>46218</v>
      </c>
      <c r="L146" s="76" t="s">
        <v>477</v>
      </c>
    </row>
    <row r="147" spans="1:12" x14ac:dyDescent="0.4">
      <c r="A147" s="76" t="s">
        <v>472</v>
      </c>
      <c r="B147" s="76" t="s">
        <v>109</v>
      </c>
      <c r="C147" s="76" t="s">
        <v>551</v>
      </c>
      <c r="D147" s="77" t="s">
        <v>552</v>
      </c>
      <c r="E147" s="76" t="s">
        <v>503</v>
      </c>
      <c r="F147" s="76">
        <v>0</v>
      </c>
      <c r="G147" s="76" t="s">
        <v>475</v>
      </c>
      <c r="H147" s="76">
        <v>0</v>
      </c>
      <c r="I147" s="77"/>
      <c r="J147" s="76" t="s">
        <v>476</v>
      </c>
      <c r="K147" s="78">
        <v>46218</v>
      </c>
      <c r="L147" s="76" t="s">
        <v>477</v>
      </c>
    </row>
    <row r="148" spans="1:12" x14ac:dyDescent="0.4">
      <c r="A148" s="76" t="s">
        <v>472</v>
      </c>
      <c r="B148" s="76" t="s">
        <v>109</v>
      </c>
      <c r="C148" s="76" t="s">
        <v>551</v>
      </c>
      <c r="D148" s="77" t="s">
        <v>552</v>
      </c>
      <c r="E148" s="76" t="s">
        <v>504</v>
      </c>
      <c r="F148" s="76">
        <v>1</v>
      </c>
      <c r="G148" s="76" t="s">
        <v>475</v>
      </c>
      <c r="H148" s="76">
        <v>1</v>
      </c>
      <c r="I148" s="77"/>
      <c r="J148" s="76" t="s">
        <v>476</v>
      </c>
      <c r="K148" s="78">
        <v>46218</v>
      </c>
      <c r="L148" s="76" t="s">
        <v>477</v>
      </c>
    </row>
    <row r="149" spans="1:12" x14ac:dyDescent="0.4">
      <c r="A149" s="76" t="s">
        <v>472</v>
      </c>
      <c r="B149" s="76" t="s">
        <v>109</v>
      </c>
      <c r="C149" s="76" t="s">
        <v>551</v>
      </c>
      <c r="D149" s="77" t="s">
        <v>552</v>
      </c>
      <c r="E149" s="76" t="s">
        <v>505</v>
      </c>
      <c r="F149" s="76">
        <v>3</v>
      </c>
      <c r="G149" s="76" t="s">
        <v>475</v>
      </c>
      <c r="H149" s="76">
        <v>3</v>
      </c>
      <c r="I149" s="77"/>
      <c r="J149" s="76" t="s">
        <v>476</v>
      </c>
      <c r="K149" s="78">
        <v>46218</v>
      </c>
      <c r="L149" s="76" t="s">
        <v>477</v>
      </c>
    </row>
    <row r="150" spans="1:12" ht="29.15" x14ac:dyDescent="0.4">
      <c r="A150" s="76" t="s">
        <v>472</v>
      </c>
      <c r="B150" s="76" t="s">
        <v>109</v>
      </c>
      <c r="C150" s="76" t="s">
        <v>553</v>
      </c>
      <c r="D150" s="77" t="s">
        <v>554</v>
      </c>
      <c r="E150" s="76" t="s">
        <v>503</v>
      </c>
      <c r="F150" s="76">
        <v>3.8</v>
      </c>
      <c r="G150" s="76" t="s">
        <v>475</v>
      </c>
      <c r="H150" s="76">
        <v>3.8</v>
      </c>
      <c r="I150" s="77"/>
      <c r="J150" s="76" t="s">
        <v>476</v>
      </c>
      <c r="K150" s="78">
        <v>46218</v>
      </c>
      <c r="L150" s="76" t="s">
        <v>477</v>
      </c>
    </row>
    <row r="151" spans="1:12" ht="29.15" x14ac:dyDescent="0.4">
      <c r="A151" s="76" t="s">
        <v>472</v>
      </c>
      <c r="B151" s="76" t="s">
        <v>109</v>
      </c>
      <c r="C151" s="76" t="s">
        <v>553</v>
      </c>
      <c r="D151" s="77" t="s">
        <v>554</v>
      </c>
      <c r="E151" s="76" t="s">
        <v>504</v>
      </c>
      <c r="F151" s="76">
        <v>2</v>
      </c>
      <c r="G151" s="76" t="s">
        <v>475</v>
      </c>
      <c r="H151" s="76">
        <v>2</v>
      </c>
      <c r="I151" s="77"/>
      <c r="J151" s="76" t="s">
        <v>476</v>
      </c>
      <c r="K151" s="78">
        <v>46218</v>
      </c>
      <c r="L151" s="76" t="s">
        <v>477</v>
      </c>
    </row>
    <row r="152" spans="1:12" ht="29.15" x14ac:dyDescent="0.4">
      <c r="A152" s="76" t="s">
        <v>472</v>
      </c>
      <c r="B152" s="76" t="s">
        <v>109</v>
      </c>
      <c r="C152" s="76" t="s">
        <v>553</v>
      </c>
      <c r="D152" s="77" t="s">
        <v>554</v>
      </c>
      <c r="E152" s="76" t="s">
        <v>505</v>
      </c>
      <c r="F152" s="76">
        <v>5</v>
      </c>
      <c r="G152" s="76" t="s">
        <v>475</v>
      </c>
      <c r="H152" s="76">
        <v>5</v>
      </c>
      <c r="I152" s="77"/>
      <c r="J152" s="76" t="s">
        <v>476</v>
      </c>
      <c r="K152" s="78">
        <v>46218</v>
      </c>
      <c r="L152" s="76" t="s">
        <v>477</v>
      </c>
    </row>
    <row r="153" spans="1:12" ht="29.15" x14ac:dyDescent="0.4">
      <c r="A153" s="76" t="s">
        <v>472</v>
      </c>
      <c r="B153" s="76" t="s">
        <v>109</v>
      </c>
      <c r="C153" s="76" t="s">
        <v>555</v>
      </c>
      <c r="D153" s="77" t="s">
        <v>556</v>
      </c>
      <c r="E153" s="76" t="s">
        <v>503</v>
      </c>
      <c r="F153" s="76">
        <v>11</v>
      </c>
      <c r="G153" s="76" t="s">
        <v>475</v>
      </c>
      <c r="H153" s="76">
        <v>11</v>
      </c>
      <c r="I153" s="77"/>
      <c r="J153" s="76" t="s">
        <v>476</v>
      </c>
      <c r="K153" s="78">
        <v>46218</v>
      </c>
      <c r="L153" s="76" t="s">
        <v>477</v>
      </c>
    </row>
    <row r="154" spans="1:12" ht="29.15" x14ac:dyDescent="0.4">
      <c r="A154" s="76" t="s">
        <v>472</v>
      </c>
      <c r="B154" s="76" t="s">
        <v>109</v>
      </c>
      <c r="C154" s="76" t="s">
        <v>555</v>
      </c>
      <c r="D154" s="77" t="s">
        <v>556</v>
      </c>
      <c r="E154" s="76" t="s">
        <v>504</v>
      </c>
      <c r="F154" s="76">
        <v>5</v>
      </c>
      <c r="G154" s="76" t="s">
        <v>475</v>
      </c>
      <c r="H154" s="76">
        <v>5</v>
      </c>
      <c r="I154" s="77"/>
      <c r="J154" s="76" t="s">
        <v>476</v>
      </c>
      <c r="K154" s="78">
        <v>46218</v>
      </c>
      <c r="L154" s="76" t="s">
        <v>477</v>
      </c>
    </row>
    <row r="155" spans="1:12" ht="29.15" x14ac:dyDescent="0.4">
      <c r="A155" s="76" t="s">
        <v>472</v>
      </c>
      <c r="B155" s="76" t="s">
        <v>109</v>
      </c>
      <c r="C155" s="76" t="s">
        <v>555</v>
      </c>
      <c r="D155" s="77" t="s">
        <v>556</v>
      </c>
      <c r="E155" s="76" t="s">
        <v>505</v>
      </c>
      <c r="F155" s="76">
        <v>15</v>
      </c>
      <c r="G155" s="76" t="s">
        <v>475</v>
      </c>
      <c r="H155" s="76">
        <v>15</v>
      </c>
      <c r="I155" s="77"/>
      <c r="J155" s="76" t="s">
        <v>476</v>
      </c>
      <c r="K155" s="78">
        <v>46218</v>
      </c>
      <c r="L155" s="76" t="s">
        <v>477</v>
      </c>
    </row>
    <row r="156" spans="1:12" ht="29.15" x14ac:dyDescent="0.4">
      <c r="A156" s="76" t="s">
        <v>472</v>
      </c>
      <c r="B156" s="76" t="s">
        <v>109</v>
      </c>
      <c r="C156" s="76" t="s">
        <v>557</v>
      </c>
      <c r="D156" s="77" t="s">
        <v>558</v>
      </c>
      <c r="E156" s="76" t="s">
        <v>503</v>
      </c>
      <c r="F156" s="76">
        <v>1</v>
      </c>
      <c r="G156" s="76" t="s">
        <v>475</v>
      </c>
      <c r="H156" s="76">
        <v>1</v>
      </c>
      <c r="I156" s="77"/>
      <c r="J156" s="76" t="s">
        <v>476</v>
      </c>
      <c r="K156" s="78">
        <v>46218</v>
      </c>
      <c r="L156" s="76" t="s">
        <v>477</v>
      </c>
    </row>
    <row r="157" spans="1:12" ht="29.15" x14ac:dyDescent="0.4">
      <c r="A157" s="76" t="s">
        <v>472</v>
      </c>
      <c r="B157" s="76" t="s">
        <v>109</v>
      </c>
      <c r="C157" s="76" t="s">
        <v>557</v>
      </c>
      <c r="D157" s="77" t="s">
        <v>558</v>
      </c>
      <c r="E157" s="76" t="s">
        <v>504</v>
      </c>
      <c r="F157" s="76">
        <v>1</v>
      </c>
      <c r="G157" s="76" t="s">
        <v>475</v>
      </c>
      <c r="H157" s="76">
        <v>1</v>
      </c>
      <c r="I157" s="77"/>
      <c r="J157" s="76" t="s">
        <v>476</v>
      </c>
      <c r="K157" s="78">
        <v>46218</v>
      </c>
      <c r="L157" s="76" t="s">
        <v>477</v>
      </c>
    </row>
    <row r="158" spans="1:12" ht="29.15" x14ac:dyDescent="0.4">
      <c r="A158" s="76" t="s">
        <v>472</v>
      </c>
      <c r="B158" s="76" t="s">
        <v>109</v>
      </c>
      <c r="C158" s="76" t="s">
        <v>557</v>
      </c>
      <c r="D158" s="77" t="s">
        <v>558</v>
      </c>
      <c r="E158" s="76" t="s">
        <v>505</v>
      </c>
      <c r="F158" s="76">
        <v>3</v>
      </c>
      <c r="G158" s="76" t="s">
        <v>475</v>
      </c>
      <c r="H158" s="76">
        <v>3</v>
      </c>
      <c r="I158" s="77"/>
      <c r="J158" s="76" t="s">
        <v>476</v>
      </c>
      <c r="K158" s="78">
        <v>46218</v>
      </c>
      <c r="L158" s="76" t="s">
        <v>477</v>
      </c>
    </row>
    <row r="159" spans="1:12" ht="29.15" x14ac:dyDescent="0.4">
      <c r="A159" s="76" t="s">
        <v>472</v>
      </c>
      <c r="B159" s="76" t="s">
        <v>109</v>
      </c>
      <c r="C159" s="76" t="s">
        <v>559</v>
      </c>
      <c r="D159" s="77" t="s">
        <v>560</v>
      </c>
      <c r="E159" s="76" t="s">
        <v>503</v>
      </c>
      <c r="F159" s="76">
        <v>1.4</v>
      </c>
      <c r="G159" s="76" t="s">
        <v>475</v>
      </c>
      <c r="H159" s="76">
        <v>1.4</v>
      </c>
      <c r="I159" s="77"/>
      <c r="J159" s="76" t="s">
        <v>476</v>
      </c>
      <c r="K159" s="78">
        <v>46218</v>
      </c>
      <c r="L159" s="76" t="s">
        <v>477</v>
      </c>
    </row>
    <row r="160" spans="1:12" ht="29.15" x14ac:dyDescent="0.4">
      <c r="A160" s="76" t="s">
        <v>472</v>
      </c>
      <c r="B160" s="76" t="s">
        <v>109</v>
      </c>
      <c r="C160" s="76" t="s">
        <v>559</v>
      </c>
      <c r="D160" s="77" t="s">
        <v>560</v>
      </c>
      <c r="E160" s="76" t="s">
        <v>504</v>
      </c>
      <c r="F160" s="76">
        <v>2</v>
      </c>
      <c r="G160" s="76" t="s">
        <v>475</v>
      </c>
      <c r="H160" s="76">
        <v>2</v>
      </c>
      <c r="I160" s="77"/>
      <c r="J160" s="76" t="s">
        <v>476</v>
      </c>
      <c r="K160" s="78">
        <v>46218</v>
      </c>
      <c r="L160" s="76" t="s">
        <v>477</v>
      </c>
    </row>
    <row r="161" spans="1:12" ht="29.15" x14ac:dyDescent="0.4">
      <c r="A161" s="76" t="s">
        <v>472</v>
      </c>
      <c r="B161" s="76" t="s">
        <v>109</v>
      </c>
      <c r="C161" s="76" t="s">
        <v>559</v>
      </c>
      <c r="D161" s="77" t="s">
        <v>560</v>
      </c>
      <c r="E161" s="76" t="s">
        <v>505</v>
      </c>
      <c r="F161" s="76">
        <v>5</v>
      </c>
      <c r="G161" s="76" t="s">
        <v>475</v>
      </c>
      <c r="H161" s="76">
        <v>5</v>
      </c>
      <c r="I161" s="77"/>
      <c r="J161" s="76" t="s">
        <v>476</v>
      </c>
      <c r="K161" s="78">
        <v>46218</v>
      </c>
      <c r="L161" s="76" t="s">
        <v>477</v>
      </c>
    </row>
    <row r="162" spans="1:12" ht="29.15" x14ac:dyDescent="0.4">
      <c r="A162" s="76" t="s">
        <v>472</v>
      </c>
      <c r="B162" s="76" t="s">
        <v>109</v>
      </c>
      <c r="C162" s="76" t="s">
        <v>561</v>
      </c>
      <c r="D162" s="77" t="s">
        <v>562</v>
      </c>
      <c r="E162" s="76" t="s">
        <v>503</v>
      </c>
      <c r="F162" s="76">
        <v>3</v>
      </c>
      <c r="G162" s="76" t="s">
        <v>475</v>
      </c>
      <c r="H162" s="76">
        <v>3</v>
      </c>
      <c r="I162" s="77"/>
      <c r="J162" s="76" t="s">
        <v>476</v>
      </c>
      <c r="K162" s="78">
        <v>46218</v>
      </c>
      <c r="L162" s="76" t="s">
        <v>477</v>
      </c>
    </row>
    <row r="163" spans="1:12" ht="29.15" x14ac:dyDescent="0.4">
      <c r="A163" s="76" t="s">
        <v>472</v>
      </c>
      <c r="B163" s="76" t="s">
        <v>109</v>
      </c>
      <c r="C163" s="76" t="s">
        <v>561</v>
      </c>
      <c r="D163" s="77" t="s">
        <v>562</v>
      </c>
      <c r="E163" s="76" t="s">
        <v>504</v>
      </c>
      <c r="F163" s="76">
        <v>2</v>
      </c>
      <c r="G163" s="76" t="s">
        <v>475</v>
      </c>
      <c r="H163" s="76">
        <v>2</v>
      </c>
      <c r="I163" s="77"/>
      <c r="J163" s="76" t="s">
        <v>476</v>
      </c>
      <c r="K163" s="78">
        <v>46218</v>
      </c>
      <c r="L163" s="76" t="s">
        <v>477</v>
      </c>
    </row>
    <row r="164" spans="1:12" ht="29.15" x14ac:dyDescent="0.4">
      <c r="A164" s="76" t="s">
        <v>472</v>
      </c>
      <c r="B164" s="76" t="s">
        <v>109</v>
      </c>
      <c r="C164" s="76" t="s">
        <v>561</v>
      </c>
      <c r="D164" s="77" t="s">
        <v>562</v>
      </c>
      <c r="E164" s="76" t="s">
        <v>505</v>
      </c>
      <c r="F164" s="76">
        <v>6</v>
      </c>
      <c r="G164" s="76" t="s">
        <v>475</v>
      </c>
      <c r="H164" s="76">
        <v>6</v>
      </c>
      <c r="I164" s="77"/>
      <c r="J164" s="76" t="s">
        <v>476</v>
      </c>
      <c r="K164" s="78">
        <v>46218</v>
      </c>
      <c r="L164" s="76" t="s">
        <v>477</v>
      </c>
    </row>
    <row r="165" spans="1:12" ht="29.15" x14ac:dyDescent="0.4">
      <c r="A165" s="76" t="s">
        <v>472</v>
      </c>
      <c r="B165" s="76" t="s">
        <v>109</v>
      </c>
      <c r="C165" s="76" t="s">
        <v>563</v>
      </c>
      <c r="D165" s="77" t="s">
        <v>564</v>
      </c>
      <c r="E165" s="76" t="s">
        <v>503</v>
      </c>
      <c r="F165" s="76">
        <v>60</v>
      </c>
      <c r="G165" s="76" t="s">
        <v>475</v>
      </c>
      <c r="H165" s="76">
        <v>60</v>
      </c>
      <c r="I165" s="77"/>
      <c r="J165" s="76" t="s">
        <v>476</v>
      </c>
      <c r="K165" s="78">
        <v>46218</v>
      </c>
      <c r="L165" s="76" t="s">
        <v>477</v>
      </c>
    </row>
    <row r="166" spans="1:12" ht="29.15" x14ac:dyDescent="0.4">
      <c r="A166" s="76" t="s">
        <v>472</v>
      </c>
      <c r="B166" s="76" t="s">
        <v>109</v>
      </c>
      <c r="C166" s="76" t="s">
        <v>563</v>
      </c>
      <c r="D166" s="77" t="s">
        <v>564</v>
      </c>
      <c r="E166" s="76" t="s">
        <v>504</v>
      </c>
      <c r="F166" s="76">
        <v>20</v>
      </c>
      <c r="G166" s="76" t="s">
        <v>475</v>
      </c>
      <c r="H166" s="76">
        <v>20</v>
      </c>
      <c r="I166" s="77"/>
      <c r="J166" s="76" t="s">
        <v>476</v>
      </c>
      <c r="K166" s="78">
        <v>46218</v>
      </c>
      <c r="L166" s="76" t="s">
        <v>477</v>
      </c>
    </row>
    <row r="167" spans="1:12" ht="29.15" x14ac:dyDescent="0.4">
      <c r="A167" s="76" t="s">
        <v>472</v>
      </c>
      <c r="B167" s="76" t="s">
        <v>109</v>
      </c>
      <c r="C167" s="76" t="s">
        <v>563</v>
      </c>
      <c r="D167" s="77" t="s">
        <v>564</v>
      </c>
      <c r="E167" s="76" t="s">
        <v>505</v>
      </c>
      <c r="F167" s="76">
        <v>50</v>
      </c>
      <c r="G167" s="76" t="s">
        <v>475</v>
      </c>
      <c r="H167" s="76">
        <v>50</v>
      </c>
      <c r="I167" s="77"/>
      <c r="J167" s="76" t="s">
        <v>476</v>
      </c>
      <c r="K167" s="78">
        <v>46218</v>
      </c>
      <c r="L167" s="76" t="s">
        <v>477</v>
      </c>
    </row>
    <row r="168" spans="1:12" ht="29.15" x14ac:dyDescent="0.4">
      <c r="A168" s="76" t="s">
        <v>472</v>
      </c>
      <c r="B168" s="76" t="s">
        <v>109</v>
      </c>
      <c r="C168" s="76" t="s">
        <v>565</v>
      </c>
      <c r="D168" s="77" t="s">
        <v>566</v>
      </c>
      <c r="E168" s="76" t="s">
        <v>503</v>
      </c>
      <c r="F168" s="76">
        <v>7</v>
      </c>
      <c r="G168" s="76" t="s">
        <v>475</v>
      </c>
      <c r="H168" s="76">
        <v>7</v>
      </c>
      <c r="I168" s="77"/>
      <c r="J168" s="76" t="s">
        <v>476</v>
      </c>
      <c r="K168" s="78">
        <v>46218</v>
      </c>
      <c r="L168" s="76" t="s">
        <v>477</v>
      </c>
    </row>
    <row r="169" spans="1:12" ht="29.15" x14ac:dyDescent="0.4">
      <c r="A169" s="76" t="s">
        <v>472</v>
      </c>
      <c r="B169" s="76" t="s">
        <v>109</v>
      </c>
      <c r="C169" s="76" t="s">
        <v>565</v>
      </c>
      <c r="D169" s="77" t="s">
        <v>566</v>
      </c>
      <c r="E169" s="76" t="s">
        <v>504</v>
      </c>
      <c r="F169" s="76">
        <v>3</v>
      </c>
      <c r="G169" s="76" t="s">
        <v>475</v>
      </c>
      <c r="H169" s="76">
        <v>3</v>
      </c>
      <c r="I169" s="77"/>
      <c r="J169" s="76" t="s">
        <v>476</v>
      </c>
      <c r="K169" s="78">
        <v>46218</v>
      </c>
      <c r="L169" s="76" t="s">
        <v>477</v>
      </c>
    </row>
    <row r="170" spans="1:12" ht="29.15" x14ac:dyDescent="0.4">
      <c r="A170" s="76" t="s">
        <v>472</v>
      </c>
      <c r="B170" s="76" t="s">
        <v>109</v>
      </c>
      <c r="C170" s="76" t="s">
        <v>565</v>
      </c>
      <c r="D170" s="77" t="s">
        <v>566</v>
      </c>
      <c r="E170" s="76" t="s">
        <v>505</v>
      </c>
      <c r="F170" s="76">
        <v>8</v>
      </c>
      <c r="G170" s="76" t="s">
        <v>475</v>
      </c>
      <c r="H170" s="76">
        <v>8</v>
      </c>
      <c r="I170" s="77"/>
      <c r="J170" s="76" t="s">
        <v>476</v>
      </c>
      <c r="K170" s="78">
        <v>46218</v>
      </c>
      <c r="L170" s="76" t="s">
        <v>477</v>
      </c>
    </row>
    <row r="171" spans="1:12" ht="29.15" x14ac:dyDescent="0.4">
      <c r="A171" s="76" t="s">
        <v>472</v>
      </c>
      <c r="B171" s="76" t="s">
        <v>109</v>
      </c>
      <c r="C171" s="76" t="s">
        <v>567</v>
      </c>
      <c r="D171" s="77" t="s">
        <v>568</v>
      </c>
      <c r="E171" s="76" t="s">
        <v>503</v>
      </c>
      <c r="F171" s="76">
        <v>5</v>
      </c>
      <c r="G171" s="76" t="s">
        <v>475</v>
      </c>
      <c r="H171" s="76">
        <v>5</v>
      </c>
      <c r="I171" s="77"/>
      <c r="J171" s="76" t="s">
        <v>476</v>
      </c>
      <c r="K171" s="78">
        <v>46218</v>
      </c>
      <c r="L171" s="76" t="s">
        <v>477</v>
      </c>
    </row>
    <row r="172" spans="1:12" ht="29.15" x14ac:dyDescent="0.4">
      <c r="A172" s="76" t="s">
        <v>472</v>
      </c>
      <c r="B172" s="76" t="s">
        <v>109</v>
      </c>
      <c r="C172" s="76" t="s">
        <v>567</v>
      </c>
      <c r="D172" s="77" t="s">
        <v>568</v>
      </c>
      <c r="E172" s="76" t="s">
        <v>504</v>
      </c>
      <c r="F172" s="76">
        <v>2</v>
      </c>
      <c r="G172" s="76" t="s">
        <v>475</v>
      </c>
      <c r="H172" s="76">
        <v>2</v>
      </c>
      <c r="I172" s="77"/>
      <c r="J172" s="76" t="s">
        <v>476</v>
      </c>
      <c r="K172" s="78">
        <v>46218</v>
      </c>
      <c r="L172" s="76" t="s">
        <v>477</v>
      </c>
    </row>
    <row r="173" spans="1:12" ht="29.15" x14ac:dyDescent="0.4">
      <c r="A173" s="76" t="s">
        <v>472</v>
      </c>
      <c r="B173" s="76" t="s">
        <v>109</v>
      </c>
      <c r="C173" s="76" t="s">
        <v>567</v>
      </c>
      <c r="D173" s="77" t="s">
        <v>568</v>
      </c>
      <c r="E173" s="76" t="s">
        <v>505</v>
      </c>
      <c r="F173" s="76">
        <v>6</v>
      </c>
      <c r="G173" s="76" t="s">
        <v>475</v>
      </c>
      <c r="H173" s="76">
        <v>6</v>
      </c>
      <c r="I173" s="77"/>
      <c r="J173" s="76" t="s">
        <v>476</v>
      </c>
      <c r="K173" s="78">
        <v>46218</v>
      </c>
      <c r="L173" s="76" t="s">
        <v>477</v>
      </c>
    </row>
    <row r="174" spans="1:12" ht="29.15" x14ac:dyDescent="0.4">
      <c r="A174" s="76" t="s">
        <v>472</v>
      </c>
      <c r="B174" s="76" t="s">
        <v>109</v>
      </c>
      <c r="C174" s="76" t="s">
        <v>569</v>
      </c>
      <c r="D174" s="77" t="s">
        <v>570</v>
      </c>
      <c r="E174" s="76" t="s">
        <v>503</v>
      </c>
      <c r="F174" s="76">
        <v>2</v>
      </c>
      <c r="G174" s="76" t="s">
        <v>475</v>
      </c>
      <c r="H174" s="76">
        <v>2</v>
      </c>
      <c r="I174" s="77"/>
      <c r="J174" s="76" t="s">
        <v>476</v>
      </c>
      <c r="K174" s="78">
        <v>46218</v>
      </c>
      <c r="L174" s="76" t="s">
        <v>477</v>
      </c>
    </row>
    <row r="175" spans="1:12" ht="29.15" x14ac:dyDescent="0.4">
      <c r="A175" s="76" t="s">
        <v>472</v>
      </c>
      <c r="B175" s="76" t="s">
        <v>109</v>
      </c>
      <c r="C175" s="76" t="s">
        <v>569</v>
      </c>
      <c r="D175" s="77" t="s">
        <v>570</v>
      </c>
      <c r="E175" s="76" t="s">
        <v>504</v>
      </c>
      <c r="F175" s="76">
        <v>1</v>
      </c>
      <c r="G175" s="76" t="s">
        <v>475</v>
      </c>
      <c r="H175" s="76">
        <v>1</v>
      </c>
      <c r="I175" s="77"/>
      <c r="J175" s="76" t="s">
        <v>476</v>
      </c>
      <c r="K175" s="78">
        <v>46218</v>
      </c>
      <c r="L175" s="76" t="s">
        <v>477</v>
      </c>
    </row>
    <row r="176" spans="1:12" ht="29.15" x14ac:dyDescent="0.4">
      <c r="A176" s="76" t="s">
        <v>472</v>
      </c>
      <c r="B176" s="76" t="s">
        <v>109</v>
      </c>
      <c r="C176" s="76" t="s">
        <v>569</v>
      </c>
      <c r="D176" s="77" t="s">
        <v>570</v>
      </c>
      <c r="E176" s="76" t="s">
        <v>505</v>
      </c>
      <c r="F176" s="76">
        <v>3</v>
      </c>
      <c r="G176" s="76" t="s">
        <v>475</v>
      </c>
      <c r="H176" s="76">
        <v>3</v>
      </c>
      <c r="I176" s="77"/>
      <c r="J176" s="76" t="s">
        <v>476</v>
      </c>
      <c r="K176" s="78">
        <v>46218</v>
      </c>
      <c r="L176" s="76" t="s">
        <v>477</v>
      </c>
    </row>
    <row r="177" spans="1:12" ht="29.15" x14ac:dyDescent="0.4">
      <c r="A177" s="76" t="s">
        <v>472</v>
      </c>
      <c r="B177" s="76" t="s">
        <v>109</v>
      </c>
      <c r="C177" s="76" t="s">
        <v>571</v>
      </c>
      <c r="D177" s="77" t="s">
        <v>572</v>
      </c>
      <c r="E177" s="76" t="s">
        <v>503</v>
      </c>
      <c r="F177" s="76">
        <v>14</v>
      </c>
      <c r="G177" s="76" t="s">
        <v>475</v>
      </c>
      <c r="H177" s="76">
        <v>14</v>
      </c>
      <c r="I177" s="77"/>
      <c r="J177" s="76" t="s">
        <v>476</v>
      </c>
      <c r="K177" s="78">
        <v>46218</v>
      </c>
      <c r="L177" s="76" t="s">
        <v>477</v>
      </c>
    </row>
    <row r="178" spans="1:12" ht="29.15" x14ac:dyDescent="0.4">
      <c r="A178" s="76" t="s">
        <v>472</v>
      </c>
      <c r="B178" s="76" t="s">
        <v>109</v>
      </c>
      <c r="C178" s="76" t="s">
        <v>571</v>
      </c>
      <c r="D178" s="77" t="s">
        <v>572</v>
      </c>
      <c r="E178" s="76" t="s">
        <v>504</v>
      </c>
      <c r="F178" s="76">
        <v>10</v>
      </c>
      <c r="G178" s="76" t="s">
        <v>475</v>
      </c>
      <c r="H178" s="76">
        <v>10</v>
      </c>
      <c r="I178" s="77"/>
      <c r="J178" s="76" t="s">
        <v>476</v>
      </c>
      <c r="K178" s="78">
        <v>46218</v>
      </c>
      <c r="L178" s="76" t="s">
        <v>477</v>
      </c>
    </row>
    <row r="179" spans="1:12" ht="29.15" x14ac:dyDescent="0.4">
      <c r="A179" s="76" t="s">
        <v>472</v>
      </c>
      <c r="B179" s="76" t="s">
        <v>109</v>
      </c>
      <c r="C179" s="76" t="s">
        <v>571</v>
      </c>
      <c r="D179" s="77" t="s">
        <v>572</v>
      </c>
      <c r="E179" s="76" t="s">
        <v>505</v>
      </c>
      <c r="F179" s="76">
        <v>30</v>
      </c>
      <c r="G179" s="76" t="s">
        <v>475</v>
      </c>
      <c r="H179" s="76">
        <v>30</v>
      </c>
      <c r="I179" s="77"/>
      <c r="J179" s="76" t="s">
        <v>476</v>
      </c>
      <c r="K179" s="78">
        <v>46218</v>
      </c>
      <c r="L179" s="76" t="s">
        <v>477</v>
      </c>
    </row>
    <row r="180" spans="1:12" ht="29.15" x14ac:dyDescent="0.4">
      <c r="A180" s="76" t="s">
        <v>472</v>
      </c>
      <c r="B180" s="76" t="s">
        <v>109</v>
      </c>
      <c r="C180" s="76" t="s">
        <v>573</v>
      </c>
      <c r="D180" s="77" t="s">
        <v>574</v>
      </c>
      <c r="E180" s="76" t="s">
        <v>503</v>
      </c>
      <c r="F180" s="76">
        <v>5</v>
      </c>
      <c r="G180" s="76" t="s">
        <v>475</v>
      </c>
      <c r="H180" s="76">
        <v>5</v>
      </c>
      <c r="I180" s="77"/>
      <c r="J180" s="76" t="s">
        <v>476</v>
      </c>
      <c r="K180" s="78">
        <v>46218</v>
      </c>
      <c r="L180" s="76" t="s">
        <v>477</v>
      </c>
    </row>
    <row r="181" spans="1:12" ht="29.15" x14ac:dyDescent="0.4">
      <c r="A181" s="76" t="s">
        <v>472</v>
      </c>
      <c r="B181" s="76" t="s">
        <v>109</v>
      </c>
      <c r="C181" s="76" t="s">
        <v>573</v>
      </c>
      <c r="D181" s="77" t="s">
        <v>574</v>
      </c>
      <c r="E181" s="76" t="s">
        <v>504</v>
      </c>
      <c r="F181" s="76">
        <v>3</v>
      </c>
      <c r="G181" s="76" t="s">
        <v>475</v>
      </c>
      <c r="H181" s="76">
        <v>3</v>
      </c>
      <c r="I181" s="77"/>
      <c r="J181" s="76" t="s">
        <v>476</v>
      </c>
      <c r="K181" s="78">
        <v>46218</v>
      </c>
      <c r="L181" s="76" t="s">
        <v>477</v>
      </c>
    </row>
    <row r="182" spans="1:12" ht="29.15" x14ac:dyDescent="0.4">
      <c r="A182" s="76" t="s">
        <v>472</v>
      </c>
      <c r="B182" s="76" t="s">
        <v>109</v>
      </c>
      <c r="C182" s="76" t="s">
        <v>573</v>
      </c>
      <c r="D182" s="77" t="s">
        <v>574</v>
      </c>
      <c r="E182" s="76" t="s">
        <v>505</v>
      </c>
      <c r="F182" s="76">
        <v>10</v>
      </c>
      <c r="G182" s="76" t="s">
        <v>475</v>
      </c>
      <c r="H182" s="76">
        <v>10</v>
      </c>
      <c r="I182" s="77"/>
      <c r="J182" s="76" t="s">
        <v>476</v>
      </c>
      <c r="K182" s="78">
        <v>46218</v>
      </c>
      <c r="L182" s="76" t="s">
        <v>477</v>
      </c>
    </row>
    <row r="183" spans="1:12" ht="29.15" x14ac:dyDescent="0.4">
      <c r="A183" s="76" t="s">
        <v>472</v>
      </c>
      <c r="B183" s="76" t="s">
        <v>109</v>
      </c>
      <c r="C183" s="76" t="s">
        <v>575</v>
      </c>
      <c r="D183" s="77" t="s">
        <v>576</v>
      </c>
      <c r="E183" s="76" t="s">
        <v>503</v>
      </c>
      <c r="F183" s="76">
        <v>5</v>
      </c>
      <c r="G183" s="76" t="s">
        <v>475</v>
      </c>
      <c r="H183" s="76">
        <v>5</v>
      </c>
      <c r="I183" s="77"/>
      <c r="J183" s="76" t="s">
        <v>476</v>
      </c>
      <c r="K183" s="78">
        <v>46218</v>
      </c>
      <c r="L183" s="76" t="s">
        <v>477</v>
      </c>
    </row>
    <row r="184" spans="1:12" ht="29.15" x14ac:dyDescent="0.4">
      <c r="A184" s="76" t="s">
        <v>472</v>
      </c>
      <c r="B184" s="76" t="s">
        <v>109</v>
      </c>
      <c r="C184" s="76" t="s">
        <v>575</v>
      </c>
      <c r="D184" s="77" t="s">
        <v>576</v>
      </c>
      <c r="E184" s="76" t="s">
        <v>504</v>
      </c>
      <c r="F184" s="76">
        <v>4</v>
      </c>
      <c r="G184" s="76" t="s">
        <v>475</v>
      </c>
      <c r="H184" s="76">
        <v>4</v>
      </c>
      <c r="I184" s="77"/>
      <c r="J184" s="76" t="s">
        <v>476</v>
      </c>
      <c r="K184" s="78">
        <v>46218</v>
      </c>
      <c r="L184" s="76" t="s">
        <v>477</v>
      </c>
    </row>
    <row r="185" spans="1:12" ht="29.15" x14ac:dyDescent="0.4">
      <c r="A185" s="76" t="s">
        <v>472</v>
      </c>
      <c r="B185" s="76" t="s">
        <v>109</v>
      </c>
      <c r="C185" s="76" t="s">
        <v>575</v>
      </c>
      <c r="D185" s="77" t="s">
        <v>576</v>
      </c>
      <c r="E185" s="76" t="s">
        <v>505</v>
      </c>
      <c r="F185" s="76">
        <v>12</v>
      </c>
      <c r="G185" s="76" t="s">
        <v>475</v>
      </c>
      <c r="H185" s="76">
        <v>12</v>
      </c>
      <c r="I185" s="77"/>
      <c r="J185" s="76" t="s">
        <v>476</v>
      </c>
      <c r="K185" s="78">
        <v>46218</v>
      </c>
      <c r="L185" s="76" t="s">
        <v>477</v>
      </c>
    </row>
    <row r="186" spans="1:12" ht="29.15" x14ac:dyDescent="0.4">
      <c r="A186" s="76" t="s">
        <v>472</v>
      </c>
      <c r="B186" s="76" t="s">
        <v>442</v>
      </c>
      <c r="C186" s="76" t="s">
        <v>577</v>
      </c>
      <c r="D186" s="77" t="s">
        <v>578</v>
      </c>
      <c r="E186" s="76" t="s">
        <v>156</v>
      </c>
      <c r="F186" s="76" t="s">
        <v>579</v>
      </c>
      <c r="G186" s="76" t="s">
        <v>475</v>
      </c>
      <c r="H186" s="76" t="s">
        <v>579</v>
      </c>
      <c r="I186" s="77"/>
      <c r="J186" s="76" t="s">
        <v>476</v>
      </c>
      <c r="K186" s="78">
        <v>46218</v>
      </c>
      <c r="L186" s="76" t="s">
        <v>477</v>
      </c>
    </row>
    <row r="187" spans="1:12" ht="29.15" x14ac:dyDescent="0.4">
      <c r="A187" s="76" t="s">
        <v>472</v>
      </c>
      <c r="B187" s="76" t="s">
        <v>442</v>
      </c>
      <c r="C187" s="76" t="s">
        <v>577</v>
      </c>
      <c r="D187" s="77" t="s">
        <v>578</v>
      </c>
      <c r="E187" s="76" t="s">
        <v>444</v>
      </c>
      <c r="F187" s="76" t="s">
        <v>580</v>
      </c>
      <c r="G187" s="76" t="s">
        <v>475</v>
      </c>
      <c r="H187" s="76" t="s">
        <v>580</v>
      </c>
      <c r="I187" s="77"/>
      <c r="J187" s="76" t="s">
        <v>476</v>
      </c>
      <c r="K187" s="78">
        <v>46218</v>
      </c>
      <c r="L187" s="76" t="s">
        <v>477</v>
      </c>
    </row>
    <row r="188" spans="1:12" ht="29.15" x14ac:dyDescent="0.4">
      <c r="A188" s="76" t="s">
        <v>472</v>
      </c>
      <c r="B188" s="76" t="s">
        <v>442</v>
      </c>
      <c r="C188" s="76" t="s">
        <v>581</v>
      </c>
      <c r="D188" s="77" t="s">
        <v>582</v>
      </c>
      <c r="E188" s="76" t="s">
        <v>156</v>
      </c>
      <c r="F188" s="76" t="s">
        <v>583</v>
      </c>
      <c r="G188" s="76" t="s">
        <v>475</v>
      </c>
      <c r="H188" s="76" t="s">
        <v>583</v>
      </c>
      <c r="I188" s="77"/>
      <c r="J188" s="76" t="s">
        <v>476</v>
      </c>
      <c r="K188" s="78">
        <v>46218</v>
      </c>
      <c r="L188" s="76" t="s">
        <v>477</v>
      </c>
    </row>
    <row r="189" spans="1:12" ht="29.15" x14ac:dyDescent="0.4">
      <c r="A189" s="76" t="s">
        <v>472</v>
      </c>
      <c r="B189" s="76" t="s">
        <v>442</v>
      </c>
      <c r="C189" s="76" t="s">
        <v>581</v>
      </c>
      <c r="D189" s="77" t="s">
        <v>582</v>
      </c>
      <c r="E189" s="76" t="s">
        <v>444</v>
      </c>
      <c r="F189" s="76" t="s">
        <v>584</v>
      </c>
      <c r="G189" s="76" t="s">
        <v>475</v>
      </c>
      <c r="H189" s="76" t="s">
        <v>584</v>
      </c>
      <c r="I189" s="77"/>
      <c r="J189" s="76" t="s">
        <v>476</v>
      </c>
      <c r="K189" s="78">
        <v>46218</v>
      </c>
      <c r="L189" s="76" t="s">
        <v>477</v>
      </c>
    </row>
    <row r="190" spans="1:12" ht="29.15" x14ac:dyDescent="0.4">
      <c r="A190" s="76" t="s">
        <v>472</v>
      </c>
      <c r="B190" s="76" t="s">
        <v>442</v>
      </c>
      <c r="C190" s="76" t="s">
        <v>585</v>
      </c>
      <c r="D190" s="77" t="s">
        <v>586</v>
      </c>
      <c r="E190" s="76" t="s">
        <v>156</v>
      </c>
      <c r="F190" s="76" t="s">
        <v>587</v>
      </c>
      <c r="G190" s="76" t="s">
        <v>475</v>
      </c>
      <c r="H190" s="76" t="s">
        <v>587</v>
      </c>
      <c r="I190" s="77"/>
      <c r="J190" s="76" t="s">
        <v>476</v>
      </c>
      <c r="K190" s="78">
        <v>46218</v>
      </c>
      <c r="L190" s="76" t="s">
        <v>477</v>
      </c>
    </row>
    <row r="191" spans="1:12" ht="29.15" x14ac:dyDescent="0.4">
      <c r="A191" s="76" t="s">
        <v>472</v>
      </c>
      <c r="B191" s="76" t="s">
        <v>442</v>
      </c>
      <c r="C191" s="76" t="s">
        <v>585</v>
      </c>
      <c r="D191" s="77" t="s">
        <v>586</v>
      </c>
      <c r="E191" s="76" t="s">
        <v>444</v>
      </c>
      <c r="F191" s="76" t="s">
        <v>580</v>
      </c>
      <c r="G191" s="76" t="s">
        <v>475</v>
      </c>
      <c r="H191" s="76" t="s">
        <v>580</v>
      </c>
      <c r="I191" s="77"/>
      <c r="J191" s="76" t="s">
        <v>476</v>
      </c>
      <c r="K191" s="78">
        <v>46218</v>
      </c>
      <c r="L191" s="76" t="s">
        <v>477</v>
      </c>
    </row>
    <row r="192" spans="1:12" ht="29.15" x14ac:dyDescent="0.4">
      <c r="A192" s="76" t="s">
        <v>472</v>
      </c>
      <c r="B192" s="76" t="s">
        <v>442</v>
      </c>
      <c r="C192" s="76" t="s">
        <v>588</v>
      </c>
      <c r="D192" s="77" t="s">
        <v>589</v>
      </c>
      <c r="E192" s="76" t="s">
        <v>156</v>
      </c>
      <c r="F192" s="76" t="s">
        <v>590</v>
      </c>
      <c r="G192" s="76" t="s">
        <v>475</v>
      </c>
      <c r="H192" s="76" t="s">
        <v>590</v>
      </c>
      <c r="I192" s="77"/>
      <c r="J192" s="76" t="s">
        <v>476</v>
      </c>
      <c r="K192" s="78">
        <v>46218</v>
      </c>
      <c r="L192" s="76" t="s">
        <v>477</v>
      </c>
    </row>
    <row r="193" spans="1:12" ht="29.15" x14ac:dyDescent="0.4">
      <c r="A193" s="76" t="s">
        <v>472</v>
      </c>
      <c r="B193" s="76" t="s">
        <v>442</v>
      </c>
      <c r="C193" s="76" t="s">
        <v>588</v>
      </c>
      <c r="D193" s="77" t="s">
        <v>589</v>
      </c>
      <c r="E193" s="76" t="s">
        <v>444</v>
      </c>
      <c r="F193" s="76" t="s">
        <v>584</v>
      </c>
      <c r="G193" s="76" t="s">
        <v>475</v>
      </c>
      <c r="H193" s="76" t="s">
        <v>584</v>
      </c>
      <c r="I193" s="77"/>
      <c r="J193" s="76" t="s">
        <v>476</v>
      </c>
      <c r="K193" s="78">
        <v>46218</v>
      </c>
      <c r="L193" s="76" t="s">
        <v>477</v>
      </c>
    </row>
    <row r="194" spans="1:12" ht="29.15" x14ac:dyDescent="0.4">
      <c r="A194" s="76" t="s">
        <v>472</v>
      </c>
      <c r="B194" s="76" t="s">
        <v>442</v>
      </c>
      <c r="C194" s="76" t="s">
        <v>591</v>
      </c>
      <c r="D194" s="77" t="s">
        <v>592</v>
      </c>
      <c r="E194" s="76" t="s">
        <v>156</v>
      </c>
      <c r="F194" s="76" t="s">
        <v>593</v>
      </c>
      <c r="G194" s="76" t="s">
        <v>594</v>
      </c>
      <c r="H194" s="76"/>
      <c r="I194" s="77" t="s">
        <v>595</v>
      </c>
      <c r="J194" s="76" t="s">
        <v>476</v>
      </c>
      <c r="K194" s="78">
        <v>46218</v>
      </c>
      <c r="L194" s="76" t="s">
        <v>477</v>
      </c>
    </row>
    <row r="195" spans="1:12" ht="29.15" x14ac:dyDescent="0.4">
      <c r="A195" s="76" t="s">
        <v>472</v>
      </c>
      <c r="B195" s="76" t="s">
        <v>442</v>
      </c>
      <c r="C195" s="76" t="s">
        <v>591</v>
      </c>
      <c r="D195" s="77" t="s">
        <v>592</v>
      </c>
      <c r="E195" s="76" t="s">
        <v>444</v>
      </c>
      <c r="F195" s="76" t="s">
        <v>596</v>
      </c>
      <c r="G195" s="76" t="s">
        <v>475</v>
      </c>
      <c r="H195" s="76" t="s">
        <v>596</v>
      </c>
      <c r="I195" s="77"/>
      <c r="J195" s="76" t="s">
        <v>476</v>
      </c>
      <c r="K195" s="78">
        <v>46218</v>
      </c>
      <c r="L195" s="76" t="s">
        <v>477</v>
      </c>
    </row>
    <row r="196" spans="1:12" ht="29.15" x14ac:dyDescent="0.4">
      <c r="A196" s="76" t="s">
        <v>472</v>
      </c>
      <c r="B196" s="76" t="s">
        <v>442</v>
      </c>
      <c r="C196" s="76" t="s">
        <v>597</v>
      </c>
      <c r="D196" s="77" t="s">
        <v>598</v>
      </c>
      <c r="E196" s="76" t="s">
        <v>156</v>
      </c>
      <c r="F196" s="76" t="s">
        <v>599</v>
      </c>
      <c r="G196" s="76" t="s">
        <v>475</v>
      </c>
      <c r="H196" s="76" t="s">
        <v>599</v>
      </c>
      <c r="I196" s="77"/>
      <c r="J196" s="76" t="s">
        <v>476</v>
      </c>
      <c r="K196" s="78">
        <v>46218</v>
      </c>
      <c r="L196" s="76" t="s">
        <v>477</v>
      </c>
    </row>
    <row r="197" spans="1:12" ht="29.15" x14ac:dyDescent="0.4">
      <c r="A197" s="76" t="s">
        <v>472</v>
      </c>
      <c r="B197" s="76" t="s">
        <v>442</v>
      </c>
      <c r="C197" s="76" t="s">
        <v>597</v>
      </c>
      <c r="D197" s="77" t="s">
        <v>598</v>
      </c>
      <c r="E197" s="76" t="s">
        <v>444</v>
      </c>
      <c r="F197" s="76" t="s">
        <v>596</v>
      </c>
      <c r="G197" s="76" t="s">
        <v>475</v>
      </c>
      <c r="H197" s="76" t="s">
        <v>596</v>
      </c>
      <c r="I197" s="77"/>
      <c r="J197" s="76" t="s">
        <v>476</v>
      </c>
      <c r="K197" s="78">
        <v>46218</v>
      </c>
      <c r="L197" s="76" t="s">
        <v>477</v>
      </c>
    </row>
    <row r="198" spans="1:12" ht="29.15" x14ac:dyDescent="0.4">
      <c r="A198" s="76" t="s">
        <v>472</v>
      </c>
      <c r="B198" s="76" t="s">
        <v>442</v>
      </c>
      <c r="C198" s="76" t="s">
        <v>600</v>
      </c>
      <c r="D198" s="77" t="s">
        <v>601</v>
      </c>
      <c r="E198" s="76" t="s">
        <v>156</v>
      </c>
      <c r="F198" s="76" t="s">
        <v>583</v>
      </c>
      <c r="G198" s="76" t="s">
        <v>475</v>
      </c>
      <c r="H198" s="76" t="s">
        <v>583</v>
      </c>
      <c r="I198" s="77"/>
      <c r="J198" s="76" t="s">
        <v>476</v>
      </c>
      <c r="K198" s="78">
        <v>46218</v>
      </c>
      <c r="L198" s="76" t="s">
        <v>477</v>
      </c>
    </row>
    <row r="199" spans="1:12" ht="29.15" x14ac:dyDescent="0.4">
      <c r="A199" s="76" t="s">
        <v>472</v>
      </c>
      <c r="B199" s="76" t="s">
        <v>442</v>
      </c>
      <c r="C199" s="76" t="s">
        <v>600</v>
      </c>
      <c r="D199" s="77" t="s">
        <v>601</v>
      </c>
      <c r="E199" s="76" t="s">
        <v>444</v>
      </c>
      <c r="F199" s="76" t="s">
        <v>580</v>
      </c>
      <c r="G199" s="76" t="s">
        <v>475</v>
      </c>
      <c r="H199" s="76" t="s">
        <v>580</v>
      </c>
      <c r="I199" s="77"/>
      <c r="J199" s="76" t="s">
        <v>476</v>
      </c>
      <c r="K199" s="78">
        <v>46218</v>
      </c>
      <c r="L199" s="76" t="s">
        <v>477</v>
      </c>
    </row>
    <row r="200" spans="1:12" ht="29.15" x14ac:dyDescent="0.4">
      <c r="A200" s="76" t="s">
        <v>472</v>
      </c>
      <c r="B200" s="76" t="s">
        <v>442</v>
      </c>
      <c r="C200" s="76" t="s">
        <v>602</v>
      </c>
      <c r="D200" s="77" t="s">
        <v>603</v>
      </c>
      <c r="E200" s="76" t="s">
        <v>156</v>
      </c>
      <c r="F200" s="76" t="s">
        <v>599</v>
      </c>
      <c r="G200" s="76" t="s">
        <v>475</v>
      </c>
      <c r="H200" s="76" t="s">
        <v>599</v>
      </c>
      <c r="I200" s="77"/>
      <c r="J200" s="76" t="s">
        <v>476</v>
      </c>
      <c r="K200" s="78">
        <v>46218</v>
      </c>
      <c r="L200" s="76" t="s">
        <v>477</v>
      </c>
    </row>
    <row r="201" spans="1:12" ht="29.15" x14ac:dyDescent="0.4">
      <c r="A201" s="76" t="s">
        <v>472</v>
      </c>
      <c r="B201" s="76" t="s">
        <v>442</v>
      </c>
      <c r="C201" s="76" t="s">
        <v>602</v>
      </c>
      <c r="D201" s="77" t="s">
        <v>603</v>
      </c>
      <c r="E201" s="76" t="s">
        <v>444</v>
      </c>
      <c r="F201" s="76" t="s">
        <v>596</v>
      </c>
      <c r="G201" s="76" t="s">
        <v>475</v>
      </c>
      <c r="H201" s="76" t="s">
        <v>596</v>
      </c>
      <c r="I201" s="77"/>
      <c r="J201" s="76" t="s">
        <v>476</v>
      </c>
      <c r="K201" s="78">
        <v>46218</v>
      </c>
      <c r="L201" s="76" t="s">
        <v>477</v>
      </c>
    </row>
    <row r="202" spans="1:12" ht="29.15" x14ac:dyDescent="0.4">
      <c r="A202" s="76" t="s">
        <v>472</v>
      </c>
      <c r="B202" s="76" t="s">
        <v>442</v>
      </c>
      <c r="C202" s="76" t="s">
        <v>604</v>
      </c>
      <c r="D202" s="77" t="s">
        <v>605</v>
      </c>
      <c r="E202" s="76" t="s">
        <v>156</v>
      </c>
      <c r="F202" s="76" t="s">
        <v>587</v>
      </c>
      <c r="G202" s="76" t="s">
        <v>475</v>
      </c>
      <c r="H202" s="76" t="s">
        <v>587</v>
      </c>
      <c r="I202" s="77"/>
      <c r="J202" s="76" t="s">
        <v>476</v>
      </c>
      <c r="K202" s="78">
        <v>46218</v>
      </c>
      <c r="L202" s="76" t="s">
        <v>477</v>
      </c>
    </row>
    <row r="203" spans="1:12" ht="29.15" x14ac:dyDescent="0.4">
      <c r="A203" s="76" t="s">
        <v>472</v>
      </c>
      <c r="B203" s="76" t="s">
        <v>442</v>
      </c>
      <c r="C203" s="76" t="s">
        <v>604</v>
      </c>
      <c r="D203" s="77" t="s">
        <v>605</v>
      </c>
      <c r="E203" s="76" t="s">
        <v>444</v>
      </c>
      <c r="F203" s="76" t="s">
        <v>584</v>
      </c>
      <c r="G203" s="76" t="s">
        <v>475</v>
      </c>
      <c r="H203" s="76" t="s">
        <v>584</v>
      </c>
      <c r="I203" s="77"/>
      <c r="J203" s="76" t="s">
        <v>476</v>
      </c>
      <c r="K203" s="78">
        <v>46218</v>
      </c>
      <c r="L203" s="76" t="s">
        <v>477</v>
      </c>
    </row>
    <row r="204" spans="1:12" ht="29.15" x14ac:dyDescent="0.4">
      <c r="A204" s="76" t="s">
        <v>472</v>
      </c>
      <c r="B204" s="76" t="s">
        <v>442</v>
      </c>
      <c r="C204" s="76" t="s">
        <v>606</v>
      </c>
      <c r="D204" s="77" t="s">
        <v>607</v>
      </c>
      <c r="E204" s="76" t="s">
        <v>156</v>
      </c>
      <c r="F204" s="76" t="s">
        <v>608</v>
      </c>
      <c r="G204" s="76" t="s">
        <v>475</v>
      </c>
      <c r="H204" s="76" t="s">
        <v>608</v>
      </c>
      <c r="I204" s="77"/>
      <c r="J204" s="76" t="s">
        <v>476</v>
      </c>
      <c r="K204" s="78">
        <v>46218</v>
      </c>
      <c r="L204" s="76" t="s">
        <v>477</v>
      </c>
    </row>
    <row r="205" spans="1:12" ht="29.15" x14ac:dyDescent="0.4">
      <c r="A205" s="76" t="s">
        <v>472</v>
      </c>
      <c r="B205" s="76" t="s">
        <v>442</v>
      </c>
      <c r="C205" s="76" t="s">
        <v>606</v>
      </c>
      <c r="D205" s="77" t="s">
        <v>607</v>
      </c>
      <c r="E205" s="76" t="s">
        <v>444</v>
      </c>
      <c r="F205" s="76" t="s">
        <v>596</v>
      </c>
      <c r="G205" s="76" t="s">
        <v>475</v>
      </c>
      <c r="H205" s="76" t="s">
        <v>596</v>
      </c>
      <c r="I205" s="77"/>
      <c r="J205" s="76" t="s">
        <v>476</v>
      </c>
      <c r="K205" s="78">
        <v>46218</v>
      </c>
      <c r="L205" s="76" t="s">
        <v>477</v>
      </c>
    </row>
    <row r="206" spans="1:12" ht="29.15" x14ac:dyDescent="0.4">
      <c r="A206" s="76" t="s">
        <v>472</v>
      </c>
      <c r="B206" s="76" t="s">
        <v>442</v>
      </c>
      <c r="C206" s="76" t="s">
        <v>609</v>
      </c>
      <c r="D206" s="77" t="s">
        <v>610</v>
      </c>
      <c r="E206" s="76" t="s">
        <v>156</v>
      </c>
      <c r="F206" s="76" t="s">
        <v>611</v>
      </c>
      <c r="G206" s="76" t="s">
        <v>475</v>
      </c>
      <c r="H206" s="76" t="s">
        <v>611</v>
      </c>
      <c r="I206" s="77"/>
      <c r="J206" s="76" t="s">
        <v>476</v>
      </c>
      <c r="K206" s="78">
        <v>46218</v>
      </c>
      <c r="L206" s="76" t="s">
        <v>477</v>
      </c>
    </row>
    <row r="207" spans="1:12" ht="29.15" x14ac:dyDescent="0.4">
      <c r="A207" s="76" t="s">
        <v>472</v>
      </c>
      <c r="B207" s="76" t="s">
        <v>442</v>
      </c>
      <c r="C207" s="76" t="s">
        <v>609</v>
      </c>
      <c r="D207" s="77" t="s">
        <v>610</v>
      </c>
      <c r="E207" s="76" t="s">
        <v>444</v>
      </c>
      <c r="F207" s="76" t="s">
        <v>584</v>
      </c>
      <c r="G207" s="76" t="s">
        <v>475</v>
      </c>
      <c r="H207" s="76" t="s">
        <v>584</v>
      </c>
      <c r="I207" s="77"/>
      <c r="J207" s="76" t="s">
        <v>476</v>
      </c>
      <c r="K207" s="78">
        <v>46218</v>
      </c>
      <c r="L207" s="76" t="s">
        <v>477</v>
      </c>
    </row>
    <row r="208" spans="1:12" ht="29.15" x14ac:dyDescent="0.4">
      <c r="A208" s="76" t="s">
        <v>472</v>
      </c>
      <c r="B208" s="76" t="s">
        <v>442</v>
      </c>
      <c r="C208" s="76" t="s">
        <v>612</v>
      </c>
      <c r="D208" s="77" t="s">
        <v>613</v>
      </c>
      <c r="E208" s="76" t="s">
        <v>156</v>
      </c>
      <c r="F208" s="76" t="s">
        <v>593</v>
      </c>
      <c r="G208" s="76" t="s">
        <v>475</v>
      </c>
      <c r="H208" s="76" t="s">
        <v>593</v>
      </c>
      <c r="I208" s="77"/>
      <c r="J208" s="76" t="s">
        <v>476</v>
      </c>
      <c r="K208" s="78">
        <v>46218</v>
      </c>
      <c r="L208" s="76" t="s">
        <v>477</v>
      </c>
    </row>
    <row r="209" spans="1:12" ht="29.15" x14ac:dyDescent="0.4">
      <c r="A209" s="76" t="s">
        <v>472</v>
      </c>
      <c r="B209" s="76" t="s">
        <v>442</v>
      </c>
      <c r="C209" s="76" t="s">
        <v>612</v>
      </c>
      <c r="D209" s="77" t="s">
        <v>613</v>
      </c>
      <c r="E209" s="76" t="s">
        <v>444</v>
      </c>
      <c r="F209" s="76" t="s">
        <v>596</v>
      </c>
      <c r="G209" s="76" t="s">
        <v>475</v>
      </c>
      <c r="H209" s="76" t="s">
        <v>596</v>
      </c>
      <c r="I209" s="77"/>
      <c r="J209" s="76" t="s">
        <v>476</v>
      </c>
      <c r="K209" s="78">
        <v>46218</v>
      </c>
      <c r="L209" s="76" t="s">
        <v>477</v>
      </c>
    </row>
    <row r="210" spans="1:12" x14ac:dyDescent="0.4">
      <c r="A210" s="76" t="s">
        <v>614</v>
      </c>
      <c r="B210" s="76" t="s">
        <v>615</v>
      </c>
      <c r="C210" s="76" t="s">
        <v>616</v>
      </c>
      <c r="D210" s="77" t="s">
        <v>617</v>
      </c>
      <c r="E210" s="76" t="s">
        <v>618</v>
      </c>
      <c r="F210" s="76" t="s">
        <v>478</v>
      </c>
      <c r="G210" s="76" t="s">
        <v>475</v>
      </c>
      <c r="H210" s="76" t="s">
        <v>478</v>
      </c>
      <c r="I210" s="77"/>
      <c r="J210" s="76" t="s">
        <v>476</v>
      </c>
      <c r="K210" s="78">
        <v>46169</v>
      </c>
      <c r="L210" s="76" t="s">
        <v>477</v>
      </c>
    </row>
    <row r="211" spans="1:12" x14ac:dyDescent="0.4">
      <c r="A211" s="76" t="s">
        <v>614</v>
      </c>
      <c r="B211" s="76" t="s">
        <v>615</v>
      </c>
      <c r="C211" s="76" t="s">
        <v>616</v>
      </c>
      <c r="D211" s="77" t="s">
        <v>617</v>
      </c>
      <c r="E211" s="76" t="s">
        <v>619</v>
      </c>
      <c r="F211" s="76" t="s">
        <v>620</v>
      </c>
      <c r="G211" s="76" t="s">
        <v>475</v>
      </c>
      <c r="H211" s="76" t="s">
        <v>620</v>
      </c>
      <c r="I211" s="77"/>
      <c r="J211" s="76" t="s">
        <v>476</v>
      </c>
      <c r="K211" s="78">
        <v>46169</v>
      </c>
      <c r="L211" s="76" t="s">
        <v>477</v>
      </c>
    </row>
    <row r="212" spans="1:12" ht="29.15" x14ac:dyDescent="0.4">
      <c r="A212" s="76" t="s">
        <v>621</v>
      </c>
      <c r="B212" s="76" t="s">
        <v>615</v>
      </c>
      <c r="C212" s="76" t="s">
        <v>622</v>
      </c>
      <c r="D212" s="77" t="s">
        <v>623</v>
      </c>
      <c r="E212" s="76" t="s">
        <v>618</v>
      </c>
      <c r="F212" s="76" t="s">
        <v>473</v>
      </c>
      <c r="G212" s="76" t="s">
        <v>475</v>
      </c>
      <c r="H212" s="76" t="s">
        <v>473</v>
      </c>
      <c r="I212" s="77"/>
      <c r="J212" s="76" t="s">
        <v>476</v>
      </c>
      <c r="K212" s="78">
        <v>46190</v>
      </c>
      <c r="L212" s="76" t="s">
        <v>477</v>
      </c>
    </row>
    <row r="213" spans="1:12" ht="29.15" x14ac:dyDescent="0.4">
      <c r="A213" s="76" t="s">
        <v>621</v>
      </c>
      <c r="B213" s="76" t="s">
        <v>615</v>
      </c>
      <c r="C213" s="76" t="s">
        <v>622</v>
      </c>
      <c r="D213" s="77" t="s">
        <v>623</v>
      </c>
      <c r="E213" s="76" t="s">
        <v>619</v>
      </c>
      <c r="F213" s="76" t="s">
        <v>620</v>
      </c>
      <c r="G213" s="76" t="s">
        <v>475</v>
      </c>
      <c r="H213" s="76" t="s">
        <v>620</v>
      </c>
      <c r="I213" s="77"/>
      <c r="J213" s="76" t="s">
        <v>476</v>
      </c>
      <c r="K213" s="78">
        <v>46190</v>
      </c>
      <c r="L213" s="76" t="s">
        <v>477</v>
      </c>
    </row>
    <row r="214" spans="1:12" ht="29.15" x14ac:dyDescent="0.4">
      <c r="A214" s="76" t="s">
        <v>621</v>
      </c>
      <c r="B214" s="76" t="s">
        <v>615</v>
      </c>
      <c r="C214" s="76" t="s">
        <v>624</v>
      </c>
      <c r="D214" s="77" t="s">
        <v>625</v>
      </c>
      <c r="E214" s="76" t="s">
        <v>618</v>
      </c>
      <c r="F214" s="76" t="s">
        <v>484</v>
      </c>
      <c r="G214" s="76" t="s">
        <v>475</v>
      </c>
      <c r="H214" s="76" t="s">
        <v>484</v>
      </c>
      <c r="I214" s="77"/>
      <c r="J214" s="76" t="s">
        <v>476</v>
      </c>
      <c r="K214" s="78">
        <v>46190</v>
      </c>
      <c r="L214" s="76" t="s">
        <v>477</v>
      </c>
    </row>
    <row r="215" spans="1:12" ht="29.15" x14ac:dyDescent="0.4">
      <c r="A215" s="76" t="s">
        <v>621</v>
      </c>
      <c r="B215" s="76" t="s">
        <v>615</v>
      </c>
      <c r="C215" s="76" t="s">
        <v>624</v>
      </c>
      <c r="D215" s="77" t="s">
        <v>625</v>
      </c>
      <c r="E215" s="76" t="s">
        <v>619</v>
      </c>
      <c r="F215" s="76" t="s">
        <v>626</v>
      </c>
      <c r="G215" s="76" t="s">
        <v>475</v>
      </c>
      <c r="H215" s="76" t="s">
        <v>626</v>
      </c>
      <c r="I215" s="77"/>
      <c r="J215" s="76" t="s">
        <v>476</v>
      </c>
      <c r="K215" s="78">
        <v>46190</v>
      </c>
      <c r="L215" s="76" t="s">
        <v>477</v>
      </c>
    </row>
    <row r="216" spans="1:12" ht="29.15" x14ac:dyDescent="0.4">
      <c r="A216" s="76" t="s">
        <v>621</v>
      </c>
      <c r="B216" s="76" t="s">
        <v>615</v>
      </c>
      <c r="C216" s="76" t="s">
        <v>627</v>
      </c>
      <c r="D216" s="77" t="s">
        <v>628</v>
      </c>
      <c r="E216" s="76" t="s">
        <v>618</v>
      </c>
      <c r="F216" s="76" t="s">
        <v>478</v>
      </c>
      <c r="G216" s="76" t="s">
        <v>475</v>
      </c>
      <c r="H216" s="76" t="s">
        <v>478</v>
      </c>
      <c r="I216" s="77"/>
      <c r="J216" s="76" t="s">
        <v>476</v>
      </c>
      <c r="K216" s="78">
        <v>46190</v>
      </c>
      <c r="L216" s="76" t="s">
        <v>477</v>
      </c>
    </row>
    <row r="217" spans="1:12" ht="29.15" x14ac:dyDescent="0.4">
      <c r="A217" s="76" t="s">
        <v>621</v>
      </c>
      <c r="B217" s="76" t="s">
        <v>615</v>
      </c>
      <c r="C217" s="76" t="s">
        <v>627</v>
      </c>
      <c r="D217" s="77" t="s">
        <v>628</v>
      </c>
      <c r="E217" s="76" t="s">
        <v>619</v>
      </c>
      <c r="F217" s="76" t="s">
        <v>626</v>
      </c>
      <c r="G217" s="76" t="s">
        <v>475</v>
      </c>
      <c r="H217" s="76" t="s">
        <v>626</v>
      </c>
      <c r="I217" s="77"/>
      <c r="J217" s="76" t="s">
        <v>476</v>
      </c>
      <c r="K217" s="78">
        <v>46190</v>
      </c>
      <c r="L217" s="76" t="s">
        <v>477</v>
      </c>
    </row>
    <row r="218" spans="1:12" x14ac:dyDescent="0.4">
      <c r="A218" s="76" t="s">
        <v>629</v>
      </c>
      <c r="B218" s="76" t="s">
        <v>615</v>
      </c>
      <c r="C218" s="76" t="s">
        <v>630</v>
      </c>
      <c r="D218" s="77" t="s">
        <v>631</v>
      </c>
      <c r="E218" s="76" t="s">
        <v>618</v>
      </c>
      <c r="F218" s="76" t="s">
        <v>473</v>
      </c>
      <c r="G218" s="76" t="s">
        <v>475</v>
      </c>
      <c r="H218" s="76" t="s">
        <v>473</v>
      </c>
      <c r="I218" s="77"/>
      <c r="J218" s="76" t="s">
        <v>476</v>
      </c>
      <c r="K218" s="78">
        <v>46197</v>
      </c>
      <c r="L218" s="76" t="s">
        <v>477</v>
      </c>
    </row>
    <row r="219" spans="1:12" x14ac:dyDescent="0.4">
      <c r="A219" s="76" t="s">
        <v>629</v>
      </c>
      <c r="B219" s="76" t="s">
        <v>615</v>
      </c>
      <c r="C219" s="76" t="s">
        <v>630</v>
      </c>
      <c r="D219" s="77" t="s">
        <v>631</v>
      </c>
      <c r="E219" s="76" t="s">
        <v>619</v>
      </c>
      <c r="F219" s="76" t="s">
        <v>620</v>
      </c>
      <c r="G219" s="76" t="s">
        <v>475</v>
      </c>
      <c r="H219" s="76" t="s">
        <v>620</v>
      </c>
      <c r="I219" s="77"/>
      <c r="J219" s="76" t="s">
        <v>476</v>
      </c>
      <c r="K219" s="78">
        <v>46197</v>
      </c>
      <c r="L219" s="76" t="s">
        <v>477</v>
      </c>
    </row>
    <row r="220" spans="1:12" ht="29.15" x14ac:dyDescent="0.4">
      <c r="A220" s="76" t="s">
        <v>629</v>
      </c>
      <c r="B220" s="76" t="s">
        <v>615</v>
      </c>
      <c r="C220" s="76" t="s">
        <v>632</v>
      </c>
      <c r="D220" s="77" t="s">
        <v>633</v>
      </c>
      <c r="E220" s="76" t="s">
        <v>618</v>
      </c>
      <c r="F220" s="76" t="s">
        <v>484</v>
      </c>
      <c r="G220" s="76" t="s">
        <v>475</v>
      </c>
      <c r="H220" s="76" t="s">
        <v>484</v>
      </c>
      <c r="I220" s="77"/>
      <c r="J220" s="76" t="s">
        <v>476</v>
      </c>
      <c r="K220" s="78">
        <v>46197</v>
      </c>
      <c r="L220" s="76" t="s">
        <v>477</v>
      </c>
    </row>
    <row r="221" spans="1:12" ht="29.15" x14ac:dyDescent="0.4">
      <c r="A221" s="76" t="s">
        <v>629</v>
      </c>
      <c r="B221" s="76" t="s">
        <v>615</v>
      </c>
      <c r="C221" s="76" t="s">
        <v>632</v>
      </c>
      <c r="D221" s="77" t="s">
        <v>633</v>
      </c>
      <c r="E221" s="76" t="s">
        <v>619</v>
      </c>
      <c r="F221" s="76" t="s">
        <v>626</v>
      </c>
      <c r="G221" s="76" t="s">
        <v>475</v>
      </c>
      <c r="H221" s="76" t="s">
        <v>626</v>
      </c>
      <c r="I221" s="77"/>
      <c r="J221" s="76" t="s">
        <v>476</v>
      </c>
      <c r="K221" s="78">
        <v>46197</v>
      </c>
      <c r="L221" s="76" t="s">
        <v>477</v>
      </c>
    </row>
    <row r="222" spans="1:12" x14ac:dyDescent="0.4">
      <c r="A222" s="76" t="s">
        <v>629</v>
      </c>
      <c r="B222" s="76" t="s">
        <v>615</v>
      </c>
      <c r="C222" s="76" t="s">
        <v>634</v>
      </c>
      <c r="D222" s="77" t="s">
        <v>635</v>
      </c>
      <c r="E222" s="76" t="s">
        <v>618</v>
      </c>
      <c r="F222" s="76" t="s">
        <v>482</v>
      </c>
      <c r="G222" s="76" t="s">
        <v>475</v>
      </c>
      <c r="H222" s="76" t="s">
        <v>482</v>
      </c>
      <c r="I222" s="77"/>
      <c r="J222" s="76" t="s">
        <v>476</v>
      </c>
      <c r="K222" s="78">
        <v>46197</v>
      </c>
      <c r="L222" s="76" t="s">
        <v>477</v>
      </c>
    </row>
    <row r="223" spans="1:12" x14ac:dyDescent="0.4">
      <c r="A223" s="76" t="s">
        <v>629</v>
      </c>
      <c r="B223" s="76" t="s">
        <v>615</v>
      </c>
      <c r="C223" s="76" t="s">
        <v>634</v>
      </c>
      <c r="D223" s="77" t="s">
        <v>635</v>
      </c>
      <c r="E223" s="76" t="s">
        <v>619</v>
      </c>
      <c r="F223" s="76" t="s">
        <v>636</v>
      </c>
      <c r="G223" s="76" t="s">
        <v>475</v>
      </c>
      <c r="H223" s="76" t="s">
        <v>636</v>
      </c>
      <c r="I223" s="77"/>
      <c r="J223" s="76" t="s">
        <v>476</v>
      </c>
      <c r="K223" s="78">
        <v>46197</v>
      </c>
      <c r="L223" s="76" t="s">
        <v>477</v>
      </c>
    </row>
    <row r="224" spans="1:12" x14ac:dyDescent="0.4">
      <c r="A224" s="76" t="s">
        <v>637</v>
      </c>
      <c r="B224" s="76" t="s">
        <v>615</v>
      </c>
      <c r="C224" s="76" t="s">
        <v>638</v>
      </c>
      <c r="D224" s="77" t="s">
        <v>639</v>
      </c>
      <c r="E224" s="76" t="s">
        <v>618</v>
      </c>
      <c r="F224" s="76" t="s">
        <v>478</v>
      </c>
      <c r="G224" s="76" t="s">
        <v>475</v>
      </c>
      <c r="H224" s="76" t="s">
        <v>478</v>
      </c>
      <c r="I224" s="77"/>
      <c r="J224" s="76" t="s">
        <v>476</v>
      </c>
      <c r="K224" s="78">
        <v>46204</v>
      </c>
      <c r="L224" s="76" t="s">
        <v>477</v>
      </c>
    </row>
    <row r="225" spans="1:12" x14ac:dyDescent="0.4">
      <c r="A225" s="76" t="s">
        <v>637</v>
      </c>
      <c r="B225" s="76" t="s">
        <v>615</v>
      </c>
      <c r="C225" s="76" t="s">
        <v>638</v>
      </c>
      <c r="D225" s="77" t="s">
        <v>639</v>
      </c>
      <c r="E225" s="76" t="s">
        <v>619</v>
      </c>
      <c r="F225" s="76" t="s">
        <v>620</v>
      </c>
      <c r="G225" s="76" t="s">
        <v>475</v>
      </c>
      <c r="H225" s="76" t="s">
        <v>620</v>
      </c>
      <c r="I225" s="77"/>
      <c r="J225" s="76" t="s">
        <v>476</v>
      </c>
      <c r="K225" s="78">
        <v>46204</v>
      </c>
      <c r="L225" s="76" t="s">
        <v>477</v>
      </c>
    </row>
    <row r="226" spans="1:12" x14ac:dyDescent="0.4">
      <c r="A226" s="76" t="s">
        <v>637</v>
      </c>
      <c r="B226" s="76" t="s">
        <v>615</v>
      </c>
      <c r="C226" s="76" t="s">
        <v>640</v>
      </c>
      <c r="D226" s="77" t="s">
        <v>641</v>
      </c>
      <c r="E226" s="76" t="s">
        <v>618</v>
      </c>
      <c r="F226" s="76" t="s">
        <v>473</v>
      </c>
      <c r="G226" s="76" t="s">
        <v>475</v>
      </c>
      <c r="H226" s="76" t="s">
        <v>473</v>
      </c>
      <c r="I226" s="77"/>
      <c r="J226" s="76" t="s">
        <v>476</v>
      </c>
      <c r="K226" s="78">
        <v>46204</v>
      </c>
      <c r="L226" s="76" t="s">
        <v>477</v>
      </c>
    </row>
    <row r="227" spans="1:12" x14ac:dyDescent="0.4">
      <c r="A227" s="76" t="s">
        <v>637</v>
      </c>
      <c r="B227" s="76" t="s">
        <v>615</v>
      </c>
      <c r="C227" s="76" t="s">
        <v>640</v>
      </c>
      <c r="D227" s="77" t="s">
        <v>641</v>
      </c>
      <c r="E227" s="76" t="s">
        <v>619</v>
      </c>
      <c r="F227" s="76" t="s">
        <v>620</v>
      </c>
      <c r="G227" s="76" t="s">
        <v>475</v>
      </c>
      <c r="H227" s="76" t="s">
        <v>620</v>
      </c>
      <c r="I227" s="77"/>
      <c r="J227" s="76" t="s">
        <v>476</v>
      </c>
      <c r="K227" s="78">
        <v>46204</v>
      </c>
      <c r="L227" s="76" t="s">
        <v>477</v>
      </c>
    </row>
    <row r="228" spans="1:12" x14ac:dyDescent="0.4">
      <c r="A228" s="76" t="s">
        <v>637</v>
      </c>
      <c r="B228" s="76" t="s">
        <v>615</v>
      </c>
      <c r="C228" s="76" t="s">
        <v>642</v>
      </c>
      <c r="D228" s="77" t="s">
        <v>643</v>
      </c>
      <c r="E228" s="76" t="s">
        <v>618</v>
      </c>
      <c r="F228" s="76" t="s">
        <v>484</v>
      </c>
      <c r="G228" s="76" t="s">
        <v>475</v>
      </c>
      <c r="H228" s="76" t="s">
        <v>484</v>
      </c>
      <c r="I228" s="77"/>
      <c r="J228" s="76" t="s">
        <v>476</v>
      </c>
      <c r="K228" s="78">
        <v>46204</v>
      </c>
      <c r="L228" s="76" t="s">
        <v>477</v>
      </c>
    </row>
    <row r="229" spans="1:12" x14ac:dyDescent="0.4">
      <c r="A229" s="76" t="s">
        <v>637</v>
      </c>
      <c r="B229" s="76" t="s">
        <v>615</v>
      </c>
      <c r="C229" s="76" t="s">
        <v>642</v>
      </c>
      <c r="D229" s="77" t="s">
        <v>643</v>
      </c>
      <c r="E229" s="76" t="s">
        <v>619</v>
      </c>
      <c r="F229" s="76" t="s">
        <v>626</v>
      </c>
      <c r="G229" s="76" t="s">
        <v>475</v>
      </c>
      <c r="H229" s="76" t="s">
        <v>626</v>
      </c>
      <c r="I229" s="77"/>
      <c r="J229" s="76" t="s">
        <v>476</v>
      </c>
      <c r="K229" s="78">
        <v>46204</v>
      </c>
      <c r="L229" s="76" t="s">
        <v>477</v>
      </c>
    </row>
    <row r="230" spans="1:12" ht="29.15" x14ac:dyDescent="0.4">
      <c r="A230" s="94" t="s">
        <v>1266</v>
      </c>
      <c r="B230" s="94" t="s">
        <v>18</v>
      </c>
      <c r="C230" s="94" t="s">
        <v>473</v>
      </c>
      <c r="D230" s="95" t="s">
        <v>474</v>
      </c>
      <c r="E230" s="94" t="s">
        <v>207</v>
      </c>
      <c r="F230" s="76">
        <v>4</v>
      </c>
      <c r="G230" s="94" t="s">
        <v>475</v>
      </c>
      <c r="H230" s="76">
        <v>4</v>
      </c>
      <c r="I230" s="95" t="s">
        <v>1364</v>
      </c>
      <c r="J230" s="94" t="s">
        <v>476</v>
      </c>
      <c r="K230" s="78">
        <v>46290</v>
      </c>
      <c r="L230" s="94" t="s">
        <v>477</v>
      </c>
    </row>
    <row r="231" spans="1:12" ht="29.15" x14ac:dyDescent="0.4">
      <c r="A231" s="94" t="s">
        <v>1266</v>
      </c>
      <c r="B231" s="94" t="s">
        <v>18</v>
      </c>
      <c r="C231" s="94" t="s">
        <v>473</v>
      </c>
      <c r="D231" s="95" t="s">
        <v>474</v>
      </c>
      <c r="E231" s="94" t="s">
        <v>263</v>
      </c>
      <c r="F231" s="76">
        <v>4</v>
      </c>
      <c r="G231" s="94" t="s">
        <v>475</v>
      </c>
      <c r="H231" s="76">
        <v>4</v>
      </c>
      <c r="I231" s="95" t="s">
        <v>1364</v>
      </c>
      <c r="J231" s="94" t="s">
        <v>476</v>
      </c>
      <c r="K231" s="78">
        <v>46290</v>
      </c>
      <c r="L231" s="94" t="s">
        <v>477</v>
      </c>
    </row>
    <row r="232" spans="1:12" ht="29.15" x14ac:dyDescent="0.4">
      <c r="A232" s="94" t="s">
        <v>1266</v>
      </c>
      <c r="B232" s="94" t="s">
        <v>18</v>
      </c>
      <c r="C232" s="94" t="s">
        <v>473</v>
      </c>
      <c r="D232" s="95" t="s">
        <v>474</v>
      </c>
      <c r="E232" s="94" t="s">
        <v>180</v>
      </c>
      <c r="F232" s="76">
        <v>4</v>
      </c>
      <c r="G232" s="94" t="s">
        <v>475</v>
      </c>
      <c r="H232" s="76">
        <v>4</v>
      </c>
      <c r="I232" s="95" t="s">
        <v>1364</v>
      </c>
      <c r="J232" s="94" t="s">
        <v>476</v>
      </c>
      <c r="K232" s="78">
        <v>46290</v>
      </c>
      <c r="L232" s="94" t="s">
        <v>477</v>
      </c>
    </row>
    <row r="233" spans="1:12" ht="29.15" x14ac:dyDescent="0.4">
      <c r="A233" s="94" t="s">
        <v>1266</v>
      </c>
      <c r="B233" s="94" t="s">
        <v>18</v>
      </c>
      <c r="C233" s="94" t="s">
        <v>473</v>
      </c>
      <c r="D233" s="95" t="s">
        <v>474</v>
      </c>
      <c r="E233" s="94" t="s">
        <v>261</v>
      </c>
      <c r="F233" s="76">
        <v>3</v>
      </c>
      <c r="G233" s="94" t="s">
        <v>475</v>
      </c>
      <c r="H233" s="76">
        <v>3</v>
      </c>
      <c r="I233" s="95" t="s">
        <v>1364</v>
      </c>
      <c r="J233" s="94" t="s">
        <v>476</v>
      </c>
      <c r="K233" s="78">
        <v>46290</v>
      </c>
      <c r="L233" s="94" t="s">
        <v>477</v>
      </c>
    </row>
    <row r="234" spans="1:12" ht="29.15" x14ac:dyDescent="0.4">
      <c r="A234" s="94" t="s">
        <v>1266</v>
      </c>
      <c r="B234" s="94" t="s">
        <v>18</v>
      </c>
      <c r="C234" s="94" t="s">
        <v>473</v>
      </c>
      <c r="D234" s="95" t="s">
        <v>474</v>
      </c>
      <c r="E234" s="94" t="s">
        <v>178</v>
      </c>
      <c r="F234" s="76">
        <v>4</v>
      </c>
      <c r="G234" s="94" t="s">
        <v>475</v>
      </c>
      <c r="H234" s="76">
        <v>4</v>
      </c>
      <c r="I234" s="95" t="s">
        <v>1364</v>
      </c>
      <c r="J234" s="94" t="s">
        <v>476</v>
      </c>
      <c r="K234" s="78">
        <v>46290</v>
      </c>
      <c r="L234" s="94" t="s">
        <v>477</v>
      </c>
    </row>
    <row r="235" spans="1:12" ht="29.15" x14ac:dyDescent="0.4">
      <c r="A235" s="94" t="s">
        <v>1266</v>
      </c>
      <c r="B235" s="94" t="s">
        <v>18</v>
      </c>
      <c r="C235" s="94" t="s">
        <v>473</v>
      </c>
      <c r="D235" s="95" t="s">
        <v>474</v>
      </c>
      <c r="E235" s="94" t="s">
        <v>382</v>
      </c>
      <c r="F235" s="76">
        <v>4</v>
      </c>
      <c r="G235" s="94" t="s">
        <v>475</v>
      </c>
      <c r="H235" s="76">
        <v>4</v>
      </c>
      <c r="I235" s="95" t="s">
        <v>1364</v>
      </c>
      <c r="J235" s="94" t="s">
        <v>476</v>
      </c>
      <c r="K235" s="78">
        <v>46290</v>
      </c>
      <c r="L235" s="94" t="s">
        <v>477</v>
      </c>
    </row>
    <row r="236" spans="1:12" x14ac:dyDescent="0.4">
      <c r="A236" s="94" t="s">
        <v>1266</v>
      </c>
      <c r="B236" s="94" t="s">
        <v>18</v>
      </c>
      <c r="C236" s="94" t="s">
        <v>478</v>
      </c>
      <c r="D236" s="95" t="s">
        <v>479</v>
      </c>
      <c r="E236" s="94" t="s">
        <v>207</v>
      </c>
      <c r="F236" s="76">
        <v>4</v>
      </c>
      <c r="G236" s="94" t="s">
        <v>475</v>
      </c>
      <c r="H236" s="76">
        <v>4</v>
      </c>
      <c r="I236" s="95" t="s">
        <v>1364</v>
      </c>
      <c r="J236" s="94" t="s">
        <v>476</v>
      </c>
      <c r="K236" s="78">
        <v>46290</v>
      </c>
      <c r="L236" s="94" t="s">
        <v>477</v>
      </c>
    </row>
    <row r="237" spans="1:12" x14ac:dyDescent="0.4">
      <c r="A237" s="94" t="s">
        <v>1266</v>
      </c>
      <c r="B237" s="94" t="s">
        <v>18</v>
      </c>
      <c r="C237" s="94" t="s">
        <v>478</v>
      </c>
      <c r="D237" s="95" t="s">
        <v>479</v>
      </c>
      <c r="E237" s="94" t="s">
        <v>263</v>
      </c>
      <c r="F237" s="76">
        <v>4</v>
      </c>
      <c r="G237" s="94" t="s">
        <v>475</v>
      </c>
      <c r="H237" s="76">
        <v>4</v>
      </c>
      <c r="I237" s="95" t="s">
        <v>1364</v>
      </c>
      <c r="J237" s="94" t="s">
        <v>476</v>
      </c>
      <c r="K237" s="78">
        <v>46290</v>
      </c>
      <c r="L237" s="94" t="s">
        <v>477</v>
      </c>
    </row>
    <row r="238" spans="1:12" x14ac:dyDescent="0.4">
      <c r="A238" s="94" t="s">
        <v>1266</v>
      </c>
      <c r="B238" s="94" t="s">
        <v>18</v>
      </c>
      <c r="C238" s="94" t="s">
        <v>478</v>
      </c>
      <c r="D238" s="95" t="s">
        <v>479</v>
      </c>
      <c r="E238" s="94" t="s">
        <v>180</v>
      </c>
      <c r="F238" s="76">
        <v>3</v>
      </c>
      <c r="G238" s="94" t="s">
        <v>475</v>
      </c>
      <c r="H238" s="76">
        <v>3</v>
      </c>
      <c r="I238" s="95" t="s">
        <v>1364</v>
      </c>
      <c r="J238" s="94" t="s">
        <v>476</v>
      </c>
      <c r="K238" s="78">
        <v>46290</v>
      </c>
      <c r="L238" s="94" t="s">
        <v>477</v>
      </c>
    </row>
    <row r="239" spans="1:12" x14ac:dyDescent="0.4">
      <c r="A239" s="94" t="s">
        <v>1266</v>
      </c>
      <c r="B239" s="94" t="s">
        <v>18</v>
      </c>
      <c r="C239" s="94" t="s">
        <v>478</v>
      </c>
      <c r="D239" s="95" t="s">
        <v>479</v>
      </c>
      <c r="E239" s="94" t="s">
        <v>261</v>
      </c>
      <c r="F239" s="76">
        <v>3</v>
      </c>
      <c r="G239" s="94" t="s">
        <v>475</v>
      </c>
      <c r="H239" s="76">
        <v>3</v>
      </c>
      <c r="I239" s="95" t="s">
        <v>1364</v>
      </c>
      <c r="J239" s="94" t="s">
        <v>476</v>
      </c>
      <c r="K239" s="78">
        <v>46290</v>
      </c>
      <c r="L239" s="94" t="s">
        <v>477</v>
      </c>
    </row>
    <row r="240" spans="1:12" x14ac:dyDescent="0.4">
      <c r="A240" s="94" t="s">
        <v>1266</v>
      </c>
      <c r="B240" s="94" t="s">
        <v>18</v>
      </c>
      <c r="C240" s="94" t="s">
        <v>478</v>
      </c>
      <c r="D240" s="95" t="s">
        <v>479</v>
      </c>
      <c r="E240" s="94" t="s">
        <v>178</v>
      </c>
      <c r="F240" s="76">
        <v>2</v>
      </c>
      <c r="G240" s="94" t="s">
        <v>475</v>
      </c>
      <c r="H240" s="76">
        <v>2</v>
      </c>
      <c r="I240" s="95" t="s">
        <v>1364</v>
      </c>
      <c r="J240" s="94" t="s">
        <v>476</v>
      </c>
      <c r="K240" s="78">
        <v>46290</v>
      </c>
      <c r="L240" s="94" t="s">
        <v>477</v>
      </c>
    </row>
    <row r="241" spans="1:12" x14ac:dyDescent="0.4">
      <c r="A241" s="94" t="s">
        <v>1266</v>
      </c>
      <c r="B241" s="94" t="s">
        <v>18</v>
      </c>
      <c r="C241" s="94" t="s">
        <v>478</v>
      </c>
      <c r="D241" s="95" t="s">
        <v>479</v>
      </c>
      <c r="E241" s="94" t="s">
        <v>382</v>
      </c>
      <c r="F241" s="76">
        <v>4</v>
      </c>
      <c r="G241" s="94" t="s">
        <v>475</v>
      </c>
      <c r="H241" s="76">
        <v>4</v>
      </c>
      <c r="I241" s="95" t="s">
        <v>1364</v>
      </c>
      <c r="J241" s="94" t="s">
        <v>476</v>
      </c>
      <c r="K241" s="78">
        <v>46290</v>
      </c>
      <c r="L241" s="94" t="s">
        <v>477</v>
      </c>
    </row>
    <row r="242" spans="1:12" ht="29.15" x14ac:dyDescent="0.4">
      <c r="A242" s="94" t="s">
        <v>1266</v>
      </c>
      <c r="B242" s="94" t="s">
        <v>18</v>
      </c>
      <c r="C242" s="94" t="s">
        <v>480</v>
      </c>
      <c r="D242" s="95" t="s">
        <v>481</v>
      </c>
      <c r="E242" s="94" t="s">
        <v>207</v>
      </c>
      <c r="F242" s="76">
        <v>3</v>
      </c>
      <c r="G242" s="94" t="s">
        <v>475</v>
      </c>
      <c r="H242" s="76">
        <v>3</v>
      </c>
      <c r="I242" s="95" t="s">
        <v>1364</v>
      </c>
      <c r="J242" s="94" t="s">
        <v>476</v>
      </c>
      <c r="K242" s="78">
        <v>46290</v>
      </c>
      <c r="L242" s="94" t="s">
        <v>477</v>
      </c>
    </row>
    <row r="243" spans="1:12" ht="29.15" x14ac:dyDescent="0.4">
      <c r="A243" s="94" t="s">
        <v>1266</v>
      </c>
      <c r="B243" s="94" t="s">
        <v>18</v>
      </c>
      <c r="C243" s="94" t="s">
        <v>480</v>
      </c>
      <c r="D243" s="95" t="s">
        <v>481</v>
      </c>
      <c r="E243" s="94" t="s">
        <v>263</v>
      </c>
      <c r="F243" s="76">
        <v>2</v>
      </c>
      <c r="G243" s="94" t="s">
        <v>475</v>
      </c>
      <c r="H243" s="76">
        <v>2</v>
      </c>
      <c r="I243" s="95" t="s">
        <v>1364</v>
      </c>
      <c r="J243" s="94" t="s">
        <v>476</v>
      </c>
      <c r="K243" s="78">
        <v>46290</v>
      </c>
      <c r="L243" s="94" t="s">
        <v>477</v>
      </c>
    </row>
    <row r="244" spans="1:12" ht="29.15" x14ac:dyDescent="0.4">
      <c r="A244" s="94" t="s">
        <v>1266</v>
      </c>
      <c r="B244" s="94" t="s">
        <v>18</v>
      </c>
      <c r="C244" s="94" t="s">
        <v>480</v>
      </c>
      <c r="D244" s="95" t="s">
        <v>481</v>
      </c>
      <c r="E244" s="94" t="s">
        <v>180</v>
      </c>
      <c r="F244" s="76">
        <v>4</v>
      </c>
      <c r="G244" s="94" t="s">
        <v>475</v>
      </c>
      <c r="H244" s="76">
        <v>4</v>
      </c>
      <c r="I244" s="95" t="s">
        <v>1364</v>
      </c>
      <c r="J244" s="94" t="s">
        <v>476</v>
      </c>
      <c r="K244" s="78">
        <v>46290</v>
      </c>
      <c r="L244" s="94" t="s">
        <v>477</v>
      </c>
    </row>
    <row r="245" spans="1:12" ht="29.15" x14ac:dyDescent="0.4">
      <c r="A245" s="94" t="s">
        <v>1266</v>
      </c>
      <c r="B245" s="94" t="s">
        <v>18</v>
      </c>
      <c r="C245" s="94" t="s">
        <v>480</v>
      </c>
      <c r="D245" s="95" t="s">
        <v>481</v>
      </c>
      <c r="E245" s="94" t="s">
        <v>261</v>
      </c>
      <c r="F245" s="76">
        <v>3</v>
      </c>
      <c r="G245" s="94" t="s">
        <v>475</v>
      </c>
      <c r="H245" s="76">
        <v>3</v>
      </c>
      <c r="I245" s="95" t="s">
        <v>1364</v>
      </c>
      <c r="J245" s="94" t="s">
        <v>476</v>
      </c>
      <c r="K245" s="78">
        <v>46290</v>
      </c>
      <c r="L245" s="94" t="s">
        <v>477</v>
      </c>
    </row>
    <row r="246" spans="1:12" ht="29.15" x14ac:dyDescent="0.4">
      <c r="A246" s="94" t="s">
        <v>1266</v>
      </c>
      <c r="B246" s="94" t="s">
        <v>18</v>
      </c>
      <c r="C246" s="94" t="s">
        <v>480</v>
      </c>
      <c r="D246" s="95" t="s">
        <v>481</v>
      </c>
      <c r="E246" s="94" t="s">
        <v>178</v>
      </c>
      <c r="F246" s="76">
        <v>3</v>
      </c>
      <c r="G246" s="94" t="s">
        <v>475</v>
      </c>
      <c r="H246" s="76">
        <v>3</v>
      </c>
      <c r="I246" s="95" t="s">
        <v>1364</v>
      </c>
      <c r="J246" s="94" t="s">
        <v>476</v>
      </c>
      <c r="K246" s="78">
        <v>46290</v>
      </c>
      <c r="L246" s="94" t="s">
        <v>477</v>
      </c>
    </row>
    <row r="247" spans="1:12" ht="29.15" x14ac:dyDescent="0.4">
      <c r="A247" s="94" t="s">
        <v>1266</v>
      </c>
      <c r="B247" s="94" t="s">
        <v>18</v>
      </c>
      <c r="C247" s="94" t="s">
        <v>480</v>
      </c>
      <c r="D247" s="95" t="s">
        <v>481</v>
      </c>
      <c r="E247" s="94" t="s">
        <v>382</v>
      </c>
      <c r="F247" s="76">
        <v>3</v>
      </c>
      <c r="G247" s="94" t="s">
        <v>475</v>
      </c>
      <c r="H247" s="76">
        <v>3</v>
      </c>
      <c r="I247" s="95" t="s">
        <v>1364</v>
      </c>
      <c r="J247" s="94" t="s">
        <v>476</v>
      </c>
      <c r="K247" s="78">
        <v>46290</v>
      </c>
      <c r="L247" s="94" t="s">
        <v>477</v>
      </c>
    </row>
    <row r="248" spans="1:12" x14ac:dyDescent="0.4">
      <c r="A248" s="94" t="s">
        <v>1266</v>
      </c>
      <c r="B248" s="94" t="s">
        <v>18</v>
      </c>
      <c r="C248" s="94" t="s">
        <v>482</v>
      </c>
      <c r="D248" s="95" t="s">
        <v>483</v>
      </c>
      <c r="E248" s="94" t="s">
        <v>207</v>
      </c>
      <c r="F248" s="76">
        <v>3</v>
      </c>
      <c r="G248" s="94" t="s">
        <v>475</v>
      </c>
      <c r="H248" s="76">
        <v>3</v>
      </c>
      <c r="I248" s="95" t="s">
        <v>1364</v>
      </c>
      <c r="J248" s="94" t="s">
        <v>476</v>
      </c>
      <c r="K248" s="78">
        <v>46290</v>
      </c>
      <c r="L248" s="94" t="s">
        <v>477</v>
      </c>
    </row>
    <row r="249" spans="1:12" x14ac:dyDescent="0.4">
      <c r="A249" s="94" t="s">
        <v>1266</v>
      </c>
      <c r="B249" s="94" t="s">
        <v>18</v>
      </c>
      <c r="C249" s="94" t="s">
        <v>482</v>
      </c>
      <c r="D249" s="95" t="s">
        <v>483</v>
      </c>
      <c r="E249" s="94" t="s">
        <v>263</v>
      </c>
      <c r="F249" s="76">
        <v>2</v>
      </c>
      <c r="G249" s="94" t="s">
        <v>475</v>
      </c>
      <c r="H249" s="76">
        <v>2</v>
      </c>
      <c r="I249" s="95" t="s">
        <v>1364</v>
      </c>
      <c r="J249" s="94" t="s">
        <v>476</v>
      </c>
      <c r="K249" s="78">
        <v>46290</v>
      </c>
      <c r="L249" s="94" t="s">
        <v>477</v>
      </c>
    </row>
    <row r="250" spans="1:12" x14ac:dyDescent="0.4">
      <c r="A250" s="94" t="s">
        <v>1266</v>
      </c>
      <c r="B250" s="94" t="s">
        <v>18</v>
      </c>
      <c r="C250" s="94" t="s">
        <v>482</v>
      </c>
      <c r="D250" s="95" t="s">
        <v>483</v>
      </c>
      <c r="E250" s="94" t="s">
        <v>180</v>
      </c>
      <c r="F250" s="76">
        <v>3</v>
      </c>
      <c r="G250" s="94" t="s">
        <v>475</v>
      </c>
      <c r="H250" s="76">
        <v>3</v>
      </c>
      <c r="I250" s="95" t="s">
        <v>1364</v>
      </c>
      <c r="J250" s="94" t="s">
        <v>476</v>
      </c>
      <c r="K250" s="78">
        <v>46290</v>
      </c>
      <c r="L250" s="94" t="s">
        <v>477</v>
      </c>
    </row>
    <row r="251" spans="1:12" x14ac:dyDescent="0.4">
      <c r="A251" s="94" t="s">
        <v>1266</v>
      </c>
      <c r="B251" s="94" t="s">
        <v>18</v>
      </c>
      <c r="C251" s="94" t="s">
        <v>482</v>
      </c>
      <c r="D251" s="95" t="s">
        <v>483</v>
      </c>
      <c r="E251" s="94" t="s">
        <v>261</v>
      </c>
      <c r="F251" s="76">
        <v>3</v>
      </c>
      <c r="G251" s="94" t="s">
        <v>475</v>
      </c>
      <c r="H251" s="76">
        <v>3</v>
      </c>
      <c r="I251" s="95" t="s">
        <v>1364</v>
      </c>
      <c r="J251" s="94" t="s">
        <v>476</v>
      </c>
      <c r="K251" s="78">
        <v>46290</v>
      </c>
      <c r="L251" s="94" t="s">
        <v>477</v>
      </c>
    </row>
    <row r="252" spans="1:12" x14ac:dyDescent="0.4">
      <c r="A252" s="94" t="s">
        <v>1266</v>
      </c>
      <c r="B252" s="94" t="s">
        <v>18</v>
      </c>
      <c r="C252" s="94" t="s">
        <v>482</v>
      </c>
      <c r="D252" s="95" t="s">
        <v>483</v>
      </c>
      <c r="E252" s="94" t="s">
        <v>178</v>
      </c>
      <c r="F252" s="76">
        <v>3</v>
      </c>
      <c r="G252" s="94" t="s">
        <v>475</v>
      </c>
      <c r="H252" s="76">
        <v>3</v>
      </c>
      <c r="I252" s="95" t="s">
        <v>1364</v>
      </c>
      <c r="J252" s="94" t="s">
        <v>476</v>
      </c>
      <c r="K252" s="78">
        <v>46290</v>
      </c>
      <c r="L252" s="94" t="s">
        <v>477</v>
      </c>
    </row>
    <row r="253" spans="1:12" x14ac:dyDescent="0.4">
      <c r="A253" s="94" t="s">
        <v>1266</v>
      </c>
      <c r="B253" s="94" t="s">
        <v>18</v>
      </c>
      <c r="C253" s="94" t="s">
        <v>482</v>
      </c>
      <c r="D253" s="95" t="s">
        <v>483</v>
      </c>
      <c r="E253" s="94" t="s">
        <v>382</v>
      </c>
      <c r="F253" s="76">
        <v>3</v>
      </c>
      <c r="G253" s="94" t="s">
        <v>475</v>
      </c>
      <c r="H253" s="76">
        <v>3</v>
      </c>
      <c r="I253" s="95" t="s">
        <v>1364</v>
      </c>
      <c r="J253" s="94" t="s">
        <v>476</v>
      </c>
      <c r="K253" s="78">
        <v>46290</v>
      </c>
      <c r="L253" s="94" t="s">
        <v>477</v>
      </c>
    </row>
    <row r="254" spans="1:12" x14ac:dyDescent="0.4">
      <c r="A254" s="94" t="s">
        <v>1266</v>
      </c>
      <c r="B254" s="94" t="s">
        <v>18</v>
      </c>
      <c r="C254" s="94" t="s">
        <v>484</v>
      </c>
      <c r="D254" s="95" t="s">
        <v>485</v>
      </c>
      <c r="E254" s="94" t="s">
        <v>207</v>
      </c>
      <c r="F254" s="76">
        <v>3</v>
      </c>
      <c r="G254" s="94" t="s">
        <v>475</v>
      </c>
      <c r="H254" s="76">
        <v>3</v>
      </c>
      <c r="I254" s="95" t="s">
        <v>1364</v>
      </c>
      <c r="J254" s="94" t="s">
        <v>476</v>
      </c>
      <c r="K254" s="78">
        <v>46290</v>
      </c>
      <c r="L254" s="94" t="s">
        <v>477</v>
      </c>
    </row>
    <row r="255" spans="1:12" x14ac:dyDescent="0.4">
      <c r="A255" s="94" t="s">
        <v>1266</v>
      </c>
      <c r="B255" s="94" t="s">
        <v>18</v>
      </c>
      <c r="C255" s="94" t="s">
        <v>484</v>
      </c>
      <c r="D255" s="95" t="s">
        <v>485</v>
      </c>
      <c r="E255" s="94" t="s">
        <v>263</v>
      </c>
      <c r="F255" s="76">
        <v>3</v>
      </c>
      <c r="G255" s="94" t="s">
        <v>475</v>
      </c>
      <c r="H255" s="76">
        <v>3</v>
      </c>
      <c r="I255" s="95" t="s">
        <v>1364</v>
      </c>
      <c r="J255" s="94" t="s">
        <v>476</v>
      </c>
      <c r="K255" s="78">
        <v>46290</v>
      </c>
      <c r="L255" s="94" t="s">
        <v>477</v>
      </c>
    </row>
    <row r="256" spans="1:12" x14ac:dyDescent="0.4">
      <c r="A256" s="94" t="s">
        <v>1266</v>
      </c>
      <c r="B256" s="94" t="s">
        <v>18</v>
      </c>
      <c r="C256" s="94" t="s">
        <v>484</v>
      </c>
      <c r="D256" s="95" t="s">
        <v>485</v>
      </c>
      <c r="E256" s="94" t="s">
        <v>180</v>
      </c>
      <c r="F256" s="76">
        <v>3</v>
      </c>
      <c r="G256" s="94" t="s">
        <v>475</v>
      </c>
      <c r="H256" s="76">
        <v>3</v>
      </c>
      <c r="I256" s="95" t="s">
        <v>1364</v>
      </c>
      <c r="J256" s="94" t="s">
        <v>476</v>
      </c>
      <c r="K256" s="78">
        <v>46290</v>
      </c>
      <c r="L256" s="94" t="s">
        <v>477</v>
      </c>
    </row>
    <row r="257" spans="1:12" x14ac:dyDescent="0.4">
      <c r="A257" s="94" t="s">
        <v>1266</v>
      </c>
      <c r="B257" s="94" t="s">
        <v>18</v>
      </c>
      <c r="C257" s="94" t="s">
        <v>484</v>
      </c>
      <c r="D257" s="95" t="s">
        <v>485</v>
      </c>
      <c r="E257" s="94" t="s">
        <v>261</v>
      </c>
      <c r="F257" s="76">
        <v>3</v>
      </c>
      <c r="G257" s="94" t="s">
        <v>475</v>
      </c>
      <c r="H257" s="76">
        <v>3</v>
      </c>
      <c r="I257" s="95" t="s">
        <v>1364</v>
      </c>
      <c r="J257" s="94" t="s">
        <v>476</v>
      </c>
      <c r="K257" s="78">
        <v>46290</v>
      </c>
      <c r="L257" s="94" t="s">
        <v>477</v>
      </c>
    </row>
    <row r="258" spans="1:12" x14ac:dyDescent="0.4">
      <c r="A258" s="94" t="s">
        <v>1266</v>
      </c>
      <c r="B258" s="94" t="s">
        <v>18</v>
      </c>
      <c r="C258" s="94" t="s">
        <v>484</v>
      </c>
      <c r="D258" s="95" t="s">
        <v>485</v>
      </c>
      <c r="E258" s="94" t="s">
        <v>178</v>
      </c>
      <c r="F258" s="76">
        <v>3</v>
      </c>
      <c r="G258" s="94" t="s">
        <v>475</v>
      </c>
      <c r="H258" s="76">
        <v>3</v>
      </c>
      <c r="I258" s="95" t="s">
        <v>1364</v>
      </c>
      <c r="J258" s="94" t="s">
        <v>476</v>
      </c>
      <c r="K258" s="78">
        <v>46290</v>
      </c>
      <c r="L258" s="94" t="s">
        <v>477</v>
      </c>
    </row>
    <row r="259" spans="1:12" x14ac:dyDescent="0.4">
      <c r="A259" s="94" t="s">
        <v>1266</v>
      </c>
      <c r="B259" s="94" t="s">
        <v>18</v>
      </c>
      <c r="C259" s="94" t="s">
        <v>484</v>
      </c>
      <c r="D259" s="95" t="s">
        <v>485</v>
      </c>
      <c r="E259" s="94" t="s">
        <v>382</v>
      </c>
      <c r="F259" s="76">
        <v>4</v>
      </c>
      <c r="G259" s="94" t="s">
        <v>475</v>
      </c>
      <c r="H259" s="76">
        <v>4</v>
      </c>
      <c r="I259" s="95" t="s">
        <v>1364</v>
      </c>
      <c r="J259" s="94" t="s">
        <v>476</v>
      </c>
      <c r="K259" s="78">
        <v>46290</v>
      </c>
      <c r="L259" s="94" t="s">
        <v>477</v>
      </c>
    </row>
    <row r="260" spans="1:12" ht="29.15" x14ac:dyDescent="0.4">
      <c r="A260" s="94" t="s">
        <v>1266</v>
      </c>
      <c r="B260" s="94" t="s">
        <v>18</v>
      </c>
      <c r="C260" s="94" t="s">
        <v>486</v>
      </c>
      <c r="D260" s="95" t="s">
        <v>487</v>
      </c>
      <c r="E260" s="94" t="s">
        <v>207</v>
      </c>
      <c r="F260" s="76">
        <v>3</v>
      </c>
      <c r="G260" s="94" t="s">
        <v>475</v>
      </c>
      <c r="H260" s="76">
        <v>3</v>
      </c>
      <c r="I260" s="95" t="s">
        <v>1364</v>
      </c>
      <c r="J260" s="94" t="s">
        <v>476</v>
      </c>
      <c r="K260" s="78">
        <v>46290</v>
      </c>
      <c r="L260" s="94" t="s">
        <v>477</v>
      </c>
    </row>
    <row r="261" spans="1:12" ht="29.15" x14ac:dyDescent="0.4">
      <c r="A261" s="94" t="s">
        <v>1266</v>
      </c>
      <c r="B261" s="94" t="s">
        <v>18</v>
      </c>
      <c r="C261" s="94" t="s">
        <v>486</v>
      </c>
      <c r="D261" s="95" t="s">
        <v>487</v>
      </c>
      <c r="E261" s="94" t="s">
        <v>263</v>
      </c>
      <c r="F261" s="76">
        <v>3</v>
      </c>
      <c r="G261" s="94" t="s">
        <v>475</v>
      </c>
      <c r="H261" s="76">
        <v>3</v>
      </c>
      <c r="I261" s="95" t="s">
        <v>1364</v>
      </c>
      <c r="J261" s="94" t="s">
        <v>476</v>
      </c>
      <c r="K261" s="78">
        <v>46290</v>
      </c>
      <c r="L261" s="94" t="s">
        <v>477</v>
      </c>
    </row>
    <row r="262" spans="1:12" ht="29.15" x14ac:dyDescent="0.4">
      <c r="A262" s="94" t="s">
        <v>1266</v>
      </c>
      <c r="B262" s="94" t="s">
        <v>18</v>
      </c>
      <c r="C262" s="94" t="s">
        <v>486</v>
      </c>
      <c r="D262" s="95" t="s">
        <v>487</v>
      </c>
      <c r="E262" s="94" t="s">
        <v>180</v>
      </c>
      <c r="F262" s="76">
        <v>3</v>
      </c>
      <c r="G262" s="94" t="s">
        <v>475</v>
      </c>
      <c r="H262" s="76">
        <v>3</v>
      </c>
      <c r="I262" s="95" t="s">
        <v>1364</v>
      </c>
      <c r="J262" s="94" t="s">
        <v>476</v>
      </c>
      <c r="K262" s="78">
        <v>46290</v>
      </c>
      <c r="L262" s="94" t="s">
        <v>477</v>
      </c>
    </row>
    <row r="263" spans="1:12" ht="29.15" x14ac:dyDescent="0.4">
      <c r="A263" s="94" t="s">
        <v>1266</v>
      </c>
      <c r="B263" s="94" t="s">
        <v>18</v>
      </c>
      <c r="C263" s="94" t="s">
        <v>486</v>
      </c>
      <c r="D263" s="95" t="s">
        <v>487</v>
      </c>
      <c r="E263" s="94" t="s">
        <v>261</v>
      </c>
      <c r="F263" s="76">
        <v>3</v>
      </c>
      <c r="G263" s="94" t="s">
        <v>475</v>
      </c>
      <c r="H263" s="76">
        <v>3</v>
      </c>
      <c r="I263" s="95" t="s">
        <v>1364</v>
      </c>
      <c r="J263" s="94" t="s">
        <v>476</v>
      </c>
      <c r="K263" s="78">
        <v>46290</v>
      </c>
      <c r="L263" s="94" t="s">
        <v>477</v>
      </c>
    </row>
    <row r="264" spans="1:12" ht="29.15" x14ac:dyDescent="0.4">
      <c r="A264" s="94" t="s">
        <v>1266</v>
      </c>
      <c r="B264" s="94" t="s">
        <v>18</v>
      </c>
      <c r="C264" s="94" t="s">
        <v>486</v>
      </c>
      <c r="D264" s="95" t="s">
        <v>487</v>
      </c>
      <c r="E264" s="94" t="s">
        <v>178</v>
      </c>
      <c r="F264" s="76">
        <v>3</v>
      </c>
      <c r="G264" s="94" t="s">
        <v>475</v>
      </c>
      <c r="H264" s="76">
        <v>3</v>
      </c>
      <c r="I264" s="95" t="s">
        <v>1364</v>
      </c>
      <c r="J264" s="94" t="s">
        <v>476</v>
      </c>
      <c r="K264" s="78">
        <v>46290</v>
      </c>
      <c r="L264" s="94" t="s">
        <v>477</v>
      </c>
    </row>
    <row r="265" spans="1:12" ht="43.75" x14ac:dyDescent="0.4">
      <c r="A265" s="94" t="s">
        <v>1266</v>
      </c>
      <c r="B265" s="94" t="s">
        <v>18</v>
      </c>
      <c r="C265" s="94" t="s">
        <v>486</v>
      </c>
      <c r="D265" s="95" t="s">
        <v>487</v>
      </c>
      <c r="E265" s="94" t="s">
        <v>382</v>
      </c>
      <c r="F265" s="76">
        <v>3</v>
      </c>
      <c r="G265" s="94" t="s">
        <v>496</v>
      </c>
      <c r="H265" s="76">
        <v>2</v>
      </c>
      <c r="I265" s="95" t="s">
        <v>1360</v>
      </c>
      <c r="J265" s="94" t="s">
        <v>476</v>
      </c>
      <c r="K265" s="78">
        <v>46290</v>
      </c>
      <c r="L265" s="94" t="s">
        <v>477</v>
      </c>
    </row>
    <row r="266" spans="1:12" ht="29.15" x14ac:dyDescent="0.4">
      <c r="A266" s="94" t="s">
        <v>1266</v>
      </c>
      <c r="B266" s="94" t="s">
        <v>18</v>
      </c>
      <c r="C266" s="94" t="s">
        <v>488</v>
      </c>
      <c r="D266" s="95" t="s">
        <v>489</v>
      </c>
      <c r="E266" s="94" t="s">
        <v>207</v>
      </c>
      <c r="F266" s="76">
        <v>4</v>
      </c>
      <c r="G266" s="94" t="s">
        <v>475</v>
      </c>
      <c r="H266" s="76">
        <v>4</v>
      </c>
      <c r="I266" s="95" t="s">
        <v>1364</v>
      </c>
      <c r="J266" s="94" t="s">
        <v>476</v>
      </c>
      <c r="K266" s="78">
        <v>46290</v>
      </c>
      <c r="L266" s="94" t="s">
        <v>477</v>
      </c>
    </row>
    <row r="267" spans="1:12" ht="29.15" x14ac:dyDescent="0.4">
      <c r="A267" s="94" t="s">
        <v>1266</v>
      </c>
      <c r="B267" s="94" t="s">
        <v>18</v>
      </c>
      <c r="C267" s="94" t="s">
        <v>488</v>
      </c>
      <c r="D267" s="95" t="s">
        <v>489</v>
      </c>
      <c r="E267" s="94" t="s">
        <v>263</v>
      </c>
      <c r="F267" s="76">
        <v>5</v>
      </c>
      <c r="G267" s="94" t="s">
        <v>475</v>
      </c>
      <c r="H267" s="76">
        <v>5</v>
      </c>
      <c r="I267" s="95" t="s">
        <v>1364</v>
      </c>
      <c r="J267" s="94" t="s">
        <v>476</v>
      </c>
      <c r="K267" s="78">
        <v>46290</v>
      </c>
      <c r="L267" s="94" t="s">
        <v>477</v>
      </c>
    </row>
    <row r="268" spans="1:12" ht="29.15" x14ac:dyDescent="0.4">
      <c r="A268" s="94" t="s">
        <v>1266</v>
      </c>
      <c r="B268" s="94" t="s">
        <v>18</v>
      </c>
      <c r="C268" s="94" t="s">
        <v>488</v>
      </c>
      <c r="D268" s="95" t="s">
        <v>489</v>
      </c>
      <c r="E268" s="94" t="s">
        <v>180</v>
      </c>
      <c r="F268" s="76">
        <v>3</v>
      </c>
      <c r="G268" s="94" t="s">
        <v>475</v>
      </c>
      <c r="H268" s="76">
        <v>3</v>
      </c>
      <c r="I268" s="95" t="s">
        <v>1364</v>
      </c>
      <c r="J268" s="94" t="s">
        <v>476</v>
      </c>
      <c r="K268" s="78">
        <v>46290</v>
      </c>
      <c r="L268" s="94" t="s">
        <v>477</v>
      </c>
    </row>
    <row r="269" spans="1:12" ht="29.15" x14ac:dyDescent="0.4">
      <c r="A269" s="94" t="s">
        <v>1266</v>
      </c>
      <c r="B269" s="94" t="s">
        <v>18</v>
      </c>
      <c r="C269" s="94" t="s">
        <v>488</v>
      </c>
      <c r="D269" s="95" t="s">
        <v>489</v>
      </c>
      <c r="E269" s="94" t="s">
        <v>261</v>
      </c>
      <c r="F269" s="76">
        <v>3</v>
      </c>
      <c r="G269" s="94" t="s">
        <v>475</v>
      </c>
      <c r="H269" s="76">
        <v>3</v>
      </c>
      <c r="I269" s="95" t="s">
        <v>1364</v>
      </c>
      <c r="J269" s="94" t="s">
        <v>476</v>
      </c>
      <c r="K269" s="78">
        <v>46290</v>
      </c>
      <c r="L269" s="94" t="s">
        <v>477</v>
      </c>
    </row>
    <row r="270" spans="1:12" ht="29.15" x14ac:dyDescent="0.4">
      <c r="A270" s="94" t="s">
        <v>1266</v>
      </c>
      <c r="B270" s="94" t="s">
        <v>18</v>
      </c>
      <c r="C270" s="94" t="s">
        <v>488</v>
      </c>
      <c r="D270" s="95" t="s">
        <v>489</v>
      </c>
      <c r="E270" s="94" t="s">
        <v>178</v>
      </c>
      <c r="F270" s="76">
        <v>3</v>
      </c>
      <c r="G270" s="94" t="s">
        <v>475</v>
      </c>
      <c r="H270" s="76">
        <v>3</v>
      </c>
      <c r="I270" s="95" t="s">
        <v>1364</v>
      </c>
      <c r="J270" s="94" t="s">
        <v>476</v>
      </c>
      <c r="K270" s="78">
        <v>46290</v>
      </c>
      <c r="L270" s="94" t="s">
        <v>477</v>
      </c>
    </row>
    <row r="271" spans="1:12" ht="29.15" x14ac:dyDescent="0.4">
      <c r="A271" s="94" t="s">
        <v>1266</v>
      </c>
      <c r="B271" s="94" t="s">
        <v>18</v>
      </c>
      <c r="C271" s="94" t="s">
        <v>488</v>
      </c>
      <c r="D271" s="95" t="s">
        <v>489</v>
      </c>
      <c r="E271" s="94" t="s">
        <v>382</v>
      </c>
      <c r="F271" s="76">
        <v>3</v>
      </c>
      <c r="G271" s="94" t="s">
        <v>475</v>
      </c>
      <c r="H271" s="76">
        <v>3</v>
      </c>
      <c r="I271" s="95" t="s">
        <v>1364</v>
      </c>
      <c r="J271" s="94" t="s">
        <v>476</v>
      </c>
      <c r="K271" s="78">
        <v>46290</v>
      </c>
      <c r="L271" s="94" t="s">
        <v>477</v>
      </c>
    </row>
    <row r="272" spans="1:12" x14ac:dyDescent="0.4">
      <c r="A272" s="94" t="s">
        <v>1266</v>
      </c>
      <c r="B272" s="94" t="s">
        <v>18</v>
      </c>
      <c r="C272" s="94" t="s">
        <v>490</v>
      </c>
      <c r="D272" s="95" t="s">
        <v>491</v>
      </c>
      <c r="E272" s="94" t="s">
        <v>207</v>
      </c>
      <c r="F272" s="76">
        <v>3</v>
      </c>
      <c r="G272" s="94" t="s">
        <v>475</v>
      </c>
      <c r="H272" s="76">
        <v>3</v>
      </c>
      <c r="I272" s="95" t="s">
        <v>1364</v>
      </c>
      <c r="J272" s="94" t="s">
        <v>476</v>
      </c>
      <c r="K272" s="78">
        <v>46290</v>
      </c>
      <c r="L272" s="94" t="s">
        <v>477</v>
      </c>
    </row>
    <row r="273" spans="1:12" x14ac:dyDescent="0.4">
      <c r="A273" s="94" t="s">
        <v>1266</v>
      </c>
      <c r="B273" s="94" t="s">
        <v>18</v>
      </c>
      <c r="C273" s="94" t="s">
        <v>490</v>
      </c>
      <c r="D273" s="95" t="s">
        <v>491</v>
      </c>
      <c r="E273" s="94" t="s">
        <v>263</v>
      </c>
      <c r="F273" s="76">
        <v>3</v>
      </c>
      <c r="G273" s="94" t="s">
        <v>475</v>
      </c>
      <c r="H273" s="76">
        <v>3</v>
      </c>
      <c r="I273" s="95" t="s">
        <v>1364</v>
      </c>
      <c r="J273" s="94" t="s">
        <v>476</v>
      </c>
      <c r="K273" s="78">
        <v>46290</v>
      </c>
      <c r="L273" s="94" t="s">
        <v>477</v>
      </c>
    </row>
    <row r="274" spans="1:12" x14ac:dyDescent="0.4">
      <c r="A274" s="94" t="s">
        <v>1266</v>
      </c>
      <c r="B274" s="94" t="s">
        <v>18</v>
      </c>
      <c r="C274" s="94" t="s">
        <v>490</v>
      </c>
      <c r="D274" s="95" t="s">
        <v>491</v>
      </c>
      <c r="E274" s="94" t="s">
        <v>180</v>
      </c>
      <c r="F274" s="76">
        <v>3</v>
      </c>
      <c r="G274" s="94" t="s">
        <v>475</v>
      </c>
      <c r="H274" s="76">
        <v>3</v>
      </c>
      <c r="I274" s="95" t="s">
        <v>1364</v>
      </c>
      <c r="J274" s="94" t="s">
        <v>476</v>
      </c>
      <c r="K274" s="78">
        <v>46290</v>
      </c>
      <c r="L274" s="94" t="s">
        <v>477</v>
      </c>
    </row>
    <row r="275" spans="1:12" x14ac:dyDescent="0.4">
      <c r="A275" s="94" t="s">
        <v>1266</v>
      </c>
      <c r="B275" s="94" t="s">
        <v>18</v>
      </c>
      <c r="C275" s="94" t="s">
        <v>490</v>
      </c>
      <c r="D275" s="95" t="s">
        <v>491</v>
      </c>
      <c r="E275" s="94" t="s">
        <v>261</v>
      </c>
      <c r="F275" s="76">
        <v>3</v>
      </c>
      <c r="G275" s="94" t="s">
        <v>475</v>
      </c>
      <c r="H275" s="76">
        <v>3</v>
      </c>
      <c r="I275" s="95" t="s">
        <v>1364</v>
      </c>
      <c r="J275" s="94" t="s">
        <v>476</v>
      </c>
      <c r="K275" s="78">
        <v>46290</v>
      </c>
      <c r="L275" s="94" t="s">
        <v>477</v>
      </c>
    </row>
    <row r="276" spans="1:12" x14ac:dyDescent="0.4">
      <c r="A276" s="94" t="s">
        <v>1266</v>
      </c>
      <c r="B276" s="94" t="s">
        <v>18</v>
      </c>
      <c r="C276" s="94" t="s">
        <v>490</v>
      </c>
      <c r="D276" s="95" t="s">
        <v>491</v>
      </c>
      <c r="E276" s="94" t="s">
        <v>178</v>
      </c>
      <c r="F276" s="76">
        <v>2</v>
      </c>
      <c r="G276" s="94" t="s">
        <v>475</v>
      </c>
      <c r="H276" s="76">
        <v>2</v>
      </c>
      <c r="I276" s="95" t="s">
        <v>1364</v>
      </c>
      <c r="J276" s="94" t="s">
        <v>476</v>
      </c>
      <c r="K276" s="78">
        <v>46290</v>
      </c>
      <c r="L276" s="94" t="s">
        <v>477</v>
      </c>
    </row>
    <row r="277" spans="1:12" x14ac:dyDescent="0.4">
      <c r="A277" s="94" t="s">
        <v>1266</v>
      </c>
      <c r="B277" s="94" t="s">
        <v>18</v>
      </c>
      <c r="C277" s="94" t="s">
        <v>490</v>
      </c>
      <c r="D277" s="95" t="s">
        <v>491</v>
      </c>
      <c r="E277" s="94" t="s">
        <v>382</v>
      </c>
      <c r="F277" s="76">
        <v>3</v>
      </c>
      <c r="G277" s="94" t="s">
        <v>475</v>
      </c>
      <c r="H277" s="76">
        <v>3</v>
      </c>
      <c r="I277" s="95" t="s">
        <v>1364</v>
      </c>
      <c r="J277" s="94" t="s">
        <v>476</v>
      </c>
      <c r="K277" s="78">
        <v>46290</v>
      </c>
      <c r="L277" s="94" t="s">
        <v>477</v>
      </c>
    </row>
    <row r="278" spans="1:12" ht="29.15" x14ac:dyDescent="0.4">
      <c r="A278" s="94" t="s">
        <v>1266</v>
      </c>
      <c r="B278" s="94" t="s">
        <v>18</v>
      </c>
      <c r="C278" s="94" t="s">
        <v>492</v>
      </c>
      <c r="D278" s="95" t="s">
        <v>493</v>
      </c>
      <c r="E278" s="94" t="s">
        <v>207</v>
      </c>
      <c r="F278" s="76">
        <v>4</v>
      </c>
      <c r="G278" s="94" t="s">
        <v>475</v>
      </c>
      <c r="H278" s="76">
        <v>4</v>
      </c>
      <c r="I278" s="95" t="s">
        <v>1364</v>
      </c>
      <c r="J278" s="94" t="s">
        <v>476</v>
      </c>
      <c r="K278" s="78">
        <v>46290</v>
      </c>
      <c r="L278" s="94" t="s">
        <v>477</v>
      </c>
    </row>
    <row r="279" spans="1:12" ht="29.15" x14ac:dyDescent="0.4">
      <c r="A279" s="94" t="s">
        <v>1266</v>
      </c>
      <c r="B279" s="94" t="s">
        <v>18</v>
      </c>
      <c r="C279" s="94" t="s">
        <v>492</v>
      </c>
      <c r="D279" s="95" t="s">
        <v>493</v>
      </c>
      <c r="E279" s="94" t="s">
        <v>263</v>
      </c>
      <c r="F279" s="76">
        <v>3</v>
      </c>
      <c r="G279" s="94" t="s">
        <v>475</v>
      </c>
      <c r="H279" s="76">
        <v>3</v>
      </c>
      <c r="I279" s="95" t="s">
        <v>1364</v>
      </c>
      <c r="J279" s="94" t="s">
        <v>476</v>
      </c>
      <c r="K279" s="78">
        <v>46290</v>
      </c>
      <c r="L279" s="94" t="s">
        <v>477</v>
      </c>
    </row>
    <row r="280" spans="1:12" ht="29.15" x14ac:dyDescent="0.4">
      <c r="A280" s="94" t="s">
        <v>1266</v>
      </c>
      <c r="B280" s="94" t="s">
        <v>18</v>
      </c>
      <c r="C280" s="94" t="s">
        <v>492</v>
      </c>
      <c r="D280" s="95" t="s">
        <v>493</v>
      </c>
      <c r="E280" s="94" t="s">
        <v>180</v>
      </c>
      <c r="F280" s="76">
        <v>2</v>
      </c>
      <c r="G280" s="94" t="s">
        <v>475</v>
      </c>
      <c r="H280" s="76">
        <v>2</v>
      </c>
      <c r="I280" s="95" t="s">
        <v>1364</v>
      </c>
      <c r="J280" s="94" t="s">
        <v>476</v>
      </c>
      <c r="K280" s="78">
        <v>46290</v>
      </c>
      <c r="L280" s="94" t="s">
        <v>477</v>
      </c>
    </row>
    <row r="281" spans="1:12" ht="29.15" x14ac:dyDescent="0.4">
      <c r="A281" s="94" t="s">
        <v>1266</v>
      </c>
      <c r="B281" s="94" t="s">
        <v>18</v>
      </c>
      <c r="C281" s="94" t="s">
        <v>492</v>
      </c>
      <c r="D281" s="95" t="s">
        <v>493</v>
      </c>
      <c r="E281" s="94" t="s">
        <v>261</v>
      </c>
      <c r="F281" s="76">
        <v>3</v>
      </c>
      <c r="G281" s="94" t="s">
        <v>475</v>
      </c>
      <c r="H281" s="76">
        <v>3</v>
      </c>
      <c r="I281" s="95" t="s">
        <v>1364</v>
      </c>
      <c r="J281" s="94" t="s">
        <v>476</v>
      </c>
      <c r="K281" s="78">
        <v>46290</v>
      </c>
      <c r="L281" s="94" t="s">
        <v>477</v>
      </c>
    </row>
    <row r="282" spans="1:12" ht="29.15" x14ac:dyDescent="0.4">
      <c r="A282" s="94" t="s">
        <v>1266</v>
      </c>
      <c r="B282" s="94" t="s">
        <v>18</v>
      </c>
      <c r="C282" s="94" t="s">
        <v>492</v>
      </c>
      <c r="D282" s="95" t="s">
        <v>493</v>
      </c>
      <c r="E282" s="94" t="s">
        <v>178</v>
      </c>
      <c r="F282" s="76">
        <v>2</v>
      </c>
      <c r="G282" s="94" t="s">
        <v>475</v>
      </c>
      <c r="H282" s="76">
        <v>2</v>
      </c>
      <c r="I282" s="95" t="s">
        <v>1364</v>
      </c>
      <c r="J282" s="94" t="s">
        <v>476</v>
      </c>
      <c r="K282" s="78">
        <v>46290</v>
      </c>
      <c r="L282" s="94" t="s">
        <v>477</v>
      </c>
    </row>
    <row r="283" spans="1:12" ht="29.15" x14ac:dyDescent="0.4">
      <c r="A283" s="94" t="s">
        <v>1266</v>
      </c>
      <c r="B283" s="94" t="s">
        <v>18</v>
      </c>
      <c r="C283" s="94" t="s">
        <v>492</v>
      </c>
      <c r="D283" s="95" t="s">
        <v>493</v>
      </c>
      <c r="E283" s="94" t="s">
        <v>382</v>
      </c>
      <c r="F283" s="76">
        <v>2</v>
      </c>
      <c r="G283" s="94" t="s">
        <v>475</v>
      </c>
      <c r="H283" s="76">
        <v>2</v>
      </c>
      <c r="I283" s="95" t="s">
        <v>1364</v>
      </c>
      <c r="J283" s="94" t="s">
        <v>476</v>
      </c>
      <c r="K283" s="78">
        <v>46290</v>
      </c>
      <c r="L283" s="94" t="s">
        <v>477</v>
      </c>
    </row>
    <row r="284" spans="1:12" ht="29.15" x14ac:dyDescent="0.4">
      <c r="A284" s="94" t="s">
        <v>1266</v>
      </c>
      <c r="B284" s="94" t="s">
        <v>18</v>
      </c>
      <c r="C284" s="94" t="s">
        <v>494</v>
      </c>
      <c r="D284" s="95" t="s">
        <v>495</v>
      </c>
      <c r="E284" s="94" t="s">
        <v>207</v>
      </c>
      <c r="F284" s="76">
        <v>3</v>
      </c>
      <c r="G284" s="94" t="s">
        <v>475</v>
      </c>
      <c r="H284" s="76">
        <v>3</v>
      </c>
      <c r="I284" s="95" t="s">
        <v>1364</v>
      </c>
      <c r="J284" s="94" t="s">
        <v>476</v>
      </c>
      <c r="K284" s="78">
        <v>46290</v>
      </c>
      <c r="L284" s="94" t="s">
        <v>477</v>
      </c>
    </row>
    <row r="285" spans="1:12" ht="29.15" x14ac:dyDescent="0.4">
      <c r="A285" s="94" t="s">
        <v>1266</v>
      </c>
      <c r="B285" s="94" t="s">
        <v>18</v>
      </c>
      <c r="C285" s="94" t="s">
        <v>494</v>
      </c>
      <c r="D285" s="95" t="s">
        <v>495</v>
      </c>
      <c r="E285" s="94" t="s">
        <v>263</v>
      </c>
      <c r="F285" s="76">
        <v>3</v>
      </c>
      <c r="G285" s="94" t="s">
        <v>475</v>
      </c>
      <c r="H285" s="76">
        <v>3</v>
      </c>
      <c r="I285" s="95" t="s">
        <v>1364</v>
      </c>
      <c r="J285" s="94" t="s">
        <v>476</v>
      </c>
      <c r="K285" s="78">
        <v>46290</v>
      </c>
      <c r="L285" s="94" t="s">
        <v>477</v>
      </c>
    </row>
    <row r="286" spans="1:12" ht="29.15" x14ac:dyDescent="0.4">
      <c r="A286" s="94" t="s">
        <v>1266</v>
      </c>
      <c r="B286" s="94" t="s">
        <v>18</v>
      </c>
      <c r="C286" s="94" t="s">
        <v>494</v>
      </c>
      <c r="D286" s="95" t="s">
        <v>495</v>
      </c>
      <c r="E286" s="94" t="s">
        <v>180</v>
      </c>
      <c r="F286" s="76">
        <v>3</v>
      </c>
      <c r="G286" s="94" t="s">
        <v>475</v>
      </c>
      <c r="H286" s="76">
        <v>3</v>
      </c>
      <c r="I286" s="95" t="s">
        <v>1364</v>
      </c>
      <c r="J286" s="94" t="s">
        <v>476</v>
      </c>
      <c r="K286" s="78">
        <v>46290</v>
      </c>
      <c r="L286" s="94" t="s">
        <v>477</v>
      </c>
    </row>
    <row r="287" spans="1:12" ht="29.15" x14ac:dyDescent="0.4">
      <c r="A287" s="94" t="s">
        <v>1266</v>
      </c>
      <c r="B287" s="94" t="s">
        <v>18</v>
      </c>
      <c r="C287" s="94" t="s">
        <v>494</v>
      </c>
      <c r="D287" s="95" t="s">
        <v>495</v>
      </c>
      <c r="E287" s="94" t="s">
        <v>261</v>
      </c>
      <c r="F287" s="76">
        <v>4</v>
      </c>
      <c r="G287" s="94" t="s">
        <v>475</v>
      </c>
      <c r="H287" s="76">
        <v>4</v>
      </c>
      <c r="I287" s="95" t="s">
        <v>1364</v>
      </c>
      <c r="J287" s="94" t="s">
        <v>476</v>
      </c>
      <c r="K287" s="78">
        <v>46290</v>
      </c>
      <c r="L287" s="94" t="s">
        <v>477</v>
      </c>
    </row>
    <row r="288" spans="1:12" ht="29.15" x14ac:dyDescent="0.4">
      <c r="A288" s="94" t="s">
        <v>1266</v>
      </c>
      <c r="B288" s="94" t="s">
        <v>18</v>
      </c>
      <c r="C288" s="94" t="s">
        <v>494</v>
      </c>
      <c r="D288" s="95" t="s">
        <v>495</v>
      </c>
      <c r="E288" s="94" t="s">
        <v>178</v>
      </c>
      <c r="F288" s="76">
        <v>3</v>
      </c>
      <c r="G288" s="94" t="s">
        <v>475</v>
      </c>
      <c r="H288" s="76">
        <v>3</v>
      </c>
      <c r="I288" s="95" t="s">
        <v>1364</v>
      </c>
      <c r="J288" s="94" t="s">
        <v>476</v>
      </c>
      <c r="K288" s="78">
        <v>46290</v>
      </c>
      <c r="L288" s="94" t="s">
        <v>477</v>
      </c>
    </row>
    <row r="289" spans="1:12" ht="29.15" x14ac:dyDescent="0.4">
      <c r="A289" s="94" t="s">
        <v>1266</v>
      </c>
      <c r="B289" s="94" t="s">
        <v>18</v>
      </c>
      <c r="C289" s="94" t="s">
        <v>494</v>
      </c>
      <c r="D289" s="95" t="s">
        <v>495</v>
      </c>
      <c r="E289" s="94" t="s">
        <v>382</v>
      </c>
      <c r="F289" s="76">
        <v>2</v>
      </c>
      <c r="G289" s="94" t="s">
        <v>475</v>
      </c>
      <c r="H289" s="76">
        <v>2</v>
      </c>
      <c r="I289" s="95" t="s">
        <v>1364</v>
      </c>
      <c r="J289" s="94" t="s">
        <v>476</v>
      </c>
      <c r="K289" s="78">
        <v>46290</v>
      </c>
      <c r="L289" s="94" t="s">
        <v>477</v>
      </c>
    </row>
    <row r="290" spans="1:12" x14ac:dyDescent="0.4">
      <c r="A290" s="94" t="s">
        <v>1266</v>
      </c>
      <c r="B290" s="94" t="s">
        <v>18</v>
      </c>
      <c r="C290" s="94" t="s">
        <v>498</v>
      </c>
      <c r="D290" s="95" t="s">
        <v>499</v>
      </c>
      <c r="E290" s="94" t="s">
        <v>207</v>
      </c>
      <c r="F290" s="76">
        <v>3</v>
      </c>
      <c r="G290" s="94" t="s">
        <v>475</v>
      </c>
      <c r="H290" s="76">
        <v>3</v>
      </c>
      <c r="I290" s="95" t="s">
        <v>1364</v>
      </c>
      <c r="J290" s="94" t="s">
        <v>476</v>
      </c>
      <c r="K290" s="78">
        <v>46290</v>
      </c>
      <c r="L290" s="94" t="s">
        <v>477</v>
      </c>
    </row>
    <row r="291" spans="1:12" x14ac:dyDescent="0.4">
      <c r="A291" s="94" t="s">
        <v>1266</v>
      </c>
      <c r="B291" s="94" t="s">
        <v>18</v>
      </c>
      <c r="C291" s="94" t="s">
        <v>498</v>
      </c>
      <c r="D291" s="95" t="s">
        <v>499</v>
      </c>
      <c r="E291" s="94" t="s">
        <v>263</v>
      </c>
      <c r="F291" s="76">
        <v>2</v>
      </c>
      <c r="G291" s="94" t="s">
        <v>475</v>
      </c>
      <c r="H291" s="76">
        <v>2</v>
      </c>
      <c r="I291" s="95" t="s">
        <v>1364</v>
      </c>
      <c r="J291" s="94" t="s">
        <v>476</v>
      </c>
      <c r="K291" s="78">
        <v>46290</v>
      </c>
      <c r="L291" s="94" t="s">
        <v>477</v>
      </c>
    </row>
    <row r="292" spans="1:12" x14ac:dyDescent="0.4">
      <c r="A292" s="94" t="s">
        <v>1266</v>
      </c>
      <c r="B292" s="94" t="s">
        <v>18</v>
      </c>
      <c r="C292" s="94" t="s">
        <v>498</v>
      </c>
      <c r="D292" s="95" t="s">
        <v>499</v>
      </c>
      <c r="E292" s="94" t="s">
        <v>180</v>
      </c>
      <c r="F292" s="76">
        <v>3</v>
      </c>
      <c r="G292" s="94" t="s">
        <v>475</v>
      </c>
      <c r="H292" s="76">
        <v>3</v>
      </c>
      <c r="I292" s="95" t="s">
        <v>1364</v>
      </c>
      <c r="J292" s="94" t="s">
        <v>476</v>
      </c>
      <c r="K292" s="78">
        <v>46290</v>
      </c>
      <c r="L292" s="94" t="s">
        <v>477</v>
      </c>
    </row>
    <row r="293" spans="1:12" x14ac:dyDescent="0.4">
      <c r="A293" s="94" t="s">
        <v>1266</v>
      </c>
      <c r="B293" s="94" t="s">
        <v>18</v>
      </c>
      <c r="C293" s="94" t="s">
        <v>498</v>
      </c>
      <c r="D293" s="95" t="s">
        <v>499</v>
      </c>
      <c r="E293" s="94" t="s">
        <v>261</v>
      </c>
      <c r="F293" s="76">
        <v>4</v>
      </c>
      <c r="G293" s="94" t="s">
        <v>475</v>
      </c>
      <c r="H293" s="76">
        <v>4</v>
      </c>
      <c r="I293" s="95" t="s">
        <v>1364</v>
      </c>
      <c r="J293" s="94" t="s">
        <v>476</v>
      </c>
      <c r="K293" s="78">
        <v>46290</v>
      </c>
      <c r="L293" s="94" t="s">
        <v>477</v>
      </c>
    </row>
    <row r="294" spans="1:12" x14ac:dyDescent="0.4">
      <c r="A294" s="94" t="s">
        <v>1266</v>
      </c>
      <c r="B294" s="94" t="s">
        <v>18</v>
      </c>
      <c r="C294" s="94" t="s">
        <v>498</v>
      </c>
      <c r="D294" s="95" t="s">
        <v>499</v>
      </c>
      <c r="E294" s="94" t="s">
        <v>178</v>
      </c>
      <c r="F294" s="76">
        <v>3</v>
      </c>
      <c r="G294" s="94" t="s">
        <v>475</v>
      </c>
      <c r="H294" s="76">
        <v>3</v>
      </c>
      <c r="I294" s="95" t="s">
        <v>1364</v>
      </c>
      <c r="J294" s="94" t="s">
        <v>476</v>
      </c>
      <c r="K294" s="78">
        <v>46290</v>
      </c>
      <c r="L294" s="94" t="s">
        <v>477</v>
      </c>
    </row>
    <row r="295" spans="1:12" x14ac:dyDescent="0.4">
      <c r="A295" s="94" t="s">
        <v>1266</v>
      </c>
      <c r="B295" s="94" t="s">
        <v>18</v>
      </c>
      <c r="C295" s="94" t="s">
        <v>498</v>
      </c>
      <c r="D295" s="95" t="s">
        <v>499</v>
      </c>
      <c r="E295" s="94" t="s">
        <v>382</v>
      </c>
      <c r="F295" s="76">
        <v>3</v>
      </c>
      <c r="G295" s="94" t="s">
        <v>475</v>
      </c>
      <c r="H295" s="76">
        <v>3</v>
      </c>
      <c r="I295" s="95" t="s">
        <v>1364</v>
      </c>
      <c r="J295" s="94" t="s">
        <v>476</v>
      </c>
      <c r="K295" s="78">
        <v>46290</v>
      </c>
      <c r="L295" s="94" t="s">
        <v>477</v>
      </c>
    </row>
    <row r="296" spans="1:12" x14ac:dyDescent="0.4">
      <c r="A296" s="94" t="s">
        <v>1266</v>
      </c>
      <c r="B296" s="94" t="s">
        <v>18</v>
      </c>
      <c r="C296" s="94" t="s">
        <v>500</v>
      </c>
      <c r="D296" s="95" t="s">
        <v>501</v>
      </c>
      <c r="E296" s="94" t="s">
        <v>207</v>
      </c>
      <c r="F296" s="76">
        <v>3</v>
      </c>
      <c r="G296" s="94" t="s">
        <v>475</v>
      </c>
      <c r="H296" s="76">
        <v>3</v>
      </c>
      <c r="I296" s="95" t="s">
        <v>1364</v>
      </c>
      <c r="J296" s="94" t="s">
        <v>476</v>
      </c>
      <c r="K296" s="78">
        <v>46290</v>
      </c>
      <c r="L296" s="94" t="s">
        <v>477</v>
      </c>
    </row>
    <row r="297" spans="1:12" x14ac:dyDescent="0.4">
      <c r="A297" s="94" t="s">
        <v>1266</v>
      </c>
      <c r="B297" s="94" t="s">
        <v>18</v>
      </c>
      <c r="C297" s="94" t="s">
        <v>500</v>
      </c>
      <c r="D297" s="95" t="s">
        <v>501</v>
      </c>
      <c r="E297" s="94" t="s">
        <v>263</v>
      </c>
      <c r="F297" s="76">
        <v>4</v>
      </c>
      <c r="G297" s="94" t="s">
        <v>475</v>
      </c>
      <c r="H297" s="76">
        <v>4</v>
      </c>
      <c r="I297" s="95" t="s">
        <v>1364</v>
      </c>
      <c r="J297" s="94" t="s">
        <v>476</v>
      </c>
      <c r="K297" s="78">
        <v>46290</v>
      </c>
      <c r="L297" s="94" t="s">
        <v>477</v>
      </c>
    </row>
    <row r="298" spans="1:12" x14ac:dyDescent="0.4">
      <c r="A298" s="94" t="s">
        <v>1266</v>
      </c>
      <c r="B298" s="94" t="s">
        <v>18</v>
      </c>
      <c r="C298" s="94" t="s">
        <v>500</v>
      </c>
      <c r="D298" s="95" t="s">
        <v>501</v>
      </c>
      <c r="E298" s="94" t="s">
        <v>180</v>
      </c>
      <c r="F298" s="76">
        <v>4</v>
      </c>
      <c r="G298" s="94" t="s">
        <v>475</v>
      </c>
      <c r="H298" s="76">
        <v>4</v>
      </c>
      <c r="I298" s="95" t="s">
        <v>1364</v>
      </c>
      <c r="J298" s="94" t="s">
        <v>476</v>
      </c>
      <c r="K298" s="78">
        <v>46290</v>
      </c>
      <c r="L298" s="94" t="s">
        <v>477</v>
      </c>
    </row>
    <row r="299" spans="1:12" x14ac:dyDescent="0.4">
      <c r="A299" s="94" t="s">
        <v>1266</v>
      </c>
      <c r="B299" s="94" t="s">
        <v>18</v>
      </c>
      <c r="C299" s="94" t="s">
        <v>500</v>
      </c>
      <c r="D299" s="95" t="s">
        <v>501</v>
      </c>
      <c r="E299" s="94" t="s">
        <v>261</v>
      </c>
      <c r="F299" s="76">
        <v>3</v>
      </c>
      <c r="G299" s="94" t="s">
        <v>475</v>
      </c>
      <c r="H299" s="76">
        <v>3</v>
      </c>
      <c r="I299" s="95" t="s">
        <v>1364</v>
      </c>
      <c r="J299" s="94" t="s">
        <v>476</v>
      </c>
      <c r="K299" s="78">
        <v>46290</v>
      </c>
      <c r="L299" s="94" t="s">
        <v>477</v>
      </c>
    </row>
    <row r="300" spans="1:12" x14ac:dyDescent="0.4">
      <c r="A300" s="94" t="s">
        <v>1266</v>
      </c>
      <c r="B300" s="94" t="s">
        <v>18</v>
      </c>
      <c r="C300" s="94" t="s">
        <v>500</v>
      </c>
      <c r="D300" s="95" t="s">
        <v>501</v>
      </c>
      <c r="E300" s="94" t="s">
        <v>178</v>
      </c>
      <c r="F300" s="76">
        <v>4</v>
      </c>
      <c r="G300" s="94" t="s">
        <v>475</v>
      </c>
      <c r="H300" s="76">
        <v>4</v>
      </c>
      <c r="I300" s="95" t="s">
        <v>1364</v>
      </c>
      <c r="J300" s="94" t="s">
        <v>476</v>
      </c>
      <c r="K300" s="78">
        <v>46290</v>
      </c>
      <c r="L300" s="94" t="s">
        <v>477</v>
      </c>
    </row>
    <row r="301" spans="1:12" x14ac:dyDescent="0.4">
      <c r="A301" s="94" t="s">
        <v>1266</v>
      </c>
      <c r="B301" s="94" t="s">
        <v>18</v>
      </c>
      <c r="C301" s="94" t="s">
        <v>500</v>
      </c>
      <c r="D301" s="95" t="s">
        <v>501</v>
      </c>
      <c r="E301" s="94" t="s">
        <v>382</v>
      </c>
      <c r="F301" s="76">
        <v>3</v>
      </c>
      <c r="G301" s="94" t="s">
        <v>475</v>
      </c>
      <c r="H301" s="76">
        <v>3</v>
      </c>
      <c r="I301" s="95" t="s">
        <v>1364</v>
      </c>
      <c r="J301" s="94" t="s">
        <v>476</v>
      </c>
      <c r="K301" s="78">
        <v>46290</v>
      </c>
      <c r="L301" s="94" t="s">
        <v>477</v>
      </c>
    </row>
    <row r="302" spans="1:12" ht="29.15" x14ac:dyDescent="0.4">
      <c r="A302" s="94" t="s">
        <v>1266</v>
      </c>
      <c r="B302" s="94" t="s">
        <v>109</v>
      </c>
      <c r="C302" s="94" t="s">
        <v>394</v>
      </c>
      <c r="D302" s="95" t="s">
        <v>502</v>
      </c>
      <c r="E302" s="94" t="s">
        <v>503</v>
      </c>
      <c r="F302" s="76">
        <v>5.0999999999999996</v>
      </c>
      <c r="G302" s="94" t="s">
        <v>496</v>
      </c>
      <c r="H302" s="76">
        <v>5.3</v>
      </c>
      <c r="I302" s="95" t="s">
        <v>1361</v>
      </c>
      <c r="J302" s="94" t="s">
        <v>476</v>
      </c>
      <c r="K302" s="78">
        <v>46290</v>
      </c>
      <c r="L302" s="94" t="s">
        <v>477</v>
      </c>
    </row>
    <row r="303" spans="1:12" x14ac:dyDescent="0.4">
      <c r="A303" s="94" t="s">
        <v>1266</v>
      </c>
      <c r="B303" s="94" t="s">
        <v>109</v>
      </c>
      <c r="C303" s="94" t="s">
        <v>394</v>
      </c>
      <c r="D303" s="95" t="s">
        <v>502</v>
      </c>
      <c r="E303" s="94" t="s">
        <v>504</v>
      </c>
      <c r="F303" s="76">
        <v>3</v>
      </c>
      <c r="G303" s="94" t="s">
        <v>475</v>
      </c>
      <c r="H303" s="76">
        <v>3</v>
      </c>
      <c r="I303" s="95" t="s">
        <v>1364</v>
      </c>
      <c r="J303" s="94" t="s">
        <v>476</v>
      </c>
      <c r="K303" s="78">
        <v>46290</v>
      </c>
      <c r="L303" s="94" t="s">
        <v>477</v>
      </c>
    </row>
    <row r="304" spans="1:12" x14ac:dyDescent="0.4">
      <c r="A304" s="94" t="s">
        <v>1266</v>
      </c>
      <c r="B304" s="94" t="s">
        <v>109</v>
      </c>
      <c r="C304" s="94" t="s">
        <v>394</v>
      </c>
      <c r="D304" s="95" t="s">
        <v>502</v>
      </c>
      <c r="E304" s="94" t="s">
        <v>505</v>
      </c>
      <c r="F304" s="76">
        <v>6</v>
      </c>
      <c r="G304" s="94" t="s">
        <v>475</v>
      </c>
      <c r="H304" s="76">
        <v>6</v>
      </c>
      <c r="I304" s="95" t="s">
        <v>1364</v>
      </c>
      <c r="J304" s="94" t="s">
        <v>476</v>
      </c>
      <c r="K304" s="78">
        <v>46290</v>
      </c>
      <c r="L304" s="94" t="s">
        <v>477</v>
      </c>
    </row>
    <row r="305" spans="1:12" x14ac:dyDescent="0.4">
      <c r="A305" s="94" t="s">
        <v>1266</v>
      </c>
      <c r="B305" s="94" t="s">
        <v>109</v>
      </c>
      <c r="C305" s="94" t="s">
        <v>506</v>
      </c>
      <c r="D305" s="95" t="s">
        <v>507</v>
      </c>
      <c r="E305" s="94" t="s">
        <v>503</v>
      </c>
      <c r="F305" s="76">
        <v>14</v>
      </c>
      <c r="G305" s="94" t="s">
        <v>475</v>
      </c>
      <c r="H305" s="76">
        <v>14</v>
      </c>
      <c r="I305" s="95" t="s">
        <v>1364</v>
      </c>
      <c r="J305" s="94" t="s">
        <v>476</v>
      </c>
      <c r="K305" s="78">
        <v>46290</v>
      </c>
      <c r="L305" s="94" t="s">
        <v>477</v>
      </c>
    </row>
    <row r="306" spans="1:12" x14ac:dyDescent="0.4">
      <c r="A306" s="94" t="s">
        <v>1266</v>
      </c>
      <c r="B306" s="94" t="s">
        <v>109</v>
      </c>
      <c r="C306" s="94" t="s">
        <v>506</v>
      </c>
      <c r="D306" s="95" t="s">
        <v>507</v>
      </c>
      <c r="E306" s="94" t="s">
        <v>504</v>
      </c>
      <c r="F306" s="76">
        <v>10</v>
      </c>
      <c r="G306" s="94" t="s">
        <v>475</v>
      </c>
      <c r="H306" s="76">
        <v>10</v>
      </c>
      <c r="I306" s="95" t="s">
        <v>1364</v>
      </c>
      <c r="J306" s="94" t="s">
        <v>476</v>
      </c>
      <c r="K306" s="78">
        <v>46290</v>
      </c>
      <c r="L306" s="94" t="s">
        <v>477</v>
      </c>
    </row>
    <row r="307" spans="1:12" x14ac:dyDescent="0.4">
      <c r="A307" s="94" t="s">
        <v>1266</v>
      </c>
      <c r="B307" s="94" t="s">
        <v>109</v>
      </c>
      <c r="C307" s="94" t="s">
        <v>506</v>
      </c>
      <c r="D307" s="95" t="s">
        <v>507</v>
      </c>
      <c r="E307" s="94" t="s">
        <v>505</v>
      </c>
      <c r="F307" s="76">
        <v>25</v>
      </c>
      <c r="G307" s="94" t="s">
        <v>475</v>
      </c>
      <c r="H307" s="76">
        <v>25</v>
      </c>
      <c r="I307" s="95" t="s">
        <v>1364</v>
      </c>
      <c r="J307" s="94" t="s">
        <v>476</v>
      </c>
      <c r="K307" s="78">
        <v>46290</v>
      </c>
      <c r="L307" s="94" t="s">
        <v>477</v>
      </c>
    </row>
    <row r="308" spans="1:12" ht="29.15" x14ac:dyDescent="0.4">
      <c r="A308" s="94" t="s">
        <v>1266</v>
      </c>
      <c r="B308" s="94" t="s">
        <v>109</v>
      </c>
      <c r="C308" s="94" t="s">
        <v>508</v>
      </c>
      <c r="D308" s="95" t="s">
        <v>509</v>
      </c>
      <c r="E308" s="94" t="s">
        <v>503</v>
      </c>
      <c r="F308" s="76">
        <v>3</v>
      </c>
      <c r="G308" s="94" t="s">
        <v>475</v>
      </c>
      <c r="H308" s="76">
        <v>3</v>
      </c>
      <c r="I308" s="95" t="s">
        <v>1364</v>
      </c>
      <c r="J308" s="94" t="s">
        <v>476</v>
      </c>
      <c r="K308" s="78">
        <v>46290</v>
      </c>
      <c r="L308" s="94" t="s">
        <v>477</v>
      </c>
    </row>
    <row r="309" spans="1:12" ht="29.15" x14ac:dyDescent="0.4">
      <c r="A309" s="94" t="s">
        <v>1266</v>
      </c>
      <c r="B309" s="94" t="s">
        <v>109</v>
      </c>
      <c r="C309" s="94" t="s">
        <v>508</v>
      </c>
      <c r="D309" s="95" t="s">
        <v>509</v>
      </c>
      <c r="E309" s="94" t="s">
        <v>504</v>
      </c>
      <c r="F309" s="76">
        <v>4</v>
      </c>
      <c r="G309" s="94" t="s">
        <v>475</v>
      </c>
      <c r="H309" s="76">
        <v>4</v>
      </c>
      <c r="I309" s="95" t="s">
        <v>1364</v>
      </c>
      <c r="J309" s="94" t="s">
        <v>476</v>
      </c>
      <c r="K309" s="78">
        <v>46290</v>
      </c>
      <c r="L309" s="94" t="s">
        <v>477</v>
      </c>
    </row>
    <row r="310" spans="1:12" ht="29.15" x14ac:dyDescent="0.4">
      <c r="A310" s="94" t="s">
        <v>1266</v>
      </c>
      <c r="B310" s="94" t="s">
        <v>109</v>
      </c>
      <c r="C310" s="94" t="s">
        <v>508</v>
      </c>
      <c r="D310" s="95" t="s">
        <v>509</v>
      </c>
      <c r="E310" s="94" t="s">
        <v>505</v>
      </c>
      <c r="F310" s="76">
        <v>12</v>
      </c>
      <c r="G310" s="94" t="s">
        <v>475</v>
      </c>
      <c r="H310" s="76">
        <v>12</v>
      </c>
      <c r="I310" s="95" t="s">
        <v>1364</v>
      </c>
      <c r="J310" s="94" t="s">
        <v>476</v>
      </c>
      <c r="K310" s="78">
        <v>46290</v>
      </c>
      <c r="L310" s="94" t="s">
        <v>477</v>
      </c>
    </row>
    <row r="311" spans="1:12" x14ac:dyDescent="0.4">
      <c r="A311" s="94" t="s">
        <v>1266</v>
      </c>
      <c r="B311" s="94" t="s">
        <v>109</v>
      </c>
      <c r="C311" s="94" t="s">
        <v>510</v>
      </c>
      <c r="D311" s="95" t="s">
        <v>511</v>
      </c>
      <c r="E311" s="94" t="s">
        <v>503</v>
      </c>
      <c r="F311" s="76">
        <v>72</v>
      </c>
      <c r="G311" s="94" t="s">
        <v>475</v>
      </c>
      <c r="H311" s="76">
        <v>72</v>
      </c>
      <c r="I311" s="95" t="s">
        <v>1364</v>
      </c>
      <c r="J311" s="94" t="s">
        <v>476</v>
      </c>
      <c r="K311" s="78">
        <v>46290</v>
      </c>
      <c r="L311" s="94" t="s">
        <v>477</v>
      </c>
    </row>
    <row r="312" spans="1:12" x14ac:dyDescent="0.4">
      <c r="A312" s="94" t="s">
        <v>1266</v>
      </c>
      <c r="B312" s="94" t="s">
        <v>109</v>
      </c>
      <c r="C312" s="94" t="s">
        <v>510</v>
      </c>
      <c r="D312" s="95" t="s">
        <v>511</v>
      </c>
      <c r="E312" s="94" t="s">
        <v>504</v>
      </c>
      <c r="F312" s="76">
        <v>60</v>
      </c>
      <c r="G312" s="94" t="s">
        <v>475</v>
      </c>
      <c r="H312" s="76">
        <v>60</v>
      </c>
      <c r="I312" s="95" t="s">
        <v>1364</v>
      </c>
      <c r="J312" s="94" t="s">
        <v>476</v>
      </c>
      <c r="K312" s="78">
        <v>46290</v>
      </c>
      <c r="L312" s="94" t="s">
        <v>477</v>
      </c>
    </row>
    <row r="313" spans="1:12" x14ac:dyDescent="0.4">
      <c r="A313" s="94" t="s">
        <v>1266</v>
      </c>
      <c r="B313" s="94" t="s">
        <v>109</v>
      </c>
      <c r="C313" s="94" t="s">
        <v>510</v>
      </c>
      <c r="D313" s="95" t="s">
        <v>511</v>
      </c>
      <c r="E313" s="94" t="s">
        <v>505</v>
      </c>
      <c r="F313" s="76">
        <v>75</v>
      </c>
      <c r="G313" s="94" t="s">
        <v>475</v>
      </c>
      <c r="H313" s="76">
        <v>75</v>
      </c>
      <c r="I313" s="95" t="s">
        <v>1364</v>
      </c>
      <c r="J313" s="94" t="s">
        <v>476</v>
      </c>
      <c r="K313" s="78">
        <v>46290</v>
      </c>
      <c r="L313" s="94" t="s">
        <v>477</v>
      </c>
    </row>
    <row r="314" spans="1:12" x14ac:dyDescent="0.4">
      <c r="A314" s="94" t="s">
        <v>1266</v>
      </c>
      <c r="B314" s="94" t="s">
        <v>109</v>
      </c>
      <c r="C314" s="94" t="s">
        <v>512</v>
      </c>
      <c r="D314" s="95" t="s">
        <v>513</v>
      </c>
      <c r="E314" s="94" t="s">
        <v>503</v>
      </c>
      <c r="F314" s="76">
        <v>33</v>
      </c>
      <c r="G314" s="94" t="s">
        <v>475</v>
      </c>
      <c r="H314" s="76">
        <v>33</v>
      </c>
      <c r="I314" s="95" t="s">
        <v>1364</v>
      </c>
      <c r="J314" s="94" t="s">
        <v>476</v>
      </c>
      <c r="K314" s="78">
        <v>46290</v>
      </c>
      <c r="L314" s="94" t="s">
        <v>477</v>
      </c>
    </row>
    <row r="315" spans="1:12" x14ac:dyDescent="0.4">
      <c r="A315" s="94" t="s">
        <v>1266</v>
      </c>
      <c r="B315" s="94" t="s">
        <v>109</v>
      </c>
      <c r="C315" s="94" t="s">
        <v>512</v>
      </c>
      <c r="D315" s="95" t="s">
        <v>513</v>
      </c>
      <c r="E315" s="94" t="s">
        <v>504</v>
      </c>
      <c r="F315" s="76">
        <v>365</v>
      </c>
      <c r="G315" s="94" t="s">
        <v>475</v>
      </c>
      <c r="H315" s="76">
        <v>365</v>
      </c>
      <c r="I315" s="95" t="s">
        <v>1364</v>
      </c>
      <c r="J315" s="94" t="s">
        <v>476</v>
      </c>
      <c r="K315" s="78">
        <v>46290</v>
      </c>
      <c r="L315" s="94" t="s">
        <v>477</v>
      </c>
    </row>
    <row r="316" spans="1:12" x14ac:dyDescent="0.4">
      <c r="A316" s="94" t="s">
        <v>1266</v>
      </c>
      <c r="B316" s="94" t="s">
        <v>109</v>
      </c>
      <c r="C316" s="94" t="s">
        <v>512</v>
      </c>
      <c r="D316" s="95" t="s">
        <v>513</v>
      </c>
      <c r="E316" s="94" t="s">
        <v>505</v>
      </c>
      <c r="F316" s="76">
        <v>540</v>
      </c>
      <c r="G316" s="94" t="s">
        <v>475</v>
      </c>
      <c r="H316" s="76">
        <v>540</v>
      </c>
      <c r="I316" s="95" t="s">
        <v>1364</v>
      </c>
      <c r="J316" s="94" t="s">
        <v>476</v>
      </c>
      <c r="K316" s="78">
        <v>46290</v>
      </c>
      <c r="L316" s="94" t="s">
        <v>477</v>
      </c>
    </row>
    <row r="317" spans="1:12" ht="29.15" x14ac:dyDescent="0.4">
      <c r="A317" s="94" t="s">
        <v>1266</v>
      </c>
      <c r="B317" s="94" t="s">
        <v>109</v>
      </c>
      <c r="C317" s="94" t="s">
        <v>514</v>
      </c>
      <c r="D317" s="95" t="s">
        <v>515</v>
      </c>
      <c r="E317" s="94" t="s">
        <v>503</v>
      </c>
      <c r="F317" s="76">
        <v>0</v>
      </c>
      <c r="G317" s="94" t="s">
        <v>475</v>
      </c>
      <c r="H317" s="76">
        <v>0</v>
      </c>
      <c r="I317" s="95" t="s">
        <v>1364</v>
      </c>
      <c r="J317" s="94" t="s">
        <v>476</v>
      </c>
      <c r="K317" s="78">
        <v>46290</v>
      </c>
      <c r="L317" s="94" t="s">
        <v>477</v>
      </c>
    </row>
    <row r="318" spans="1:12" ht="29.15" x14ac:dyDescent="0.4">
      <c r="A318" s="94" t="s">
        <v>1266</v>
      </c>
      <c r="B318" s="94" t="s">
        <v>109</v>
      </c>
      <c r="C318" s="94" t="s">
        <v>514</v>
      </c>
      <c r="D318" s="95" t="s">
        <v>515</v>
      </c>
      <c r="E318" s="94" t="s">
        <v>504</v>
      </c>
      <c r="F318" s="76">
        <v>2</v>
      </c>
      <c r="G318" s="94" t="s">
        <v>475</v>
      </c>
      <c r="H318" s="76">
        <v>2</v>
      </c>
      <c r="I318" s="95" t="s">
        <v>1364</v>
      </c>
      <c r="J318" s="94" t="s">
        <v>476</v>
      </c>
      <c r="K318" s="78">
        <v>46290</v>
      </c>
      <c r="L318" s="94" t="s">
        <v>477</v>
      </c>
    </row>
    <row r="319" spans="1:12" ht="29.15" x14ac:dyDescent="0.4">
      <c r="A319" s="94" t="s">
        <v>1266</v>
      </c>
      <c r="B319" s="94" t="s">
        <v>109</v>
      </c>
      <c r="C319" s="94" t="s">
        <v>514</v>
      </c>
      <c r="D319" s="95" t="s">
        <v>515</v>
      </c>
      <c r="E319" s="94" t="s">
        <v>505</v>
      </c>
      <c r="F319" s="76">
        <v>4</v>
      </c>
      <c r="G319" s="94" t="s">
        <v>475</v>
      </c>
      <c r="H319" s="76">
        <v>4</v>
      </c>
      <c r="I319" s="95" t="s">
        <v>1364</v>
      </c>
      <c r="J319" s="94" t="s">
        <v>476</v>
      </c>
      <c r="K319" s="78">
        <v>46290</v>
      </c>
      <c r="L319" s="94" t="s">
        <v>477</v>
      </c>
    </row>
    <row r="320" spans="1:12" x14ac:dyDescent="0.4">
      <c r="A320" s="94" t="s">
        <v>1266</v>
      </c>
      <c r="B320" s="94" t="s">
        <v>109</v>
      </c>
      <c r="C320" s="94" t="s">
        <v>516</v>
      </c>
      <c r="D320" s="95" t="s">
        <v>517</v>
      </c>
      <c r="E320" s="94" t="s">
        <v>503</v>
      </c>
      <c r="F320" s="76">
        <v>1.9</v>
      </c>
      <c r="G320" s="94" t="s">
        <v>475</v>
      </c>
      <c r="H320" s="76">
        <v>1.9</v>
      </c>
      <c r="I320" s="95" t="s">
        <v>1364</v>
      </c>
      <c r="J320" s="94" t="s">
        <v>476</v>
      </c>
      <c r="K320" s="78">
        <v>46290</v>
      </c>
      <c r="L320" s="94" t="s">
        <v>477</v>
      </c>
    </row>
    <row r="321" spans="1:12" x14ac:dyDescent="0.4">
      <c r="A321" s="94" t="s">
        <v>1266</v>
      </c>
      <c r="B321" s="94" t="s">
        <v>109</v>
      </c>
      <c r="C321" s="94" t="s">
        <v>516</v>
      </c>
      <c r="D321" s="95" t="s">
        <v>517</v>
      </c>
      <c r="E321" s="94" t="s">
        <v>504</v>
      </c>
      <c r="F321" s="76">
        <v>1.5</v>
      </c>
      <c r="G321" s="94" t="s">
        <v>475</v>
      </c>
      <c r="H321" s="76">
        <v>1.5</v>
      </c>
      <c r="I321" s="95" t="s">
        <v>1364</v>
      </c>
      <c r="J321" s="94" t="s">
        <v>476</v>
      </c>
      <c r="K321" s="78">
        <v>46290</v>
      </c>
      <c r="L321" s="94" t="s">
        <v>477</v>
      </c>
    </row>
    <row r="322" spans="1:12" x14ac:dyDescent="0.4">
      <c r="A322" s="94" t="s">
        <v>1266</v>
      </c>
      <c r="B322" s="94" t="s">
        <v>109</v>
      </c>
      <c r="C322" s="94" t="s">
        <v>516</v>
      </c>
      <c r="D322" s="95" t="s">
        <v>517</v>
      </c>
      <c r="E322" s="94" t="s">
        <v>505</v>
      </c>
      <c r="F322" s="76">
        <v>3</v>
      </c>
      <c r="G322" s="94" t="s">
        <v>475</v>
      </c>
      <c r="H322" s="76">
        <v>3</v>
      </c>
      <c r="I322" s="95" t="s">
        <v>1364</v>
      </c>
      <c r="J322" s="94" t="s">
        <v>476</v>
      </c>
      <c r="K322" s="78">
        <v>46290</v>
      </c>
      <c r="L322" s="94" t="s">
        <v>477</v>
      </c>
    </row>
    <row r="323" spans="1:12" ht="29.15" x14ac:dyDescent="0.4">
      <c r="A323" s="94" t="s">
        <v>1266</v>
      </c>
      <c r="B323" s="94" t="s">
        <v>109</v>
      </c>
      <c r="C323" s="94" t="s">
        <v>518</v>
      </c>
      <c r="D323" s="95" t="s">
        <v>519</v>
      </c>
      <c r="E323" s="94" t="s">
        <v>503</v>
      </c>
      <c r="F323" s="76"/>
      <c r="G323" s="94" t="s">
        <v>475</v>
      </c>
      <c r="H323" s="76"/>
      <c r="I323" s="95" t="s">
        <v>1364</v>
      </c>
      <c r="J323" s="94" t="s">
        <v>476</v>
      </c>
      <c r="K323" s="78">
        <v>46290</v>
      </c>
      <c r="L323" s="94" t="s">
        <v>477</v>
      </c>
    </row>
    <row r="324" spans="1:12" ht="29.15" x14ac:dyDescent="0.4">
      <c r="A324" s="94" t="s">
        <v>1266</v>
      </c>
      <c r="B324" s="94" t="s">
        <v>109</v>
      </c>
      <c r="C324" s="94" t="s">
        <v>518</v>
      </c>
      <c r="D324" s="95" t="s">
        <v>519</v>
      </c>
      <c r="E324" s="94" t="s">
        <v>504</v>
      </c>
      <c r="F324" s="76">
        <v>20</v>
      </c>
      <c r="G324" s="94" t="s">
        <v>475</v>
      </c>
      <c r="H324" s="76">
        <v>20</v>
      </c>
      <c r="I324" s="95" t="s">
        <v>1364</v>
      </c>
      <c r="J324" s="94" t="s">
        <v>476</v>
      </c>
      <c r="K324" s="78">
        <v>46290</v>
      </c>
      <c r="L324" s="94" t="s">
        <v>477</v>
      </c>
    </row>
    <row r="325" spans="1:12" ht="29.15" x14ac:dyDescent="0.4">
      <c r="A325" s="94" t="s">
        <v>1266</v>
      </c>
      <c r="B325" s="94" t="s">
        <v>109</v>
      </c>
      <c r="C325" s="94" t="s">
        <v>518</v>
      </c>
      <c r="D325" s="95" t="s">
        <v>519</v>
      </c>
      <c r="E325" s="94" t="s">
        <v>505</v>
      </c>
      <c r="F325" s="76">
        <v>40</v>
      </c>
      <c r="G325" s="94" t="s">
        <v>475</v>
      </c>
      <c r="H325" s="76">
        <v>40</v>
      </c>
      <c r="I325" s="95" t="s">
        <v>1364</v>
      </c>
      <c r="J325" s="94" t="s">
        <v>476</v>
      </c>
      <c r="K325" s="78">
        <v>46290</v>
      </c>
      <c r="L325" s="94" t="s">
        <v>477</v>
      </c>
    </row>
    <row r="326" spans="1:12" x14ac:dyDescent="0.4">
      <c r="A326" s="94" t="s">
        <v>1266</v>
      </c>
      <c r="B326" s="94" t="s">
        <v>109</v>
      </c>
      <c r="C326" s="94" t="s">
        <v>520</v>
      </c>
      <c r="D326" s="95" t="s">
        <v>521</v>
      </c>
      <c r="E326" s="94" t="s">
        <v>503</v>
      </c>
      <c r="F326" s="76">
        <v>2</v>
      </c>
      <c r="G326" s="94" t="s">
        <v>475</v>
      </c>
      <c r="H326" s="76">
        <v>2</v>
      </c>
      <c r="I326" s="95" t="s">
        <v>1364</v>
      </c>
      <c r="J326" s="94" t="s">
        <v>476</v>
      </c>
      <c r="K326" s="78">
        <v>46290</v>
      </c>
      <c r="L326" s="94" t="s">
        <v>477</v>
      </c>
    </row>
    <row r="327" spans="1:12" x14ac:dyDescent="0.4">
      <c r="A327" s="94" t="s">
        <v>1266</v>
      </c>
      <c r="B327" s="94" t="s">
        <v>109</v>
      </c>
      <c r="C327" s="94" t="s">
        <v>520</v>
      </c>
      <c r="D327" s="95" t="s">
        <v>521</v>
      </c>
      <c r="E327" s="94" t="s">
        <v>504</v>
      </c>
      <c r="F327" s="76">
        <v>1</v>
      </c>
      <c r="G327" s="94" t="s">
        <v>475</v>
      </c>
      <c r="H327" s="76">
        <v>1</v>
      </c>
      <c r="I327" s="95" t="s">
        <v>1364</v>
      </c>
      <c r="J327" s="94" t="s">
        <v>476</v>
      </c>
      <c r="K327" s="78">
        <v>46290</v>
      </c>
      <c r="L327" s="94" t="s">
        <v>477</v>
      </c>
    </row>
    <row r="328" spans="1:12" x14ac:dyDescent="0.4">
      <c r="A328" s="94" t="s">
        <v>1266</v>
      </c>
      <c r="B328" s="94" t="s">
        <v>109</v>
      </c>
      <c r="C328" s="94" t="s">
        <v>520</v>
      </c>
      <c r="D328" s="95" t="s">
        <v>521</v>
      </c>
      <c r="E328" s="94" t="s">
        <v>505</v>
      </c>
      <c r="F328" s="76">
        <v>3</v>
      </c>
      <c r="G328" s="94" t="s">
        <v>475</v>
      </c>
      <c r="H328" s="76">
        <v>3</v>
      </c>
      <c r="I328" s="95" t="s">
        <v>1364</v>
      </c>
      <c r="J328" s="94" t="s">
        <v>476</v>
      </c>
      <c r="K328" s="78">
        <v>46290</v>
      </c>
      <c r="L328" s="94" t="s">
        <v>477</v>
      </c>
    </row>
    <row r="329" spans="1:12" ht="29.15" x14ac:dyDescent="0.4">
      <c r="A329" s="94" t="s">
        <v>1266</v>
      </c>
      <c r="B329" s="94" t="s">
        <v>109</v>
      </c>
      <c r="C329" s="94" t="s">
        <v>522</v>
      </c>
      <c r="D329" s="95" t="s">
        <v>523</v>
      </c>
      <c r="E329" s="94" t="s">
        <v>503</v>
      </c>
      <c r="F329" s="76">
        <v>2</v>
      </c>
      <c r="G329" s="94" t="s">
        <v>475</v>
      </c>
      <c r="H329" s="76">
        <v>2</v>
      </c>
      <c r="I329" s="95" t="s">
        <v>1364</v>
      </c>
      <c r="J329" s="94" t="s">
        <v>476</v>
      </c>
      <c r="K329" s="78">
        <v>46290</v>
      </c>
      <c r="L329" s="94" t="s">
        <v>477</v>
      </c>
    </row>
    <row r="330" spans="1:12" ht="29.15" x14ac:dyDescent="0.4">
      <c r="A330" s="94" t="s">
        <v>1266</v>
      </c>
      <c r="B330" s="94" t="s">
        <v>109</v>
      </c>
      <c r="C330" s="94" t="s">
        <v>522</v>
      </c>
      <c r="D330" s="95" t="s">
        <v>523</v>
      </c>
      <c r="E330" s="94" t="s">
        <v>504</v>
      </c>
      <c r="F330" s="76">
        <v>1</v>
      </c>
      <c r="G330" s="94" t="s">
        <v>475</v>
      </c>
      <c r="H330" s="76">
        <v>1</v>
      </c>
      <c r="I330" s="95" t="s">
        <v>1364</v>
      </c>
      <c r="J330" s="94" t="s">
        <v>476</v>
      </c>
      <c r="K330" s="78">
        <v>46290</v>
      </c>
      <c r="L330" s="94" t="s">
        <v>477</v>
      </c>
    </row>
    <row r="331" spans="1:12" ht="29.15" x14ac:dyDescent="0.4">
      <c r="A331" s="94" t="s">
        <v>1266</v>
      </c>
      <c r="B331" s="94" t="s">
        <v>109</v>
      </c>
      <c r="C331" s="94" t="s">
        <v>522</v>
      </c>
      <c r="D331" s="95" t="s">
        <v>523</v>
      </c>
      <c r="E331" s="94" t="s">
        <v>505</v>
      </c>
      <c r="F331" s="76">
        <v>3</v>
      </c>
      <c r="G331" s="94" t="s">
        <v>475</v>
      </c>
      <c r="H331" s="76">
        <v>3</v>
      </c>
      <c r="I331" s="95" t="s">
        <v>1364</v>
      </c>
      <c r="J331" s="94" t="s">
        <v>476</v>
      </c>
      <c r="K331" s="78">
        <v>46290</v>
      </c>
      <c r="L331" s="94" t="s">
        <v>477</v>
      </c>
    </row>
    <row r="332" spans="1:12" x14ac:dyDescent="0.4">
      <c r="A332" s="94" t="s">
        <v>1266</v>
      </c>
      <c r="B332" s="94" t="s">
        <v>109</v>
      </c>
      <c r="C332" s="94" t="s">
        <v>524</v>
      </c>
      <c r="D332" s="95" t="s">
        <v>525</v>
      </c>
      <c r="E332" s="94" t="s">
        <v>503</v>
      </c>
      <c r="F332" s="76">
        <v>0</v>
      </c>
      <c r="G332" s="94" t="s">
        <v>475</v>
      </c>
      <c r="H332" s="76">
        <v>0</v>
      </c>
      <c r="I332" s="95" t="s">
        <v>1364</v>
      </c>
      <c r="J332" s="94" t="s">
        <v>476</v>
      </c>
      <c r="K332" s="78">
        <v>46290</v>
      </c>
      <c r="L332" s="94" t="s">
        <v>477</v>
      </c>
    </row>
    <row r="333" spans="1:12" x14ac:dyDescent="0.4">
      <c r="A333" s="94" t="s">
        <v>1266</v>
      </c>
      <c r="B333" s="94" t="s">
        <v>109</v>
      </c>
      <c r="C333" s="94" t="s">
        <v>524</v>
      </c>
      <c r="D333" s="95" t="s">
        <v>525</v>
      </c>
      <c r="E333" s="94" t="s">
        <v>504</v>
      </c>
      <c r="F333" s="76">
        <v>2</v>
      </c>
      <c r="G333" s="94" t="s">
        <v>475</v>
      </c>
      <c r="H333" s="76">
        <v>2</v>
      </c>
      <c r="I333" s="95" t="s">
        <v>1364</v>
      </c>
      <c r="J333" s="94" t="s">
        <v>476</v>
      </c>
      <c r="K333" s="78">
        <v>46290</v>
      </c>
      <c r="L333" s="94" t="s">
        <v>477</v>
      </c>
    </row>
    <row r="334" spans="1:12" x14ac:dyDescent="0.4">
      <c r="A334" s="94" t="s">
        <v>1266</v>
      </c>
      <c r="B334" s="94" t="s">
        <v>109</v>
      </c>
      <c r="C334" s="94" t="s">
        <v>524</v>
      </c>
      <c r="D334" s="95" t="s">
        <v>525</v>
      </c>
      <c r="E334" s="94" t="s">
        <v>505</v>
      </c>
      <c r="F334" s="76">
        <v>5</v>
      </c>
      <c r="G334" s="94" t="s">
        <v>475</v>
      </c>
      <c r="H334" s="76">
        <v>5</v>
      </c>
      <c r="I334" s="95" t="s">
        <v>1364</v>
      </c>
      <c r="J334" s="94" t="s">
        <v>476</v>
      </c>
      <c r="K334" s="78">
        <v>46290</v>
      </c>
      <c r="L334" s="94" t="s">
        <v>477</v>
      </c>
    </row>
    <row r="335" spans="1:12" ht="29.15" x14ac:dyDescent="0.4">
      <c r="A335" s="94" t="s">
        <v>1266</v>
      </c>
      <c r="B335" s="94" t="s">
        <v>109</v>
      </c>
      <c r="C335" s="94" t="s">
        <v>526</v>
      </c>
      <c r="D335" s="95" t="s">
        <v>527</v>
      </c>
      <c r="E335" s="94" t="s">
        <v>503</v>
      </c>
      <c r="F335" s="76">
        <v>0.5</v>
      </c>
      <c r="G335" s="94" t="s">
        <v>475</v>
      </c>
      <c r="H335" s="76">
        <v>0.5</v>
      </c>
      <c r="I335" s="95" t="s">
        <v>1364</v>
      </c>
      <c r="J335" s="94" t="s">
        <v>476</v>
      </c>
      <c r="K335" s="78">
        <v>46290</v>
      </c>
      <c r="L335" s="94" t="s">
        <v>477</v>
      </c>
    </row>
    <row r="336" spans="1:12" ht="29.15" x14ac:dyDescent="0.4">
      <c r="A336" s="94" t="s">
        <v>1266</v>
      </c>
      <c r="B336" s="94" t="s">
        <v>109</v>
      </c>
      <c r="C336" s="94" t="s">
        <v>526</v>
      </c>
      <c r="D336" s="95" t="s">
        <v>527</v>
      </c>
      <c r="E336" s="94" t="s">
        <v>504</v>
      </c>
      <c r="F336" s="76">
        <v>1</v>
      </c>
      <c r="G336" s="94" t="s">
        <v>475</v>
      </c>
      <c r="H336" s="76">
        <v>1</v>
      </c>
      <c r="I336" s="95" t="s">
        <v>1364</v>
      </c>
      <c r="J336" s="94" t="s">
        <v>476</v>
      </c>
      <c r="K336" s="78">
        <v>46290</v>
      </c>
      <c r="L336" s="94" t="s">
        <v>477</v>
      </c>
    </row>
    <row r="337" spans="1:12" ht="29.15" x14ac:dyDescent="0.4">
      <c r="A337" s="94" t="s">
        <v>1266</v>
      </c>
      <c r="B337" s="94" t="s">
        <v>109</v>
      </c>
      <c r="C337" s="94" t="s">
        <v>526</v>
      </c>
      <c r="D337" s="95" t="s">
        <v>527</v>
      </c>
      <c r="E337" s="94" t="s">
        <v>505</v>
      </c>
      <c r="F337" s="76">
        <v>4</v>
      </c>
      <c r="G337" s="94" t="s">
        <v>475</v>
      </c>
      <c r="H337" s="76">
        <v>4</v>
      </c>
      <c r="I337" s="95" t="s">
        <v>1364</v>
      </c>
      <c r="J337" s="94" t="s">
        <v>476</v>
      </c>
      <c r="K337" s="78">
        <v>46290</v>
      </c>
      <c r="L337" s="94" t="s">
        <v>477</v>
      </c>
    </row>
    <row r="338" spans="1:12" x14ac:dyDescent="0.4">
      <c r="A338" s="94" t="s">
        <v>1266</v>
      </c>
      <c r="B338" s="94" t="s">
        <v>109</v>
      </c>
      <c r="C338" s="94" t="s">
        <v>528</v>
      </c>
      <c r="D338" s="95" t="s">
        <v>529</v>
      </c>
      <c r="E338" s="94" t="s">
        <v>503</v>
      </c>
      <c r="F338" s="76">
        <v>9</v>
      </c>
      <c r="G338" s="94" t="s">
        <v>475</v>
      </c>
      <c r="H338" s="76">
        <v>9</v>
      </c>
      <c r="I338" s="95" t="s">
        <v>1364</v>
      </c>
      <c r="J338" s="94" t="s">
        <v>476</v>
      </c>
      <c r="K338" s="78">
        <v>46290</v>
      </c>
      <c r="L338" s="94" t="s">
        <v>477</v>
      </c>
    </row>
    <row r="339" spans="1:12" x14ac:dyDescent="0.4">
      <c r="A339" s="94" t="s">
        <v>1266</v>
      </c>
      <c r="B339" s="94" t="s">
        <v>109</v>
      </c>
      <c r="C339" s="94" t="s">
        <v>528</v>
      </c>
      <c r="D339" s="95" t="s">
        <v>529</v>
      </c>
      <c r="E339" s="94" t="s">
        <v>504</v>
      </c>
      <c r="F339" s="76">
        <v>20</v>
      </c>
      <c r="G339" s="94" t="s">
        <v>475</v>
      </c>
      <c r="H339" s="76">
        <v>20</v>
      </c>
      <c r="I339" s="95" t="s">
        <v>1364</v>
      </c>
      <c r="J339" s="94" t="s">
        <v>476</v>
      </c>
      <c r="K339" s="78">
        <v>46290</v>
      </c>
      <c r="L339" s="94" t="s">
        <v>477</v>
      </c>
    </row>
    <row r="340" spans="1:12" x14ac:dyDescent="0.4">
      <c r="A340" s="94" t="s">
        <v>1266</v>
      </c>
      <c r="B340" s="94" t="s">
        <v>109</v>
      </c>
      <c r="C340" s="94" t="s">
        <v>528</v>
      </c>
      <c r="D340" s="95" t="s">
        <v>529</v>
      </c>
      <c r="E340" s="94" t="s">
        <v>505</v>
      </c>
      <c r="F340" s="76">
        <v>50</v>
      </c>
      <c r="G340" s="94" t="s">
        <v>475</v>
      </c>
      <c r="H340" s="76">
        <v>50</v>
      </c>
      <c r="I340" s="95" t="s">
        <v>1364</v>
      </c>
      <c r="J340" s="94" t="s">
        <v>476</v>
      </c>
      <c r="K340" s="78">
        <v>46290</v>
      </c>
      <c r="L340" s="94" t="s">
        <v>477</v>
      </c>
    </row>
    <row r="341" spans="1:12" x14ac:dyDescent="0.4">
      <c r="A341" s="94" t="s">
        <v>1266</v>
      </c>
      <c r="B341" s="94" t="s">
        <v>109</v>
      </c>
      <c r="C341" s="94" t="s">
        <v>530</v>
      </c>
      <c r="D341" s="95" t="s">
        <v>531</v>
      </c>
      <c r="E341" s="94" t="s">
        <v>503</v>
      </c>
      <c r="F341" s="76">
        <v>4</v>
      </c>
      <c r="G341" s="94" t="s">
        <v>475</v>
      </c>
      <c r="H341" s="76">
        <v>4</v>
      </c>
      <c r="I341" s="95" t="s">
        <v>1364</v>
      </c>
      <c r="J341" s="94" t="s">
        <v>476</v>
      </c>
      <c r="K341" s="78">
        <v>46290</v>
      </c>
      <c r="L341" s="94" t="s">
        <v>477</v>
      </c>
    </row>
    <row r="342" spans="1:12" x14ac:dyDescent="0.4">
      <c r="A342" s="94" t="s">
        <v>1266</v>
      </c>
      <c r="B342" s="94" t="s">
        <v>109</v>
      </c>
      <c r="C342" s="94" t="s">
        <v>530</v>
      </c>
      <c r="D342" s="95" t="s">
        <v>531</v>
      </c>
      <c r="E342" s="94" t="s">
        <v>504</v>
      </c>
      <c r="F342" s="76">
        <v>3</v>
      </c>
      <c r="G342" s="94" t="s">
        <v>475</v>
      </c>
      <c r="H342" s="76">
        <v>3</v>
      </c>
      <c r="I342" s="95" t="s">
        <v>1364</v>
      </c>
      <c r="J342" s="94" t="s">
        <v>476</v>
      </c>
      <c r="K342" s="78">
        <v>46290</v>
      </c>
      <c r="L342" s="94" t="s">
        <v>477</v>
      </c>
    </row>
    <row r="343" spans="1:12" x14ac:dyDescent="0.4">
      <c r="A343" s="94" t="s">
        <v>1266</v>
      </c>
      <c r="B343" s="94" t="s">
        <v>109</v>
      </c>
      <c r="C343" s="94" t="s">
        <v>530</v>
      </c>
      <c r="D343" s="95" t="s">
        <v>531</v>
      </c>
      <c r="E343" s="94" t="s">
        <v>505</v>
      </c>
      <c r="F343" s="76">
        <v>6</v>
      </c>
      <c r="G343" s="94" t="s">
        <v>475</v>
      </c>
      <c r="H343" s="76">
        <v>6</v>
      </c>
      <c r="I343" s="95" t="s">
        <v>1364</v>
      </c>
      <c r="J343" s="94" t="s">
        <v>476</v>
      </c>
      <c r="K343" s="78">
        <v>46290</v>
      </c>
      <c r="L343" s="94" t="s">
        <v>477</v>
      </c>
    </row>
    <row r="344" spans="1:12" ht="29.15" x14ac:dyDescent="0.4">
      <c r="A344" s="94" t="s">
        <v>1266</v>
      </c>
      <c r="B344" s="94" t="s">
        <v>109</v>
      </c>
      <c r="C344" s="94" t="s">
        <v>532</v>
      </c>
      <c r="D344" s="95" t="s">
        <v>533</v>
      </c>
      <c r="E344" s="94" t="s">
        <v>503</v>
      </c>
      <c r="F344" s="76">
        <v>18</v>
      </c>
      <c r="G344" s="94" t="s">
        <v>475</v>
      </c>
      <c r="H344" s="76">
        <v>18</v>
      </c>
      <c r="I344" s="95" t="s">
        <v>1364</v>
      </c>
      <c r="J344" s="94" t="s">
        <v>476</v>
      </c>
      <c r="K344" s="78">
        <v>46290</v>
      </c>
      <c r="L344" s="94" t="s">
        <v>477</v>
      </c>
    </row>
    <row r="345" spans="1:12" ht="29.15" x14ac:dyDescent="0.4">
      <c r="A345" s="94" t="s">
        <v>1266</v>
      </c>
      <c r="B345" s="94" t="s">
        <v>109</v>
      </c>
      <c r="C345" s="94" t="s">
        <v>532</v>
      </c>
      <c r="D345" s="95" t="s">
        <v>533</v>
      </c>
      <c r="E345" s="94" t="s">
        <v>504</v>
      </c>
      <c r="F345" s="76">
        <v>30</v>
      </c>
      <c r="G345" s="94" t="s">
        <v>475</v>
      </c>
      <c r="H345" s="76">
        <v>30</v>
      </c>
      <c r="I345" s="95" t="s">
        <v>1364</v>
      </c>
      <c r="J345" s="94" t="s">
        <v>476</v>
      </c>
      <c r="K345" s="78">
        <v>46290</v>
      </c>
      <c r="L345" s="94" t="s">
        <v>477</v>
      </c>
    </row>
    <row r="346" spans="1:12" ht="29.15" x14ac:dyDescent="0.4">
      <c r="A346" s="94" t="s">
        <v>1266</v>
      </c>
      <c r="B346" s="94" t="s">
        <v>109</v>
      </c>
      <c r="C346" s="94" t="s">
        <v>532</v>
      </c>
      <c r="D346" s="95" t="s">
        <v>533</v>
      </c>
      <c r="E346" s="94" t="s">
        <v>505</v>
      </c>
      <c r="F346" s="76">
        <v>60</v>
      </c>
      <c r="G346" s="94" t="s">
        <v>475</v>
      </c>
      <c r="H346" s="76">
        <v>60</v>
      </c>
      <c r="I346" s="95" t="s">
        <v>1364</v>
      </c>
      <c r="J346" s="94" t="s">
        <v>476</v>
      </c>
      <c r="K346" s="78">
        <v>46290</v>
      </c>
      <c r="L346" s="94" t="s">
        <v>477</v>
      </c>
    </row>
    <row r="347" spans="1:12" ht="29.15" x14ac:dyDescent="0.4">
      <c r="A347" s="94" t="s">
        <v>1266</v>
      </c>
      <c r="B347" s="94" t="s">
        <v>109</v>
      </c>
      <c r="C347" s="94" t="s">
        <v>534</v>
      </c>
      <c r="D347" s="95" t="s">
        <v>535</v>
      </c>
      <c r="E347" s="94" t="s">
        <v>503</v>
      </c>
      <c r="F347" s="76">
        <v>6</v>
      </c>
      <c r="G347" s="94" t="s">
        <v>475</v>
      </c>
      <c r="H347" s="76">
        <v>6</v>
      </c>
      <c r="I347" s="95" t="s">
        <v>1364</v>
      </c>
      <c r="J347" s="94" t="s">
        <v>476</v>
      </c>
      <c r="K347" s="78">
        <v>46290</v>
      </c>
      <c r="L347" s="94" t="s">
        <v>477</v>
      </c>
    </row>
    <row r="348" spans="1:12" ht="29.15" x14ac:dyDescent="0.4">
      <c r="A348" s="94" t="s">
        <v>1266</v>
      </c>
      <c r="B348" s="94" t="s">
        <v>109</v>
      </c>
      <c r="C348" s="94" t="s">
        <v>534</v>
      </c>
      <c r="D348" s="95" t="s">
        <v>535</v>
      </c>
      <c r="E348" s="94" t="s">
        <v>504</v>
      </c>
      <c r="F348" s="76">
        <v>10</v>
      </c>
      <c r="G348" s="94" t="s">
        <v>475</v>
      </c>
      <c r="H348" s="76">
        <v>10</v>
      </c>
      <c r="I348" s="95" t="s">
        <v>1364</v>
      </c>
      <c r="J348" s="94" t="s">
        <v>476</v>
      </c>
      <c r="K348" s="78">
        <v>46290</v>
      </c>
      <c r="L348" s="94" t="s">
        <v>477</v>
      </c>
    </row>
    <row r="349" spans="1:12" ht="29.15" x14ac:dyDescent="0.4">
      <c r="A349" s="94" t="s">
        <v>1266</v>
      </c>
      <c r="B349" s="94" t="s">
        <v>109</v>
      </c>
      <c r="C349" s="94" t="s">
        <v>534</v>
      </c>
      <c r="D349" s="95" t="s">
        <v>535</v>
      </c>
      <c r="E349" s="94" t="s">
        <v>505</v>
      </c>
      <c r="F349" s="76">
        <v>30</v>
      </c>
      <c r="G349" s="94" t="s">
        <v>475</v>
      </c>
      <c r="H349" s="76">
        <v>30</v>
      </c>
      <c r="I349" s="95" t="s">
        <v>1364</v>
      </c>
      <c r="J349" s="94" t="s">
        <v>476</v>
      </c>
      <c r="K349" s="78">
        <v>46290</v>
      </c>
      <c r="L349" s="94" t="s">
        <v>477</v>
      </c>
    </row>
    <row r="350" spans="1:12" ht="29.15" x14ac:dyDescent="0.4">
      <c r="A350" s="94" t="s">
        <v>1266</v>
      </c>
      <c r="B350" s="94" t="s">
        <v>109</v>
      </c>
      <c r="C350" s="94" t="s">
        <v>536</v>
      </c>
      <c r="D350" s="95" t="s">
        <v>537</v>
      </c>
      <c r="E350" s="94" t="s">
        <v>503</v>
      </c>
      <c r="F350" s="76">
        <v>22</v>
      </c>
      <c r="G350" s="94" t="s">
        <v>475</v>
      </c>
      <c r="H350" s="76">
        <v>22</v>
      </c>
      <c r="I350" s="95" t="s">
        <v>1364</v>
      </c>
      <c r="J350" s="94" t="s">
        <v>476</v>
      </c>
      <c r="K350" s="78">
        <v>46290</v>
      </c>
      <c r="L350" s="94" t="s">
        <v>477</v>
      </c>
    </row>
    <row r="351" spans="1:12" ht="29.15" x14ac:dyDescent="0.4">
      <c r="A351" s="94" t="s">
        <v>1266</v>
      </c>
      <c r="B351" s="94" t="s">
        <v>109</v>
      </c>
      <c r="C351" s="94" t="s">
        <v>536</v>
      </c>
      <c r="D351" s="95" t="s">
        <v>537</v>
      </c>
      <c r="E351" s="94" t="s">
        <v>504</v>
      </c>
      <c r="F351" s="76">
        <v>20</v>
      </c>
      <c r="G351" s="94" t="s">
        <v>475</v>
      </c>
      <c r="H351" s="76">
        <v>20</v>
      </c>
      <c r="I351" s="95" t="s">
        <v>1364</v>
      </c>
      <c r="J351" s="94" t="s">
        <v>476</v>
      </c>
      <c r="K351" s="78">
        <v>46290</v>
      </c>
      <c r="L351" s="94" t="s">
        <v>477</v>
      </c>
    </row>
    <row r="352" spans="1:12" ht="29.15" x14ac:dyDescent="0.4">
      <c r="A352" s="94" t="s">
        <v>1266</v>
      </c>
      <c r="B352" s="94" t="s">
        <v>109</v>
      </c>
      <c r="C352" s="94" t="s">
        <v>536</v>
      </c>
      <c r="D352" s="95" t="s">
        <v>537</v>
      </c>
      <c r="E352" s="94" t="s">
        <v>505</v>
      </c>
      <c r="F352" s="76">
        <v>40</v>
      </c>
      <c r="G352" s="94" t="s">
        <v>475</v>
      </c>
      <c r="H352" s="76">
        <v>40</v>
      </c>
      <c r="I352" s="95" t="s">
        <v>1364</v>
      </c>
      <c r="J352" s="94" t="s">
        <v>476</v>
      </c>
      <c r="K352" s="78">
        <v>46290</v>
      </c>
      <c r="L352" s="94" t="s">
        <v>477</v>
      </c>
    </row>
    <row r="353" spans="1:12" ht="29.15" x14ac:dyDescent="0.4">
      <c r="A353" s="94" t="s">
        <v>1266</v>
      </c>
      <c r="B353" s="94" t="s">
        <v>109</v>
      </c>
      <c r="C353" s="94" t="s">
        <v>539</v>
      </c>
      <c r="D353" s="95" t="s">
        <v>540</v>
      </c>
      <c r="E353" s="94" t="s">
        <v>503</v>
      </c>
      <c r="F353" s="76">
        <v>2</v>
      </c>
      <c r="G353" s="94" t="s">
        <v>475</v>
      </c>
      <c r="H353" s="76">
        <v>2</v>
      </c>
      <c r="I353" s="95" t="s">
        <v>1364</v>
      </c>
      <c r="J353" s="94" t="s">
        <v>476</v>
      </c>
      <c r="K353" s="78">
        <v>46290</v>
      </c>
      <c r="L353" s="94" t="s">
        <v>477</v>
      </c>
    </row>
    <row r="354" spans="1:12" ht="29.15" x14ac:dyDescent="0.4">
      <c r="A354" s="94" t="s">
        <v>1266</v>
      </c>
      <c r="B354" s="94" t="s">
        <v>109</v>
      </c>
      <c r="C354" s="94" t="s">
        <v>539</v>
      </c>
      <c r="D354" s="95" t="s">
        <v>540</v>
      </c>
      <c r="E354" s="94" t="s">
        <v>504</v>
      </c>
      <c r="F354" s="76">
        <v>5</v>
      </c>
      <c r="G354" s="94" t="s">
        <v>475</v>
      </c>
      <c r="H354" s="76">
        <v>5</v>
      </c>
      <c r="I354" s="95" t="s">
        <v>1364</v>
      </c>
      <c r="J354" s="94" t="s">
        <v>476</v>
      </c>
      <c r="K354" s="78">
        <v>46290</v>
      </c>
      <c r="L354" s="94" t="s">
        <v>477</v>
      </c>
    </row>
    <row r="355" spans="1:12" ht="29.15" x14ac:dyDescent="0.4">
      <c r="A355" s="94" t="s">
        <v>1266</v>
      </c>
      <c r="B355" s="94" t="s">
        <v>109</v>
      </c>
      <c r="C355" s="94" t="s">
        <v>539</v>
      </c>
      <c r="D355" s="95" t="s">
        <v>540</v>
      </c>
      <c r="E355" s="94" t="s">
        <v>505</v>
      </c>
      <c r="F355" s="76">
        <v>15</v>
      </c>
      <c r="G355" s="94" t="s">
        <v>475</v>
      </c>
      <c r="H355" s="76">
        <v>15</v>
      </c>
      <c r="I355" s="95" t="s">
        <v>1364</v>
      </c>
      <c r="J355" s="94" t="s">
        <v>476</v>
      </c>
      <c r="K355" s="78">
        <v>46290</v>
      </c>
      <c r="L355" s="94" t="s">
        <v>477</v>
      </c>
    </row>
    <row r="356" spans="1:12" ht="29.15" x14ac:dyDescent="0.4">
      <c r="A356" s="94" t="s">
        <v>1266</v>
      </c>
      <c r="B356" s="94" t="s">
        <v>109</v>
      </c>
      <c r="C356" s="94" t="s">
        <v>541</v>
      </c>
      <c r="D356" s="95" t="s">
        <v>542</v>
      </c>
      <c r="E356" s="94" t="s">
        <v>503</v>
      </c>
      <c r="F356" s="76">
        <v>1</v>
      </c>
      <c r="G356" s="94" t="s">
        <v>475</v>
      </c>
      <c r="H356" s="76">
        <v>1</v>
      </c>
      <c r="I356" s="95" t="s">
        <v>1364</v>
      </c>
      <c r="J356" s="94" t="s">
        <v>476</v>
      </c>
      <c r="K356" s="78">
        <v>46290</v>
      </c>
      <c r="L356" s="94" t="s">
        <v>477</v>
      </c>
    </row>
    <row r="357" spans="1:12" ht="29.15" x14ac:dyDescent="0.4">
      <c r="A357" s="94" t="s">
        <v>1266</v>
      </c>
      <c r="B357" s="94" t="s">
        <v>109</v>
      </c>
      <c r="C357" s="94" t="s">
        <v>541</v>
      </c>
      <c r="D357" s="95" t="s">
        <v>542</v>
      </c>
      <c r="E357" s="94" t="s">
        <v>504</v>
      </c>
      <c r="F357" s="76">
        <v>1</v>
      </c>
      <c r="G357" s="94" t="s">
        <v>475</v>
      </c>
      <c r="H357" s="76">
        <v>1</v>
      </c>
      <c r="I357" s="95" t="s">
        <v>1364</v>
      </c>
      <c r="J357" s="94" t="s">
        <v>476</v>
      </c>
      <c r="K357" s="78">
        <v>46290</v>
      </c>
      <c r="L357" s="94" t="s">
        <v>477</v>
      </c>
    </row>
    <row r="358" spans="1:12" ht="29.15" x14ac:dyDescent="0.4">
      <c r="A358" s="94" t="s">
        <v>1266</v>
      </c>
      <c r="B358" s="94" t="s">
        <v>109</v>
      </c>
      <c r="C358" s="94" t="s">
        <v>541</v>
      </c>
      <c r="D358" s="95" t="s">
        <v>542</v>
      </c>
      <c r="E358" s="94" t="s">
        <v>505</v>
      </c>
      <c r="F358" s="76">
        <v>2</v>
      </c>
      <c r="G358" s="94" t="s">
        <v>475</v>
      </c>
      <c r="H358" s="76">
        <v>2</v>
      </c>
      <c r="I358" s="95" t="s">
        <v>1364</v>
      </c>
      <c r="J358" s="94" t="s">
        <v>476</v>
      </c>
      <c r="K358" s="78">
        <v>46290</v>
      </c>
      <c r="L358" s="94" t="s">
        <v>477</v>
      </c>
    </row>
    <row r="359" spans="1:12" ht="29.15" x14ac:dyDescent="0.4">
      <c r="A359" s="94" t="s">
        <v>1266</v>
      </c>
      <c r="B359" s="94" t="s">
        <v>109</v>
      </c>
      <c r="C359" s="94" t="s">
        <v>543</v>
      </c>
      <c r="D359" s="95" t="s">
        <v>544</v>
      </c>
      <c r="E359" s="94" t="s">
        <v>503</v>
      </c>
      <c r="F359" s="76">
        <v>2.5</v>
      </c>
      <c r="G359" s="94" t="s">
        <v>475</v>
      </c>
      <c r="H359" s="76">
        <v>2.5</v>
      </c>
      <c r="I359" s="95" t="s">
        <v>1364</v>
      </c>
      <c r="J359" s="94" t="s">
        <v>476</v>
      </c>
      <c r="K359" s="78">
        <v>46290</v>
      </c>
      <c r="L359" s="94" t="s">
        <v>477</v>
      </c>
    </row>
    <row r="360" spans="1:12" ht="29.15" x14ac:dyDescent="0.4">
      <c r="A360" s="94" t="s">
        <v>1266</v>
      </c>
      <c r="B360" s="94" t="s">
        <v>109</v>
      </c>
      <c r="C360" s="94" t="s">
        <v>543</v>
      </c>
      <c r="D360" s="95" t="s">
        <v>544</v>
      </c>
      <c r="E360" s="94" t="s">
        <v>504</v>
      </c>
      <c r="F360" s="76">
        <v>4</v>
      </c>
      <c r="G360" s="94" t="s">
        <v>475</v>
      </c>
      <c r="H360" s="76">
        <v>4</v>
      </c>
      <c r="I360" s="95" t="s">
        <v>1364</v>
      </c>
      <c r="J360" s="94" t="s">
        <v>476</v>
      </c>
      <c r="K360" s="78">
        <v>46290</v>
      </c>
      <c r="L360" s="94" t="s">
        <v>477</v>
      </c>
    </row>
    <row r="361" spans="1:12" ht="29.15" x14ac:dyDescent="0.4">
      <c r="A361" s="94" t="s">
        <v>1266</v>
      </c>
      <c r="B361" s="94" t="s">
        <v>109</v>
      </c>
      <c r="C361" s="94" t="s">
        <v>543</v>
      </c>
      <c r="D361" s="95" t="s">
        <v>544</v>
      </c>
      <c r="E361" s="94" t="s">
        <v>505</v>
      </c>
      <c r="F361" s="76">
        <v>12</v>
      </c>
      <c r="G361" s="94" t="s">
        <v>475</v>
      </c>
      <c r="H361" s="76">
        <v>12</v>
      </c>
      <c r="I361" s="95" t="s">
        <v>1364</v>
      </c>
      <c r="J361" s="94" t="s">
        <v>476</v>
      </c>
      <c r="K361" s="78">
        <v>46290</v>
      </c>
      <c r="L361" s="94" t="s">
        <v>477</v>
      </c>
    </row>
    <row r="362" spans="1:12" ht="29.15" x14ac:dyDescent="0.4">
      <c r="A362" s="94" t="s">
        <v>1266</v>
      </c>
      <c r="B362" s="94" t="s">
        <v>109</v>
      </c>
      <c r="C362" s="94" t="s">
        <v>545</v>
      </c>
      <c r="D362" s="95" t="s">
        <v>546</v>
      </c>
      <c r="E362" s="94" t="s">
        <v>503</v>
      </c>
      <c r="F362" s="76">
        <v>2</v>
      </c>
      <c r="G362" s="94" t="s">
        <v>475</v>
      </c>
      <c r="H362" s="76">
        <v>2</v>
      </c>
      <c r="I362" s="95" t="s">
        <v>1364</v>
      </c>
      <c r="J362" s="94" t="s">
        <v>476</v>
      </c>
      <c r="K362" s="78">
        <v>46290</v>
      </c>
      <c r="L362" s="94" t="s">
        <v>477</v>
      </c>
    </row>
    <row r="363" spans="1:12" ht="29.15" x14ac:dyDescent="0.4">
      <c r="A363" s="94" t="s">
        <v>1266</v>
      </c>
      <c r="B363" s="94" t="s">
        <v>109</v>
      </c>
      <c r="C363" s="94" t="s">
        <v>545</v>
      </c>
      <c r="D363" s="95" t="s">
        <v>546</v>
      </c>
      <c r="E363" s="94" t="s">
        <v>504</v>
      </c>
      <c r="F363" s="76">
        <v>2</v>
      </c>
      <c r="G363" s="94" t="s">
        <v>475</v>
      </c>
      <c r="H363" s="76">
        <v>2</v>
      </c>
      <c r="I363" s="95" t="s">
        <v>1364</v>
      </c>
      <c r="J363" s="94" t="s">
        <v>476</v>
      </c>
      <c r="K363" s="78">
        <v>46290</v>
      </c>
      <c r="L363" s="94" t="s">
        <v>477</v>
      </c>
    </row>
    <row r="364" spans="1:12" ht="29.15" x14ac:dyDescent="0.4">
      <c r="A364" s="94" t="s">
        <v>1266</v>
      </c>
      <c r="B364" s="94" t="s">
        <v>109</v>
      </c>
      <c r="C364" s="94" t="s">
        <v>545</v>
      </c>
      <c r="D364" s="95" t="s">
        <v>546</v>
      </c>
      <c r="E364" s="94" t="s">
        <v>505</v>
      </c>
      <c r="F364" s="76">
        <v>5</v>
      </c>
      <c r="G364" s="94" t="s">
        <v>475</v>
      </c>
      <c r="H364" s="76">
        <v>5</v>
      </c>
      <c r="I364" s="95" t="s">
        <v>1364</v>
      </c>
      <c r="J364" s="94" t="s">
        <v>476</v>
      </c>
      <c r="K364" s="78">
        <v>46290</v>
      </c>
      <c r="L364" s="94" t="s">
        <v>477</v>
      </c>
    </row>
    <row r="365" spans="1:12" x14ac:dyDescent="0.4">
      <c r="A365" s="94" t="s">
        <v>1266</v>
      </c>
      <c r="B365" s="94" t="s">
        <v>109</v>
      </c>
      <c r="C365" s="94" t="s">
        <v>547</v>
      </c>
      <c r="D365" s="95" t="s">
        <v>548</v>
      </c>
      <c r="E365" s="94" t="s">
        <v>503</v>
      </c>
      <c r="F365" s="76">
        <v>22</v>
      </c>
      <c r="G365" s="94" t="s">
        <v>475</v>
      </c>
      <c r="H365" s="76">
        <v>22</v>
      </c>
      <c r="I365" s="95" t="s">
        <v>1364</v>
      </c>
      <c r="J365" s="94" t="s">
        <v>476</v>
      </c>
      <c r="K365" s="78">
        <v>46290</v>
      </c>
      <c r="L365" s="94" t="s">
        <v>477</v>
      </c>
    </row>
    <row r="366" spans="1:12" x14ac:dyDescent="0.4">
      <c r="A366" s="94" t="s">
        <v>1266</v>
      </c>
      <c r="B366" s="94" t="s">
        <v>109</v>
      </c>
      <c r="C366" s="94" t="s">
        <v>547</v>
      </c>
      <c r="D366" s="95" t="s">
        <v>548</v>
      </c>
      <c r="E366" s="94" t="s">
        <v>504</v>
      </c>
      <c r="F366" s="76">
        <v>20</v>
      </c>
      <c r="G366" s="94" t="s">
        <v>475</v>
      </c>
      <c r="H366" s="76">
        <v>20</v>
      </c>
      <c r="I366" s="95" t="s">
        <v>1364</v>
      </c>
      <c r="J366" s="94" t="s">
        <v>476</v>
      </c>
      <c r="K366" s="78">
        <v>46290</v>
      </c>
      <c r="L366" s="94" t="s">
        <v>477</v>
      </c>
    </row>
    <row r="367" spans="1:12" x14ac:dyDescent="0.4">
      <c r="A367" s="94" t="s">
        <v>1266</v>
      </c>
      <c r="B367" s="94" t="s">
        <v>109</v>
      </c>
      <c r="C367" s="94" t="s">
        <v>547</v>
      </c>
      <c r="D367" s="95" t="s">
        <v>548</v>
      </c>
      <c r="E367" s="94" t="s">
        <v>505</v>
      </c>
      <c r="F367" s="76">
        <v>50</v>
      </c>
      <c r="G367" s="94" t="s">
        <v>475</v>
      </c>
      <c r="H367" s="76">
        <v>50</v>
      </c>
      <c r="I367" s="95" t="s">
        <v>1364</v>
      </c>
      <c r="J367" s="94" t="s">
        <v>476</v>
      </c>
      <c r="K367" s="78">
        <v>46290</v>
      </c>
      <c r="L367" s="94" t="s">
        <v>477</v>
      </c>
    </row>
    <row r="368" spans="1:12" x14ac:dyDescent="0.4">
      <c r="A368" s="94" t="s">
        <v>1266</v>
      </c>
      <c r="B368" s="94" t="s">
        <v>109</v>
      </c>
      <c r="C368" s="94" t="s">
        <v>549</v>
      </c>
      <c r="D368" s="95" t="s">
        <v>550</v>
      </c>
      <c r="E368" s="94" t="s">
        <v>503</v>
      </c>
      <c r="F368" s="76">
        <v>5</v>
      </c>
      <c r="G368" s="94" t="s">
        <v>475</v>
      </c>
      <c r="H368" s="76">
        <v>5</v>
      </c>
      <c r="I368" s="95" t="s">
        <v>1364</v>
      </c>
      <c r="J368" s="94" t="s">
        <v>476</v>
      </c>
      <c r="K368" s="78">
        <v>46290</v>
      </c>
      <c r="L368" s="94" t="s">
        <v>477</v>
      </c>
    </row>
    <row r="369" spans="1:12" x14ac:dyDescent="0.4">
      <c r="A369" s="94" t="s">
        <v>1266</v>
      </c>
      <c r="B369" s="94" t="s">
        <v>109</v>
      </c>
      <c r="C369" s="94" t="s">
        <v>549</v>
      </c>
      <c r="D369" s="95" t="s">
        <v>550</v>
      </c>
      <c r="E369" s="94" t="s">
        <v>504</v>
      </c>
      <c r="F369" s="76">
        <v>5</v>
      </c>
      <c r="G369" s="94" t="s">
        <v>475</v>
      </c>
      <c r="H369" s="76">
        <v>5</v>
      </c>
      <c r="I369" s="95" t="s">
        <v>1364</v>
      </c>
      <c r="J369" s="94" t="s">
        <v>476</v>
      </c>
      <c r="K369" s="78">
        <v>46290</v>
      </c>
      <c r="L369" s="94" t="s">
        <v>477</v>
      </c>
    </row>
    <row r="370" spans="1:12" x14ac:dyDescent="0.4">
      <c r="A370" s="94" t="s">
        <v>1266</v>
      </c>
      <c r="B370" s="94" t="s">
        <v>109</v>
      </c>
      <c r="C370" s="94" t="s">
        <v>549</v>
      </c>
      <c r="D370" s="95" t="s">
        <v>550</v>
      </c>
      <c r="E370" s="94" t="s">
        <v>505</v>
      </c>
      <c r="F370" s="76">
        <v>15</v>
      </c>
      <c r="G370" s="94" t="s">
        <v>475</v>
      </c>
      <c r="H370" s="76">
        <v>15</v>
      </c>
      <c r="I370" s="95" t="s">
        <v>1364</v>
      </c>
      <c r="J370" s="94" t="s">
        <v>476</v>
      </c>
      <c r="K370" s="78">
        <v>46290</v>
      </c>
      <c r="L370" s="94" t="s">
        <v>477</v>
      </c>
    </row>
    <row r="371" spans="1:12" x14ac:dyDescent="0.4">
      <c r="A371" s="94" t="s">
        <v>1266</v>
      </c>
      <c r="B371" s="94" t="s">
        <v>109</v>
      </c>
      <c r="C371" s="94" t="s">
        <v>551</v>
      </c>
      <c r="D371" s="95" t="s">
        <v>552</v>
      </c>
      <c r="E371" s="94" t="s">
        <v>503</v>
      </c>
      <c r="F371" s="76">
        <v>0</v>
      </c>
      <c r="G371" s="94" t="s">
        <v>475</v>
      </c>
      <c r="H371" s="76">
        <v>0</v>
      </c>
      <c r="I371" s="95" t="s">
        <v>1364</v>
      </c>
      <c r="J371" s="94" t="s">
        <v>476</v>
      </c>
      <c r="K371" s="78">
        <v>46290</v>
      </c>
      <c r="L371" s="94" t="s">
        <v>477</v>
      </c>
    </row>
    <row r="372" spans="1:12" x14ac:dyDescent="0.4">
      <c r="A372" s="94" t="s">
        <v>1266</v>
      </c>
      <c r="B372" s="94" t="s">
        <v>109</v>
      </c>
      <c r="C372" s="94" t="s">
        <v>551</v>
      </c>
      <c r="D372" s="95" t="s">
        <v>552</v>
      </c>
      <c r="E372" s="94" t="s">
        <v>504</v>
      </c>
      <c r="F372" s="76">
        <v>1</v>
      </c>
      <c r="G372" s="94" t="s">
        <v>475</v>
      </c>
      <c r="H372" s="76">
        <v>1</v>
      </c>
      <c r="I372" s="95" t="s">
        <v>1364</v>
      </c>
      <c r="J372" s="94" t="s">
        <v>476</v>
      </c>
      <c r="K372" s="78">
        <v>46290</v>
      </c>
      <c r="L372" s="94" t="s">
        <v>477</v>
      </c>
    </row>
    <row r="373" spans="1:12" x14ac:dyDescent="0.4">
      <c r="A373" s="94" t="s">
        <v>1266</v>
      </c>
      <c r="B373" s="94" t="s">
        <v>109</v>
      </c>
      <c r="C373" s="94" t="s">
        <v>551</v>
      </c>
      <c r="D373" s="95" t="s">
        <v>552</v>
      </c>
      <c r="E373" s="94" t="s">
        <v>505</v>
      </c>
      <c r="F373" s="76">
        <v>3</v>
      </c>
      <c r="G373" s="94" t="s">
        <v>475</v>
      </c>
      <c r="H373" s="76">
        <v>3</v>
      </c>
      <c r="I373" s="95" t="s">
        <v>1364</v>
      </c>
      <c r="J373" s="94" t="s">
        <v>476</v>
      </c>
      <c r="K373" s="78">
        <v>46290</v>
      </c>
      <c r="L373" s="94" t="s">
        <v>477</v>
      </c>
    </row>
    <row r="374" spans="1:12" ht="29.15" x14ac:dyDescent="0.4">
      <c r="A374" s="94" t="s">
        <v>1266</v>
      </c>
      <c r="B374" s="94" t="s">
        <v>109</v>
      </c>
      <c r="C374" s="94" t="s">
        <v>553</v>
      </c>
      <c r="D374" s="95" t="s">
        <v>554</v>
      </c>
      <c r="E374" s="94" t="s">
        <v>503</v>
      </c>
      <c r="F374" s="76">
        <v>4.2</v>
      </c>
      <c r="G374" s="94" t="s">
        <v>475</v>
      </c>
      <c r="H374" s="76">
        <v>4.2</v>
      </c>
      <c r="I374" s="95" t="s">
        <v>1364</v>
      </c>
      <c r="J374" s="94" t="s">
        <v>476</v>
      </c>
      <c r="K374" s="78">
        <v>46290</v>
      </c>
      <c r="L374" s="94" t="s">
        <v>477</v>
      </c>
    </row>
    <row r="375" spans="1:12" ht="29.15" x14ac:dyDescent="0.4">
      <c r="A375" s="94" t="s">
        <v>1266</v>
      </c>
      <c r="B375" s="94" t="s">
        <v>109</v>
      </c>
      <c r="C375" s="94" t="s">
        <v>553</v>
      </c>
      <c r="D375" s="95" t="s">
        <v>554</v>
      </c>
      <c r="E375" s="94" t="s">
        <v>504</v>
      </c>
      <c r="F375" s="76">
        <v>2</v>
      </c>
      <c r="G375" s="94" t="s">
        <v>475</v>
      </c>
      <c r="H375" s="76">
        <v>2</v>
      </c>
      <c r="I375" s="95" t="s">
        <v>1364</v>
      </c>
      <c r="J375" s="94" t="s">
        <v>476</v>
      </c>
      <c r="K375" s="78">
        <v>46290</v>
      </c>
      <c r="L375" s="94" t="s">
        <v>477</v>
      </c>
    </row>
    <row r="376" spans="1:12" ht="29.15" x14ac:dyDescent="0.4">
      <c r="A376" s="94" t="s">
        <v>1266</v>
      </c>
      <c r="B376" s="94" t="s">
        <v>109</v>
      </c>
      <c r="C376" s="94" t="s">
        <v>553</v>
      </c>
      <c r="D376" s="95" t="s">
        <v>554</v>
      </c>
      <c r="E376" s="94" t="s">
        <v>505</v>
      </c>
      <c r="F376" s="76">
        <v>5</v>
      </c>
      <c r="G376" s="94" t="s">
        <v>475</v>
      </c>
      <c r="H376" s="76">
        <v>5</v>
      </c>
      <c r="I376" s="95" t="s">
        <v>1364</v>
      </c>
      <c r="J376" s="94" t="s">
        <v>476</v>
      </c>
      <c r="K376" s="78">
        <v>46290</v>
      </c>
      <c r="L376" s="94" t="s">
        <v>477</v>
      </c>
    </row>
    <row r="377" spans="1:12" ht="29.15" x14ac:dyDescent="0.4">
      <c r="A377" s="94" t="s">
        <v>1266</v>
      </c>
      <c r="B377" s="94" t="s">
        <v>109</v>
      </c>
      <c r="C377" s="94" t="s">
        <v>555</v>
      </c>
      <c r="D377" s="95" t="s">
        <v>556</v>
      </c>
      <c r="E377" s="94" t="s">
        <v>503</v>
      </c>
      <c r="F377" s="76">
        <v>9</v>
      </c>
      <c r="G377" s="94" t="s">
        <v>475</v>
      </c>
      <c r="H377" s="76">
        <v>9</v>
      </c>
      <c r="I377" s="95" t="s">
        <v>1364</v>
      </c>
      <c r="J377" s="94" t="s">
        <v>476</v>
      </c>
      <c r="K377" s="78">
        <v>46290</v>
      </c>
      <c r="L377" s="94" t="s">
        <v>477</v>
      </c>
    </row>
    <row r="378" spans="1:12" ht="29.15" x14ac:dyDescent="0.4">
      <c r="A378" s="94" t="s">
        <v>1266</v>
      </c>
      <c r="B378" s="94" t="s">
        <v>109</v>
      </c>
      <c r="C378" s="94" t="s">
        <v>555</v>
      </c>
      <c r="D378" s="95" t="s">
        <v>556</v>
      </c>
      <c r="E378" s="94" t="s">
        <v>504</v>
      </c>
      <c r="F378" s="76">
        <v>5</v>
      </c>
      <c r="G378" s="94" t="s">
        <v>475</v>
      </c>
      <c r="H378" s="76">
        <v>5</v>
      </c>
      <c r="I378" s="95" t="s">
        <v>1364</v>
      </c>
      <c r="J378" s="94" t="s">
        <v>476</v>
      </c>
      <c r="K378" s="78">
        <v>46290</v>
      </c>
      <c r="L378" s="94" t="s">
        <v>477</v>
      </c>
    </row>
    <row r="379" spans="1:12" ht="29.15" x14ac:dyDescent="0.4">
      <c r="A379" s="94" t="s">
        <v>1266</v>
      </c>
      <c r="B379" s="94" t="s">
        <v>109</v>
      </c>
      <c r="C379" s="94" t="s">
        <v>555</v>
      </c>
      <c r="D379" s="95" t="s">
        <v>556</v>
      </c>
      <c r="E379" s="94" t="s">
        <v>505</v>
      </c>
      <c r="F379" s="76">
        <v>15</v>
      </c>
      <c r="G379" s="94" t="s">
        <v>475</v>
      </c>
      <c r="H379" s="76">
        <v>15</v>
      </c>
      <c r="I379" s="95" t="s">
        <v>1364</v>
      </c>
      <c r="J379" s="94" t="s">
        <v>476</v>
      </c>
      <c r="K379" s="78">
        <v>46290</v>
      </c>
      <c r="L379" s="94" t="s">
        <v>477</v>
      </c>
    </row>
    <row r="380" spans="1:12" ht="29.15" x14ac:dyDescent="0.4">
      <c r="A380" s="94" t="s">
        <v>1266</v>
      </c>
      <c r="B380" s="94" t="s">
        <v>109</v>
      </c>
      <c r="C380" s="94" t="s">
        <v>557</v>
      </c>
      <c r="D380" s="95" t="s">
        <v>558</v>
      </c>
      <c r="E380" s="94" t="s">
        <v>503</v>
      </c>
      <c r="F380" s="76">
        <v>0</v>
      </c>
      <c r="G380" s="94" t="s">
        <v>475</v>
      </c>
      <c r="H380" s="76">
        <v>0</v>
      </c>
      <c r="I380" s="95" t="s">
        <v>1364</v>
      </c>
      <c r="J380" s="94" t="s">
        <v>476</v>
      </c>
      <c r="K380" s="78">
        <v>46290</v>
      </c>
      <c r="L380" s="94" t="s">
        <v>477</v>
      </c>
    </row>
    <row r="381" spans="1:12" ht="29.15" x14ac:dyDescent="0.4">
      <c r="A381" s="94" t="s">
        <v>1266</v>
      </c>
      <c r="B381" s="94" t="s">
        <v>109</v>
      </c>
      <c r="C381" s="94" t="s">
        <v>557</v>
      </c>
      <c r="D381" s="95" t="s">
        <v>558</v>
      </c>
      <c r="E381" s="94" t="s">
        <v>504</v>
      </c>
      <c r="F381" s="76">
        <v>1</v>
      </c>
      <c r="G381" s="94" t="s">
        <v>475</v>
      </c>
      <c r="H381" s="76">
        <v>1</v>
      </c>
      <c r="I381" s="95" t="s">
        <v>1364</v>
      </c>
      <c r="J381" s="94" t="s">
        <v>476</v>
      </c>
      <c r="K381" s="78">
        <v>46290</v>
      </c>
      <c r="L381" s="94" t="s">
        <v>477</v>
      </c>
    </row>
    <row r="382" spans="1:12" ht="29.15" x14ac:dyDescent="0.4">
      <c r="A382" s="94" t="s">
        <v>1266</v>
      </c>
      <c r="B382" s="94" t="s">
        <v>109</v>
      </c>
      <c r="C382" s="94" t="s">
        <v>557</v>
      </c>
      <c r="D382" s="95" t="s">
        <v>558</v>
      </c>
      <c r="E382" s="94" t="s">
        <v>505</v>
      </c>
      <c r="F382" s="76">
        <v>3</v>
      </c>
      <c r="G382" s="94" t="s">
        <v>475</v>
      </c>
      <c r="H382" s="76">
        <v>3</v>
      </c>
      <c r="I382" s="95" t="s">
        <v>1364</v>
      </c>
      <c r="J382" s="94" t="s">
        <v>476</v>
      </c>
      <c r="K382" s="78">
        <v>46290</v>
      </c>
      <c r="L382" s="94" t="s">
        <v>477</v>
      </c>
    </row>
    <row r="383" spans="1:12" ht="29.15" x14ac:dyDescent="0.4">
      <c r="A383" s="94" t="s">
        <v>1266</v>
      </c>
      <c r="B383" s="94" t="s">
        <v>109</v>
      </c>
      <c r="C383" s="94" t="s">
        <v>559</v>
      </c>
      <c r="D383" s="95" t="s">
        <v>560</v>
      </c>
      <c r="E383" s="94" t="s">
        <v>503</v>
      </c>
      <c r="F383" s="76">
        <v>1.9</v>
      </c>
      <c r="G383" s="94" t="s">
        <v>475</v>
      </c>
      <c r="H383" s="76">
        <v>1.9</v>
      </c>
      <c r="I383" s="95" t="s">
        <v>1364</v>
      </c>
      <c r="J383" s="94" t="s">
        <v>476</v>
      </c>
      <c r="K383" s="78">
        <v>46290</v>
      </c>
      <c r="L383" s="94" t="s">
        <v>477</v>
      </c>
    </row>
    <row r="384" spans="1:12" ht="29.15" x14ac:dyDescent="0.4">
      <c r="A384" s="94" t="s">
        <v>1266</v>
      </c>
      <c r="B384" s="94" t="s">
        <v>109</v>
      </c>
      <c r="C384" s="94" t="s">
        <v>559</v>
      </c>
      <c r="D384" s="95" t="s">
        <v>560</v>
      </c>
      <c r="E384" s="94" t="s">
        <v>504</v>
      </c>
      <c r="F384" s="76">
        <v>2</v>
      </c>
      <c r="G384" s="94" t="s">
        <v>475</v>
      </c>
      <c r="H384" s="76">
        <v>2</v>
      </c>
      <c r="I384" s="95" t="s">
        <v>1364</v>
      </c>
      <c r="J384" s="94" t="s">
        <v>476</v>
      </c>
      <c r="K384" s="78">
        <v>46290</v>
      </c>
      <c r="L384" s="94" t="s">
        <v>477</v>
      </c>
    </row>
    <row r="385" spans="1:12" ht="29.15" x14ac:dyDescent="0.4">
      <c r="A385" s="94" t="s">
        <v>1266</v>
      </c>
      <c r="B385" s="94" t="s">
        <v>109</v>
      </c>
      <c r="C385" s="94" t="s">
        <v>559</v>
      </c>
      <c r="D385" s="95" t="s">
        <v>560</v>
      </c>
      <c r="E385" s="94" t="s">
        <v>505</v>
      </c>
      <c r="F385" s="76">
        <v>5</v>
      </c>
      <c r="G385" s="94" t="s">
        <v>475</v>
      </c>
      <c r="H385" s="76">
        <v>5</v>
      </c>
      <c r="I385" s="95" t="s">
        <v>1364</v>
      </c>
      <c r="J385" s="94" t="s">
        <v>476</v>
      </c>
      <c r="K385" s="78">
        <v>46290</v>
      </c>
      <c r="L385" s="94" t="s">
        <v>477</v>
      </c>
    </row>
    <row r="386" spans="1:12" ht="29.15" x14ac:dyDescent="0.4">
      <c r="A386" s="94" t="s">
        <v>1266</v>
      </c>
      <c r="B386" s="94" t="s">
        <v>109</v>
      </c>
      <c r="C386" s="94" t="s">
        <v>561</v>
      </c>
      <c r="D386" s="95" t="s">
        <v>562</v>
      </c>
      <c r="E386" s="94" t="s">
        <v>503</v>
      </c>
      <c r="F386" s="76">
        <v>4</v>
      </c>
      <c r="G386" s="94" t="s">
        <v>475</v>
      </c>
      <c r="H386" s="76">
        <v>4</v>
      </c>
      <c r="I386" s="95" t="s">
        <v>1364</v>
      </c>
      <c r="J386" s="94" t="s">
        <v>476</v>
      </c>
      <c r="K386" s="78">
        <v>46290</v>
      </c>
      <c r="L386" s="94" t="s">
        <v>477</v>
      </c>
    </row>
    <row r="387" spans="1:12" ht="29.15" x14ac:dyDescent="0.4">
      <c r="A387" s="94" t="s">
        <v>1266</v>
      </c>
      <c r="B387" s="94" t="s">
        <v>109</v>
      </c>
      <c r="C387" s="94" t="s">
        <v>561</v>
      </c>
      <c r="D387" s="95" t="s">
        <v>562</v>
      </c>
      <c r="E387" s="94" t="s">
        <v>504</v>
      </c>
      <c r="F387" s="76">
        <v>2</v>
      </c>
      <c r="G387" s="94" t="s">
        <v>475</v>
      </c>
      <c r="H387" s="76">
        <v>2</v>
      </c>
      <c r="I387" s="95" t="s">
        <v>1364</v>
      </c>
      <c r="J387" s="94" t="s">
        <v>476</v>
      </c>
      <c r="K387" s="78">
        <v>46290</v>
      </c>
      <c r="L387" s="94" t="s">
        <v>477</v>
      </c>
    </row>
    <row r="388" spans="1:12" ht="29.15" x14ac:dyDescent="0.4">
      <c r="A388" s="94" t="s">
        <v>1266</v>
      </c>
      <c r="B388" s="94" t="s">
        <v>109</v>
      </c>
      <c r="C388" s="94" t="s">
        <v>561</v>
      </c>
      <c r="D388" s="95" t="s">
        <v>562</v>
      </c>
      <c r="E388" s="94" t="s">
        <v>505</v>
      </c>
      <c r="F388" s="76">
        <v>6</v>
      </c>
      <c r="G388" s="94" t="s">
        <v>475</v>
      </c>
      <c r="H388" s="76">
        <v>6</v>
      </c>
      <c r="I388" s="95" t="s">
        <v>1364</v>
      </c>
      <c r="J388" s="94" t="s">
        <v>476</v>
      </c>
      <c r="K388" s="78">
        <v>46290</v>
      </c>
      <c r="L388" s="94" t="s">
        <v>477</v>
      </c>
    </row>
    <row r="389" spans="1:12" ht="29.15" x14ac:dyDescent="0.4">
      <c r="A389" s="94" t="s">
        <v>1266</v>
      </c>
      <c r="B389" s="94" t="s">
        <v>109</v>
      </c>
      <c r="C389" s="94" t="s">
        <v>563</v>
      </c>
      <c r="D389" s="95" t="s">
        <v>564</v>
      </c>
      <c r="E389" s="94" t="s">
        <v>503</v>
      </c>
      <c r="F389" s="76">
        <v>45</v>
      </c>
      <c r="G389" s="94" t="s">
        <v>475</v>
      </c>
      <c r="H389" s="76">
        <v>45</v>
      </c>
      <c r="I389" s="95" t="s">
        <v>1364</v>
      </c>
      <c r="J389" s="94" t="s">
        <v>476</v>
      </c>
      <c r="K389" s="78">
        <v>46290</v>
      </c>
      <c r="L389" s="94" t="s">
        <v>477</v>
      </c>
    </row>
    <row r="390" spans="1:12" ht="29.15" x14ac:dyDescent="0.4">
      <c r="A390" s="94" t="s">
        <v>1266</v>
      </c>
      <c r="B390" s="94" t="s">
        <v>109</v>
      </c>
      <c r="C390" s="94" t="s">
        <v>563</v>
      </c>
      <c r="D390" s="95" t="s">
        <v>564</v>
      </c>
      <c r="E390" s="94" t="s">
        <v>504</v>
      </c>
      <c r="F390" s="76">
        <v>20</v>
      </c>
      <c r="G390" s="94" t="s">
        <v>475</v>
      </c>
      <c r="H390" s="76">
        <v>20</v>
      </c>
      <c r="I390" s="95" t="s">
        <v>1364</v>
      </c>
      <c r="J390" s="94" t="s">
        <v>476</v>
      </c>
      <c r="K390" s="78">
        <v>46290</v>
      </c>
      <c r="L390" s="94" t="s">
        <v>477</v>
      </c>
    </row>
    <row r="391" spans="1:12" ht="29.15" x14ac:dyDescent="0.4">
      <c r="A391" s="94" t="s">
        <v>1266</v>
      </c>
      <c r="B391" s="94" t="s">
        <v>109</v>
      </c>
      <c r="C391" s="94" t="s">
        <v>563</v>
      </c>
      <c r="D391" s="95" t="s">
        <v>564</v>
      </c>
      <c r="E391" s="94" t="s">
        <v>505</v>
      </c>
      <c r="F391" s="76">
        <v>50</v>
      </c>
      <c r="G391" s="94" t="s">
        <v>475</v>
      </c>
      <c r="H391" s="76">
        <v>50</v>
      </c>
      <c r="I391" s="95" t="s">
        <v>1364</v>
      </c>
      <c r="J391" s="94" t="s">
        <v>476</v>
      </c>
      <c r="K391" s="78">
        <v>46290</v>
      </c>
      <c r="L391" s="94" t="s">
        <v>477</v>
      </c>
    </row>
    <row r="392" spans="1:12" ht="29.15" x14ac:dyDescent="0.4">
      <c r="A392" s="94" t="s">
        <v>1266</v>
      </c>
      <c r="B392" s="94" t="s">
        <v>109</v>
      </c>
      <c r="C392" s="94" t="s">
        <v>565</v>
      </c>
      <c r="D392" s="95" t="s">
        <v>566</v>
      </c>
      <c r="E392" s="94" t="s">
        <v>503</v>
      </c>
      <c r="F392" s="76">
        <v>6</v>
      </c>
      <c r="G392" s="94" t="s">
        <v>475</v>
      </c>
      <c r="H392" s="76">
        <v>6</v>
      </c>
      <c r="I392" s="95" t="s">
        <v>1364</v>
      </c>
      <c r="J392" s="94" t="s">
        <v>476</v>
      </c>
      <c r="K392" s="78">
        <v>46290</v>
      </c>
      <c r="L392" s="94" t="s">
        <v>477</v>
      </c>
    </row>
    <row r="393" spans="1:12" ht="29.15" x14ac:dyDescent="0.4">
      <c r="A393" s="94" t="s">
        <v>1266</v>
      </c>
      <c r="B393" s="94" t="s">
        <v>109</v>
      </c>
      <c r="C393" s="94" t="s">
        <v>565</v>
      </c>
      <c r="D393" s="95" t="s">
        <v>566</v>
      </c>
      <c r="E393" s="94" t="s">
        <v>504</v>
      </c>
      <c r="F393" s="76">
        <v>3</v>
      </c>
      <c r="G393" s="94" t="s">
        <v>475</v>
      </c>
      <c r="H393" s="76">
        <v>3</v>
      </c>
      <c r="I393" s="95" t="s">
        <v>1364</v>
      </c>
      <c r="J393" s="94" t="s">
        <v>476</v>
      </c>
      <c r="K393" s="78">
        <v>46290</v>
      </c>
      <c r="L393" s="94" t="s">
        <v>477</v>
      </c>
    </row>
    <row r="394" spans="1:12" ht="29.15" x14ac:dyDescent="0.4">
      <c r="A394" s="94" t="s">
        <v>1266</v>
      </c>
      <c r="B394" s="94" t="s">
        <v>109</v>
      </c>
      <c r="C394" s="94" t="s">
        <v>565</v>
      </c>
      <c r="D394" s="95" t="s">
        <v>566</v>
      </c>
      <c r="E394" s="94" t="s">
        <v>505</v>
      </c>
      <c r="F394" s="76">
        <v>8</v>
      </c>
      <c r="G394" s="94" t="s">
        <v>475</v>
      </c>
      <c r="H394" s="76">
        <v>8</v>
      </c>
      <c r="I394" s="95" t="s">
        <v>1364</v>
      </c>
      <c r="J394" s="94" t="s">
        <v>476</v>
      </c>
      <c r="K394" s="78">
        <v>46290</v>
      </c>
      <c r="L394" s="94" t="s">
        <v>477</v>
      </c>
    </row>
    <row r="395" spans="1:12" ht="29.15" x14ac:dyDescent="0.4">
      <c r="A395" s="94" t="s">
        <v>1266</v>
      </c>
      <c r="B395" s="94" t="s">
        <v>109</v>
      </c>
      <c r="C395" s="94" t="s">
        <v>567</v>
      </c>
      <c r="D395" s="95" t="s">
        <v>568</v>
      </c>
      <c r="E395" s="94" t="s">
        <v>503</v>
      </c>
      <c r="F395" s="76">
        <v>5</v>
      </c>
      <c r="G395" s="94" t="s">
        <v>475</v>
      </c>
      <c r="H395" s="76">
        <v>5</v>
      </c>
      <c r="I395" s="95" t="s">
        <v>1364</v>
      </c>
      <c r="J395" s="94" t="s">
        <v>476</v>
      </c>
      <c r="K395" s="78">
        <v>46290</v>
      </c>
      <c r="L395" s="94" t="s">
        <v>477</v>
      </c>
    </row>
    <row r="396" spans="1:12" ht="29.15" x14ac:dyDescent="0.4">
      <c r="A396" s="94" t="s">
        <v>1266</v>
      </c>
      <c r="B396" s="94" t="s">
        <v>109</v>
      </c>
      <c r="C396" s="94" t="s">
        <v>567</v>
      </c>
      <c r="D396" s="95" t="s">
        <v>568</v>
      </c>
      <c r="E396" s="94" t="s">
        <v>504</v>
      </c>
      <c r="F396" s="76">
        <v>2</v>
      </c>
      <c r="G396" s="94" t="s">
        <v>475</v>
      </c>
      <c r="H396" s="76">
        <v>2</v>
      </c>
      <c r="I396" s="95" t="s">
        <v>1364</v>
      </c>
      <c r="J396" s="94" t="s">
        <v>476</v>
      </c>
      <c r="K396" s="78">
        <v>46290</v>
      </c>
      <c r="L396" s="94" t="s">
        <v>477</v>
      </c>
    </row>
    <row r="397" spans="1:12" ht="29.15" x14ac:dyDescent="0.4">
      <c r="A397" s="94" t="s">
        <v>1266</v>
      </c>
      <c r="B397" s="94" t="s">
        <v>109</v>
      </c>
      <c r="C397" s="94" t="s">
        <v>567</v>
      </c>
      <c r="D397" s="95" t="s">
        <v>568</v>
      </c>
      <c r="E397" s="94" t="s">
        <v>505</v>
      </c>
      <c r="F397" s="76">
        <v>6</v>
      </c>
      <c r="G397" s="94" t="s">
        <v>475</v>
      </c>
      <c r="H397" s="76">
        <v>6</v>
      </c>
      <c r="I397" s="95" t="s">
        <v>1364</v>
      </c>
      <c r="J397" s="94" t="s">
        <v>476</v>
      </c>
      <c r="K397" s="78">
        <v>46290</v>
      </c>
      <c r="L397" s="94" t="s">
        <v>477</v>
      </c>
    </row>
    <row r="398" spans="1:12" ht="29.15" x14ac:dyDescent="0.4">
      <c r="A398" s="94" t="s">
        <v>1266</v>
      </c>
      <c r="B398" s="94" t="s">
        <v>109</v>
      </c>
      <c r="C398" s="94" t="s">
        <v>569</v>
      </c>
      <c r="D398" s="95" t="s">
        <v>570</v>
      </c>
      <c r="E398" s="94" t="s">
        <v>503</v>
      </c>
      <c r="F398" s="76">
        <v>2</v>
      </c>
      <c r="G398" s="94" t="s">
        <v>475</v>
      </c>
      <c r="H398" s="76">
        <v>2</v>
      </c>
      <c r="I398" s="95" t="s">
        <v>1364</v>
      </c>
      <c r="J398" s="94" t="s">
        <v>476</v>
      </c>
      <c r="K398" s="78">
        <v>46290</v>
      </c>
      <c r="L398" s="94" t="s">
        <v>477</v>
      </c>
    </row>
    <row r="399" spans="1:12" ht="29.15" x14ac:dyDescent="0.4">
      <c r="A399" s="94" t="s">
        <v>1266</v>
      </c>
      <c r="B399" s="94" t="s">
        <v>109</v>
      </c>
      <c r="C399" s="94" t="s">
        <v>569</v>
      </c>
      <c r="D399" s="95" t="s">
        <v>570</v>
      </c>
      <c r="E399" s="94" t="s">
        <v>504</v>
      </c>
      <c r="F399" s="76">
        <v>1</v>
      </c>
      <c r="G399" s="94" t="s">
        <v>475</v>
      </c>
      <c r="H399" s="76">
        <v>1</v>
      </c>
      <c r="I399" s="95" t="s">
        <v>1364</v>
      </c>
      <c r="J399" s="94" t="s">
        <v>476</v>
      </c>
      <c r="K399" s="78">
        <v>46290</v>
      </c>
      <c r="L399" s="94" t="s">
        <v>477</v>
      </c>
    </row>
    <row r="400" spans="1:12" ht="29.15" x14ac:dyDescent="0.4">
      <c r="A400" s="94" t="s">
        <v>1266</v>
      </c>
      <c r="B400" s="94" t="s">
        <v>109</v>
      </c>
      <c r="C400" s="94" t="s">
        <v>569</v>
      </c>
      <c r="D400" s="95" t="s">
        <v>570</v>
      </c>
      <c r="E400" s="94" t="s">
        <v>505</v>
      </c>
      <c r="F400" s="76">
        <v>3</v>
      </c>
      <c r="G400" s="94" t="s">
        <v>475</v>
      </c>
      <c r="H400" s="76">
        <v>3</v>
      </c>
      <c r="I400" s="95" t="s">
        <v>1364</v>
      </c>
      <c r="J400" s="94" t="s">
        <v>476</v>
      </c>
      <c r="K400" s="78">
        <v>46290</v>
      </c>
      <c r="L400" s="94" t="s">
        <v>477</v>
      </c>
    </row>
    <row r="401" spans="1:12" ht="29.15" x14ac:dyDescent="0.4">
      <c r="A401" s="94" t="s">
        <v>1266</v>
      </c>
      <c r="B401" s="94" t="s">
        <v>109</v>
      </c>
      <c r="C401" s="94" t="s">
        <v>571</v>
      </c>
      <c r="D401" s="95" t="s">
        <v>572</v>
      </c>
      <c r="E401" s="94" t="s">
        <v>503</v>
      </c>
      <c r="F401" s="76">
        <v>12</v>
      </c>
      <c r="G401" s="94" t="s">
        <v>475</v>
      </c>
      <c r="H401" s="76">
        <v>12</v>
      </c>
      <c r="I401" s="95" t="s">
        <v>1364</v>
      </c>
      <c r="J401" s="94" t="s">
        <v>476</v>
      </c>
      <c r="K401" s="78">
        <v>46290</v>
      </c>
      <c r="L401" s="94" t="s">
        <v>477</v>
      </c>
    </row>
    <row r="402" spans="1:12" ht="29.15" x14ac:dyDescent="0.4">
      <c r="A402" s="94" t="s">
        <v>1266</v>
      </c>
      <c r="B402" s="94" t="s">
        <v>109</v>
      </c>
      <c r="C402" s="94" t="s">
        <v>571</v>
      </c>
      <c r="D402" s="95" t="s">
        <v>572</v>
      </c>
      <c r="E402" s="94" t="s">
        <v>504</v>
      </c>
      <c r="F402" s="76">
        <v>10</v>
      </c>
      <c r="G402" s="94" t="s">
        <v>475</v>
      </c>
      <c r="H402" s="76">
        <v>10</v>
      </c>
      <c r="I402" s="95" t="s">
        <v>1364</v>
      </c>
      <c r="J402" s="94" t="s">
        <v>476</v>
      </c>
      <c r="K402" s="78">
        <v>46290</v>
      </c>
      <c r="L402" s="94" t="s">
        <v>477</v>
      </c>
    </row>
    <row r="403" spans="1:12" ht="29.15" x14ac:dyDescent="0.4">
      <c r="A403" s="94" t="s">
        <v>1266</v>
      </c>
      <c r="B403" s="94" t="s">
        <v>109</v>
      </c>
      <c r="C403" s="94" t="s">
        <v>571</v>
      </c>
      <c r="D403" s="95" t="s">
        <v>572</v>
      </c>
      <c r="E403" s="94" t="s">
        <v>505</v>
      </c>
      <c r="F403" s="76">
        <v>30</v>
      </c>
      <c r="G403" s="94" t="s">
        <v>475</v>
      </c>
      <c r="H403" s="76">
        <v>30</v>
      </c>
      <c r="I403" s="95" t="s">
        <v>1364</v>
      </c>
      <c r="J403" s="94" t="s">
        <v>476</v>
      </c>
      <c r="K403" s="78">
        <v>46290</v>
      </c>
      <c r="L403" s="94" t="s">
        <v>477</v>
      </c>
    </row>
    <row r="404" spans="1:12" ht="29.15" x14ac:dyDescent="0.4">
      <c r="A404" s="94" t="s">
        <v>1266</v>
      </c>
      <c r="B404" s="94" t="s">
        <v>109</v>
      </c>
      <c r="C404" s="94" t="s">
        <v>573</v>
      </c>
      <c r="D404" s="95" t="s">
        <v>574</v>
      </c>
      <c r="E404" s="94" t="s">
        <v>503</v>
      </c>
      <c r="F404" s="76">
        <v>4</v>
      </c>
      <c r="G404" s="94" t="s">
        <v>475</v>
      </c>
      <c r="H404" s="76">
        <v>4</v>
      </c>
      <c r="I404" s="95" t="s">
        <v>1364</v>
      </c>
      <c r="J404" s="94" t="s">
        <v>476</v>
      </c>
      <c r="K404" s="78">
        <v>46290</v>
      </c>
      <c r="L404" s="94" t="s">
        <v>477</v>
      </c>
    </row>
    <row r="405" spans="1:12" ht="29.15" x14ac:dyDescent="0.4">
      <c r="A405" s="94" t="s">
        <v>1266</v>
      </c>
      <c r="B405" s="94" t="s">
        <v>109</v>
      </c>
      <c r="C405" s="94" t="s">
        <v>573</v>
      </c>
      <c r="D405" s="95" t="s">
        <v>574</v>
      </c>
      <c r="E405" s="94" t="s">
        <v>504</v>
      </c>
      <c r="F405" s="76">
        <v>3</v>
      </c>
      <c r="G405" s="94" t="s">
        <v>475</v>
      </c>
      <c r="H405" s="76">
        <v>3</v>
      </c>
      <c r="I405" s="95" t="s">
        <v>1364</v>
      </c>
      <c r="J405" s="94" t="s">
        <v>476</v>
      </c>
      <c r="K405" s="78">
        <v>46290</v>
      </c>
      <c r="L405" s="94" t="s">
        <v>477</v>
      </c>
    </row>
    <row r="406" spans="1:12" ht="29.15" x14ac:dyDescent="0.4">
      <c r="A406" s="94" t="s">
        <v>1266</v>
      </c>
      <c r="B406" s="94" t="s">
        <v>109</v>
      </c>
      <c r="C406" s="94" t="s">
        <v>573</v>
      </c>
      <c r="D406" s="95" t="s">
        <v>574</v>
      </c>
      <c r="E406" s="94" t="s">
        <v>505</v>
      </c>
      <c r="F406" s="76">
        <v>10</v>
      </c>
      <c r="G406" s="94" t="s">
        <v>475</v>
      </c>
      <c r="H406" s="76">
        <v>10</v>
      </c>
      <c r="I406" s="95" t="s">
        <v>1364</v>
      </c>
      <c r="J406" s="94" t="s">
        <v>476</v>
      </c>
      <c r="K406" s="78">
        <v>46290</v>
      </c>
      <c r="L406" s="94" t="s">
        <v>477</v>
      </c>
    </row>
    <row r="407" spans="1:12" ht="29.15" x14ac:dyDescent="0.4">
      <c r="A407" s="94" t="s">
        <v>1266</v>
      </c>
      <c r="B407" s="94" t="s">
        <v>109</v>
      </c>
      <c r="C407" s="94" t="s">
        <v>575</v>
      </c>
      <c r="D407" s="95" t="s">
        <v>576</v>
      </c>
      <c r="E407" s="94" t="s">
        <v>503</v>
      </c>
      <c r="F407" s="76">
        <v>4.5</v>
      </c>
      <c r="G407" s="94" t="s">
        <v>475</v>
      </c>
      <c r="H407" s="76">
        <v>4.5</v>
      </c>
      <c r="I407" s="95" t="s">
        <v>1364</v>
      </c>
      <c r="J407" s="94" t="s">
        <v>476</v>
      </c>
      <c r="K407" s="78">
        <v>46290</v>
      </c>
      <c r="L407" s="94" t="s">
        <v>477</v>
      </c>
    </row>
    <row r="408" spans="1:12" ht="29.15" x14ac:dyDescent="0.4">
      <c r="A408" s="94" t="s">
        <v>1266</v>
      </c>
      <c r="B408" s="94" t="s">
        <v>109</v>
      </c>
      <c r="C408" s="94" t="s">
        <v>575</v>
      </c>
      <c r="D408" s="95" t="s">
        <v>576</v>
      </c>
      <c r="E408" s="94" t="s">
        <v>504</v>
      </c>
      <c r="F408" s="76">
        <v>4</v>
      </c>
      <c r="G408" s="94" t="s">
        <v>475</v>
      </c>
      <c r="H408" s="76">
        <v>4</v>
      </c>
      <c r="I408" s="95" t="s">
        <v>1364</v>
      </c>
      <c r="J408" s="94" t="s">
        <v>476</v>
      </c>
      <c r="K408" s="78">
        <v>46290</v>
      </c>
      <c r="L408" s="94" t="s">
        <v>477</v>
      </c>
    </row>
    <row r="409" spans="1:12" ht="29.15" x14ac:dyDescent="0.4">
      <c r="A409" s="94" t="s">
        <v>1266</v>
      </c>
      <c r="B409" s="94" t="s">
        <v>109</v>
      </c>
      <c r="C409" s="94" t="s">
        <v>575</v>
      </c>
      <c r="D409" s="95" t="s">
        <v>576</v>
      </c>
      <c r="E409" s="94" t="s">
        <v>505</v>
      </c>
      <c r="F409" s="76">
        <v>12</v>
      </c>
      <c r="G409" s="94" t="s">
        <v>475</v>
      </c>
      <c r="H409" s="76">
        <v>12</v>
      </c>
      <c r="I409" s="95" t="s">
        <v>1364</v>
      </c>
      <c r="J409" s="94" t="s">
        <v>476</v>
      </c>
      <c r="K409" s="78">
        <v>46290</v>
      </c>
      <c r="L409" s="94" t="s">
        <v>477</v>
      </c>
    </row>
    <row r="410" spans="1:12" ht="29.15" x14ac:dyDescent="0.4">
      <c r="A410" s="94" t="s">
        <v>1266</v>
      </c>
      <c r="B410" s="94" t="s">
        <v>109</v>
      </c>
      <c r="C410" s="94" t="s">
        <v>1302</v>
      </c>
      <c r="D410" s="95" t="s">
        <v>1303</v>
      </c>
      <c r="E410" s="94" t="s">
        <v>503</v>
      </c>
      <c r="F410" s="76"/>
      <c r="G410" s="94" t="s">
        <v>475</v>
      </c>
      <c r="H410" s="76"/>
      <c r="I410" s="95" t="s">
        <v>1364</v>
      </c>
      <c r="J410" s="94" t="s">
        <v>476</v>
      </c>
      <c r="K410" s="78">
        <v>46290</v>
      </c>
      <c r="L410" s="94" t="s">
        <v>477</v>
      </c>
    </row>
    <row r="411" spans="1:12" ht="29.15" x14ac:dyDescent="0.4">
      <c r="A411" s="94" t="s">
        <v>1266</v>
      </c>
      <c r="B411" s="94" t="s">
        <v>109</v>
      </c>
      <c r="C411" s="94" t="s">
        <v>1302</v>
      </c>
      <c r="D411" s="95" t="s">
        <v>1303</v>
      </c>
      <c r="E411" s="94" t="s">
        <v>504</v>
      </c>
      <c r="F411" s="76">
        <v>1</v>
      </c>
      <c r="G411" s="94" t="s">
        <v>475</v>
      </c>
      <c r="H411" s="76">
        <v>1</v>
      </c>
      <c r="I411" s="95" t="s">
        <v>1364</v>
      </c>
      <c r="J411" s="94" t="s">
        <v>476</v>
      </c>
      <c r="K411" s="78">
        <v>46290</v>
      </c>
      <c r="L411" s="94" t="s">
        <v>477</v>
      </c>
    </row>
    <row r="412" spans="1:12" ht="29.15" x14ac:dyDescent="0.4">
      <c r="A412" s="94" t="s">
        <v>1266</v>
      </c>
      <c r="B412" s="94" t="s">
        <v>109</v>
      </c>
      <c r="C412" s="94" t="s">
        <v>1302</v>
      </c>
      <c r="D412" s="95" t="s">
        <v>1303</v>
      </c>
      <c r="E412" s="94" t="s">
        <v>505</v>
      </c>
      <c r="F412" s="76">
        <v>2</v>
      </c>
      <c r="G412" s="94" t="s">
        <v>475</v>
      </c>
      <c r="H412" s="76">
        <v>2</v>
      </c>
      <c r="I412" s="95" t="s">
        <v>1364</v>
      </c>
      <c r="J412" s="94" t="s">
        <v>476</v>
      </c>
      <c r="K412" s="78">
        <v>46290</v>
      </c>
      <c r="L412" s="94" t="s">
        <v>477</v>
      </c>
    </row>
    <row r="413" spans="1:12" ht="29.15" x14ac:dyDescent="0.4">
      <c r="A413" s="94" t="s">
        <v>1266</v>
      </c>
      <c r="B413" s="94" t="s">
        <v>442</v>
      </c>
      <c r="C413" s="94" t="s">
        <v>1323</v>
      </c>
      <c r="D413" s="95" t="s">
        <v>1324</v>
      </c>
      <c r="E413" s="94" t="s">
        <v>156</v>
      </c>
      <c r="F413" s="94" t="s">
        <v>579</v>
      </c>
      <c r="G413" s="94" t="s">
        <v>475</v>
      </c>
      <c r="H413" s="94" t="s">
        <v>579</v>
      </c>
      <c r="I413" s="95" t="s">
        <v>1364</v>
      </c>
      <c r="J413" s="94" t="s">
        <v>476</v>
      </c>
      <c r="K413" s="78">
        <v>46290</v>
      </c>
      <c r="L413" s="94" t="s">
        <v>477</v>
      </c>
    </row>
    <row r="414" spans="1:12" ht="29.15" x14ac:dyDescent="0.4">
      <c r="A414" s="94" t="s">
        <v>1266</v>
      </c>
      <c r="B414" s="94" t="s">
        <v>442</v>
      </c>
      <c r="C414" s="94" t="s">
        <v>1323</v>
      </c>
      <c r="D414" s="95" t="s">
        <v>1324</v>
      </c>
      <c r="E414" s="94" t="s">
        <v>444</v>
      </c>
      <c r="F414" s="94" t="s">
        <v>596</v>
      </c>
      <c r="G414" s="94" t="s">
        <v>475</v>
      </c>
      <c r="H414" s="94" t="s">
        <v>596</v>
      </c>
      <c r="I414" s="95" t="s">
        <v>1364</v>
      </c>
      <c r="J414" s="94" t="s">
        <v>476</v>
      </c>
      <c r="K414" s="78">
        <v>46290</v>
      </c>
      <c r="L414" s="94" t="s">
        <v>477</v>
      </c>
    </row>
    <row r="415" spans="1:12" ht="29.15" x14ac:dyDescent="0.4">
      <c r="A415" s="94" t="s">
        <v>1266</v>
      </c>
      <c r="B415" s="94" t="s">
        <v>442</v>
      </c>
      <c r="C415" s="94" t="s">
        <v>1326</v>
      </c>
      <c r="D415" s="95" t="s">
        <v>1327</v>
      </c>
      <c r="E415" s="94" t="s">
        <v>156</v>
      </c>
      <c r="F415" s="94" t="s">
        <v>1328</v>
      </c>
      <c r="G415" s="94" t="s">
        <v>475</v>
      </c>
      <c r="H415" s="94" t="s">
        <v>1328</v>
      </c>
      <c r="I415" s="95" t="s">
        <v>1364</v>
      </c>
      <c r="J415" s="94" t="s">
        <v>476</v>
      </c>
      <c r="K415" s="78">
        <v>46290</v>
      </c>
      <c r="L415" s="94" t="s">
        <v>477</v>
      </c>
    </row>
    <row r="416" spans="1:12" ht="29.15" x14ac:dyDescent="0.4">
      <c r="A416" s="94" t="s">
        <v>1266</v>
      </c>
      <c r="B416" s="94" t="s">
        <v>442</v>
      </c>
      <c r="C416" s="94" t="s">
        <v>1326</v>
      </c>
      <c r="D416" s="95" t="s">
        <v>1327</v>
      </c>
      <c r="E416" s="94" t="s">
        <v>444</v>
      </c>
      <c r="F416" s="94" t="s">
        <v>580</v>
      </c>
      <c r="G416" s="94" t="s">
        <v>475</v>
      </c>
      <c r="H416" s="94" t="s">
        <v>580</v>
      </c>
      <c r="I416" s="95" t="s">
        <v>1364</v>
      </c>
      <c r="J416" s="94" t="s">
        <v>476</v>
      </c>
      <c r="K416" s="78">
        <v>46290</v>
      </c>
      <c r="L416" s="94" t="s">
        <v>477</v>
      </c>
    </row>
    <row r="417" spans="1:12" ht="29.15" x14ac:dyDescent="0.4">
      <c r="A417" s="94" t="s">
        <v>1266</v>
      </c>
      <c r="B417" s="94" t="s">
        <v>442</v>
      </c>
      <c r="C417" s="94" t="s">
        <v>1331</v>
      </c>
      <c r="D417" s="95" t="s">
        <v>1332</v>
      </c>
      <c r="E417" s="94" t="s">
        <v>156</v>
      </c>
      <c r="F417" s="94" t="s">
        <v>583</v>
      </c>
      <c r="G417" s="94" t="s">
        <v>475</v>
      </c>
      <c r="H417" s="94" t="s">
        <v>583</v>
      </c>
      <c r="I417" s="95" t="s">
        <v>1364</v>
      </c>
      <c r="J417" s="94" t="s">
        <v>476</v>
      </c>
      <c r="K417" s="78">
        <v>46290</v>
      </c>
      <c r="L417" s="94" t="s">
        <v>477</v>
      </c>
    </row>
    <row r="418" spans="1:12" ht="29.15" x14ac:dyDescent="0.4">
      <c r="A418" s="94" t="s">
        <v>1266</v>
      </c>
      <c r="B418" s="94" t="s">
        <v>442</v>
      </c>
      <c r="C418" s="94" t="s">
        <v>1331</v>
      </c>
      <c r="D418" s="95" t="s">
        <v>1332</v>
      </c>
      <c r="E418" s="94" t="s">
        <v>444</v>
      </c>
      <c r="F418" s="94" t="s">
        <v>596</v>
      </c>
      <c r="G418" s="94" t="s">
        <v>475</v>
      </c>
      <c r="H418" s="94" t="s">
        <v>596</v>
      </c>
      <c r="I418" s="95" t="s">
        <v>1364</v>
      </c>
      <c r="J418" s="94" t="s">
        <v>476</v>
      </c>
      <c r="K418" s="78">
        <v>46290</v>
      </c>
      <c r="L418" s="94" t="s">
        <v>477</v>
      </c>
    </row>
    <row r="419" spans="1:12" ht="29.15" x14ac:dyDescent="0.4">
      <c r="A419" s="94" t="s">
        <v>1266</v>
      </c>
      <c r="B419" s="94" t="s">
        <v>442</v>
      </c>
      <c r="C419" s="94" t="s">
        <v>1334</v>
      </c>
      <c r="D419" s="95" t="s">
        <v>1335</v>
      </c>
      <c r="E419" s="94" t="s">
        <v>156</v>
      </c>
      <c r="F419" s="94" t="s">
        <v>1336</v>
      </c>
      <c r="G419" s="94" t="s">
        <v>475</v>
      </c>
      <c r="H419" s="94" t="s">
        <v>1336</v>
      </c>
      <c r="I419" s="95" t="s">
        <v>1364</v>
      </c>
      <c r="J419" s="94" t="s">
        <v>476</v>
      </c>
      <c r="K419" s="78">
        <v>46290</v>
      </c>
      <c r="L419" s="94" t="s">
        <v>477</v>
      </c>
    </row>
    <row r="420" spans="1:12" ht="29.15" x14ac:dyDescent="0.4">
      <c r="A420" s="94" t="s">
        <v>1266</v>
      </c>
      <c r="B420" s="94" t="s">
        <v>442</v>
      </c>
      <c r="C420" s="94" t="s">
        <v>1334</v>
      </c>
      <c r="D420" s="95" t="s">
        <v>1335</v>
      </c>
      <c r="E420" s="94" t="s">
        <v>444</v>
      </c>
      <c r="F420" s="94" t="s">
        <v>584</v>
      </c>
      <c r="G420" s="94" t="s">
        <v>475</v>
      </c>
      <c r="H420" s="94" t="s">
        <v>584</v>
      </c>
      <c r="I420" s="95" t="s">
        <v>1364</v>
      </c>
      <c r="J420" s="94" t="s">
        <v>476</v>
      </c>
      <c r="K420" s="78">
        <v>46290</v>
      </c>
      <c r="L420" s="94" t="s">
        <v>477</v>
      </c>
    </row>
    <row r="421" spans="1:12" ht="29.15" x14ac:dyDescent="0.4">
      <c r="A421" s="94" t="s">
        <v>1266</v>
      </c>
      <c r="B421" s="94" t="s">
        <v>442</v>
      </c>
      <c r="C421" s="94" t="s">
        <v>1338</v>
      </c>
      <c r="D421" s="95" t="s">
        <v>1339</v>
      </c>
      <c r="E421" s="94" t="s">
        <v>156</v>
      </c>
      <c r="F421" s="94" t="s">
        <v>587</v>
      </c>
      <c r="G421" s="94" t="s">
        <v>475</v>
      </c>
      <c r="H421" s="94" t="s">
        <v>587</v>
      </c>
      <c r="I421" s="95" t="s">
        <v>1364</v>
      </c>
      <c r="J421" s="94" t="s">
        <v>476</v>
      </c>
      <c r="K421" s="78">
        <v>46290</v>
      </c>
      <c r="L421" s="94" t="s">
        <v>477</v>
      </c>
    </row>
    <row r="422" spans="1:12" ht="29.15" x14ac:dyDescent="0.4">
      <c r="A422" s="94" t="s">
        <v>1266</v>
      </c>
      <c r="B422" s="94" t="s">
        <v>442</v>
      </c>
      <c r="C422" s="94" t="s">
        <v>1338</v>
      </c>
      <c r="D422" s="95" t="s">
        <v>1339</v>
      </c>
      <c r="E422" s="94" t="s">
        <v>444</v>
      </c>
      <c r="F422" s="94" t="s">
        <v>596</v>
      </c>
      <c r="G422" s="94" t="s">
        <v>475</v>
      </c>
      <c r="H422" s="94" t="s">
        <v>596</v>
      </c>
      <c r="I422" s="95" t="s">
        <v>1364</v>
      </c>
      <c r="J422" s="94" t="s">
        <v>476</v>
      </c>
      <c r="K422" s="78">
        <v>46290</v>
      </c>
      <c r="L422" s="94" t="s">
        <v>477</v>
      </c>
    </row>
    <row r="423" spans="1:12" ht="29.15" x14ac:dyDescent="0.4">
      <c r="A423" s="94" t="s">
        <v>1266</v>
      </c>
      <c r="B423" s="94" t="s">
        <v>442</v>
      </c>
      <c r="C423" s="94" t="s">
        <v>1341</v>
      </c>
      <c r="D423" s="95" t="s">
        <v>589</v>
      </c>
      <c r="E423" s="94" t="s">
        <v>156</v>
      </c>
      <c r="F423" s="94" t="s">
        <v>590</v>
      </c>
      <c r="G423" s="94" t="s">
        <v>475</v>
      </c>
      <c r="H423" s="94" t="s">
        <v>590</v>
      </c>
      <c r="I423" s="95" t="s">
        <v>1364</v>
      </c>
      <c r="J423" s="94" t="s">
        <v>476</v>
      </c>
      <c r="K423" s="78">
        <v>46290</v>
      </c>
      <c r="L423" s="94" t="s">
        <v>477</v>
      </c>
    </row>
    <row r="424" spans="1:12" ht="29.15" x14ac:dyDescent="0.4">
      <c r="A424" s="94" t="s">
        <v>1266</v>
      </c>
      <c r="B424" s="94" t="s">
        <v>442</v>
      </c>
      <c r="C424" s="94" t="s">
        <v>1341</v>
      </c>
      <c r="D424" s="95" t="s">
        <v>589</v>
      </c>
      <c r="E424" s="94" t="s">
        <v>444</v>
      </c>
      <c r="F424" s="94" t="s">
        <v>580</v>
      </c>
      <c r="G424" s="94" t="s">
        <v>475</v>
      </c>
      <c r="H424" s="94" t="s">
        <v>580</v>
      </c>
      <c r="I424" s="95" t="s">
        <v>1364</v>
      </c>
      <c r="J424" s="94" t="s">
        <v>476</v>
      </c>
      <c r="K424" s="78">
        <v>46290</v>
      </c>
      <c r="L424" s="94" t="s">
        <v>477</v>
      </c>
    </row>
    <row r="425" spans="1:12" ht="29.15" x14ac:dyDescent="0.4">
      <c r="A425" s="94" t="s">
        <v>1266</v>
      </c>
      <c r="B425" s="94" t="s">
        <v>442</v>
      </c>
      <c r="C425" s="94" t="s">
        <v>1342</v>
      </c>
      <c r="D425" s="95" t="s">
        <v>592</v>
      </c>
      <c r="E425" s="94" t="s">
        <v>156</v>
      </c>
      <c r="F425" s="94" t="s">
        <v>593</v>
      </c>
      <c r="G425" s="94" t="s">
        <v>475</v>
      </c>
      <c r="H425" s="94" t="s">
        <v>593</v>
      </c>
      <c r="I425" s="95" t="s">
        <v>1364</v>
      </c>
      <c r="J425" s="94" t="s">
        <v>476</v>
      </c>
      <c r="K425" s="78">
        <v>46290</v>
      </c>
      <c r="L425" s="94" t="s">
        <v>477</v>
      </c>
    </row>
    <row r="426" spans="1:12" ht="29.15" x14ac:dyDescent="0.4">
      <c r="A426" s="94" t="s">
        <v>1266</v>
      </c>
      <c r="B426" s="94" t="s">
        <v>442</v>
      </c>
      <c r="C426" s="94" t="s">
        <v>1342</v>
      </c>
      <c r="D426" s="95" t="s">
        <v>592</v>
      </c>
      <c r="E426" s="94" t="s">
        <v>444</v>
      </c>
      <c r="F426" s="94" t="s">
        <v>596</v>
      </c>
      <c r="G426" s="94" t="s">
        <v>475</v>
      </c>
      <c r="H426" s="94" t="s">
        <v>596</v>
      </c>
      <c r="I426" s="95" t="s">
        <v>1364</v>
      </c>
      <c r="J426" s="94" t="s">
        <v>476</v>
      </c>
      <c r="K426" s="78">
        <v>46290</v>
      </c>
      <c r="L426" s="94" t="s">
        <v>477</v>
      </c>
    </row>
    <row r="427" spans="1:12" ht="29.15" x14ac:dyDescent="0.4">
      <c r="A427" s="94" t="s">
        <v>1266</v>
      </c>
      <c r="B427" s="94" t="s">
        <v>442</v>
      </c>
      <c r="C427" s="94" t="s">
        <v>1344</v>
      </c>
      <c r="D427" s="95" t="s">
        <v>1345</v>
      </c>
      <c r="E427" s="94" t="s">
        <v>156</v>
      </c>
      <c r="F427" s="94" t="s">
        <v>1346</v>
      </c>
      <c r="G427" s="94" t="s">
        <v>475</v>
      </c>
      <c r="H427" s="94" t="s">
        <v>1346</v>
      </c>
      <c r="I427" s="95" t="s">
        <v>1364</v>
      </c>
      <c r="J427" s="94" t="s">
        <v>476</v>
      </c>
      <c r="K427" s="78">
        <v>46290</v>
      </c>
      <c r="L427" s="94" t="s">
        <v>477</v>
      </c>
    </row>
    <row r="428" spans="1:12" ht="29.15" x14ac:dyDescent="0.4">
      <c r="A428" s="94" t="s">
        <v>1266</v>
      </c>
      <c r="B428" s="94" t="s">
        <v>442</v>
      </c>
      <c r="C428" s="94" t="s">
        <v>1344</v>
      </c>
      <c r="D428" s="95" t="s">
        <v>1345</v>
      </c>
      <c r="E428" s="94" t="s">
        <v>444</v>
      </c>
      <c r="F428" s="94" t="s">
        <v>580</v>
      </c>
      <c r="G428" s="94" t="s">
        <v>475</v>
      </c>
      <c r="H428" s="94" t="s">
        <v>580</v>
      </c>
      <c r="I428" s="95" t="s">
        <v>1364</v>
      </c>
      <c r="J428" s="94" t="s">
        <v>476</v>
      </c>
      <c r="K428" s="78">
        <v>46290</v>
      </c>
      <c r="L428" s="94" t="s">
        <v>477</v>
      </c>
    </row>
    <row r="429" spans="1:12" ht="29.15" x14ac:dyDescent="0.4">
      <c r="A429" s="94" t="s">
        <v>1266</v>
      </c>
      <c r="B429" s="94" t="s">
        <v>442</v>
      </c>
      <c r="C429" s="94" t="s">
        <v>1349</v>
      </c>
      <c r="D429" s="95" t="s">
        <v>1350</v>
      </c>
      <c r="E429" s="94" t="s">
        <v>156</v>
      </c>
      <c r="F429" s="94" t="s">
        <v>599</v>
      </c>
      <c r="G429" s="94" t="s">
        <v>475</v>
      </c>
      <c r="H429" s="94" t="s">
        <v>599</v>
      </c>
      <c r="I429" s="95" t="s">
        <v>1364</v>
      </c>
      <c r="J429" s="94" t="s">
        <v>476</v>
      </c>
      <c r="K429" s="78">
        <v>46290</v>
      </c>
      <c r="L429" s="94" t="s">
        <v>477</v>
      </c>
    </row>
    <row r="430" spans="1:12" ht="29.15" x14ac:dyDescent="0.4">
      <c r="A430" s="94" t="s">
        <v>1266</v>
      </c>
      <c r="B430" s="94" t="s">
        <v>442</v>
      </c>
      <c r="C430" s="94" t="s">
        <v>1349</v>
      </c>
      <c r="D430" s="95" t="s">
        <v>1350</v>
      </c>
      <c r="E430" s="94" t="s">
        <v>444</v>
      </c>
      <c r="F430" s="94" t="s">
        <v>580</v>
      </c>
      <c r="G430" s="94" t="s">
        <v>475</v>
      </c>
      <c r="H430" s="94" t="s">
        <v>580</v>
      </c>
      <c r="I430" s="95" t="s">
        <v>1364</v>
      </c>
      <c r="J430" s="94" t="s">
        <v>476</v>
      </c>
      <c r="K430" s="78">
        <v>46290</v>
      </c>
      <c r="L430" s="94" t="s">
        <v>477</v>
      </c>
    </row>
    <row r="431" spans="1:12" ht="29.15" x14ac:dyDescent="0.4">
      <c r="A431" s="94" t="s">
        <v>1266</v>
      </c>
      <c r="B431" s="94" t="s">
        <v>442</v>
      </c>
      <c r="C431" s="94" t="s">
        <v>1352</v>
      </c>
      <c r="D431" s="95" t="s">
        <v>601</v>
      </c>
      <c r="E431" s="94" t="s">
        <v>156</v>
      </c>
      <c r="F431" s="94" t="s">
        <v>583</v>
      </c>
      <c r="G431" s="94" t="s">
        <v>475</v>
      </c>
      <c r="H431" s="94" t="s">
        <v>583</v>
      </c>
      <c r="I431" s="95" t="s">
        <v>1364</v>
      </c>
      <c r="J431" s="94" t="s">
        <v>476</v>
      </c>
      <c r="K431" s="78">
        <v>46290</v>
      </c>
      <c r="L431" s="94" t="s">
        <v>477</v>
      </c>
    </row>
    <row r="432" spans="1:12" ht="29.15" x14ac:dyDescent="0.4">
      <c r="A432" s="94" t="s">
        <v>1266</v>
      </c>
      <c r="B432" s="94" t="s">
        <v>442</v>
      </c>
      <c r="C432" s="94" t="s">
        <v>1352</v>
      </c>
      <c r="D432" s="95" t="s">
        <v>601</v>
      </c>
      <c r="E432" s="94" t="s">
        <v>444</v>
      </c>
      <c r="F432" s="94" t="s">
        <v>580</v>
      </c>
      <c r="G432" s="94" t="s">
        <v>475</v>
      </c>
      <c r="H432" s="94" t="s">
        <v>580</v>
      </c>
      <c r="I432" s="95" t="s">
        <v>1364</v>
      </c>
      <c r="J432" s="94" t="s">
        <v>476</v>
      </c>
      <c r="K432" s="78">
        <v>46290</v>
      </c>
      <c r="L432" s="94" t="s">
        <v>477</v>
      </c>
    </row>
    <row r="433" spans="1:12" ht="29.15" x14ac:dyDescent="0.4">
      <c r="A433" s="94" t="s">
        <v>1266</v>
      </c>
      <c r="B433" s="94" t="s">
        <v>442</v>
      </c>
      <c r="C433" s="94" t="s">
        <v>1353</v>
      </c>
      <c r="D433" s="95" t="s">
        <v>603</v>
      </c>
      <c r="E433" s="94" t="s">
        <v>156</v>
      </c>
      <c r="F433" s="94" t="s">
        <v>599</v>
      </c>
      <c r="G433" s="94" t="s">
        <v>594</v>
      </c>
      <c r="H433" s="76"/>
      <c r="I433" s="95" t="s">
        <v>1362</v>
      </c>
      <c r="J433" s="94" t="s">
        <v>476</v>
      </c>
      <c r="K433" s="78">
        <v>46290</v>
      </c>
      <c r="L433" s="94" t="s">
        <v>477</v>
      </c>
    </row>
    <row r="434" spans="1:12" ht="29.15" x14ac:dyDescent="0.4">
      <c r="A434" s="94" t="s">
        <v>1266</v>
      </c>
      <c r="B434" s="94" t="s">
        <v>442</v>
      </c>
      <c r="C434" s="94" t="s">
        <v>1353</v>
      </c>
      <c r="D434" s="95" t="s">
        <v>603</v>
      </c>
      <c r="E434" s="94" t="s">
        <v>444</v>
      </c>
      <c r="F434" s="94" t="s">
        <v>596</v>
      </c>
      <c r="G434" s="94" t="s">
        <v>475</v>
      </c>
      <c r="H434" s="94" t="s">
        <v>596</v>
      </c>
      <c r="I434" s="95" t="s">
        <v>1364</v>
      </c>
      <c r="J434" s="94" t="s">
        <v>476</v>
      </c>
      <c r="K434" s="78">
        <v>46290</v>
      </c>
      <c r="L434" s="94" t="s">
        <v>477</v>
      </c>
    </row>
    <row r="435" spans="1:12" ht="29.15" x14ac:dyDescent="0.4">
      <c r="A435" s="94" t="s">
        <v>1266</v>
      </c>
      <c r="B435" s="94" t="s">
        <v>442</v>
      </c>
      <c r="C435" s="94" t="s">
        <v>1354</v>
      </c>
      <c r="D435" s="95" t="s">
        <v>605</v>
      </c>
      <c r="E435" s="94" t="s">
        <v>156</v>
      </c>
      <c r="F435" s="94" t="s">
        <v>587</v>
      </c>
      <c r="G435" s="94" t="s">
        <v>475</v>
      </c>
      <c r="H435" s="94" t="s">
        <v>587</v>
      </c>
      <c r="I435" s="95" t="s">
        <v>1364</v>
      </c>
      <c r="J435" s="94" t="s">
        <v>476</v>
      </c>
      <c r="K435" s="78">
        <v>46290</v>
      </c>
      <c r="L435" s="94" t="s">
        <v>477</v>
      </c>
    </row>
    <row r="436" spans="1:12" ht="29.15" x14ac:dyDescent="0.4">
      <c r="A436" s="94" t="s">
        <v>1266</v>
      </c>
      <c r="B436" s="94" t="s">
        <v>442</v>
      </c>
      <c r="C436" s="94" t="s">
        <v>1354</v>
      </c>
      <c r="D436" s="95" t="s">
        <v>605</v>
      </c>
      <c r="E436" s="94" t="s">
        <v>444</v>
      </c>
      <c r="F436" s="94" t="s">
        <v>584</v>
      </c>
      <c r="G436" s="94" t="s">
        <v>475</v>
      </c>
      <c r="H436" s="94" t="s">
        <v>584</v>
      </c>
      <c r="I436" s="95" t="s">
        <v>1364</v>
      </c>
      <c r="J436" s="94" t="s">
        <v>476</v>
      </c>
      <c r="K436" s="78">
        <v>46290</v>
      </c>
      <c r="L436" s="94" t="s">
        <v>477</v>
      </c>
    </row>
    <row r="437" spans="1:12" ht="29.15" x14ac:dyDescent="0.4">
      <c r="A437" s="94" t="s">
        <v>1266</v>
      </c>
      <c r="B437" s="94" t="s">
        <v>442</v>
      </c>
      <c r="C437" s="94" t="s">
        <v>1355</v>
      </c>
      <c r="D437" s="95" t="s">
        <v>607</v>
      </c>
      <c r="E437" s="94" t="s">
        <v>156</v>
      </c>
      <c r="F437" s="94" t="s">
        <v>608</v>
      </c>
      <c r="G437" s="94" t="s">
        <v>475</v>
      </c>
      <c r="H437" s="94" t="s">
        <v>608</v>
      </c>
      <c r="I437" s="95" t="s">
        <v>1364</v>
      </c>
      <c r="J437" s="94" t="s">
        <v>476</v>
      </c>
      <c r="K437" s="78">
        <v>46290</v>
      </c>
      <c r="L437" s="94" t="s">
        <v>477</v>
      </c>
    </row>
    <row r="438" spans="1:12" ht="29.15" x14ac:dyDescent="0.4">
      <c r="A438" s="94" t="s">
        <v>1266</v>
      </c>
      <c r="B438" s="94" t="s">
        <v>442</v>
      </c>
      <c r="C438" s="94" t="s">
        <v>1355</v>
      </c>
      <c r="D438" s="95" t="s">
        <v>607</v>
      </c>
      <c r="E438" s="94" t="s">
        <v>444</v>
      </c>
      <c r="F438" s="94" t="s">
        <v>596</v>
      </c>
      <c r="G438" s="94" t="s">
        <v>475</v>
      </c>
      <c r="H438" s="94" t="s">
        <v>596</v>
      </c>
      <c r="I438" s="95" t="s">
        <v>1364</v>
      </c>
      <c r="J438" s="94" t="s">
        <v>476</v>
      </c>
      <c r="K438" s="78">
        <v>46290</v>
      </c>
      <c r="L438" s="94" t="s">
        <v>477</v>
      </c>
    </row>
    <row r="439" spans="1:12" ht="29.15" x14ac:dyDescent="0.4">
      <c r="A439" s="94" t="s">
        <v>1266</v>
      </c>
      <c r="B439" s="94" t="s">
        <v>442</v>
      </c>
      <c r="C439" s="94" t="s">
        <v>1356</v>
      </c>
      <c r="D439" s="95" t="s">
        <v>610</v>
      </c>
      <c r="E439" s="94" t="s">
        <v>156</v>
      </c>
      <c r="F439" s="94" t="s">
        <v>611</v>
      </c>
      <c r="G439" s="94" t="s">
        <v>475</v>
      </c>
      <c r="H439" s="94" t="s">
        <v>611</v>
      </c>
      <c r="I439" s="95" t="s">
        <v>1364</v>
      </c>
      <c r="J439" s="94" t="s">
        <v>476</v>
      </c>
      <c r="K439" s="78">
        <v>46290</v>
      </c>
      <c r="L439" s="94" t="s">
        <v>477</v>
      </c>
    </row>
    <row r="440" spans="1:12" ht="29.15" x14ac:dyDescent="0.4">
      <c r="A440" s="94" t="s">
        <v>1266</v>
      </c>
      <c r="B440" s="94" t="s">
        <v>442</v>
      </c>
      <c r="C440" s="94" t="s">
        <v>1356</v>
      </c>
      <c r="D440" s="95" t="s">
        <v>610</v>
      </c>
      <c r="E440" s="94" t="s">
        <v>444</v>
      </c>
      <c r="F440" s="94" t="s">
        <v>584</v>
      </c>
      <c r="G440" s="94" t="s">
        <v>475</v>
      </c>
      <c r="H440" s="94" t="s">
        <v>584</v>
      </c>
      <c r="I440" s="95" t="s">
        <v>1364</v>
      </c>
      <c r="J440" s="94" t="s">
        <v>476</v>
      </c>
      <c r="K440" s="78">
        <v>46290</v>
      </c>
      <c r="L440" s="94" t="s">
        <v>477</v>
      </c>
    </row>
    <row r="441" spans="1:12" ht="29.15" x14ac:dyDescent="0.4">
      <c r="A441" s="94" t="s">
        <v>1266</v>
      </c>
      <c r="B441" s="94" t="s">
        <v>442</v>
      </c>
      <c r="C441" s="94" t="s">
        <v>1357</v>
      </c>
      <c r="D441" s="95" t="s">
        <v>613</v>
      </c>
      <c r="E441" s="94" t="s">
        <v>156</v>
      </c>
      <c r="F441" s="94" t="s">
        <v>593</v>
      </c>
      <c r="G441" s="94" t="s">
        <v>475</v>
      </c>
      <c r="H441" s="94" t="s">
        <v>593</v>
      </c>
      <c r="I441" s="95" t="s">
        <v>1364</v>
      </c>
      <c r="J441" s="94" t="s">
        <v>476</v>
      </c>
      <c r="K441" s="78">
        <v>46290</v>
      </c>
      <c r="L441" s="94" t="s">
        <v>477</v>
      </c>
    </row>
    <row r="442" spans="1:12" ht="29.15" x14ac:dyDescent="0.4">
      <c r="A442" s="94" t="s">
        <v>1266</v>
      </c>
      <c r="B442" s="94" t="s">
        <v>442</v>
      </c>
      <c r="C442" s="94" t="s">
        <v>1357</v>
      </c>
      <c r="D442" s="95" t="s">
        <v>613</v>
      </c>
      <c r="E442" s="94" t="s">
        <v>444</v>
      </c>
      <c r="F442" s="94" t="s">
        <v>596</v>
      </c>
      <c r="G442" s="94" t="s">
        <v>475</v>
      </c>
      <c r="H442" s="94" t="s">
        <v>596</v>
      </c>
      <c r="I442" s="95" t="s">
        <v>1364</v>
      </c>
      <c r="J442" s="94" t="s">
        <v>476</v>
      </c>
      <c r="K442" s="78">
        <v>46290</v>
      </c>
      <c r="L442" s="94" t="s">
        <v>477</v>
      </c>
    </row>
  </sheetData>
  <mergeCells count="5">
    <mergeCell ref="A2:I2"/>
    <mergeCell ref="A1:L1"/>
    <mergeCell ref="G3:I3"/>
    <mergeCell ref="A3:F3"/>
    <mergeCell ref="J3:L3"/>
  </mergeCells>
  <conditionalFormatting sqref="G6:G20213">
    <cfRule type="expression" dxfId="6" priority="2">
      <formula>G6="Rettificato"</formula>
    </cfRule>
    <cfRule type="expression" dxfId="5" priority="3">
      <formula>G6="Respinto"</formula>
    </cfRule>
  </conditionalFormatting>
  <conditionalFormatting sqref="L6:L20213">
    <cfRule type="expression" dxfId="4" priority="1">
      <formula>L6="Da decidere"</formula>
    </cfRule>
  </conditionalFormatting>
  <dataValidations count="2">
    <dataValidation type="list" allowBlank="1" sqref="G6:G20213" xr:uid="{00000000-0002-0000-0C00-000000000000}">
      <formula1>"Accettato,Rettificato,Respinto"</formula1>
    </dataValidation>
    <dataValidation type="list" allowBlank="1" sqref="L6:L20213" xr:uid="{00000000-0002-0000-0C00-000001000000}">
      <formula1>"Da decidere,Applicata"</formula1>
    </dataValidation>
  </dataValidation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75B6"/>
  </sheetPr>
  <dimension ref="A1:N57"/>
  <sheetViews>
    <sheetView showGridLines="0" workbookViewId="0"/>
  </sheetViews>
  <sheetFormatPr defaultRowHeight="14.6" x14ac:dyDescent="0.4"/>
  <cols>
    <col min="1" max="1" width="38" customWidth="1"/>
    <col min="2" max="2" width="14" customWidth="1"/>
    <col min="3" max="3" width="26" customWidth="1"/>
    <col min="5" max="5" width="10" customWidth="1"/>
    <col min="6" max="6" width="50" customWidth="1"/>
    <col min="8" max="8" width="10" customWidth="1"/>
    <col min="9" max="9" width="50" customWidth="1"/>
    <col min="10" max="10" width="10" customWidth="1"/>
    <col min="11" max="11" width="18" customWidth="1"/>
    <col min="12" max="12" width="34" customWidth="1"/>
    <col min="13" max="14" width="13" customWidth="1"/>
  </cols>
  <sheetData>
    <row r="1" spans="1:14" ht="28" customHeight="1" x14ac:dyDescent="0.4">
      <c r="A1" s="126" t="str">
        <f>"Horizon Scan NFR — Parametri: pesi, soglie, urgenza e anagrafica dei rischi   ·   "&amp;etichettaCiclo</f>
        <v>Horizon Scan NFR — Parametri: pesi, soglie, urgenza e anagrafica dei rischi   ·   Ciclo 2026Q3 · dati al 30/09/2026 · validato · Uso interno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</row>
    <row r="2" spans="1:14" ht="50.05" customHeight="1" x14ac:dyDescent="0.4">
      <c r="A2" s="149" t="s">
        <v>644</v>
      </c>
      <c r="B2" s="98"/>
      <c r="C2" s="98"/>
      <c r="D2" s="98"/>
      <c r="E2" s="98"/>
      <c r="F2" s="98"/>
      <c r="H2" s="153" t="s">
        <v>645</v>
      </c>
      <c r="I2" s="98"/>
      <c r="J2" s="98"/>
      <c r="K2" s="98"/>
      <c r="L2" s="98"/>
      <c r="M2" s="98"/>
      <c r="N2" s="98"/>
    </row>
    <row r="3" spans="1:14" ht="30" customHeight="1" x14ac:dyDescent="0.4">
      <c r="A3" s="52" t="s">
        <v>646</v>
      </c>
      <c r="E3" s="52" t="s">
        <v>647</v>
      </c>
      <c r="H3" s="4" t="s">
        <v>148</v>
      </c>
      <c r="I3" s="4" t="s">
        <v>149</v>
      </c>
      <c r="J3" s="4" t="s">
        <v>648</v>
      </c>
      <c r="K3" s="4" t="s">
        <v>649</v>
      </c>
      <c r="L3" s="5" t="s">
        <v>156</v>
      </c>
      <c r="M3" s="5" t="s">
        <v>650</v>
      </c>
      <c r="N3" s="5" t="s">
        <v>651</v>
      </c>
    </row>
    <row r="4" spans="1:14" x14ac:dyDescent="0.4">
      <c r="A4" t="s">
        <v>207</v>
      </c>
      <c r="B4" s="79">
        <v>0.3</v>
      </c>
      <c r="E4" t="s">
        <v>417</v>
      </c>
      <c r="F4" t="s">
        <v>418</v>
      </c>
      <c r="H4" s="94" t="s">
        <v>473</v>
      </c>
      <c r="I4" s="94" t="s">
        <v>474</v>
      </c>
      <c r="J4" s="94" t="s">
        <v>419</v>
      </c>
      <c r="K4" s="94" t="s">
        <v>652</v>
      </c>
      <c r="L4" s="96" t="s">
        <v>579</v>
      </c>
      <c r="M4" s="64"/>
      <c r="N4" s="96" t="s">
        <v>653</v>
      </c>
    </row>
    <row r="5" spans="1:14" x14ac:dyDescent="0.4">
      <c r="A5" t="s">
        <v>263</v>
      </c>
      <c r="B5" s="79">
        <v>0.15</v>
      </c>
      <c r="E5" t="s">
        <v>419</v>
      </c>
      <c r="F5" t="s">
        <v>420</v>
      </c>
      <c r="H5" s="94" t="s">
        <v>478</v>
      </c>
      <c r="I5" s="94" t="s">
        <v>479</v>
      </c>
      <c r="J5" s="94" t="s">
        <v>427</v>
      </c>
      <c r="K5" s="94" t="s">
        <v>654</v>
      </c>
      <c r="L5" s="96" t="s">
        <v>583</v>
      </c>
      <c r="M5" s="64"/>
      <c r="N5" s="96" t="s">
        <v>653</v>
      </c>
    </row>
    <row r="6" spans="1:14" x14ac:dyDescent="0.4">
      <c r="A6" t="s">
        <v>655</v>
      </c>
      <c r="B6" s="79">
        <v>0.15</v>
      </c>
      <c r="E6" t="s">
        <v>421</v>
      </c>
      <c r="F6" t="s">
        <v>422</v>
      </c>
      <c r="H6" s="94" t="s">
        <v>480</v>
      </c>
      <c r="I6" s="94" t="s">
        <v>481</v>
      </c>
      <c r="J6" s="94" t="s">
        <v>423</v>
      </c>
      <c r="K6" s="94" t="s">
        <v>656</v>
      </c>
      <c r="L6" s="96" t="s">
        <v>587</v>
      </c>
      <c r="M6" s="64"/>
      <c r="N6" s="96" t="s">
        <v>657</v>
      </c>
    </row>
    <row r="7" spans="1:14" x14ac:dyDescent="0.4">
      <c r="A7" t="s">
        <v>261</v>
      </c>
      <c r="B7" s="79">
        <v>0.2</v>
      </c>
      <c r="E7" t="s">
        <v>423</v>
      </c>
      <c r="F7" t="s">
        <v>424</v>
      </c>
      <c r="H7" s="94" t="s">
        <v>482</v>
      </c>
      <c r="I7" s="94" t="s">
        <v>483</v>
      </c>
      <c r="J7" s="94" t="s">
        <v>425</v>
      </c>
      <c r="K7" s="94" t="s">
        <v>658</v>
      </c>
      <c r="L7" s="96" t="s">
        <v>590</v>
      </c>
      <c r="M7" s="64"/>
      <c r="N7" s="96" t="s">
        <v>657</v>
      </c>
    </row>
    <row r="8" spans="1:14" x14ac:dyDescent="0.4">
      <c r="A8" t="s">
        <v>178</v>
      </c>
      <c r="B8" s="79">
        <v>0.2</v>
      </c>
      <c r="E8" t="s">
        <v>425</v>
      </c>
      <c r="F8" t="s">
        <v>426</v>
      </c>
      <c r="H8" s="94" t="s">
        <v>484</v>
      </c>
      <c r="I8" s="94" t="s">
        <v>485</v>
      </c>
      <c r="J8" s="94" t="s">
        <v>429</v>
      </c>
      <c r="K8" s="94" t="s">
        <v>659</v>
      </c>
      <c r="L8" s="96" t="s">
        <v>593</v>
      </c>
      <c r="M8" s="64"/>
      <c r="N8" s="96" t="s">
        <v>657</v>
      </c>
    </row>
    <row r="9" spans="1:14" x14ac:dyDescent="0.4">
      <c r="A9" t="s">
        <v>274</v>
      </c>
      <c r="B9">
        <f>SUM(B4:B8)</f>
        <v>1</v>
      </c>
      <c r="C9" t="str">
        <f>IF(ROUND(B9,6)=1,"OK","I PESI NON SOMMANO A 1")</f>
        <v>OK</v>
      </c>
      <c r="E9" t="s">
        <v>427</v>
      </c>
      <c r="F9" t="s">
        <v>428</v>
      </c>
      <c r="H9" s="94" t="s">
        <v>486</v>
      </c>
      <c r="I9" s="94" t="s">
        <v>487</v>
      </c>
      <c r="J9" s="94" t="s">
        <v>417</v>
      </c>
      <c r="K9" s="94" t="s">
        <v>660</v>
      </c>
      <c r="L9" s="96" t="s">
        <v>599</v>
      </c>
      <c r="M9" s="64"/>
      <c r="N9" s="96" t="s">
        <v>657</v>
      </c>
    </row>
    <row r="10" spans="1:14" x14ac:dyDescent="0.4">
      <c r="A10" s="52" t="s">
        <v>661</v>
      </c>
      <c r="E10" t="s">
        <v>429</v>
      </c>
      <c r="F10" t="s">
        <v>430</v>
      </c>
      <c r="H10" s="94" t="s">
        <v>488</v>
      </c>
      <c r="I10" s="94" t="s">
        <v>489</v>
      </c>
      <c r="J10" s="94" t="s">
        <v>427</v>
      </c>
      <c r="K10" s="94" t="s">
        <v>662</v>
      </c>
      <c r="L10" s="96" t="s">
        <v>583</v>
      </c>
      <c r="M10" s="64"/>
      <c r="N10" s="96" t="s">
        <v>653</v>
      </c>
    </row>
    <row r="11" spans="1:14" x14ac:dyDescent="0.4">
      <c r="A11" t="s">
        <v>663</v>
      </c>
      <c r="B11" s="64">
        <v>3</v>
      </c>
      <c r="H11" s="94" t="s">
        <v>490</v>
      </c>
      <c r="I11" s="94" t="s">
        <v>491</v>
      </c>
      <c r="J11" s="94" t="s">
        <v>417</v>
      </c>
      <c r="K11" s="94" t="s">
        <v>664</v>
      </c>
      <c r="L11" s="96" t="s">
        <v>599</v>
      </c>
      <c r="M11" s="64"/>
      <c r="N11" s="96" t="s">
        <v>657</v>
      </c>
    </row>
    <row r="12" spans="1:14" x14ac:dyDescent="0.4">
      <c r="A12" t="s">
        <v>665</v>
      </c>
      <c r="B12" s="79">
        <v>0.4</v>
      </c>
      <c r="E12" s="52" t="s">
        <v>666</v>
      </c>
      <c r="H12" s="94" t="s">
        <v>492</v>
      </c>
      <c r="I12" s="94" t="s">
        <v>493</v>
      </c>
      <c r="J12" s="94" t="s">
        <v>423</v>
      </c>
      <c r="K12" s="94" t="s">
        <v>667</v>
      </c>
      <c r="L12" s="96" t="s">
        <v>587</v>
      </c>
      <c r="M12" s="64"/>
      <c r="N12" s="96" t="s">
        <v>653</v>
      </c>
    </row>
    <row r="13" spans="1:14" x14ac:dyDescent="0.4">
      <c r="E13" t="s">
        <v>668</v>
      </c>
      <c r="F13" t="s">
        <v>669</v>
      </c>
      <c r="H13" s="94" t="s">
        <v>494</v>
      </c>
      <c r="I13" s="94" t="s">
        <v>495</v>
      </c>
      <c r="J13" s="94" t="s">
        <v>423</v>
      </c>
      <c r="K13" s="94" t="s">
        <v>670</v>
      </c>
      <c r="L13" s="96" t="s">
        <v>608</v>
      </c>
      <c r="M13" s="64"/>
      <c r="N13" s="96" t="s">
        <v>657</v>
      </c>
    </row>
    <row r="14" spans="1:14" x14ac:dyDescent="0.4">
      <c r="A14" s="52" t="s">
        <v>671</v>
      </c>
      <c r="E14" t="s">
        <v>672</v>
      </c>
      <c r="F14" t="s">
        <v>673</v>
      </c>
      <c r="H14" s="94" t="s">
        <v>498</v>
      </c>
      <c r="I14" s="94" t="s">
        <v>499</v>
      </c>
      <c r="J14" s="94" t="s">
        <v>427</v>
      </c>
      <c r="K14" s="94" t="s">
        <v>659</v>
      </c>
      <c r="L14" s="96" t="s">
        <v>611</v>
      </c>
      <c r="M14" s="64">
        <v>3</v>
      </c>
      <c r="N14" s="96" t="s">
        <v>657</v>
      </c>
    </row>
    <row r="15" spans="1:14" x14ac:dyDescent="0.4">
      <c r="A15" t="s">
        <v>674</v>
      </c>
      <c r="B15" s="96" t="s">
        <v>1266</v>
      </c>
      <c r="E15" t="s">
        <v>675</v>
      </c>
      <c r="F15" t="s">
        <v>676</v>
      </c>
      <c r="H15" s="94" t="s">
        <v>500</v>
      </c>
      <c r="I15" s="94" t="s">
        <v>501</v>
      </c>
      <c r="J15" s="94" t="s">
        <v>429</v>
      </c>
      <c r="K15" s="94" t="s">
        <v>659</v>
      </c>
      <c r="L15" s="96" t="s">
        <v>593</v>
      </c>
      <c r="M15" s="64"/>
      <c r="N15" s="96" t="s">
        <v>657</v>
      </c>
    </row>
    <row r="16" spans="1:14" x14ac:dyDescent="0.4">
      <c r="A16" t="s">
        <v>677</v>
      </c>
      <c r="B16" t="str">
        <f>IF(B15="","",IF(RIGHT(B15,1)="1",(LEFT(B15,4)-1)&amp;"Q4",LEFT(B15,5)&amp;(RIGHT(B15,1)-1)))</f>
        <v>2026Q2</v>
      </c>
      <c r="E16" t="s">
        <v>658</v>
      </c>
      <c r="F16" t="s">
        <v>678</v>
      </c>
      <c r="L16" s="64"/>
      <c r="M16" s="64"/>
      <c r="N16" s="64"/>
    </row>
    <row r="17" spans="1:14" x14ac:dyDescent="0.4">
      <c r="A17" t="s">
        <v>679</v>
      </c>
      <c r="B17" t="str">
        <f>IF(B16="","",IF(RIGHT(B16,1)="1",(LEFT(B16,4)-1)&amp;"Q4",LEFT(B16,5)&amp;(RIGHT(B16,1)-1)))</f>
        <v>2026Q1</v>
      </c>
      <c r="E17" t="s">
        <v>680</v>
      </c>
      <c r="F17" t="s">
        <v>681</v>
      </c>
      <c r="L17" s="64"/>
      <c r="M17" s="64"/>
      <c r="N17" s="64"/>
    </row>
    <row r="18" spans="1:14" x14ac:dyDescent="0.4">
      <c r="E18" t="s">
        <v>667</v>
      </c>
      <c r="F18" t="s">
        <v>682</v>
      </c>
      <c r="L18" s="64"/>
      <c r="M18" s="64"/>
      <c r="N18" s="64"/>
    </row>
    <row r="19" spans="1:14" x14ac:dyDescent="0.4">
      <c r="A19" s="52" t="s">
        <v>683</v>
      </c>
      <c r="E19" t="s">
        <v>659</v>
      </c>
      <c r="F19" t="s">
        <v>684</v>
      </c>
    </row>
    <row r="20" spans="1:14" x14ac:dyDescent="0.4">
      <c r="A20" t="s">
        <v>685</v>
      </c>
      <c r="B20" t="str">
        <f t="shared" ref="B20:B26" si="0">IF(B21="","",IF(RIGHT(B21,1)="1",(LEFT(B21,4)-1)&amp;"Q4",LEFT(B21,5)&amp;(RIGHT(B21,1)-1)))</f>
        <v>2024Q4</v>
      </c>
      <c r="E20" t="s">
        <v>686</v>
      </c>
      <c r="F20" t="s">
        <v>687</v>
      </c>
    </row>
    <row r="21" spans="1:14" x14ac:dyDescent="0.4">
      <c r="A21" t="s">
        <v>688</v>
      </c>
      <c r="B21" t="str">
        <f t="shared" si="0"/>
        <v>2025Q1</v>
      </c>
    </row>
    <row r="22" spans="1:14" x14ac:dyDescent="0.4">
      <c r="A22" t="s">
        <v>689</v>
      </c>
      <c r="B22" t="str">
        <f t="shared" si="0"/>
        <v>2025Q2</v>
      </c>
    </row>
    <row r="23" spans="1:14" x14ac:dyDescent="0.4">
      <c r="A23" t="s">
        <v>690</v>
      </c>
      <c r="B23" t="str">
        <f t="shared" si="0"/>
        <v>2025Q3</v>
      </c>
    </row>
    <row r="24" spans="1:14" x14ac:dyDescent="0.4">
      <c r="A24" t="s">
        <v>691</v>
      </c>
      <c r="B24" t="str">
        <f t="shared" si="0"/>
        <v>2025Q4</v>
      </c>
    </row>
    <row r="25" spans="1:14" x14ac:dyDescent="0.4">
      <c r="A25" t="s">
        <v>692</v>
      </c>
      <c r="B25" t="str">
        <f t="shared" si="0"/>
        <v>2026Q1</v>
      </c>
    </row>
    <row r="26" spans="1:14" x14ac:dyDescent="0.4">
      <c r="A26" t="s">
        <v>693</v>
      </c>
      <c r="B26" t="str">
        <f t="shared" si="0"/>
        <v>2026Q2</v>
      </c>
    </row>
    <row r="27" spans="1:14" x14ac:dyDescent="0.4">
      <c r="A27" t="s">
        <v>694</v>
      </c>
      <c r="B27" t="str">
        <f>cicloCorrente</f>
        <v>2026Q3</v>
      </c>
    </row>
    <row r="29" spans="1:14" x14ac:dyDescent="0.4">
      <c r="A29" s="52" t="s">
        <v>695</v>
      </c>
    </row>
    <row r="30" spans="1:14" x14ac:dyDescent="0.4">
      <c r="A30" t="s">
        <v>696</v>
      </c>
      <c r="B30" s="80">
        <v>46202</v>
      </c>
    </row>
    <row r="31" spans="1:14" x14ac:dyDescent="0.4">
      <c r="A31" t="s">
        <v>697</v>
      </c>
      <c r="B31" s="66">
        <f>settimanaCorrente-21</f>
        <v>46181</v>
      </c>
    </row>
    <row r="33" spans="1:2" x14ac:dyDescent="0.4">
      <c r="A33" s="52" t="s">
        <v>698</v>
      </c>
    </row>
    <row r="34" spans="1:2" x14ac:dyDescent="0.4">
      <c r="B34" s="66">
        <f>settimanaCorrente-7*11</f>
        <v>46125</v>
      </c>
    </row>
    <row r="35" spans="1:2" x14ac:dyDescent="0.4">
      <c r="B35" s="66">
        <f>settimanaCorrente-7*10</f>
        <v>46132</v>
      </c>
    </row>
    <row r="36" spans="1:2" x14ac:dyDescent="0.4">
      <c r="B36" s="66">
        <f>settimanaCorrente-7*9</f>
        <v>46139</v>
      </c>
    </row>
    <row r="37" spans="1:2" x14ac:dyDescent="0.4">
      <c r="B37" s="66">
        <f>settimanaCorrente-7*8</f>
        <v>46146</v>
      </c>
    </row>
    <row r="38" spans="1:2" x14ac:dyDescent="0.4">
      <c r="B38" s="66">
        <f>settimanaCorrente-7*7</f>
        <v>46153</v>
      </c>
    </row>
    <row r="39" spans="1:2" x14ac:dyDescent="0.4">
      <c r="B39" s="66">
        <f>settimanaCorrente-7*6</f>
        <v>46160</v>
      </c>
    </row>
    <row r="40" spans="1:2" x14ac:dyDescent="0.4">
      <c r="B40" s="66">
        <f>settimanaCorrente-7*5</f>
        <v>46167</v>
      </c>
    </row>
    <row r="41" spans="1:2" x14ac:dyDescent="0.4">
      <c r="B41" s="66">
        <f>settimanaCorrente-7*4</f>
        <v>46174</v>
      </c>
    </row>
    <row r="42" spans="1:2" x14ac:dyDescent="0.4">
      <c r="B42" s="66">
        <f>settimanaCorrente-7*3</f>
        <v>46181</v>
      </c>
    </row>
    <row r="43" spans="1:2" x14ac:dyDescent="0.4">
      <c r="B43" s="66">
        <f>settimanaCorrente-7*2</f>
        <v>46188</v>
      </c>
    </row>
    <row r="44" spans="1:2" x14ac:dyDescent="0.4">
      <c r="B44" s="66">
        <f>settimanaCorrente-7*1</f>
        <v>46195</v>
      </c>
    </row>
    <row r="45" spans="1:2" x14ac:dyDescent="0.4">
      <c r="B45" s="66">
        <f>settimanaCorrente-7*0</f>
        <v>46202</v>
      </c>
    </row>
    <row r="47" spans="1:2" x14ac:dyDescent="0.4">
      <c r="A47" s="52" t="s">
        <v>699</v>
      </c>
    </row>
    <row r="48" spans="1:2" x14ac:dyDescent="0.4">
      <c r="A48" t="s">
        <v>700</v>
      </c>
      <c r="B48" s="64">
        <v>0.25</v>
      </c>
    </row>
    <row r="49" spans="1:2" x14ac:dyDescent="0.4">
      <c r="A49" t="s">
        <v>701</v>
      </c>
      <c r="B49" s="64">
        <v>1</v>
      </c>
    </row>
    <row r="50" spans="1:2" x14ac:dyDescent="0.4">
      <c r="A50" s="52" t="s">
        <v>702</v>
      </c>
    </row>
    <row r="51" spans="1:2" x14ac:dyDescent="0.4">
      <c r="A51" t="s">
        <v>703</v>
      </c>
      <c r="B51" s="64">
        <v>4</v>
      </c>
    </row>
    <row r="52" spans="1:2" x14ac:dyDescent="0.4">
      <c r="A52" t="s">
        <v>704</v>
      </c>
      <c r="B52" s="64">
        <v>2.5</v>
      </c>
    </row>
    <row r="53" spans="1:2" x14ac:dyDescent="0.4">
      <c r="A53" t="s">
        <v>705</v>
      </c>
      <c r="B53" s="64">
        <v>1.5</v>
      </c>
    </row>
    <row r="54" spans="1:2" x14ac:dyDescent="0.4">
      <c r="A54" t="s">
        <v>706</v>
      </c>
      <c r="B54" s="64">
        <v>0.5</v>
      </c>
    </row>
    <row r="55" spans="1:2" x14ac:dyDescent="0.4">
      <c r="A55" t="s">
        <v>707</v>
      </c>
      <c r="B55" s="64">
        <v>0</v>
      </c>
    </row>
    <row r="57" spans="1:2" x14ac:dyDescent="0.4">
      <c r="A57" s="52" t="s">
        <v>708</v>
      </c>
      <c r="B57" t="str">
        <f>IF(cicloCorrente="","nessun ciclo","Ciclo "&amp;cicloCorrente&amp;" · dati al "&amp;DAY(DATE(LEFT(cicloCorrente,4),3*RIGHT(cicloCorrente,1)+1,0))&amp;"/"&amp;RIGHT("0"&amp;MONTH(DATE(LEFT(cicloCorrente,4),3*RIGHT(cicloCorrente,1)+1,0)),2)&amp;"/"&amp;YEAR(DATE(LEFT(cicloCorrente,4),3*RIGHT(cicloCorrente,1)+1,0))&amp;" · "&amp;IF(decisioniDaPrendere&gt;0,"da validare","validato"))&amp;" · Uso interno"</f>
        <v>Ciclo 2026Q3 · dati al 30/09/2026 · validato · Uso interno</v>
      </c>
    </row>
  </sheetData>
  <mergeCells count="3">
    <mergeCell ref="A2:F2"/>
    <mergeCell ref="H2:N2"/>
    <mergeCell ref="A1:N1"/>
  </mergeCells>
  <dataValidations count="3">
    <dataValidation type="decimal" allowBlank="1" showErrorMessage="1" error="Anni di adeguamento: un numero da 0 a 30, oppure vuoto." sqref="M4:M18" xr:uid="{00000000-0002-0000-0D00-000000000000}">
      <formula1>0</formula1>
      <formula2>30</formula2>
    </dataValidation>
    <dataValidation type="list" allowBlank="1" sqref="N4:N18" xr:uid="{00000000-0002-0000-0D00-000001000000}">
      <formula1>"Sì,No"</formula1>
    </dataValidation>
    <dataValidation type="list" allowBlank="1" sqref="J4:J18" xr:uid="{00000000-0002-0000-0D00-000002000000}">
      <formula1>codiciL1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75B6"/>
  </sheetPr>
  <dimension ref="A1:G122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22" customWidth="1"/>
    <col min="2" max="2" width="19" customWidth="1"/>
    <col min="3" max="3" width="24" customWidth="1"/>
    <col min="4" max="4" width="38" customWidth="1"/>
    <col min="5" max="5" width="56" customWidth="1"/>
    <col min="6" max="6" width="14" customWidth="1"/>
    <col min="7" max="7" width="22" customWidth="1"/>
  </cols>
  <sheetData>
    <row r="1" spans="1:7" ht="28" customHeight="1" x14ac:dyDescent="0.4">
      <c r="A1" s="126" t="str">
        <f>"Horizon Scan NFR — Dizionario dei dati   ·   "&amp;etichettaCiclo</f>
        <v>Horizon Scan NFR — Dizionario dei dati   ·   Ciclo 2026Q3 · dati al 30/09/2026 · validato · Uso interno</v>
      </c>
      <c r="B1" s="127"/>
      <c r="C1" s="127"/>
      <c r="D1" s="127"/>
      <c r="E1" s="127"/>
      <c r="F1" s="127"/>
      <c r="G1" s="127"/>
    </row>
    <row r="2" spans="1:7" ht="32.049999999999997" customHeight="1" x14ac:dyDescent="0.4">
      <c r="A2" s="139" t="s">
        <v>709</v>
      </c>
      <c r="B2" s="98"/>
      <c r="C2" s="98"/>
      <c r="D2" s="98"/>
      <c r="E2" s="98"/>
      <c r="F2" s="98"/>
      <c r="G2" s="98"/>
    </row>
    <row r="4" spans="1:7" x14ac:dyDescent="0.4">
      <c r="A4" s="81" t="s">
        <v>710</v>
      </c>
      <c r="B4" s="81" t="s">
        <v>711</v>
      </c>
      <c r="C4" s="81" t="s">
        <v>712</v>
      </c>
      <c r="D4" s="81" t="s">
        <v>713</v>
      </c>
      <c r="E4" s="81" t="s">
        <v>714</v>
      </c>
      <c r="F4" s="81" t="s">
        <v>715</v>
      </c>
      <c r="G4" s="81" t="s">
        <v>716</v>
      </c>
    </row>
    <row r="5" spans="1:7" x14ac:dyDescent="0.4">
      <c r="A5" s="154" t="s">
        <v>717</v>
      </c>
      <c r="B5" s="98"/>
      <c r="C5" s="98"/>
      <c r="D5" s="98"/>
      <c r="E5" s="98"/>
      <c r="F5" s="98"/>
      <c r="G5" s="98"/>
    </row>
    <row r="6" spans="1:7" ht="28" customHeight="1" x14ac:dyDescent="0.4">
      <c r="A6" s="82" t="s">
        <v>407</v>
      </c>
      <c r="B6" s="83" t="s">
        <v>103</v>
      </c>
      <c r="C6" s="84" t="s">
        <v>718</v>
      </c>
      <c r="D6" s="83" t="s">
        <v>719</v>
      </c>
      <c r="E6" s="83" t="s">
        <v>720</v>
      </c>
      <c r="F6" s="83" t="s">
        <v>721</v>
      </c>
      <c r="G6" s="83" t="s">
        <v>472</v>
      </c>
    </row>
    <row r="7" spans="1:7" ht="28" customHeight="1" x14ac:dyDescent="0.4">
      <c r="A7" s="82" t="s">
        <v>722</v>
      </c>
      <c r="B7" s="83" t="s">
        <v>103</v>
      </c>
      <c r="C7" s="84" t="s">
        <v>718</v>
      </c>
      <c r="D7" s="83" t="s">
        <v>723</v>
      </c>
      <c r="E7" s="83" t="s">
        <v>724</v>
      </c>
      <c r="F7" s="83" t="s">
        <v>725</v>
      </c>
      <c r="G7" s="83" t="s">
        <v>726</v>
      </c>
    </row>
    <row r="8" spans="1:7" ht="28" customHeight="1" x14ac:dyDescent="0.4">
      <c r="A8" s="82" t="s">
        <v>727</v>
      </c>
      <c r="B8" s="83" t="s">
        <v>103</v>
      </c>
      <c r="C8" s="84" t="s">
        <v>718</v>
      </c>
      <c r="D8" s="83" t="s">
        <v>728</v>
      </c>
      <c r="E8" s="83" t="s">
        <v>729</v>
      </c>
      <c r="F8" s="83" t="s">
        <v>730</v>
      </c>
      <c r="G8" s="83" t="s">
        <v>473</v>
      </c>
    </row>
    <row r="9" spans="1:7" ht="28" customHeight="1" x14ac:dyDescent="0.4">
      <c r="A9" s="82" t="s">
        <v>149</v>
      </c>
      <c r="B9" s="83" t="s">
        <v>103</v>
      </c>
      <c r="C9" s="84" t="s">
        <v>718</v>
      </c>
      <c r="D9" s="83" t="s">
        <v>731</v>
      </c>
      <c r="E9" s="83" t="s">
        <v>729</v>
      </c>
      <c r="F9" s="83" t="s">
        <v>730</v>
      </c>
      <c r="G9" s="83" t="s">
        <v>732</v>
      </c>
    </row>
    <row r="10" spans="1:7" ht="40" customHeight="1" x14ac:dyDescent="0.4">
      <c r="A10" s="82" t="s">
        <v>648</v>
      </c>
      <c r="B10" s="83" t="s">
        <v>103</v>
      </c>
      <c r="C10" s="84" t="s">
        <v>718</v>
      </c>
      <c r="D10" s="83" t="s">
        <v>733</v>
      </c>
      <c r="E10" s="83" t="s">
        <v>729</v>
      </c>
      <c r="F10" s="83" t="s">
        <v>734</v>
      </c>
      <c r="G10" s="83" t="s">
        <v>419</v>
      </c>
    </row>
    <row r="11" spans="1:7" ht="28" customHeight="1" x14ac:dyDescent="0.4">
      <c r="A11" s="82" t="s">
        <v>649</v>
      </c>
      <c r="B11" s="83" t="s">
        <v>103</v>
      </c>
      <c r="C11" s="84" t="s">
        <v>718</v>
      </c>
      <c r="D11" s="83" t="s">
        <v>735</v>
      </c>
      <c r="E11" s="83" t="s">
        <v>729</v>
      </c>
      <c r="F11" s="83" t="s">
        <v>730</v>
      </c>
      <c r="G11" s="83" t="s">
        <v>652</v>
      </c>
    </row>
    <row r="12" spans="1:7" ht="28" customHeight="1" x14ac:dyDescent="0.4">
      <c r="A12" s="82" t="s">
        <v>207</v>
      </c>
      <c r="B12" s="83" t="s">
        <v>103</v>
      </c>
      <c r="C12" s="84" t="s">
        <v>718</v>
      </c>
      <c r="D12" s="83" t="s">
        <v>736</v>
      </c>
      <c r="E12" s="83" t="s">
        <v>737</v>
      </c>
      <c r="F12" s="83" t="s">
        <v>738</v>
      </c>
      <c r="G12" s="83" t="s">
        <v>24</v>
      </c>
    </row>
    <row r="13" spans="1:7" ht="28" customHeight="1" x14ac:dyDescent="0.4">
      <c r="A13" s="82" t="s">
        <v>263</v>
      </c>
      <c r="B13" s="83" t="s">
        <v>103</v>
      </c>
      <c r="C13" s="84" t="s">
        <v>718</v>
      </c>
      <c r="D13" s="83" t="s">
        <v>739</v>
      </c>
      <c r="E13" s="83" t="s">
        <v>729</v>
      </c>
      <c r="F13" s="83" t="s">
        <v>738</v>
      </c>
      <c r="G13" s="83" t="s">
        <v>24</v>
      </c>
    </row>
    <row r="14" spans="1:7" ht="28" customHeight="1" x14ac:dyDescent="0.4">
      <c r="A14" s="82" t="s">
        <v>180</v>
      </c>
      <c r="B14" s="83" t="s">
        <v>103</v>
      </c>
      <c r="C14" s="84" t="s">
        <v>718</v>
      </c>
      <c r="D14" s="83" t="s">
        <v>740</v>
      </c>
      <c r="E14" s="83" t="s">
        <v>729</v>
      </c>
      <c r="F14" s="83" t="s">
        <v>738</v>
      </c>
      <c r="G14" s="83" t="s">
        <v>24</v>
      </c>
    </row>
    <row r="15" spans="1:7" ht="40" customHeight="1" x14ac:dyDescent="0.4">
      <c r="A15" s="82" t="s">
        <v>261</v>
      </c>
      <c r="B15" s="83" t="s">
        <v>103</v>
      </c>
      <c r="C15" s="84" t="s">
        <v>718</v>
      </c>
      <c r="D15" s="83" t="s">
        <v>741</v>
      </c>
      <c r="E15" s="83" t="s">
        <v>742</v>
      </c>
      <c r="F15" s="83" t="s">
        <v>738</v>
      </c>
      <c r="G15" s="83" t="s">
        <v>743</v>
      </c>
    </row>
    <row r="16" spans="1:7" ht="40" customHeight="1" x14ac:dyDescent="0.4">
      <c r="A16" s="82" t="s">
        <v>744</v>
      </c>
      <c r="B16" s="83" t="s">
        <v>103</v>
      </c>
      <c r="C16" s="85" t="s">
        <v>745</v>
      </c>
      <c r="D16" s="83" t="s">
        <v>746</v>
      </c>
      <c r="E16" s="83" t="s">
        <v>747</v>
      </c>
      <c r="F16" s="83" t="s">
        <v>748</v>
      </c>
      <c r="G16" s="83" t="s">
        <v>749</v>
      </c>
    </row>
    <row r="17" spans="1:7" ht="28" customHeight="1" x14ac:dyDescent="0.4">
      <c r="A17" s="82" t="s">
        <v>382</v>
      </c>
      <c r="B17" s="83" t="s">
        <v>103</v>
      </c>
      <c r="C17" s="84" t="s">
        <v>718</v>
      </c>
      <c r="D17" s="83" t="s">
        <v>750</v>
      </c>
      <c r="E17" s="83" t="s">
        <v>751</v>
      </c>
      <c r="F17" s="83" t="s">
        <v>738</v>
      </c>
      <c r="G17" s="83" t="s">
        <v>24</v>
      </c>
    </row>
    <row r="18" spans="1:7" ht="28" customHeight="1" x14ac:dyDescent="0.4">
      <c r="A18" s="82" t="s">
        <v>178</v>
      </c>
      <c r="B18" s="83" t="s">
        <v>103</v>
      </c>
      <c r="C18" s="84" t="s">
        <v>718</v>
      </c>
      <c r="D18" s="83" t="s">
        <v>752</v>
      </c>
      <c r="E18" s="83" t="s">
        <v>753</v>
      </c>
      <c r="F18" s="83" t="s">
        <v>738</v>
      </c>
      <c r="G18" s="83" t="s">
        <v>24</v>
      </c>
    </row>
    <row r="19" spans="1:7" ht="40" customHeight="1" x14ac:dyDescent="0.4">
      <c r="A19" s="82" t="s">
        <v>153</v>
      </c>
      <c r="B19" s="83" t="s">
        <v>103</v>
      </c>
      <c r="C19" s="84" t="s">
        <v>718</v>
      </c>
      <c r="D19" s="83" t="s">
        <v>754</v>
      </c>
      <c r="E19" s="83" t="s">
        <v>755</v>
      </c>
      <c r="F19" s="83" t="s">
        <v>756</v>
      </c>
      <c r="G19" s="83" t="s">
        <v>757</v>
      </c>
    </row>
    <row r="20" spans="1:7" ht="28" customHeight="1" x14ac:dyDescent="0.4">
      <c r="A20" s="82" t="s">
        <v>758</v>
      </c>
      <c r="B20" s="83" t="s">
        <v>103</v>
      </c>
      <c r="C20" s="84" t="s">
        <v>718</v>
      </c>
      <c r="D20" s="83" t="s">
        <v>759</v>
      </c>
      <c r="E20" s="83" t="s">
        <v>729</v>
      </c>
      <c r="F20" s="83" t="s">
        <v>730</v>
      </c>
      <c r="G20" s="83" t="s">
        <v>760</v>
      </c>
    </row>
    <row r="21" spans="1:7" ht="28" customHeight="1" x14ac:dyDescent="0.4">
      <c r="A21" s="82" t="s">
        <v>761</v>
      </c>
      <c r="B21" s="83" t="s">
        <v>103</v>
      </c>
      <c r="C21" s="84" t="s">
        <v>718</v>
      </c>
      <c r="D21" s="83" t="s">
        <v>762</v>
      </c>
      <c r="E21" s="83" t="s">
        <v>729</v>
      </c>
      <c r="F21" s="83" t="s">
        <v>730</v>
      </c>
      <c r="G21" s="83" t="s">
        <v>763</v>
      </c>
    </row>
    <row r="22" spans="1:7" ht="40" customHeight="1" x14ac:dyDescent="0.4">
      <c r="A22" s="82" t="s">
        <v>764</v>
      </c>
      <c r="B22" s="83" t="s">
        <v>103</v>
      </c>
      <c r="C22" s="84" t="s">
        <v>718</v>
      </c>
      <c r="D22" s="83" t="s">
        <v>765</v>
      </c>
      <c r="E22" s="83" t="s">
        <v>766</v>
      </c>
      <c r="F22" s="83" t="s">
        <v>730</v>
      </c>
      <c r="G22" s="83" t="s">
        <v>767</v>
      </c>
    </row>
    <row r="23" spans="1:7" ht="28" customHeight="1" x14ac:dyDescent="0.4">
      <c r="A23" s="82" t="s">
        <v>768</v>
      </c>
      <c r="B23" s="83" t="s">
        <v>103</v>
      </c>
      <c r="C23" s="84" t="s">
        <v>718</v>
      </c>
      <c r="D23" s="83" t="s">
        <v>769</v>
      </c>
      <c r="E23" s="83" t="s">
        <v>729</v>
      </c>
      <c r="F23" s="83" t="s">
        <v>730</v>
      </c>
      <c r="G23" s="83" t="s">
        <v>770</v>
      </c>
    </row>
    <row r="24" spans="1:7" ht="28" customHeight="1" x14ac:dyDescent="0.4">
      <c r="A24" s="82" t="s">
        <v>156</v>
      </c>
      <c r="B24" s="83" t="s">
        <v>103</v>
      </c>
      <c r="C24" s="85" t="s">
        <v>771</v>
      </c>
      <c r="D24" s="83" t="s">
        <v>772</v>
      </c>
      <c r="E24" s="83" t="s">
        <v>773</v>
      </c>
      <c r="F24" s="83" t="s">
        <v>730</v>
      </c>
      <c r="G24" s="83" t="s">
        <v>579</v>
      </c>
    </row>
    <row r="25" spans="1:7" ht="28" customHeight="1" x14ac:dyDescent="0.4">
      <c r="A25" s="82" t="s">
        <v>220</v>
      </c>
      <c r="B25" s="83" t="s">
        <v>103</v>
      </c>
      <c r="C25" s="85" t="s">
        <v>745</v>
      </c>
      <c r="D25" s="83" t="s">
        <v>774</v>
      </c>
      <c r="E25" s="83" t="s">
        <v>775</v>
      </c>
      <c r="F25" s="83" t="s">
        <v>730</v>
      </c>
      <c r="G25" s="83" t="s">
        <v>776</v>
      </c>
    </row>
    <row r="26" spans="1:7" ht="28" customHeight="1" x14ac:dyDescent="0.4">
      <c r="A26" s="82" t="s">
        <v>777</v>
      </c>
      <c r="B26" s="83" t="s">
        <v>103</v>
      </c>
      <c r="C26" s="85" t="s">
        <v>771</v>
      </c>
      <c r="D26" s="83" t="s">
        <v>778</v>
      </c>
      <c r="E26" s="83" t="s">
        <v>779</v>
      </c>
      <c r="F26" s="83" t="s">
        <v>730</v>
      </c>
      <c r="G26" s="83" t="s">
        <v>726</v>
      </c>
    </row>
    <row r="27" spans="1:7" ht="28" customHeight="1" x14ac:dyDescent="0.4">
      <c r="A27" s="82" t="s">
        <v>780</v>
      </c>
      <c r="B27" s="83" t="s">
        <v>103</v>
      </c>
      <c r="C27" s="86" t="s">
        <v>781</v>
      </c>
      <c r="D27" s="83" t="s">
        <v>782</v>
      </c>
      <c r="E27" s="83" t="s">
        <v>783</v>
      </c>
      <c r="F27" s="83" t="s">
        <v>730</v>
      </c>
      <c r="G27" s="83" t="s">
        <v>476</v>
      </c>
    </row>
    <row r="28" spans="1:7" ht="40" customHeight="1" x14ac:dyDescent="0.4">
      <c r="A28" s="82" t="s">
        <v>7</v>
      </c>
      <c r="B28" s="83" t="s">
        <v>103</v>
      </c>
      <c r="C28" s="86" t="s">
        <v>781</v>
      </c>
      <c r="D28" s="83" t="s">
        <v>784</v>
      </c>
      <c r="E28" s="83" t="s">
        <v>785</v>
      </c>
      <c r="F28" s="83" t="s">
        <v>786</v>
      </c>
      <c r="G28" s="83" t="s">
        <v>475</v>
      </c>
    </row>
    <row r="29" spans="1:7" ht="28" customHeight="1" x14ac:dyDescent="0.4">
      <c r="A29" s="82" t="s">
        <v>471</v>
      </c>
      <c r="B29" s="83" t="s">
        <v>103</v>
      </c>
      <c r="C29" s="86" t="s">
        <v>781</v>
      </c>
      <c r="D29" s="83" t="s">
        <v>787</v>
      </c>
      <c r="E29" s="83" t="s">
        <v>788</v>
      </c>
      <c r="F29" s="83" t="s">
        <v>730</v>
      </c>
      <c r="G29" s="83" t="s">
        <v>789</v>
      </c>
    </row>
    <row r="30" spans="1:7" x14ac:dyDescent="0.4">
      <c r="A30" s="154" t="s">
        <v>790</v>
      </c>
      <c r="B30" s="98"/>
      <c r="C30" s="98"/>
      <c r="D30" s="98"/>
      <c r="E30" s="98"/>
      <c r="F30" s="98"/>
      <c r="G30" s="98"/>
    </row>
    <row r="31" spans="1:7" ht="28" customHeight="1" x14ac:dyDescent="0.4">
      <c r="A31" s="82" t="s">
        <v>407</v>
      </c>
      <c r="B31" s="83" t="s">
        <v>106</v>
      </c>
      <c r="C31" s="84" t="s">
        <v>718</v>
      </c>
      <c r="D31" s="83" t="s">
        <v>791</v>
      </c>
      <c r="E31" s="83" t="s">
        <v>720</v>
      </c>
      <c r="F31" s="83" t="s">
        <v>721</v>
      </c>
      <c r="G31" s="83" t="s">
        <v>472</v>
      </c>
    </row>
    <row r="32" spans="1:7" ht="28" customHeight="1" x14ac:dyDescent="0.4">
      <c r="A32" s="82" t="s">
        <v>727</v>
      </c>
      <c r="B32" s="83" t="s">
        <v>106</v>
      </c>
      <c r="C32" s="84" t="s">
        <v>718</v>
      </c>
      <c r="D32" s="83" t="s">
        <v>792</v>
      </c>
      <c r="E32" s="83" t="s">
        <v>729</v>
      </c>
      <c r="F32" s="83" t="s">
        <v>730</v>
      </c>
      <c r="G32" s="83" t="s">
        <v>473</v>
      </c>
    </row>
    <row r="33" spans="1:7" ht="28" customHeight="1" x14ac:dyDescent="0.4">
      <c r="A33" s="82" t="s">
        <v>793</v>
      </c>
      <c r="B33" s="83" t="s">
        <v>106</v>
      </c>
      <c r="C33" s="85" t="s">
        <v>771</v>
      </c>
      <c r="D33" s="83" t="s">
        <v>794</v>
      </c>
      <c r="E33" s="83" t="s">
        <v>795</v>
      </c>
      <c r="F33" s="83" t="s">
        <v>730</v>
      </c>
      <c r="G33" s="83" t="s">
        <v>577</v>
      </c>
    </row>
    <row r="34" spans="1:7" ht="28" customHeight="1" x14ac:dyDescent="0.4">
      <c r="A34" s="82" t="s">
        <v>758</v>
      </c>
      <c r="B34" s="83" t="s">
        <v>106</v>
      </c>
      <c r="C34" s="84" t="s">
        <v>718</v>
      </c>
      <c r="D34" s="83" t="s">
        <v>796</v>
      </c>
      <c r="E34" s="83" t="s">
        <v>729</v>
      </c>
      <c r="F34" s="83" t="s">
        <v>730</v>
      </c>
      <c r="G34" s="83" t="s">
        <v>797</v>
      </c>
    </row>
    <row r="35" spans="1:7" ht="28" customHeight="1" x14ac:dyDescent="0.4">
      <c r="A35" s="82" t="s">
        <v>156</v>
      </c>
      <c r="B35" s="83" t="s">
        <v>106</v>
      </c>
      <c r="C35" s="84" t="s">
        <v>718</v>
      </c>
      <c r="D35" s="83" t="s">
        <v>798</v>
      </c>
      <c r="E35" s="83" t="s">
        <v>729</v>
      </c>
      <c r="F35" s="83" t="s">
        <v>730</v>
      </c>
      <c r="G35" s="83" t="s">
        <v>579</v>
      </c>
    </row>
    <row r="36" spans="1:7" ht="28" customHeight="1" x14ac:dyDescent="0.4">
      <c r="A36" s="82" t="s">
        <v>799</v>
      </c>
      <c r="B36" s="83" t="s">
        <v>106</v>
      </c>
      <c r="C36" s="84" t="s">
        <v>718</v>
      </c>
      <c r="D36" s="83" t="s">
        <v>800</v>
      </c>
      <c r="E36" s="83" t="s">
        <v>729</v>
      </c>
      <c r="F36" s="83" t="s">
        <v>730</v>
      </c>
      <c r="G36" s="83" t="s">
        <v>801</v>
      </c>
    </row>
    <row r="37" spans="1:7" ht="28" customHeight="1" x14ac:dyDescent="0.4">
      <c r="A37" s="82" t="s">
        <v>444</v>
      </c>
      <c r="B37" s="83" t="s">
        <v>106</v>
      </c>
      <c r="C37" s="84" t="s">
        <v>718</v>
      </c>
      <c r="D37" s="83" t="s">
        <v>802</v>
      </c>
      <c r="E37" s="83" t="s">
        <v>729</v>
      </c>
      <c r="F37" s="83" t="s">
        <v>803</v>
      </c>
      <c r="G37" s="83" t="s">
        <v>580</v>
      </c>
    </row>
    <row r="38" spans="1:7" ht="40" customHeight="1" x14ac:dyDescent="0.4">
      <c r="A38" s="82" t="s">
        <v>804</v>
      </c>
      <c r="B38" s="83" t="s">
        <v>106</v>
      </c>
      <c r="C38" s="85" t="s">
        <v>745</v>
      </c>
      <c r="D38" s="83" t="s">
        <v>805</v>
      </c>
      <c r="E38" s="83" t="s">
        <v>806</v>
      </c>
      <c r="F38" s="83" t="s">
        <v>730</v>
      </c>
      <c r="G38" s="83" t="s">
        <v>807</v>
      </c>
    </row>
    <row r="39" spans="1:7" ht="28" customHeight="1" x14ac:dyDescent="0.4">
      <c r="A39" s="82" t="s">
        <v>761</v>
      </c>
      <c r="B39" s="83" t="s">
        <v>106</v>
      </c>
      <c r="C39" s="84" t="s">
        <v>718</v>
      </c>
      <c r="D39" s="83" t="s">
        <v>808</v>
      </c>
      <c r="E39" s="83" t="s">
        <v>729</v>
      </c>
      <c r="F39" s="83" t="s">
        <v>730</v>
      </c>
      <c r="G39" s="83" t="s">
        <v>809</v>
      </c>
    </row>
    <row r="40" spans="1:7" ht="52" customHeight="1" x14ac:dyDescent="0.4">
      <c r="A40" s="82" t="s">
        <v>401</v>
      </c>
      <c r="B40" s="83" t="s">
        <v>106</v>
      </c>
      <c r="C40" s="86" t="s">
        <v>781</v>
      </c>
      <c r="D40" s="83" t="s">
        <v>810</v>
      </c>
      <c r="E40" s="83" t="s">
        <v>811</v>
      </c>
      <c r="F40" s="83" t="s">
        <v>730</v>
      </c>
      <c r="G40" s="83" t="s">
        <v>812</v>
      </c>
    </row>
    <row r="41" spans="1:7" ht="28" customHeight="1" x14ac:dyDescent="0.4">
      <c r="A41" s="82" t="s">
        <v>813</v>
      </c>
      <c r="B41" s="83" t="s">
        <v>106</v>
      </c>
      <c r="C41" s="86" t="s">
        <v>781</v>
      </c>
      <c r="D41" s="83" t="s">
        <v>814</v>
      </c>
      <c r="E41" s="83" t="s">
        <v>815</v>
      </c>
      <c r="F41" s="83" t="s">
        <v>730</v>
      </c>
      <c r="G41" s="83" t="s">
        <v>789</v>
      </c>
    </row>
    <row r="42" spans="1:7" ht="28" customHeight="1" x14ac:dyDescent="0.4">
      <c r="A42" s="82" t="s">
        <v>816</v>
      </c>
      <c r="B42" s="83" t="s">
        <v>106</v>
      </c>
      <c r="C42" s="86" t="s">
        <v>781</v>
      </c>
      <c r="D42" s="83" t="s">
        <v>817</v>
      </c>
      <c r="E42" s="83" t="s">
        <v>783</v>
      </c>
      <c r="F42" s="83" t="s">
        <v>730</v>
      </c>
      <c r="G42" s="83" t="s">
        <v>476</v>
      </c>
    </row>
    <row r="43" spans="1:7" ht="40" customHeight="1" x14ac:dyDescent="0.4">
      <c r="A43" s="82" t="s">
        <v>7</v>
      </c>
      <c r="B43" s="83" t="s">
        <v>106</v>
      </c>
      <c r="C43" s="86" t="s">
        <v>781</v>
      </c>
      <c r="D43" s="83" t="s">
        <v>818</v>
      </c>
      <c r="E43" s="83" t="s">
        <v>785</v>
      </c>
      <c r="F43" s="83" t="s">
        <v>786</v>
      </c>
      <c r="G43" s="83" t="s">
        <v>475</v>
      </c>
    </row>
    <row r="44" spans="1:7" x14ac:dyDescent="0.4">
      <c r="A44" s="154" t="s">
        <v>819</v>
      </c>
      <c r="B44" s="98"/>
      <c r="C44" s="98"/>
      <c r="D44" s="98"/>
      <c r="E44" s="98"/>
      <c r="F44" s="98"/>
      <c r="G44" s="98"/>
    </row>
    <row r="45" spans="1:7" ht="28" customHeight="1" x14ac:dyDescent="0.4">
      <c r="A45" s="82" t="s">
        <v>407</v>
      </c>
      <c r="B45" s="83" t="s">
        <v>109</v>
      </c>
      <c r="C45" s="84" t="s">
        <v>718</v>
      </c>
      <c r="D45" s="83" t="s">
        <v>820</v>
      </c>
      <c r="E45" s="83" t="s">
        <v>720</v>
      </c>
      <c r="F45" s="83" t="s">
        <v>721</v>
      </c>
      <c r="G45" s="83" t="s">
        <v>472</v>
      </c>
    </row>
    <row r="46" spans="1:7" ht="40" customHeight="1" x14ac:dyDescent="0.4">
      <c r="A46" s="82" t="s">
        <v>395</v>
      </c>
      <c r="B46" s="83" t="s">
        <v>109</v>
      </c>
      <c r="C46" s="85" t="s">
        <v>771</v>
      </c>
      <c r="D46" s="83" t="s">
        <v>821</v>
      </c>
      <c r="E46" s="83" t="s">
        <v>822</v>
      </c>
      <c r="F46" s="83" t="s">
        <v>730</v>
      </c>
      <c r="G46" s="83" t="s">
        <v>394</v>
      </c>
    </row>
    <row r="47" spans="1:7" ht="28" customHeight="1" x14ac:dyDescent="0.4">
      <c r="A47" s="82" t="s">
        <v>727</v>
      </c>
      <c r="B47" s="83" t="s">
        <v>109</v>
      </c>
      <c r="C47" s="84" t="s">
        <v>718</v>
      </c>
      <c r="D47" s="83" t="s">
        <v>823</v>
      </c>
      <c r="E47" s="83" t="s">
        <v>729</v>
      </c>
      <c r="F47" s="83" t="s">
        <v>730</v>
      </c>
      <c r="G47" s="83" t="s">
        <v>473</v>
      </c>
    </row>
    <row r="48" spans="1:7" ht="28" customHeight="1" x14ac:dyDescent="0.4">
      <c r="A48" s="82" t="s">
        <v>149</v>
      </c>
      <c r="B48" s="83" t="s">
        <v>109</v>
      </c>
      <c r="C48" s="84" t="s">
        <v>718</v>
      </c>
      <c r="D48" s="83" t="s">
        <v>824</v>
      </c>
      <c r="E48" s="83" t="s">
        <v>729</v>
      </c>
      <c r="F48" s="83" t="s">
        <v>730</v>
      </c>
      <c r="G48" s="83" t="s">
        <v>825</v>
      </c>
    </row>
    <row r="49" spans="1:7" ht="28" customHeight="1" x14ac:dyDescent="0.4">
      <c r="A49" s="82" t="s">
        <v>826</v>
      </c>
      <c r="B49" s="83" t="s">
        <v>109</v>
      </c>
      <c r="C49" s="84" t="s">
        <v>718</v>
      </c>
      <c r="D49" s="83" t="s">
        <v>827</v>
      </c>
      <c r="E49" s="83" t="s">
        <v>729</v>
      </c>
      <c r="F49" s="83" t="s">
        <v>730</v>
      </c>
      <c r="G49" s="83" t="s">
        <v>828</v>
      </c>
    </row>
    <row r="50" spans="1:7" ht="28" customHeight="1" x14ac:dyDescent="0.4">
      <c r="A50" s="82" t="s">
        <v>829</v>
      </c>
      <c r="B50" s="83" t="s">
        <v>109</v>
      </c>
      <c r="C50" s="84" t="s">
        <v>718</v>
      </c>
      <c r="D50" s="83" t="s">
        <v>830</v>
      </c>
      <c r="E50" s="83" t="s">
        <v>729</v>
      </c>
      <c r="F50" s="83" t="s">
        <v>730</v>
      </c>
      <c r="G50" s="83" t="s">
        <v>831</v>
      </c>
    </row>
    <row r="51" spans="1:7" ht="28" customHeight="1" x14ac:dyDescent="0.4">
      <c r="A51" s="82" t="s">
        <v>504</v>
      </c>
      <c r="B51" s="83" t="s">
        <v>109</v>
      </c>
      <c r="C51" s="84" t="s">
        <v>718</v>
      </c>
      <c r="D51" s="83" t="s">
        <v>832</v>
      </c>
      <c r="E51" s="83" t="s">
        <v>729</v>
      </c>
      <c r="F51" s="83" t="s">
        <v>730</v>
      </c>
      <c r="G51" s="83" t="s">
        <v>743</v>
      </c>
    </row>
    <row r="52" spans="1:7" ht="28" customHeight="1" x14ac:dyDescent="0.4">
      <c r="A52" s="82" t="s">
        <v>505</v>
      </c>
      <c r="B52" s="83" t="s">
        <v>109</v>
      </c>
      <c r="C52" s="84" t="s">
        <v>718</v>
      </c>
      <c r="D52" s="83" t="s">
        <v>833</v>
      </c>
      <c r="E52" s="83" t="s">
        <v>729</v>
      </c>
      <c r="F52" s="83" t="s">
        <v>730</v>
      </c>
      <c r="G52" s="83" t="s">
        <v>807</v>
      </c>
    </row>
    <row r="53" spans="1:7" ht="28" customHeight="1" x14ac:dyDescent="0.4">
      <c r="A53" s="82" t="s">
        <v>503</v>
      </c>
      <c r="B53" s="83" t="s">
        <v>109</v>
      </c>
      <c r="C53" s="84" t="s">
        <v>718</v>
      </c>
      <c r="D53" s="83" t="s">
        <v>834</v>
      </c>
      <c r="E53" s="83" t="s">
        <v>835</v>
      </c>
      <c r="F53" s="83" t="s">
        <v>730</v>
      </c>
      <c r="G53" s="83" t="s">
        <v>836</v>
      </c>
    </row>
    <row r="54" spans="1:7" ht="28" customHeight="1" x14ac:dyDescent="0.4">
      <c r="A54" s="82" t="s">
        <v>837</v>
      </c>
      <c r="B54" s="83" t="s">
        <v>109</v>
      </c>
      <c r="C54" s="85" t="s">
        <v>771</v>
      </c>
      <c r="D54" s="83" t="s">
        <v>838</v>
      </c>
      <c r="E54" s="83" t="s">
        <v>839</v>
      </c>
      <c r="F54" s="83" t="s">
        <v>730</v>
      </c>
      <c r="G54" s="83" t="s">
        <v>726</v>
      </c>
    </row>
    <row r="55" spans="1:7" ht="28" customHeight="1" x14ac:dyDescent="0.4">
      <c r="A55" s="82" t="s">
        <v>840</v>
      </c>
      <c r="B55" s="83" t="s">
        <v>109</v>
      </c>
      <c r="C55" s="84" t="s">
        <v>718</v>
      </c>
      <c r="D55" s="83" t="s">
        <v>841</v>
      </c>
      <c r="E55" s="83" t="s">
        <v>729</v>
      </c>
      <c r="F55" s="83" t="s">
        <v>730</v>
      </c>
      <c r="G55" s="83" t="s">
        <v>831</v>
      </c>
    </row>
    <row r="56" spans="1:7" ht="28" customHeight="1" x14ac:dyDescent="0.4">
      <c r="A56" s="82" t="s">
        <v>842</v>
      </c>
      <c r="B56" s="83" t="s">
        <v>109</v>
      </c>
      <c r="C56" s="84" t="s">
        <v>718</v>
      </c>
      <c r="D56" s="83" t="s">
        <v>843</v>
      </c>
      <c r="E56" s="83" t="s">
        <v>729</v>
      </c>
      <c r="F56" s="83" t="s">
        <v>730</v>
      </c>
      <c r="G56" s="83" t="s">
        <v>844</v>
      </c>
    </row>
    <row r="57" spans="1:7" ht="40" customHeight="1" x14ac:dyDescent="0.4">
      <c r="A57" s="82" t="s">
        <v>401</v>
      </c>
      <c r="B57" s="83" t="s">
        <v>109</v>
      </c>
      <c r="C57" s="85" t="s">
        <v>745</v>
      </c>
      <c r="D57" s="83" t="s">
        <v>845</v>
      </c>
      <c r="E57" s="83" t="s">
        <v>846</v>
      </c>
      <c r="F57" s="83" t="s">
        <v>730</v>
      </c>
      <c r="G57" s="83" t="s">
        <v>390</v>
      </c>
    </row>
    <row r="58" spans="1:7" ht="28" customHeight="1" x14ac:dyDescent="0.4">
      <c r="A58" s="82" t="s">
        <v>847</v>
      </c>
      <c r="B58" s="83" t="s">
        <v>109</v>
      </c>
      <c r="C58" s="85" t="s">
        <v>771</v>
      </c>
      <c r="D58" s="83" t="s">
        <v>848</v>
      </c>
      <c r="E58" s="83" t="s">
        <v>849</v>
      </c>
      <c r="F58" s="83" t="s">
        <v>850</v>
      </c>
      <c r="G58" s="83" t="s">
        <v>653</v>
      </c>
    </row>
    <row r="59" spans="1:7" ht="28" customHeight="1" x14ac:dyDescent="0.4">
      <c r="A59" s="82" t="s">
        <v>851</v>
      </c>
      <c r="B59" s="83" t="s">
        <v>109</v>
      </c>
      <c r="C59" s="85" t="s">
        <v>771</v>
      </c>
      <c r="D59" s="83" t="s">
        <v>852</v>
      </c>
      <c r="E59" s="83" t="s">
        <v>853</v>
      </c>
      <c r="F59" s="83" t="s">
        <v>730</v>
      </c>
      <c r="G59" s="83" t="s">
        <v>854</v>
      </c>
    </row>
    <row r="60" spans="1:7" ht="28" customHeight="1" x14ac:dyDescent="0.4">
      <c r="A60" s="82" t="s">
        <v>855</v>
      </c>
      <c r="B60" s="83" t="s">
        <v>109</v>
      </c>
      <c r="C60" s="84" t="s">
        <v>718</v>
      </c>
      <c r="D60" s="83" t="s">
        <v>856</v>
      </c>
      <c r="E60" s="83" t="s">
        <v>729</v>
      </c>
      <c r="F60" s="83" t="s">
        <v>730</v>
      </c>
      <c r="G60" s="83" t="s">
        <v>854</v>
      </c>
    </row>
    <row r="61" spans="1:7" ht="28" customHeight="1" x14ac:dyDescent="0.4">
      <c r="A61" s="82" t="s">
        <v>761</v>
      </c>
      <c r="B61" s="83" t="s">
        <v>109</v>
      </c>
      <c r="C61" s="84" t="s">
        <v>718</v>
      </c>
      <c r="D61" s="83" t="s">
        <v>857</v>
      </c>
      <c r="E61" s="83" t="s">
        <v>729</v>
      </c>
      <c r="F61" s="83" t="s">
        <v>730</v>
      </c>
      <c r="G61" s="83" t="s">
        <v>858</v>
      </c>
    </row>
    <row r="62" spans="1:7" ht="28" customHeight="1" x14ac:dyDescent="0.4">
      <c r="A62" s="82" t="s">
        <v>220</v>
      </c>
      <c r="B62" s="83" t="s">
        <v>109</v>
      </c>
      <c r="C62" s="85" t="s">
        <v>745</v>
      </c>
      <c r="D62" s="83" t="s">
        <v>859</v>
      </c>
      <c r="E62" s="83" t="s">
        <v>775</v>
      </c>
      <c r="F62" s="83" t="s">
        <v>730</v>
      </c>
      <c r="G62" s="83" t="s">
        <v>776</v>
      </c>
    </row>
    <row r="63" spans="1:7" ht="40" customHeight="1" x14ac:dyDescent="0.4">
      <c r="A63" s="82" t="s">
        <v>7</v>
      </c>
      <c r="B63" s="83" t="s">
        <v>109</v>
      </c>
      <c r="C63" s="86" t="s">
        <v>781</v>
      </c>
      <c r="D63" s="83" t="s">
        <v>818</v>
      </c>
      <c r="E63" s="83" t="s">
        <v>785</v>
      </c>
      <c r="F63" s="83" t="s">
        <v>786</v>
      </c>
      <c r="G63" s="83" t="s">
        <v>475</v>
      </c>
    </row>
    <row r="64" spans="1:7" x14ac:dyDescent="0.4">
      <c r="A64" s="154" t="s">
        <v>860</v>
      </c>
      <c r="B64" s="98"/>
      <c r="C64" s="98"/>
      <c r="D64" s="98"/>
      <c r="E64" s="98"/>
      <c r="F64" s="98"/>
      <c r="G64" s="98"/>
    </row>
    <row r="65" spans="1:7" ht="28" customHeight="1" x14ac:dyDescent="0.4">
      <c r="A65" s="82" t="s">
        <v>861</v>
      </c>
      <c r="B65" s="83" t="s">
        <v>113</v>
      </c>
      <c r="C65" s="87" t="s">
        <v>862</v>
      </c>
      <c r="D65" s="83" t="s">
        <v>863</v>
      </c>
      <c r="E65" s="83" t="s">
        <v>729</v>
      </c>
      <c r="F65" s="83" t="s">
        <v>730</v>
      </c>
      <c r="G65" s="83" t="s">
        <v>864</v>
      </c>
    </row>
    <row r="66" spans="1:7" ht="28" customHeight="1" x14ac:dyDescent="0.4">
      <c r="A66" s="82" t="s">
        <v>433</v>
      </c>
      <c r="B66" s="83" t="s">
        <v>113</v>
      </c>
      <c r="C66" s="85" t="s">
        <v>745</v>
      </c>
      <c r="D66" s="83" t="s">
        <v>865</v>
      </c>
      <c r="E66" s="83" t="s">
        <v>866</v>
      </c>
      <c r="F66" s="83" t="s">
        <v>730</v>
      </c>
      <c r="G66" s="83" t="s">
        <v>867</v>
      </c>
    </row>
    <row r="67" spans="1:7" ht="28" customHeight="1" x14ac:dyDescent="0.4">
      <c r="A67" s="82" t="s">
        <v>868</v>
      </c>
      <c r="B67" s="83" t="s">
        <v>113</v>
      </c>
      <c r="C67" s="87" t="s">
        <v>862</v>
      </c>
      <c r="D67" s="83" t="s">
        <v>869</v>
      </c>
      <c r="E67" s="83" t="s">
        <v>729</v>
      </c>
      <c r="F67" s="83" t="s">
        <v>730</v>
      </c>
      <c r="G67" s="83" t="s">
        <v>622</v>
      </c>
    </row>
    <row r="68" spans="1:7" ht="28" customHeight="1" x14ac:dyDescent="0.4">
      <c r="A68" s="82" t="s">
        <v>870</v>
      </c>
      <c r="B68" s="83" t="s">
        <v>113</v>
      </c>
      <c r="C68" s="87" t="s">
        <v>862</v>
      </c>
      <c r="D68" s="83" t="s">
        <v>871</v>
      </c>
      <c r="E68" s="83" t="s">
        <v>729</v>
      </c>
      <c r="F68" s="83" t="s">
        <v>730</v>
      </c>
      <c r="G68" s="83" t="s">
        <v>872</v>
      </c>
    </row>
    <row r="69" spans="1:7" ht="28" customHeight="1" x14ac:dyDescent="0.4">
      <c r="A69" s="82" t="s">
        <v>341</v>
      </c>
      <c r="B69" s="83" t="s">
        <v>113</v>
      </c>
      <c r="C69" s="87" t="s">
        <v>862</v>
      </c>
      <c r="D69" s="83" t="s">
        <v>873</v>
      </c>
      <c r="E69" s="83" t="s">
        <v>729</v>
      </c>
      <c r="F69" s="83" t="s">
        <v>730</v>
      </c>
      <c r="G69" s="83" t="s">
        <v>874</v>
      </c>
    </row>
    <row r="70" spans="1:7" ht="28" customHeight="1" x14ac:dyDescent="0.4">
      <c r="A70" s="82" t="s">
        <v>875</v>
      </c>
      <c r="B70" s="83" t="s">
        <v>113</v>
      </c>
      <c r="C70" s="87" t="s">
        <v>862</v>
      </c>
      <c r="D70" s="83" t="s">
        <v>876</v>
      </c>
      <c r="E70" s="83" t="s">
        <v>729</v>
      </c>
      <c r="F70" s="83" t="s">
        <v>730</v>
      </c>
      <c r="G70" s="83" t="s">
        <v>877</v>
      </c>
    </row>
    <row r="71" spans="1:7" ht="28" customHeight="1" x14ac:dyDescent="0.4">
      <c r="A71" s="82" t="s">
        <v>618</v>
      </c>
      <c r="B71" s="83" t="s">
        <v>113</v>
      </c>
      <c r="C71" s="87" t="s">
        <v>862</v>
      </c>
      <c r="D71" s="83" t="s">
        <v>878</v>
      </c>
      <c r="E71" s="83" t="s">
        <v>879</v>
      </c>
      <c r="F71" s="83" t="s">
        <v>730</v>
      </c>
      <c r="G71" s="83" t="s">
        <v>473</v>
      </c>
    </row>
    <row r="72" spans="1:7" ht="40" customHeight="1" x14ac:dyDescent="0.4">
      <c r="A72" s="82" t="s">
        <v>619</v>
      </c>
      <c r="B72" s="83" t="s">
        <v>113</v>
      </c>
      <c r="C72" s="87" t="s">
        <v>862</v>
      </c>
      <c r="D72" s="83" t="s">
        <v>880</v>
      </c>
      <c r="E72" s="83" t="s">
        <v>729</v>
      </c>
      <c r="F72" s="83" t="s">
        <v>881</v>
      </c>
      <c r="G72" s="83" t="s">
        <v>620</v>
      </c>
    </row>
    <row r="73" spans="1:7" ht="40" customHeight="1" x14ac:dyDescent="0.4">
      <c r="A73" s="82" t="s">
        <v>882</v>
      </c>
      <c r="B73" s="83" t="s">
        <v>113</v>
      </c>
      <c r="C73" s="87" t="s">
        <v>862</v>
      </c>
      <c r="D73" s="83" t="s">
        <v>883</v>
      </c>
      <c r="E73" s="83" t="s">
        <v>729</v>
      </c>
      <c r="F73" s="83" t="s">
        <v>730</v>
      </c>
      <c r="G73" s="83" t="s">
        <v>884</v>
      </c>
    </row>
    <row r="74" spans="1:7" ht="40" customHeight="1" x14ac:dyDescent="0.4">
      <c r="A74" s="82" t="s">
        <v>885</v>
      </c>
      <c r="B74" s="83" t="s">
        <v>113</v>
      </c>
      <c r="C74" s="87" t="s">
        <v>862</v>
      </c>
      <c r="D74" s="83" t="s">
        <v>886</v>
      </c>
      <c r="E74" s="83" t="s">
        <v>729</v>
      </c>
      <c r="F74" s="83" t="s">
        <v>730</v>
      </c>
      <c r="G74" s="83" t="s">
        <v>743</v>
      </c>
    </row>
    <row r="75" spans="1:7" ht="40" customHeight="1" x14ac:dyDescent="0.4">
      <c r="A75" s="82" t="s">
        <v>887</v>
      </c>
      <c r="B75" s="83" t="s">
        <v>113</v>
      </c>
      <c r="C75" s="87" t="s">
        <v>862</v>
      </c>
      <c r="D75" s="83" t="s">
        <v>888</v>
      </c>
      <c r="E75" s="83" t="s">
        <v>729</v>
      </c>
      <c r="F75" s="83" t="s">
        <v>730</v>
      </c>
      <c r="G75" s="83" t="s">
        <v>884</v>
      </c>
    </row>
    <row r="76" spans="1:7" ht="40" customHeight="1" x14ac:dyDescent="0.4">
      <c r="A76" s="82" t="s">
        <v>889</v>
      </c>
      <c r="B76" s="83" t="s">
        <v>113</v>
      </c>
      <c r="C76" s="87" t="s">
        <v>862</v>
      </c>
      <c r="D76" s="83" t="s">
        <v>890</v>
      </c>
      <c r="E76" s="83" t="s">
        <v>729</v>
      </c>
      <c r="F76" s="83" t="s">
        <v>730</v>
      </c>
      <c r="G76" s="83" t="s">
        <v>891</v>
      </c>
    </row>
    <row r="77" spans="1:7" ht="40" customHeight="1" x14ac:dyDescent="0.4">
      <c r="A77" s="82" t="s">
        <v>892</v>
      </c>
      <c r="B77" s="83" t="s">
        <v>113</v>
      </c>
      <c r="C77" s="87" t="s">
        <v>862</v>
      </c>
      <c r="D77" s="83" t="s">
        <v>893</v>
      </c>
      <c r="E77" s="83" t="s">
        <v>729</v>
      </c>
      <c r="F77" s="83" t="s">
        <v>730</v>
      </c>
      <c r="G77" s="83" t="s">
        <v>884</v>
      </c>
    </row>
    <row r="78" spans="1:7" ht="40" customHeight="1" x14ac:dyDescent="0.4">
      <c r="A78" s="82" t="s">
        <v>894</v>
      </c>
      <c r="B78" s="83" t="s">
        <v>113</v>
      </c>
      <c r="C78" s="87" t="s">
        <v>862</v>
      </c>
      <c r="D78" s="83" t="s">
        <v>895</v>
      </c>
      <c r="E78" s="83" t="s">
        <v>729</v>
      </c>
      <c r="F78" s="83" t="s">
        <v>730</v>
      </c>
      <c r="G78" s="83" t="s">
        <v>884</v>
      </c>
    </row>
    <row r="79" spans="1:7" ht="40" customHeight="1" x14ac:dyDescent="0.4">
      <c r="A79" s="82" t="s">
        <v>896</v>
      </c>
      <c r="B79" s="83" t="s">
        <v>113</v>
      </c>
      <c r="C79" s="87" t="s">
        <v>862</v>
      </c>
      <c r="D79" s="83" t="s">
        <v>897</v>
      </c>
      <c r="E79" s="83" t="s">
        <v>729</v>
      </c>
      <c r="F79" s="83" t="s">
        <v>730</v>
      </c>
      <c r="G79" s="83" t="s">
        <v>884</v>
      </c>
    </row>
    <row r="80" spans="1:7" ht="28" customHeight="1" x14ac:dyDescent="0.4">
      <c r="A80" s="82" t="s">
        <v>898</v>
      </c>
      <c r="B80" s="83" t="s">
        <v>113</v>
      </c>
      <c r="C80" s="87" t="s">
        <v>862</v>
      </c>
      <c r="D80" s="83" t="s">
        <v>899</v>
      </c>
      <c r="E80" s="83" t="s">
        <v>729</v>
      </c>
      <c r="F80" s="83" t="s">
        <v>730</v>
      </c>
      <c r="G80" s="83" t="s">
        <v>900</v>
      </c>
    </row>
    <row r="81" spans="1:7" ht="40" customHeight="1" x14ac:dyDescent="0.4">
      <c r="A81" s="82" t="s">
        <v>7</v>
      </c>
      <c r="B81" s="83" t="s">
        <v>113</v>
      </c>
      <c r="C81" s="86" t="s">
        <v>781</v>
      </c>
      <c r="D81" s="83" t="s">
        <v>818</v>
      </c>
      <c r="E81" s="83" t="s">
        <v>785</v>
      </c>
      <c r="F81" s="83" t="s">
        <v>786</v>
      </c>
      <c r="G81" s="83" t="s">
        <v>475</v>
      </c>
    </row>
    <row r="82" spans="1:7" x14ac:dyDescent="0.4">
      <c r="A82" s="154" t="s">
        <v>901</v>
      </c>
      <c r="B82" s="98"/>
      <c r="C82" s="98"/>
      <c r="D82" s="98"/>
      <c r="E82" s="98"/>
      <c r="F82" s="98"/>
      <c r="G82" s="98"/>
    </row>
    <row r="83" spans="1:7" ht="28" customHeight="1" x14ac:dyDescent="0.4">
      <c r="A83" s="82" t="s">
        <v>407</v>
      </c>
      <c r="B83" s="83" t="s">
        <v>117</v>
      </c>
      <c r="C83" s="84" t="s">
        <v>718</v>
      </c>
      <c r="D83" s="83" t="s">
        <v>902</v>
      </c>
      <c r="E83" s="83" t="s">
        <v>720</v>
      </c>
      <c r="F83" s="83" t="s">
        <v>721</v>
      </c>
      <c r="G83" s="83" t="s">
        <v>472</v>
      </c>
    </row>
    <row r="84" spans="1:7" ht="28" customHeight="1" x14ac:dyDescent="0.4">
      <c r="A84" s="82" t="s">
        <v>722</v>
      </c>
      <c r="B84" s="83" t="s">
        <v>117</v>
      </c>
      <c r="C84" s="84" t="s">
        <v>718</v>
      </c>
      <c r="D84" s="83" t="s">
        <v>903</v>
      </c>
      <c r="E84" s="83" t="s">
        <v>724</v>
      </c>
      <c r="F84" s="83" t="s">
        <v>725</v>
      </c>
      <c r="G84" s="83" t="s">
        <v>726</v>
      </c>
    </row>
    <row r="85" spans="1:7" ht="40" customHeight="1" x14ac:dyDescent="0.4">
      <c r="A85" s="82" t="s">
        <v>904</v>
      </c>
      <c r="B85" s="83" t="s">
        <v>117</v>
      </c>
      <c r="C85" s="84" t="s">
        <v>718</v>
      </c>
      <c r="D85" s="83" t="s">
        <v>905</v>
      </c>
      <c r="E85" s="83" t="s">
        <v>906</v>
      </c>
      <c r="F85" s="83" t="s">
        <v>730</v>
      </c>
      <c r="G85" s="83" t="s">
        <v>907</v>
      </c>
    </row>
    <row r="86" spans="1:7" ht="28" customHeight="1" x14ac:dyDescent="0.4">
      <c r="A86" s="82" t="s">
        <v>908</v>
      </c>
      <c r="B86" s="83" t="s">
        <v>117</v>
      </c>
      <c r="C86" s="84" t="s">
        <v>909</v>
      </c>
      <c r="D86" s="83" t="s">
        <v>910</v>
      </c>
      <c r="E86" s="83" t="s">
        <v>729</v>
      </c>
      <c r="F86" s="83" t="s">
        <v>730</v>
      </c>
      <c r="G86" s="83" t="s">
        <v>911</v>
      </c>
    </row>
    <row r="87" spans="1:7" ht="28" customHeight="1" x14ac:dyDescent="0.4">
      <c r="A87" s="82" t="s">
        <v>912</v>
      </c>
      <c r="B87" s="83" t="s">
        <v>117</v>
      </c>
      <c r="C87" s="85" t="s">
        <v>771</v>
      </c>
      <c r="D87" s="83" t="s">
        <v>913</v>
      </c>
      <c r="E87" s="83" t="s">
        <v>914</v>
      </c>
      <c r="F87" s="83" t="s">
        <v>730</v>
      </c>
      <c r="G87" s="83" t="s">
        <v>891</v>
      </c>
    </row>
    <row r="88" spans="1:7" ht="28" customHeight="1" x14ac:dyDescent="0.4">
      <c r="A88" s="82" t="s">
        <v>777</v>
      </c>
      <c r="B88" s="83" t="s">
        <v>117</v>
      </c>
      <c r="C88" s="85" t="s">
        <v>771</v>
      </c>
      <c r="D88" s="83" t="s">
        <v>778</v>
      </c>
      <c r="E88" s="83" t="s">
        <v>779</v>
      </c>
      <c r="F88" s="83" t="s">
        <v>730</v>
      </c>
      <c r="G88" s="83" t="s">
        <v>726</v>
      </c>
    </row>
    <row r="89" spans="1:7" x14ac:dyDescent="0.4">
      <c r="A89" s="154" t="s">
        <v>915</v>
      </c>
      <c r="B89" s="98"/>
      <c r="C89" s="98"/>
      <c r="D89" s="98"/>
      <c r="E89" s="98"/>
      <c r="F89" s="98"/>
      <c r="G89" s="98"/>
    </row>
    <row r="90" spans="1:7" ht="28" customHeight="1" x14ac:dyDescent="0.4">
      <c r="A90" s="82" t="s">
        <v>463</v>
      </c>
      <c r="B90" s="83" t="s">
        <v>7</v>
      </c>
      <c r="C90" s="85" t="s">
        <v>771</v>
      </c>
      <c r="D90" s="83" t="s">
        <v>916</v>
      </c>
      <c r="E90" s="83" t="s">
        <v>917</v>
      </c>
      <c r="F90" s="83" t="s">
        <v>730</v>
      </c>
      <c r="G90" s="83" t="s">
        <v>472</v>
      </c>
    </row>
    <row r="91" spans="1:7" ht="28" customHeight="1" x14ac:dyDescent="0.4">
      <c r="A91" s="82" t="s">
        <v>464</v>
      </c>
      <c r="B91" s="83" t="s">
        <v>7</v>
      </c>
      <c r="C91" s="85" t="s">
        <v>771</v>
      </c>
      <c r="D91" s="83" t="s">
        <v>918</v>
      </c>
      <c r="E91" s="83" t="s">
        <v>919</v>
      </c>
      <c r="F91" s="83" t="s">
        <v>730</v>
      </c>
      <c r="G91" s="83" t="s">
        <v>18</v>
      </c>
    </row>
    <row r="92" spans="1:7" ht="28" customHeight="1" x14ac:dyDescent="0.4">
      <c r="A92" s="82" t="s">
        <v>148</v>
      </c>
      <c r="B92" s="83" t="s">
        <v>7</v>
      </c>
      <c r="C92" s="85" t="s">
        <v>771</v>
      </c>
      <c r="D92" s="83" t="s">
        <v>920</v>
      </c>
      <c r="E92" s="83" t="s">
        <v>921</v>
      </c>
      <c r="F92" s="83" t="s">
        <v>730</v>
      </c>
      <c r="G92" s="83" t="s">
        <v>494</v>
      </c>
    </row>
    <row r="93" spans="1:7" ht="28" customHeight="1" x14ac:dyDescent="0.4">
      <c r="A93" s="82" t="s">
        <v>149</v>
      </c>
      <c r="B93" s="83" t="s">
        <v>7</v>
      </c>
      <c r="C93" s="85" t="s">
        <v>771</v>
      </c>
      <c r="D93" s="83" t="s">
        <v>922</v>
      </c>
      <c r="E93" s="83" t="s">
        <v>923</v>
      </c>
      <c r="F93" s="83" t="s">
        <v>730</v>
      </c>
      <c r="G93" s="83" t="s">
        <v>924</v>
      </c>
    </row>
    <row r="94" spans="1:7" ht="28" customHeight="1" x14ac:dyDescent="0.4">
      <c r="A94" s="82" t="s">
        <v>465</v>
      </c>
      <c r="B94" s="83" t="s">
        <v>7</v>
      </c>
      <c r="C94" s="85" t="s">
        <v>771</v>
      </c>
      <c r="D94" s="83" t="s">
        <v>925</v>
      </c>
      <c r="E94" s="83" t="s">
        <v>926</v>
      </c>
      <c r="F94" s="83" t="s">
        <v>730</v>
      </c>
      <c r="G94" s="83" t="s">
        <v>178</v>
      </c>
    </row>
    <row r="95" spans="1:7" ht="28" customHeight="1" x14ac:dyDescent="0.4">
      <c r="A95" s="82" t="s">
        <v>466</v>
      </c>
      <c r="B95" s="83" t="s">
        <v>7</v>
      </c>
      <c r="C95" s="85" t="s">
        <v>771</v>
      </c>
      <c r="D95" s="83" t="s">
        <v>927</v>
      </c>
      <c r="E95" s="83" t="s">
        <v>928</v>
      </c>
      <c r="F95" s="83" t="s">
        <v>730</v>
      </c>
      <c r="G95" s="83" t="s">
        <v>24</v>
      </c>
    </row>
    <row r="96" spans="1:7" ht="28" customHeight="1" x14ac:dyDescent="0.4">
      <c r="A96" s="82" t="s">
        <v>467</v>
      </c>
      <c r="B96" s="83" t="s">
        <v>7</v>
      </c>
      <c r="C96" s="86" t="s">
        <v>929</v>
      </c>
      <c r="D96" s="83" t="s">
        <v>930</v>
      </c>
      <c r="E96" s="83" t="s">
        <v>931</v>
      </c>
      <c r="F96" s="83" t="s">
        <v>932</v>
      </c>
      <c r="G96" s="83" t="s">
        <v>496</v>
      </c>
    </row>
    <row r="97" spans="1:7" ht="28" customHeight="1" x14ac:dyDescent="0.4">
      <c r="A97" s="82" t="s">
        <v>468</v>
      </c>
      <c r="B97" s="83" t="s">
        <v>7</v>
      </c>
      <c r="C97" s="86" t="s">
        <v>929</v>
      </c>
      <c r="D97" s="83" t="s">
        <v>933</v>
      </c>
      <c r="E97" s="83" t="s">
        <v>934</v>
      </c>
      <c r="F97" s="83" t="s">
        <v>730</v>
      </c>
      <c r="G97" s="83" t="s">
        <v>743</v>
      </c>
    </row>
    <row r="98" spans="1:7" ht="40" customHeight="1" x14ac:dyDescent="0.4">
      <c r="A98" s="82" t="s">
        <v>469</v>
      </c>
      <c r="B98" s="83" t="s">
        <v>7</v>
      </c>
      <c r="C98" s="86" t="s">
        <v>929</v>
      </c>
      <c r="D98" s="83" t="s">
        <v>935</v>
      </c>
      <c r="E98" s="83" t="s">
        <v>936</v>
      </c>
      <c r="F98" s="83" t="s">
        <v>730</v>
      </c>
      <c r="G98" s="83" t="s">
        <v>937</v>
      </c>
    </row>
    <row r="99" spans="1:7" ht="28" customHeight="1" x14ac:dyDescent="0.4">
      <c r="A99" s="82" t="s">
        <v>470</v>
      </c>
      <c r="B99" s="83" t="s">
        <v>7</v>
      </c>
      <c r="C99" s="85" t="s">
        <v>771</v>
      </c>
      <c r="D99" s="83" t="s">
        <v>938</v>
      </c>
      <c r="E99" s="83" t="s">
        <v>783</v>
      </c>
      <c r="F99" s="83" t="s">
        <v>730</v>
      </c>
      <c r="G99" s="83" t="s">
        <v>476</v>
      </c>
    </row>
    <row r="100" spans="1:7" ht="28" customHeight="1" x14ac:dyDescent="0.4">
      <c r="A100" s="82" t="s">
        <v>471</v>
      </c>
      <c r="B100" s="83" t="s">
        <v>7</v>
      </c>
      <c r="C100" s="85" t="s">
        <v>771</v>
      </c>
      <c r="D100" s="83" t="s">
        <v>787</v>
      </c>
      <c r="E100" s="83" t="s">
        <v>788</v>
      </c>
      <c r="F100" s="83" t="s">
        <v>730</v>
      </c>
      <c r="G100" s="83" t="s">
        <v>789</v>
      </c>
    </row>
    <row r="101" spans="1:7" ht="28" customHeight="1" x14ac:dyDescent="0.4">
      <c r="A101" s="82" t="s">
        <v>401</v>
      </c>
      <c r="B101" s="83" t="s">
        <v>7</v>
      </c>
      <c r="C101" s="85" t="s">
        <v>771</v>
      </c>
      <c r="D101" s="83" t="s">
        <v>939</v>
      </c>
      <c r="E101" s="83" t="s">
        <v>940</v>
      </c>
      <c r="F101" s="83" t="s">
        <v>730</v>
      </c>
      <c r="G101" s="83" t="s">
        <v>477</v>
      </c>
    </row>
    <row r="102" spans="1:7" x14ac:dyDescent="0.4">
      <c r="A102" s="154" t="s">
        <v>941</v>
      </c>
      <c r="B102" s="98"/>
      <c r="C102" s="98"/>
      <c r="D102" s="98"/>
      <c r="E102" s="98"/>
      <c r="F102" s="98"/>
      <c r="G102" s="98"/>
    </row>
    <row r="103" spans="1:7" ht="28" customHeight="1" x14ac:dyDescent="0.4">
      <c r="A103" s="82" t="s">
        <v>372</v>
      </c>
      <c r="B103" s="83" t="s">
        <v>942</v>
      </c>
      <c r="C103" s="85" t="s">
        <v>745</v>
      </c>
      <c r="D103" s="83" t="s">
        <v>943</v>
      </c>
      <c r="E103" s="83" t="s">
        <v>944</v>
      </c>
      <c r="F103" s="83" t="s">
        <v>945</v>
      </c>
      <c r="G103" s="83" t="s">
        <v>946</v>
      </c>
    </row>
    <row r="104" spans="1:7" ht="28" customHeight="1" x14ac:dyDescent="0.4">
      <c r="A104" s="82" t="s">
        <v>373</v>
      </c>
      <c r="B104" s="83" t="s">
        <v>76</v>
      </c>
      <c r="C104" s="85" t="s">
        <v>745</v>
      </c>
      <c r="D104" s="83" t="s">
        <v>947</v>
      </c>
      <c r="E104" s="83" t="s">
        <v>948</v>
      </c>
      <c r="F104" s="83" t="s">
        <v>949</v>
      </c>
      <c r="G104" s="83" t="s">
        <v>950</v>
      </c>
    </row>
    <row r="105" spans="1:7" ht="28" customHeight="1" x14ac:dyDescent="0.4">
      <c r="A105" s="82" t="s">
        <v>179</v>
      </c>
      <c r="B105" s="83" t="s">
        <v>951</v>
      </c>
      <c r="C105" s="85" t="s">
        <v>745</v>
      </c>
      <c r="D105" s="83" t="s">
        <v>952</v>
      </c>
      <c r="E105" s="83" t="s">
        <v>953</v>
      </c>
      <c r="F105" s="83" t="s">
        <v>954</v>
      </c>
      <c r="G105" s="83" t="s">
        <v>955</v>
      </c>
    </row>
    <row r="106" spans="1:7" ht="28" customHeight="1" x14ac:dyDescent="0.4">
      <c r="A106" s="82" t="s">
        <v>172</v>
      </c>
      <c r="B106" s="83" t="s">
        <v>956</v>
      </c>
      <c r="C106" s="85" t="s">
        <v>745</v>
      </c>
      <c r="D106" s="83" t="s">
        <v>957</v>
      </c>
      <c r="E106" s="83" t="s">
        <v>958</v>
      </c>
      <c r="F106" s="83" t="s">
        <v>959</v>
      </c>
      <c r="G106" s="83" t="s">
        <v>960</v>
      </c>
    </row>
    <row r="107" spans="1:7" ht="28" customHeight="1" x14ac:dyDescent="0.4">
      <c r="A107" s="82" t="s">
        <v>169</v>
      </c>
      <c r="B107" s="83" t="s">
        <v>62</v>
      </c>
      <c r="C107" s="85" t="s">
        <v>961</v>
      </c>
      <c r="D107" s="83" t="s">
        <v>962</v>
      </c>
      <c r="E107" s="83" t="s">
        <v>963</v>
      </c>
      <c r="F107" s="83" t="s">
        <v>959</v>
      </c>
      <c r="G107" s="83" t="s">
        <v>964</v>
      </c>
    </row>
    <row r="108" spans="1:7" ht="40" customHeight="1" x14ac:dyDescent="0.4">
      <c r="A108" s="82" t="s">
        <v>965</v>
      </c>
      <c r="B108" s="83" t="s">
        <v>62</v>
      </c>
      <c r="C108" s="85" t="s">
        <v>745</v>
      </c>
      <c r="D108" s="83" t="s">
        <v>966</v>
      </c>
      <c r="E108" s="83" t="s">
        <v>967</v>
      </c>
      <c r="F108" s="83" t="s">
        <v>959</v>
      </c>
      <c r="G108" s="83" t="s">
        <v>960</v>
      </c>
    </row>
    <row r="109" spans="1:7" ht="28" customHeight="1" x14ac:dyDescent="0.4">
      <c r="A109" s="82" t="s">
        <v>968</v>
      </c>
      <c r="B109" s="83" t="s">
        <v>969</v>
      </c>
      <c r="C109" s="85" t="s">
        <v>745</v>
      </c>
      <c r="D109" s="83" t="s">
        <v>970</v>
      </c>
      <c r="E109" s="83" t="s">
        <v>971</v>
      </c>
      <c r="F109" s="83" t="s">
        <v>959</v>
      </c>
      <c r="G109" s="83" t="s">
        <v>972</v>
      </c>
    </row>
    <row r="110" spans="1:7" ht="28" customHeight="1" x14ac:dyDescent="0.4">
      <c r="A110" s="82" t="s">
        <v>973</v>
      </c>
      <c r="B110" s="83" t="s">
        <v>76</v>
      </c>
      <c r="C110" s="85" t="s">
        <v>745</v>
      </c>
      <c r="D110" s="83" t="s">
        <v>974</v>
      </c>
      <c r="E110" s="83" t="s">
        <v>975</v>
      </c>
      <c r="F110" s="83" t="s">
        <v>976</v>
      </c>
      <c r="G110" s="83" t="s">
        <v>977</v>
      </c>
    </row>
    <row r="111" spans="1:7" ht="28" customHeight="1" x14ac:dyDescent="0.4">
      <c r="A111" s="82" t="s">
        <v>379</v>
      </c>
      <c r="B111" s="83" t="s">
        <v>76</v>
      </c>
      <c r="C111" s="85" t="s">
        <v>978</v>
      </c>
      <c r="D111" s="83" t="s">
        <v>979</v>
      </c>
      <c r="E111" s="83" t="s">
        <v>980</v>
      </c>
      <c r="F111" s="83" t="s">
        <v>981</v>
      </c>
      <c r="G111" s="83" t="s">
        <v>982</v>
      </c>
    </row>
    <row r="112" spans="1:7" ht="28" customHeight="1" x14ac:dyDescent="0.4">
      <c r="A112" s="82" t="s">
        <v>983</v>
      </c>
      <c r="B112" s="83" t="s">
        <v>984</v>
      </c>
      <c r="C112" s="85" t="s">
        <v>745</v>
      </c>
      <c r="D112" s="83" t="s">
        <v>985</v>
      </c>
      <c r="E112" s="83" t="s">
        <v>986</v>
      </c>
      <c r="F112" s="83" t="s">
        <v>987</v>
      </c>
      <c r="G112" s="83" t="s">
        <v>891</v>
      </c>
    </row>
    <row r="113" spans="1:7" ht="28" customHeight="1" x14ac:dyDescent="0.4">
      <c r="A113" s="82" t="s">
        <v>41</v>
      </c>
      <c r="B113" s="83" t="s">
        <v>54</v>
      </c>
      <c r="C113" s="85" t="s">
        <v>745</v>
      </c>
      <c r="D113" s="83" t="s">
        <v>988</v>
      </c>
      <c r="E113" s="83" t="s">
        <v>989</v>
      </c>
      <c r="F113" s="83" t="s">
        <v>990</v>
      </c>
      <c r="G113" s="83" t="s">
        <v>991</v>
      </c>
    </row>
    <row r="114" spans="1:7" ht="28" customHeight="1" x14ac:dyDescent="0.4">
      <c r="A114" s="82" t="s">
        <v>446</v>
      </c>
      <c r="B114" s="83" t="s">
        <v>87</v>
      </c>
      <c r="C114" s="85" t="s">
        <v>745</v>
      </c>
      <c r="D114" s="83" t="s">
        <v>992</v>
      </c>
      <c r="E114" s="83" t="s">
        <v>993</v>
      </c>
      <c r="F114" s="83" t="s">
        <v>725</v>
      </c>
      <c r="G114" s="83" t="s">
        <v>994</v>
      </c>
    </row>
    <row r="115" spans="1:7" x14ac:dyDescent="0.4">
      <c r="A115" s="154" t="s">
        <v>995</v>
      </c>
      <c r="B115" s="98"/>
      <c r="C115" s="98"/>
      <c r="D115" s="98"/>
      <c r="E115" s="98"/>
      <c r="F115" s="98"/>
      <c r="G115" s="98"/>
    </row>
    <row r="116" spans="1:7" ht="28" customHeight="1" x14ac:dyDescent="0.4">
      <c r="A116" s="82" t="s">
        <v>996</v>
      </c>
      <c r="B116" s="83" t="s">
        <v>997</v>
      </c>
      <c r="C116" s="86" t="s">
        <v>998</v>
      </c>
      <c r="D116" s="83" t="s">
        <v>999</v>
      </c>
      <c r="E116" s="83" t="s">
        <v>1000</v>
      </c>
      <c r="F116" s="83" t="s">
        <v>1001</v>
      </c>
      <c r="G116" s="83" t="s">
        <v>1002</v>
      </c>
    </row>
    <row r="117" spans="1:7" ht="28" customHeight="1" x14ac:dyDescent="0.4">
      <c r="A117" s="82" t="s">
        <v>1003</v>
      </c>
      <c r="B117" s="83" t="s">
        <v>1004</v>
      </c>
      <c r="C117" s="86" t="s">
        <v>1005</v>
      </c>
      <c r="D117" s="83" t="s">
        <v>1006</v>
      </c>
      <c r="E117" s="83" t="s">
        <v>1007</v>
      </c>
      <c r="F117" s="83" t="s">
        <v>981</v>
      </c>
      <c r="G117" s="83" t="s">
        <v>743</v>
      </c>
    </row>
    <row r="118" spans="1:7" ht="28" customHeight="1" x14ac:dyDescent="0.4">
      <c r="A118" s="82" t="s">
        <v>1008</v>
      </c>
      <c r="B118" s="83" t="s">
        <v>1009</v>
      </c>
      <c r="C118" s="86" t="s">
        <v>1005</v>
      </c>
      <c r="D118" s="83" t="s">
        <v>1010</v>
      </c>
      <c r="E118" s="83" t="s">
        <v>1011</v>
      </c>
      <c r="F118" s="83" t="s">
        <v>1012</v>
      </c>
      <c r="G118" s="83" t="s">
        <v>1013</v>
      </c>
    </row>
    <row r="119" spans="1:7" ht="28" customHeight="1" x14ac:dyDescent="0.4">
      <c r="A119" s="82" t="s">
        <v>1014</v>
      </c>
      <c r="B119" s="83" t="s">
        <v>1015</v>
      </c>
      <c r="C119" s="86" t="s">
        <v>1005</v>
      </c>
      <c r="D119" s="83" t="s">
        <v>1016</v>
      </c>
      <c r="E119" s="83" t="s">
        <v>1017</v>
      </c>
      <c r="F119" s="83" t="s">
        <v>959</v>
      </c>
      <c r="G119" s="83" t="s">
        <v>1018</v>
      </c>
    </row>
    <row r="120" spans="1:7" ht="28" customHeight="1" x14ac:dyDescent="0.4">
      <c r="A120" s="82" t="s">
        <v>156</v>
      </c>
      <c r="B120" s="83" t="s">
        <v>1019</v>
      </c>
      <c r="C120" s="86" t="s">
        <v>929</v>
      </c>
      <c r="D120" s="83" t="s">
        <v>1020</v>
      </c>
      <c r="E120" s="83" t="s">
        <v>1021</v>
      </c>
      <c r="F120" s="83" t="s">
        <v>990</v>
      </c>
      <c r="G120" s="83" t="s">
        <v>579</v>
      </c>
    </row>
    <row r="121" spans="1:7" ht="28" customHeight="1" x14ac:dyDescent="0.4">
      <c r="A121" s="82" t="s">
        <v>650</v>
      </c>
      <c r="B121" s="83" t="s">
        <v>1022</v>
      </c>
      <c r="C121" s="86" t="s">
        <v>929</v>
      </c>
      <c r="D121" s="83" t="s">
        <v>1023</v>
      </c>
      <c r="E121" s="83" t="s">
        <v>1024</v>
      </c>
      <c r="F121" s="83" t="s">
        <v>1025</v>
      </c>
      <c r="G121" s="83" t="s">
        <v>1026</v>
      </c>
    </row>
    <row r="122" spans="1:7" ht="28" customHeight="1" x14ac:dyDescent="0.4">
      <c r="A122" s="82" t="s">
        <v>651</v>
      </c>
      <c r="B122" s="83" t="s">
        <v>1027</v>
      </c>
      <c r="C122" s="86" t="s">
        <v>929</v>
      </c>
      <c r="D122" s="83" t="s">
        <v>1028</v>
      </c>
      <c r="E122" s="83" t="s">
        <v>1029</v>
      </c>
      <c r="F122" s="83" t="s">
        <v>850</v>
      </c>
      <c r="G122" s="83" t="s">
        <v>653</v>
      </c>
    </row>
  </sheetData>
  <mergeCells count="10">
    <mergeCell ref="A89:G89"/>
    <mergeCell ref="A44:G44"/>
    <mergeCell ref="A102:G102"/>
    <mergeCell ref="A1:G1"/>
    <mergeCell ref="A115:G115"/>
    <mergeCell ref="A30:G30"/>
    <mergeCell ref="A2:G2"/>
    <mergeCell ref="A64:G64"/>
    <mergeCell ref="A82:G82"/>
    <mergeCell ref="A5:G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6A6A6"/>
  </sheetPr>
  <dimension ref="A1:X50"/>
  <sheetViews>
    <sheetView workbookViewId="0"/>
  </sheetViews>
  <sheetFormatPr defaultRowHeight="14.6" x14ac:dyDescent="0.4"/>
  <cols>
    <col min="1" max="14" width="15" customWidth="1"/>
    <col min="15" max="15" width="50" customWidth="1"/>
    <col min="16" max="16" width="60" customWidth="1"/>
    <col min="17" max="18" width="40" customWidth="1"/>
    <col min="19" max="24" width="15" customWidth="1"/>
  </cols>
  <sheetData>
    <row r="1" spans="1:24" ht="28" customHeight="1" x14ac:dyDescent="0.4">
      <c r="A1" s="126" t="str">
        <f>"Horizon Scan NFR — RiskRegister — valutazioni dei rischi, una riga per rischio per ciclo   ·   "&amp;etichettaCiclo</f>
        <v>Horizon Scan NFR — RiskRegister — valutazioni dei rischi, una riga per rischio per ciclo   ·   Ciclo 2026Q3 · dati al 30/09/2026 · validato · Uso interno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24" ht="72.55" customHeight="1" x14ac:dyDescent="0.4">
      <c r="A2" s="112" t="s">
        <v>1030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</row>
    <row r="3" spans="1:24" x14ac:dyDescent="0.4">
      <c r="A3" s="155" t="s">
        <v>1031</v>
      </c>
      <c r="B3" s="98"/>
      <c r="C3" s="98"/>
      <c r="D3" s="98"/>
      <c r="E3" s="98"/>
      <c r="F3" s="98"/>
      <c r="G3" s="98"/>
      <c r="H3" s="98"/>
      <c r="I3" s="98"/>
      <c r="J3" s="98"/>
      <c r="K3" s="73" t="s">
        <v>1032</v>
      </c>
      <c r="L3" s="155" t="s">
        <v>1031</v>
      </c>
      <c r="M3" s="98"/>
      <c r="N3" s="98"/>
      <c r="O3" s="98"/>
      <c r="P3" s="98"/>
      <c r="Q3" s="98"/>
      <c r="R3" s="98"/>
      <c r="S3" s="73" t="s">
        <v>449</v>
      </c>
      <c r="T3" s="73" t="s">
        <v>1032</v>
      </c>
      <c r="U3" s="73" t="s">
        <v>449</v>
      </c>
      <c r="V3" s="151" t="s">
        <v>1033</v>
      </c>
      <c r="W3" s="98"/>
      <c r="X3" s="98"/>
    </row>
    <row r="4" spans="1:24" ht="58" customHeight="1" x14ac:dyDescent="0.4">
      <c r="A4" s="75" t="s">
        <v>1034</v>
      </c>
      <c r="B4" s="75" t="s">
        <v>1035</v>
      </c>
      <c r="C4" s="75" t="s">
        <v>1036</v>
      </c>
      <c r="D4" s="75" t="s">
        <v>1037</v>
      </c>
      <c r="E4" s="75" t="s">
        <v>1038</v>
      </c>
      <c r="F4" s="75" t="s">
        <v>1039</v>
      </c>
      <c r="G4" s="75" t="s">
        <v>1040</v>
      </c>
      <c r="H4" s="75" t="s">
        <v>1041</v>
      </c>
      <c r="I4" s="75" t="s">
        <v>1042</v>
      </c>
      <c r="J4" s="75" t="s">
        <v>1043</v>
      </c>
      <c r="K4" s="75" t="s">
        <v>1044</v>
      </c>
      <c r="L4" s="75" t="s">
        <v>1045</v>
      </c>
      <c r="M4" s="75" t="s">
        <v>1046</v>
      </c>
      <c r="N4" s="75" t="s">
        <v>1047</v>
      </c>
      <c r="O4" s="75" t="s">
        <v>1048</v>
      </c>
      <c r="P4" s="75" t="s">
        <v>1049</v>
      </c>
      <c r="Q4" s="75" t="s">
        <v>1050</v>
      </c>
      <c r="R4" s="75" t="s">
        <v>1051</v>
      </c>
      <c r="S4" s="75" t="s">
        <v>1052</v>
      </c>
      <c r="T4" s="75" t="s">
        <v>1053</v>
      </c>
      <c r="U4" s="75" t="s">
        <v>1054</v>
      </c>
      <c r="V4" s="75" t="s">
        <v>1055</v>
      </c>
      <c r="W4" s="75" t="s">
        <v>1056</v>
      </c>
      <c r="X4" s="75" t="s">
        <v>1057</v>
      </c>
    </row>
    <row r="5" spans="1:24" x14ac:dyDescent="0.4">
      <c r="A5" s="89" t="s">
        <v>407</v>
      </c>
      <c r="B5" s="89" t="s">
        <v>722</v>
      </c>
      <c r="C5" s="89" t="s">
        <v>727</v>
      </c>
      <c r="D5" s="89" t="s">
        <v>149</v>
      </c>
      <c r="E5" s="89" t="s">
        <v>648</v>
      </c>
      <c r="F5" s="89" t="s">
        <v>649</v>
      </c>
      <c r="G5" s="89" t="s">
        <v>207</v>
      </c>
      <c r="H5" s="89" t="s">
        <v>263</v>
      </c>
      <c r="I5" s="89" t="s">
        <v>180</v>
      </c>
      <c r="J5" s="89" t="s">
        <v>261</v>
      </c>
      <c r="K5" s="53" t="s">
        <v>744</v>
      </c>
      <c r="L5" s="89" t="s">
        <v>382</v>
      </c>
      <c r="M5" s="89" t="s">
        <v>178</v>
      </c>
      <c r="N5" s="89" t="s">
        <v>153</v>
      </c>
      <c r="O5" s="89" t="s">
        <v>758</v>
      </c>
      <c r="P5" s="89" t="s">
        <v>761</v>
      </c>
      <c r="Q5" s="89" t="s">
        <v>764</v>
      </c>
      <c r="R5" s="89" t="s">
        <v>768</v>
      </c>
      <c r="S5" s="53" t="s">
        <v>156</v>
      </c>
      <c r="T5" s="53" t="s">
        <v>220</v>
      </c>
      <c r="U5" s="53" t="s">
        <v>777</v>
      </c>
      <c r="V5" s="51" t="s">
        <v>780</v>
      </c>
      <c r="W5" s="51" t="s">
        <v>7</v>
      </c>
      <c r="X5" s="51" t="s">
        <v>471</v>
      </c>
    </row>
    <row r="6" spans="1:24" ht="58.3" x14ac:dyDescent="0.4">
      <c r="A6" s="76" t="s">
        <v>854</v>
      </c>
      <c r="B6" s="78">
        <v>46022</v>
      </c>
      <c r="C6" s="76" t="s">
        <v>473</v>
      </c>
      <c r="D6" s="76" t="s">
        <v>474</v>
      </c>
      <c r="E6" s="76" t="s">
        <v>419</v>
      </c>
      <c r="F6" s="76" t="s">
        <v>652</v>
      </c>
      <c r="G6" s="76">
        <v>3</v>
      </c>
      <c r="H6" s="76">
        <v>4</v>
      </c>
      <c r="I6" s="76">
        <v>3</v>
      </c>
      <c r="J6" s="76">
        <v>3</v>
      </c>
      <c r="K6" s="90">
        <f t="shared" ref="K6:K38" si="0">IF(COUNT(G6,H6,I6,J6,M6)&lt;5,"",ROUND(pesoSeverity*G6+pesoVelocity*H6+pesoProssimita*I6+pesoGap*J6+pesoProbabilita*M6,2))</f>
        <v>3.35</v>
      </c>
      <c r="L6" s="76">
        <v>3</v>
      </c>
      <c r="M6" s="76">
        <v>4</v>
      </c>
      <c r="N6" s="76" t="s">
        <v>1058</v>
      </c>
      <c r="O6" s="77" t="s">
        <v>1059</v>
      </c>
      <c r="P6" s="77" t="s">
        <v>1060</v>
      </c>
      <c r="Q6" s="77" t="s">
        <v>1061</v>
      </c>
      <c r="R6" s="77" t="s">
        <v>1062</v>
      </c>
      <c r="S6" s="76" t="s">
        <v>579</v>
      </c>
      <c r="T6" s="76" t="str">
        <f t="shared" ref="T6:T38" si="1">A6&amp;"|"&amp;C6</f>
        <v>2025Q4|NFR-01</v>
      </c>
      <c r="U6" s="78">
        <v>46022</v>
      </c>
      <c r="V6" s="76" t="s">
        <v>476</v>
      </c>
      <c r="W6" s="76" t="s">
        <v>475</v>
      </c>
      <c r="X6" s="78">
        <v>46037</v>
      </c>
    </row>
    <row r="7" spans="1:24" ht="58.3" x14ac:dyDescent="0.4">
      <c r="A7" s="76" t="s">
        <v>854</v>
      </c>
      <c r="B7" s="78">
        <v>46022</v>
      </c>
      <c r="C7" s="76" t="s">
        <v>478</v>
      </c>
      <c r="D7" s="76" t="s">
        <v>479</v>
      </c>
      <c r="E7" s="76" t="s">
        <v>427</v>
      </c>
      <c r="F7" s="76" t="s">
        <v>654</v>
      </c>
      <c r="G7" s="76">
        <v>4</v>
      </c>
      <c r="H7" s="76">
        <v>4</v>
      </c>
      <c r="I7" s="76">
        <v>3</v>
      </c>
      <c r="J7" s="76">
        <v>4</v>
      </c>
      <c r="K7" s="90">
        <f t="shared" si="0"/>
        <v>3.45</v>
      </c>
      <c r="L7" s="76">
        <v>3</v>
      </c>
      <c r="M7" s="76">
        <v>2</v>
      </c>
      <c r="N7" s="76" t="s">
        <v>1058</v>
      </c>
      <c r="O7" s="77" t="s">
        <v>1063</v>
      </c>
      <c r="P7" s="77" t="s">
        <v>1064</v>
      </c>
      <c r="Q7" s="77" t="s">
        <v>1061</v>
      </c>
      <c r="R7" s="77" t="s">
        <v>1065</v>
      </c>
      <c r="S7" s="76" t="s">
        <v>583</v>
      </c>
      <c r="T7" s="76" t="str">
        <f t="shared" si="1"/>
        <v>2025Q4|NFR-02</v>
      </c>
      <c r="U7" s="78">
        <v>46022</v>
      </c>
      <c r="V7" s="76" t="s">
        <v>476</v>
      </c>
      <c r="W7" s="76" t="s">
        <v>475</v>
      </c>
      <c r="X7" s="78">
        <v>46037</v>
      </c>
    </row>
    <row r="8" spans="1:24" ht="58.3" x14ac:dyDescent="0.4">
      <c r="A8" s="76" t="s">
        <v>854</v>
      </c>
      <c r="B8" s="78">
        <v>46022</v>
      </c>
      <c r="C8" s="76" t="s">
        <v>480</v>
      </c>
      <c r="D8" s="76" t="s">
        <v>481</v>
      </c>
      <c r="E8" s="76" t="s">
        <v>423</v>
      </c>
      <c r="F8" s="76" t="s">
        <v>656</v>
      </c>
      <c r="G8" s="76">
        <v>3</v>
      </c>
      <c r="H8" s="76">
        <v>2</v>
      </c>
      <c r="I8" s="76">
        <v>3</v>
      </c>
      <c r="J8" s="76">
        <v>3</v>
      </c>
      <c r="K8" s="90">
        <f t="shared" si="0"/>
        <v>2.85</v>
      </c>
      <c r="L8" s="76">
        <v>3</v>
      </c>
      <c r="M8" s="76">
        <v>3</v>
      </c>
      <c r="N8" s="76" t="s">
        <v>1058</v>
      </c>
      <c r="O8" s="77" t="s">
        <v>1066</v>
      </c>
      <c r="P8" s="77" t="s">
        <v>1067</v>
      </c>
      <c r="Q8" s="77" t="s">
        <v>1061</v>
      </c>
      <c r="R8" s="77" t="s">
        <v>1068</v>
      </c>
      <c r="S8" s="76" t="s">
        <v>587</v>
      </c>
      <c r="T8" s="76" t="str">
        <f t="shared" si="1"/>
        <v>2025Q4|NFR-03</v>
      </c>
      <c r="U8" s="78">
        <v>46022</v>
      </c>
      <c r="V8" s="76" t="s">
        <v>476</v>
      </c>
      <c r="W8" s="76" t="s">
        <v>475</v>
      </c>
      <c r="X8" s="78">
        <v>46037</v>
      </c>
    </row>
    <row r="9" spans="1:24" ht="43.75" x14ac:dyDescent="0.4">
      <c r="A9" s="76" t="s">
        <v>854</v>
      </c>
      <c r="B9" s="78">
        <v>46022</v>
      </c>
      <c r="C9" s="76" t="s">
        <v>482</v>
      </c>
      <c r="D9" s="76" t="s">
        <v>483</v>
      </c>
      <c r="E9" s="76" t="s">
        <v>425</v>
      </c>
      <c r="F9" s="76" t="s">
        <v>658</v>
      </c>
      <c r="G9" s="76">
        <v>3</v>
      </c>
      <c r="H9" s="76">
        <v>2</v>
      </c>
      <c r="I9" s="76">
        <v>2</v>
      </c>
      <c r="J9" s="76">
        <v>3</v>
      </c>
      <c r="K9" s="90">
        <f t="shared" si="0"/>
        <v>2.7</v>
      </c>
      <c r="L9" s="76">
        <v>2</v>
      </c>
      <c r="M9" s="76">
        <v>3</v>
      </c>
      <c r="N9" s="76" t="s">
        <v>1058</v>
      </c>
      <c r="O9" s="77" t="s">
        <v>1069</v>
      </c>
      <c r="P9" s="77" t="s">
        <v>1070</v>
      </c>
      <c r="Q9" s="77" t="s">
        <v>1061</v>
      </c>
      <c r="R9" s="77" t="s">
        <v>1071</v>
      </c>
      <c r="S9" s="76" t="s">
        <v>590</v>
      </c>
      <c r="T9" s="76" t="str">
        <f t="shared" si="1"/>
        <v>2025Q4|NFR-04</v>
      </c>
      <c r="U9" s="78">
        <v>46022</v>
      </c>
      <c r="V9" s="76" t="s">
        <v>476</v>
      </c>
      <c r="W9" s="76" t="s">
        <v>475</v>
      </c>
      <c r="X9" s="78">
        <v>46037</v>
      </c>
    </row>
    <row r="10" spans="1:24" ht="43.75" x14ac:dyDescent="0.4">
      <c r="A10" s="76" t="s">
        <v>854</v>
      </c>
      <c r="B10" s="78">
        <v>46022</v>
      </c>
      <c r="C10" s="76" t="s">
        <v>484</v>
      </c>
      <c r="D10" s="76" t="s">
        <v>485</v>
      </c>
      <c r="E10" s="76" t="s">
        <v>429</v>
      </c>
      <c r="F10" s="76" t="s">
        <v>659</v>
      </c>
      <c r="G10" s="76">
        <v>3</v>
      </c>
      <c r="H10" s="76">
        <v>3</v>
      </c>
      <c r="I10" s="76">
        <v>4</v>
      </c>
      <c r="J10" s="76">
        <v>4</v>
      </c>
      <c r="K10" s="90">
        <f t="shared" si="0"/>
        <v>3.35</v>
      </c>
      <c r="L10" s="76">
        <v>3</v>
      </c>
      <c r="M10" s="76">
        <v>3</v>
      </c>
      <c r="N10" s="76" t="s">
        <v>1058</v>
      </c>
      <c r="O10" s="77" t="s">
        <v>1072</v>
      </c>
      <c r="P10" s="77" t="s">
        <v>1073</v>
      </c>
      <c r="Q10" s="77" t="s">
        <v>1061</v>
      </c>
      <c r="R10" s="77" t="s">
        <v>1074</v>
      </c>
      <c r="S10" s="76" t="s">
        <v>593</v>
      </c>
      <c r="T10" s="76" t="str">
        <f t="shared" si="1"/>
        <v>2025Q4|NFR-05</v>
      </c>
      <c r="U10" s="78">
        <v>46022</v>
      </c>
      <c r="V10" s="76" t="s">
        <v>476</v>
      </c>
      <c r="W10" s="76" t="s">
        <v>475</v>
      </c>
      <c r="X10" s="78">
        <v>46037</v>
      </c>
    </row>
    <row r="11" spans="1:24" ht="43.75" x14ac:dyDescent="0.4">
      <c r="A11" s="76" t="s">
        <v>854</v>
      </c>
      <c r="B11" s="78">
        <v>46022</v>
      </c>
      <c r="C11" s="76" t="s">
        <v>488</v>
      </c>
      <c r="D11" s="76" t="s">
        <v>489</v>
      </c>
      <c r="E11" s="76" t="s">
        <v>427</v>
      </c>
      <c r="F11" s="76" t="s">
        <v>662</v>
      </c>
      <c r="G11" s="76">
        <v>4</v>
      </c>
      <c r="H11" s="76">
        <v>5</v>
      </c>
      <c r="I11" s="76">
        <v>3</v>
      </c>
      <c r="J11" s="76">
        <v>3</v>
      </c>
      <c r="K11" s="90">
        <f t="shared" si="0"/>
        <v>3.6</v>
      </c>
      <c r="L11" s="76">
        <v>3</v>
      </c>
      <c r="M11" s="76">
        <v>3</v>
      </c>
      <c r="N11" s="76" t="s">
        <v>1058</v>
      </c>
      <c r="O11" s="77" t="s">
        <v>1075</v>
      </c>
      <c r="P11" s="77" t="s">
        <v>1076</v>
      </c>
      <c r="Q11" s="77" t="s">
        <v>1061</v>
      </c>
      <c r="R11" s="77" t="s">
        <v>1077</v>
      </c>
      <c r="S11" s="76" t="s">
        <v>583</v>
      </c>
      <c r="T11" s="76" t="str">
        <f t="shared" si="1"/>
        <v>2025Q4|NFR-07</v>
      </c>
      <c r="U11" s="78">
        <v>46022</v>
      </c>
      <c r="V11" s="76" t="s">
        <v>476</v>
      </c>
      <c r="W11" s="76" t="s">
        <v>475</v>
      </c>
      <c r="X11" s="78">
        <v>46037</v>
      </c>
    </row>
    <row r="12" spans="1:24" ht="43.75" x14ac:dyDescent="0.4">
      <c r="A12" s="76" t="s">
        <v>854</v>
      </c>
      <c r="B12" s="78">
        <v>46022</v>
      </c>
      <c r="C12" s="76" t="s">
        <v>490</v>
      </c>
      <c r="D12" s="76" t="s">
        <v>491</v>
      </c>
      <c r="E12" s="76" t="s">
        <v>417</v>
      </c>
      <c r="F12" s="76" t="s">
        <v>664</v>
      </c>
      <c r="G12" s="76">
        <v>3</v>
      </c>
      <c r="H12" s="76">
        <v>3</v>
      </c>
      <c r="I12" s="76">
        <v>3</v>
      </c>
      <c r="J12" s="76">
        <v>3</v>
      </c>
      <c r="K12" s="90">
        <f t="shared" si="0"/>
        <v>2.8</v>
      </c>
      <c r="L12" s="76">
        <v>3</v>
      </c>
      <c r="M12" s="76">
        <v>2</v>
      </c>
      <c r="N12" s="76" t="s">
        <v>1058</v>
      </c>
      <c r="O12" s="77" t="s">
        <v>1078</v>
      </c>
      <c r="P12" s="77" t="s">
        <v>1079</v>
      </c>
      <c r="Q12" s="77" t="s">
        <v>1061</v>
      </c>
      <c r="R12" s="77" t="s">
        <v>1080</v>
      </c>
      <c r="S12" s="76" t="s">
        <v>599</v>
      </c>
      <c r="T12" s="76" t="str">
        <f t="shared" si="1"/>
        <v>2025Q4|NFR-08</v>
      </c>
      <c r="U12" s="78">
        <v>46022</v>
      </c>
      <c r="V12" s="76" t="s">
        <v>476</v>
      </c>
      <c r="W12" s="76" t="s">
        <v>475</v>
      </c>
      <c r="X12" s="78">
        <v>46037</v>
      </c>
    </row>
    <row r="13" spans="1:24" ht="43.75" x14ac:dyDescent="0.4">
      <c r="A13" s="76" t="s">
        <v>854</v>
      </c>
      <c r="B13" s="78">
        <v>46022</v>
      </c>
      <c r="C13" s="76" t="s">
        <v>498</v>
      </c>
      <c r="D13" s="76" t="s">
        <v>499</v>
      </c>
      <c r="E13" s="76" t="s">
        <v>427</v>
      </c>
      <c r="F13" s="76" t="s">
        <v>659</v>
      </c>
      <c r="G13" s="76">
        <v>3</v>
      </c>
      <c r="H13" s="76">
        <v>2</v>
      </c>
      <c r="I13" s="76">
        <v>3</v>
      </c>
      <c r="J13" s="76">
        <v>4</v>
      </c>
      <c r="K13" s="90">
        <f t="shared" si="0"/>
        <v>3.05</v>
      </c>
      <c r="L13" s="76">
        <v>3</v>
      </c>
      <c r="M13" s="76">
        <v>3</v>
      </c>
      <c r="N13" s="76" t="s">
        <v>1058</v>
      </c>
      <c r="O13" s="77" t="s">
        <v>1081</v>
      </c>
      <c r="P13" s="77" t="s">
        <v>1082</v>
      </c>
      <c r="Q13" s="77" t="s">
        <v>1061</v>
      </c>
      <c r="R13" s="77" t="s">
        <v>1083</v>
      </c>
      <c r="S13" s="76" t="s">
        <v>611</v>
      </c>
      <c r="T13" s="76" t="str">
        <f t="shared" si="1"/>
        <v>2025Q4|NFR-11</v>
      </c>
      <c r="U13" s="78">
        <v>46022</v>
      </c>
      <c r="V13" s="76" t="s">
        <v>476</v>
      </c>
      <c r="W13" s="76" t="s">
        <v>475</v>
      </c>
      <c r="X13" s="78">
        <v>46037</v>
      </c>
    </row>
    <row r="14" spans="1:24" ht="43.75" x14ac:dyDescent="0.4">
      <c r="A14" s="76" t="s">
        <v>854</v>
      </c>
      <c r="B14" s="78">
        <v>46022</v>
      </c>
      <c r="C14" s="76" t="s">
        <v>500</v>
      </c>
      <c r="D14" s="76" t="s">
        <v>501</v>
      </c>
      <c r="E14" s="76" t="s">
        <v>429</v>
      </c>
      <c r="F14" s="76" t="s">
        <v>659</v>
      </c>
      <c r="G14" s="76">
        <v>3</v>
      </c>
      <c r="H14" s="76">
        <v>4</v>
      </c>
      <c r="I14" s="76">
        <v>3</v>
      </c>
      <c r="J14" s="76">
        <v>3</v>
      </c>
      <c r="K14" s="90">
        <f t="shared" si="0"/>
        <v>3.35</v>
      </c>
      <c r="L14" s="76">
        <v>3</v>
      </c>
      <c r="M14" s="76">
        <v>4</v>
      </c>
      <c r="N14" s="76" t="s">
        <v>1058</v>
      </c>
      <c r="O14" s="77" t="s">
        <v>1084</v>
      </c>
      <c r="P14" s="77" t="s">
        <v>1085</v>
      </c>
      <c r="Q14" s="77" t="s">
        <v>1061</v>
      </c>
      <c r="R14" s="77" t="s">
        <v>1086</v>
      </c>
      <c r="S14" s="76" t="s">
        <v>593</v>
      </c>
      <c r="T14" s="76" t="str">
        <f t="shared" si="1"/>
        <v>2025Q4|NFR-12</v>
      </c>
      <c r="U14" s="78">
        <v>46022</v>
      </c>
      <c r="V14" s="76" t="s">
        <v>476</v>
      </c>
      <c r="W14" s="76" t="s">
        <v>475</v>
      </c>
      <c r="X14" s="78">
        <v>46037</v>
      </c>
    </row>
    <row r="15" spans="1:24" ht="72.900000000000006" x14ac:dyDescent="0.4">
      <c r="A15" s="76" t="s">
        <v>1087</v>
      </c>
      <c r="B15" s="78">
        <v>46112</v>
      </c>
      <c r="C15" s="76" t="s">
        <v>473</v>
      </c>
      <c r="D15" s="76" t="s">
        <v>474</v>
      </c>
      <c r="E15" s="76" t="s">
        <v>419</v>
      </c>
      <c r="F15" s="76" t="s">
        <v>652</v>
      </c>
      <c r="G15" s="76">
        <v>3</v>
      </c>
      <c r="H15" s="76">
        <v>4</v>
      </c>
      <c r="I15" s="76">
        <v>4</v>
      </c>
      <c r="J15" s="76">
        <v>3</v>
      </c>
      <c r="K15" s="90">
        <f t="shared" si="0"/>
        <v>3.5</v>
      </c>
      <c r="L15" s="76">
        <v>3</v>
      </c>
      <c r="M15" s="76">
        <v>4</v>
      </c>
      <c r="N15" s="76" t="s">
        <v>757</v>
      </c>
      <c r="O15" s="77" t="s">
        <v>1059</v>
      </c>
      <c r="P15" s="77" t="s">
        <v>1060</v>
      </c>
      <c r="Q15" s="77" t="s">
        <v>1088</v>
      </c>
      <c r="R15" s="77" t="s">
        <v>1062</v>
      </c>
      <c r="S15" s="76" t="s">
        <v>579</v>
      </c>
      <c r="T15" s="76" t="str">
        <f t="shared" si="1"/>
        <v>2026Q1|NFR-01</v>
      </c>
      <c r="U15" s="78">
        <v>46112</v>
      </c>
      <c r="V15" s="76" t="s">
        <v>476</v>
      </c>
      <c r="W15" s="76" t="s">
        <v>475</v>
      </c>
      <c r="X15" s="78">
        <v>46127</v>
      </c>
    </row>
    <row r="16" spans="1:24" ht="72.900000000000006" x14ac:dyDescent="0.4">
      <c r="A16" s="76" t="s">
        <v>1087</v>
      </c>
      <c r="B16" s="78">
        <v>46112</v>
      </c>
      <c r="C16" s="76" t="s">
        <v>478</v>
      </c>
      <c r="D16" s="76" t="s">
        <v>479</v>
      </c>
      <c r="E16" s="76" t="s">
        <v>427</v>
      </c>
      <c r="F16" s="76" t="s">
        <v>654</v>
      </c>
      <c r="G16" s="76">
        <v>4</v>
      </c>
      <c r="H16" s="76">
        <v>4</v>
      </c>
      <c r="I16" s="76">
        <v>3</v>
      </c>
      <c r="J16" s="76">
        <v>4</v>
      </c>
      <c r="K16" s="90">
        <f t="shared" si="0"/>
        <v>3.45</v>
      </c>
      <c r="L16" s="76">
        <v>3</v>
      </c>
      <c r="M16" s="76">
        <v>2</v>
      </c>
      <c r="N16" s="76" t="s">
        <v>1058</v>
      </c>
      <c r="O16" s="77" t="s">
        <v>1063</v>
      </c>
      <c r="P16" s="77" t="s">
        <v>1064</v>
      </c>
      <c r="Q16" s="77" t="s">
        <v>1061</v>
      </c>
      <c r="R16" s="77" t="s">
        <v>1089</v>
      </c>
      <c r="S16" s="76" t="s">
        <v>583</v>
      </c>
      <c r="T16" s="76" t="str">
        <f t="shared" si="1"/>
        <v>2026Q1|NFR-02</v>
      </c>
      <c r="U16" s="78">
        <v>46112</v>
      </c>
      <c r="V16" s="76" t="s">
        <v>476</v>
      </c>
      <c r="W16" s="76" t="s">
        <v>475</v>
      </c>
      <c r="X16" s="78">
        <v>46127</v>
      </c>
    </row>
    <row r="17" spans="1:24" ht="87.45" x14ac:dyDescent="0.4">
      <c r="A17" s="76" t="s">
        <v>1087</v>
      </c>
      <c r="B17" s="78">
        <v>46112</v>
      </c>
      <c r="C17" s="76" t="s">
        <v>480</v>
      </c>
      <c r="D17" s="76" t="s">
        <v>481</v>
      </c>
      <c r="E17" s="76" t="s">
        <v>423</v>
      </c>
      <c r="F17" s="76" t="s">
        <v>656</v>
      </c>
      <c r="G17" s="76">
        <v>3</v>
      </c>
      <c r="H17" s="76">
        <v>2</v>
      </c>
      <c r="I17" s="76">
        <v>3</v>
      </c>
      <c r="J17" s="76">
        <v>3</v>
      </c>
      <c r="K17" s="90">
        <f t="shared" si="0"/>
        <v>2.85</v>
      </c>
      <c r="L17" s="76">
        <v>3</v>
      </c>
      <c r="M17" s="76">
        <v>3</v>
      </c>
      <c r="N17" s="76" t="s">
        <v>1058</v>
      </c>
      <c r="O17" s="77" t="s">
        <v>1066</v>
      </c>
      <c r="P17" s="77" t="s">
        <v>1067</v>
      </c>
      <c r="Q17" s="77" t="s">
        <v>1061</v>
      </c>
      <c r="R17" s="77" t="s">
        <v>1090</v>
      </c>
      <c r="S17" s="76" t="s">
        <v>587</v>
      </c>
      <c r="T17" s="76" t="str">
        <f t="shared" si="1"/>
        <v>2026Q1|NFR-03</v>
      </c>
      <c r="U17" s="78">
        <v>46112</v>
      </c>
      <c r="V17" s="76" t="s">
        <v>476</v>
      </c>
      <c r="W17" s="76" t="s">
        <v>475</v>
      </c>
      <c r="X17" s="78">
        <v>46127</v>
      </c>
    </row>
    <row r="18" spans="1:24" ht="43.75" x14ac:dyDescent="0.4">
      <c r="A18" s="76" t="s">
        <v>1087</v>
      </c>
      <c r="B18" s="78">
        <v>46112</v>
      </c>
      <c r="C18" s="76" t="s">
        <v>482</v>
      </c>
      <c r="D18" s="76" t="s">
        <v>483</v>
      </c>
      <c r="E18" s="76" t="s">
        <v>425</v>
      </c>
      <c r="F18" s="76" t="s">
        <v>658</v>
      </c>
      <c r="G18" s="76">
        <v>3</v>
      </c>
      <c r="H18" s="76">
        <v>2</v>
      </c>
      <c r="I18" s="76">
        <v>2</v>
      </c>
      <c r="J18" s="76">
        <v>3</v>
      </c>
      <c r="K18" s="90">
        <f t="shared" si="0"/>
        <v>2.7</v>
      </c>
      <c r="L18" s="76">
        <v>2</v>
      </c>
      <c r="M18" s="76">
        <v>3</v>
      </c>
      <c r="N18" s="76" t="s">
        <v>1058</v>
      </c>
      <c r="O18" s="77" t="s">
        <v>1069</v>
      </c>
      <c r="P18" s="77" t="s">
        <v>1070</v>
      </c>
      <c r="Q18" s="77" t="s">
        <v>1061</v>
      </c>
      <c r="R18" s="77" t="s">
        <v>1071</v>
      </c>
      <c r="S18" s="76" t="s">
        <v>590</v>
      </c>
      <c r="T18" s="76" t="str">
        <f t="shared" si="1"/>
        <v>2026Q1|NFR-04</v>
      </c>
      <c r="U18" s="78">
        <v>46112</v>
      </c>
      <c r="V18" s="76" t="s">
        <v>476</v>
      </c>
      <c r="W18" s="76" t="s">
        <v>475</v>
      </c>
      <c r="X18" s="78">
        <v>46127</v>
      </c>
    </row>
    <row r="19" spans="1:24" ht="43.75" x14ac:dyDescent="0.4">
      <c r="A19" s="76" t="s">
        <v>1087</v>
      </c>
      <c r="B19" s="78">
        <v>46112</v>
      </c>
      <c r="C19" s="76" t="s">
        <v>484</v>
      </c>
      <c r="D19" s="76" t="s">
        <v>485</v>
      </c>
      <c r="E19" s="76" t="s">
        <v>429</v>
      </c>
      <c r="F19" s="76" t="s">
        <v>659</v>
      </c>
      <c r="G19" s="76">
        <v>3</v>
      </c>
      <c r="H19" s="76">
        <v>3</v>
      </c>
      <c r="I19" s="76">
        <v>4</v>
      </c>
      <c r="J19" s="76">
        <v>4</v>
      </c>
      <c r="K19" s="90">
        <f t="shared" si="0"/>
        <v>3.35</v>
      </c>
      <c r="L19" s="76">
        <v>3</v>
      </c>
      <c r="M19" s="76">
        <v>3</v>
      </c>
      <c r="N19" s="76" t="s">
        <v>1058</v>
      </c>
      <c r="O19" s="77" t="s">
        <v>1072</v>
      </c>
      <c r="P19" s="77" t="s">
        <v>1073</v>
      </c>
      <c r="Q19" s="77" t="s">
        <v>1061</v>
      </c>
      <c r="R19" s="77" t="s">
        <v>1074</v>
      </c>
      <c r="S19" s="76" t="s">
        <v>593</v>
      </c>
      <c r="T19" s="76" t="str">
        <f t="shared" si="1"/>
        <v>2026Q1|NFR-05</v>
      </c>
      <c r="U19" s="78">
        <v>46112</v>
      </c>
      <c r="V19" s="76" t="s">
        <v>476</v>
      </c>
      <c r="W19" s="76" t="s">
        <v>475</v>
      </c>
      <c r="X19" s="78">
        <v>46127</v>
      </c>
    </row>
    <row r="20" spans="1:24" ht="87.45" x14ac:dyDescent="0.4">
      <c r="A20" s="76" t="s">
        <v>1087</v>
      </c>
      <c r="B20" s="78">
        <v>46112</v>
      </c>
      <c r="C20" s="76" t="s">
        <v>486</v>
      </c>
      <c r="D20" s="76" t="s">
        <v>487</v>
      </c>
      <c r="E20" s="76" t="s">
        <v>417</v>
      </c>
      <c r="F20" s="76" t="s">
        <v>660</v>
      </c>
      <c r="G20" s="76">
        <v>3</v>
      </c>
      <c r="H20" s="76">
        <v>3</v>
      </c>
      <c r="I20" s="76">
        <v>3</v>
      </c>
      <c r="J20" s="76">
        <v>4</v>
      </c>
      <c r="K20" s="90">
        <f t="shared" si="0"/>
        <v>3.2</v>
      </c>
      <c r="L20" s="76">
        <v>2</v>
      </c>
      <c r="M20" s="76">
        <v>3</v>
      </c>
      <c r="N20" s="76" t="s">
        <v>1091</v>
      </c>
      <c r="O20" s="77" t="s">
        <v>1092</v>
      </c>
      <c r="P20" s="77" t="s">
        <v>1093</v>
      </c>
      <c r="Q20" s="77" t="s">
        <v>1061</v>
      </c>
      <c r="R20" s="77" t="s">
        <v>1094</v>
      </c>
      <c r="S20" s="76" t="s">
        <v>599</v>
      </c>
      <c r="T20" s="76" t="str">
        <f t="shared" si="1"/>
        <v>2026Q1|NFR-06</v>
      </c>
      <c r="U20" s="78">
        <v>46112</v>
      </c>
      <c r="V20" s="76" t="s">
        <v>476</v>
      </c>
      <c r="W20" s="76" t="s">
        <v>475</v>
      </c>
      <c r="X20" s="78">
        <v>46127</v>
      </c>
    </row>
    <row r="21" spans="1:24" ht="87.45" x14ac:dyDescent="0.4">
      <c r="A21" s="76" t="s">
        <v>1087</v>
      </c>
      <c r="B21" s="78">
        <v>46112</v>
      </c>
      <c r="C21" s="76" t="s">
        <v>488</v>
      </c>
      <c r="D21" s="76" t="s">
        <v>489</v>
      </c>
      <c r="E21" s="76" t="s">
        <v>427</v>
      </c>
      <c r="F21" s="76" t="s">
        <v>662</v>
      </c>
      <c r="G21" s="76">
        <v>4</v>
      </c>
      <c r="H21" s="76">
        <v>5</v>
      </c>
      <c r="I21" s="76">
        <v>3</v>
      </c>
      <c r="J21" s="76">
        <v>3</v>
      </c>
      <c r="K21" s="90">
        <f t="shared" si="0"/>
        <v>3.6</v>
      </c>
      <c r="L21" s="76">
        <v>3</v>
      </c>
      <c r="M21" s="76">
        <v>3</v>
      </c>
      <c r="N21" s="76" t="s">
        <v>1058</v>
      </c>
      <c r="O21" s="77" t="s">
        <v>1075</v>
      </c>
      <c r="P21" s="77" t="s">
        <v>1076</v>
      </c>
      <c r="Q21" s="77" t="s">
        <v>1061</v>
      </c>
      <c r="R21" s="77" t="s">
        <v>1095</v>
      </c>
      <c r="S21" s="76" t="s">
        <v>583</v>
      </c>
      <c r="T21" s="76" t="str">
        <f t="shared" si="1"/>
        <v>2026Q1|NFR-07</v>
      </c>
      <c r="U21" s="78">
        <v>46112</v>
      </c>
      <c r="V21" s="76" t="s">
        <v>476</v>
      </c>
      <c r="W21" s="76" t="s">
        <v>475</v>
      </c>
      <c r="X21" s="78">
        <v>46127</v>
      </c>
    </row>
    <row r="22" spans="1:24" ht="43.75" x14ac:dyDescent="0.4">
      <c r="A22" s="76" t="s">
        <v>1087</v>
      </c>
      <c r="B22" s="78">
        <v>46112</v>
      </c>
      <c r="C22" s="76" t="s">
        <v>490</v>
      </c>
      <c r="D22" s="76" t="s">
        <v>491</v>
      </c>
      <c r="E22" s="76" t="s">
        <v>417</v>
      </c>
      <c r="F22" s="76" t="s">
        <v>664</v>
      </c>
      <c r="G22" s="76">
        <v>3</v>
      </c>
      <c r="H22" s="76">
        <v>3</v>
      </c>
      <c r="I22" s="76">
        <v>3</v>
      </c>
      <c r="J22" s="76">
        <v>3</v>
      </c>
      <c r="K22" s="90">
        <f t="shared" si="0"/>
        <v>2.8</v>
      </c>
      <c r="L22" s="76">
        <v>3</v>
      </c>
      <c r="M22" s="76">
        <v>2</v>
      </c>
      <c r="N22" s="76" t="s">
        <v>1058</v>
      </c>
      <c r="O22" s="77" t="s">
        <v>1078</v>
      </c>
      <c r="P22" s="77" t="s">
        <v>1079</v>
      </c>
      <c r="Q22" s="77" t="s">
        <v>1061</v>
      </c>
      <c r="R22" s="77" t="s">
        <v>1080</v>
      </c>
      <c r="S22" s="76" t="s">
        <v>599</v>
      </c>
      <c r="T22" s="76" t="str">
        <f t="shared" si="1"/>
        <v>2026Q1|NFR-08</v>
      </c>
      <c r="U22" s="78">
        <v>46112</v>
      </c>
      <c r="V22" s="76" t="s">
        <v>476</v>
      </c>
      <c r="W22" s="76" t="s">
        <v>475</v>
      </c>
      <c r="X22" s="78">
        <v>46127</v>
      </c>
    </row>
    <row r="23" spans="1:24" ht="87.45" x14ac:dyDescent="0.4">
      <c r="A23" s="76" t="s">
        <v>1087</v>
      </c>
      <c r="B23" s="78">
        <v>46112</v>
      </c>
      <c r="C23" s="76" t="s">
        <v>492</v>
      </c>
      <c r="D23" s="76" t="s">
        <v>493</v>
      </c>
      <c r="E23" s="76" t="s">
        <v>423</v>
      </c>
      <c r="F23" s="76" t="s">
        <v>667</v>
      </c>
      <c r="G23" s="76">
        <v>4</v>
      </c>
      <c r="H23" s="76">
        <v>3</v>
      </c>
      <c r="I23" s="76">
        <v>2</v>
      </c>
      <c r="J23" s="76">
        <v>3</v>
      </c>
      <c r="K23" s="90">
        <f t="shared" si="0"/>
        <v>2.95</v>
      </c>
      <c r="L23" s="76">
        <v>2</v>
      </c>
      <c r="M23" s="76">
        <v>2</v>
      </c>
      <c r="N23" s="76" t="s">
        <v>1091</v>
      </c>
      <c r="O23" s="77" t="s">
        <v>1096</v>
      </c>
      <c r="P23" s="77" t="s">
        <v>1097</v>
      </c>
      <c r="Q23" s="77" t="s">
        <v>1061</v>
      </c>
      <c r="R23" s="77" t="s">
        <v>1098</v>
      </c>
      <c r="S23" s="76" t="s">
        <v>587</v>
      </c>
      <c r="T23" s="76" t="str">
        <f t="shared" si="1"/>
        <v>2026Q1|NFR-09</v>
      </c>
      <c r="U23" s="78">
        <v>46112</v>
      </c>
      <c r="V23" s="76" t="s">
        <v>476</v>
      </c>
      <c r="W23" s="76" t="s">
        <v>475</v>
      </c>
      <c r="X23" s="78">
        <v>46127</v>
      </c>
    </row>
    <row r="24" spans="1:24" ht="87.45" x14ac:dyDescent="0.4">
      <c r="A24" s="76" t="s">
        <v>1087</v>
      </c>
      <c r="B24" s="78">
        <v>46112</v>
      </c>
      <c r="C24" s="76" t="s">
        <v>494</v>
      </c>
      <c r="D24" s="76" t="s">
        <v>495</v>
      </c>
      <c r="E24" s="76" t="s">
        <v>423</v>
      </c>
      <c r="F24" s="76" t="s">
        <v>670</v>
      </c>
      <c r="G24" s="76">
        <v>3</v>
      </c>
      <c r="H24" s="76">
        <v>3</v>
      </c>
      <c r="I24" s="76">
        <v>3</v>
      </c>
      <c r="J24" s="76">
        <v>4</v>
      </c>
      <c r="K24" s="90">
        <f t="shared" si="0"/>
        <v>3.2</v>
      </c>
      <c r="L24" s="76">
        <v>2</v>
      </c>
      <c r="M24" s="76">
        <v>3</v>
      </c>
      <c r="N24" s="76" t="s">
        <v>1091</v>
      </c>
      <c r="O24" s="77" t="s">
        <v>1099</v>
      </c>
      <c r="P24" s="77" t="s">
        <v>1100</v>
      </c>
      <c r="Q24" s="77" t="s">
        <v>1061</v>
      </c>
      <c r="R24" s="77" t="s">
        <v>1101</v>
      </c>
      <c r="S24" s="76" t="s">
        <v>608</v>
      </c>
      <c r="T24" s="76" t="str">
        <f t="shared" si="1"/>
        <v>2026Q1|NFR-10</v>
      </c>
      <c r="U24" s="78">
        <v>46112</v>
      </c>
      <c r="V24" s="76" t="s">
        <v>476</v>
      </c>
      <c r="W24" s="76" t="s">
        <v>475</v>
      </c>
      <c r="X24" s="78">
        <v>46127</v>
      </c>
    </row>
    <row r="25" spans="1:24" ht="87.45" x14ac:dyDescent="0.4">
      <c r="A25" s="76" t="s">
        <v>1087</v>
      </c>
      <c r="B25" s="78">
        <v>46112</v>
      </c>
      <c r="C25" s="76" t="s">
        <v>498</v>
      </c>
      <c r="D25" s="76" t="s">
        <v>499</v>
      </c>
      <c r="E25" s="76" t="s">
        <v>427</v>
      </c>
      <c r="F25" s="76" t="s">
        <v>659</v>
      </c>
      <c r="G25" s="76">
        <v>3</v>
      </c>
      <c r="H25" s="76">
        <v>2</v>
      </c>
      <c r="I25" s="76">
        <v>3</v>
      </c>
      <c r="J25" s="76">
        <v>4</v>
      </c>
      <c r="K25" s="90">
        <f t="shared" si="0"/>
        <v>3.05</v>
      </c>
      <c r="L25" s="76">
        <v>3</v>
      </c>
      <c r="M25" s="76">
        <v>3</v>
      </c>
      <c r="N25" s="76" t="s">
        <v>1058</v>
      </c>
      <c r="O25" s="77" t="s">
        <v>1081</v>
      </c>
      <c r="P25" s="77" t="s">
        <v>1082</v>
      </c>
      <c r="Q25" s="77" t="s">
        <v>1061</v>
      </c>
      <c r="R25" s="77" t="s">
        <v>1102</v>
      </c>
      <c r="S25" s="76" t="s">
        <v>611</v>
      </c>
      <c r="T25" s="76" t="str">
        <f t="shared" si="1"/>
        <v>2026Q1|NFR-11</v>
      </c>
      <c r="U25" s="78">
        <v>46112</v>
      </c>
      <c r="V25" s="76" t="s">
        <v>476</v>
      </c>
      <c r="W25" s="76" t="s">
        <v>475</v>
      </c>
      <c r="X25" s="78">
        <v>46127</v>
      </c>
    </row>
    <row r="26" spans="1:24" ht="43.75" x14ac:dyDescent="0.4">
      <c r="A26" s="76" t="s">
        <v>1087</v>
      </c>
      <c r="B26" s="78">
        <v>46112</v>
      </c>
      <c r="C26" s="76" t="s">
        <v>500</v>
      </c>
      <c r="D26" s="76" t="s">
        <v>501</v>
      </c>
      <c r="E26" s="76" t="s">
        <v>429</v>
      </c>
      <c r="F26" s="76" t="s">
        <v>659</v>
      </c>
      <c r="G26" s="76">
        <v>3</v>
      </c>
      <c r="H26" s="76">
        <v>4</v>
      </c>
      <c r="I26" s="76">
        <v>3</v>
      </c>
      <c r="J26" s="76">
        <v>3</v>
      </c>
      <c r="K26" s="90">
        <f t="shared" si="0"/>
        <v>3.35</v>
      </c>
      <c r="L26" s="76">
        <v>3</v>
      </c>
      <c r="M26" s="76">
        <v>4</v>
      </c>
      <c r="N26" s="76" t="s">
        <v>1058</v>
      </c>
      <c r="O26" s="77" t="s">
        <v>1084</v>
      </c>
      <c r="P26" s="77" t="s">
        <v>1085</v>
      </c>
      <c r="Q26" s="77" t="s">
        <v>1061</v>
      </c>
      <c r="R26" s="77" t="s">
        <v>1086</v>
      </c>
      <c r="S26" s="76" t="s">
        <v>593</v>
      </c>
      <c r="T26" s="76" t="str">
        <f t="shared" si="1"/>
        <v>2026Q1|NFR-12</v>
      </c>
      <c r="U26" s="78">
        <v>46112</v>
      </c>
      <c r="V26" s="76" t="s">
        <v>476</v>
      </c>
      <c r="W26" s="76" t="s">
        <v>475</v>
      </c>
      <c r="X26" s="78">
        <v>46127</v>
      </c>
    </row>
    <row r="27" spans="1:24" ht="174.9" x14ac:dyDescent="0.4">
      <c r="A27" s="76" t="s">
        <v>472</v>
      </c>
      <c r="B27" s="78">
        <v>46203</v>
      </c>
      <c r="C27" s="76" t="s">
        <v>473</v>
      </c>
      <c r="D27" s="76" t="s">
        <v>474</v>
      </c>
      <c r="E27" s="76" t="s">
        <v>419</v>
      </c>
      <c r="F27" s="76" t="s">
        <v>652</v>
      </c>
      <c r="G27" s="76">
        <v>4</v>
      </c>
      <c r="H27" s="76">
        <v>4</v>
      </c>
      <c r="I27" s="76">
        <v>4</v>
      </c>
      <c r="J27" s="76">
        <v>3</v>
      </c>
      <c r="K27" s="90">
        <f t="shared" si="0"/>
        <v>3.8</v>
      </c>
      <c r="L27" s="76">
        <v>4</v>
      </c>
      <c r="M27" s="76">
        <v>4</v>
      </c>
      <c r="N27" s="76" t="s">
        <v>757</v>
      </c>
      <c r="O27" s="77" t="s">
        <v>1059</v>
      </c>
      <c r="P27" s="77" t="s">
        <v>1060</v>
      </c>
      <c r="Q27" s="77" t="s">
        <v>1103</v>
      </c>
      <c r="R27" s="77" t="s">
        <v>1104</v>
      </c>
      <c r="S27" s="76" t="s">
        <v>579</v>
      </c>
      <c r="T27" s="76" t="str">
        <f t="shared" si="1"/>
        <v>2026Q2|NFR-01</v>
      </c>
      <c r="U27" s="78">
        <v>46203</v>
      </c>
      <c r="V27" s="76" t="s">
        <v>476</v>
      </c>
      <c r="W27" s="76" t="s">
        <v>475</v>
      </c>
      <c r="X27" s="78">
        <v>46218</v>
      </c>
    </row>
    <row r="28" spans="1:24" ht="116.6" x14ac:dyDescent="0.4">
      <c r="A28" s="76" t="s">
        <v>472</v>
      </c>
      <c r="B28" s="78">
        <v>46203</v>
      </c>
      <c r="C28" s="76" t="s">
        <v>478</v>
      </c>
      <c r="D28" s="76" t="s">
        <v>479</v>
      </c>
      <c r="E28" s="76" t="s">
        <v>427</v>
      </c>
      <c r="F28" s="76" t="s">
        <v>654</v>
      </c>
      <c r="G28" s="76">
        <v>4</v>
      </c>
      <c r="H28" s="76">
        <v>4</v>
      </c>
      <c r="I28" s="76">
        <v>3</v>
      </c>
      <c r="J28" s="76">
        <v>4</v>
      </c>
      <c r="K28" s="90">
        <f t="shared" si="0"/>
        <v>3.45</v>
      </c>
      <c r="L28" s="76">
        <v>3</v>
      </c>
      <c r="M28" s="76">
        <v>2</v>
      </c>
      <c r="N28" s="76" t="s">
        <v>1058</v>
      </c>
      <c r="O28" s="77" t="s">
        <v>1063</v>
      </c>
      <c r="P28" s="77" t="s">
        <v>1064</v>
      </c>
      <c r="Q28" s="77" t="s">
        <v>1061</v>
      </c>
      <c r="R28" s="77" t="s">
        <v>1105</v>
      </c>
      <c r="S28" s="76" t="s">
        <v>583</v>
      </c>
      <c r="T28" s="76" t="str">
        <f t="shared" si="1"/>
        <v>2026Q2|NFR-02</v>
      </c>
      <c r="U28" s="78">
        <v>46203</v>
      </c>
      <c r="V28" s="76" t="s">
        <v>476</v>
      </c>
      <c r="W28" s="76" t="s">
        <v>475</v>
      </c>
      <c r="X28" s="78">
        <v>46218</v>
      </c>
    </row>
    <row r="29" spans="1:24" ht="87.45" x14ac:dyDescent="0.4">
      <c r="A29" s="76" t="s">
        <v>472</v>
      </c>
      <c r="B29" s="78">
        <v>46203</v>
      </c>
      <c r="C29" s="76" t="s">
        <v>480</v>
      </c>
      <c r="D29" s="76" t="s">
        <v>481</v>
      </c>
      <c r="E29" s="76" t="s">
        <v>423</v>
      </c>
      <c r="F29" s="76" t="s">
        <v>656</v>
      </c>
      <c r="G29" s="76">
        <v>3</v>
      </c>
      <c r="H29" s="76">
        <v>2</v>
      </c>
      <c r="I29" s="76">
        <v>3</v>
      </c>
      <c r="J29" s="76">
        <v>3</v>
      </c>
      <c r="K29" s="90">
        <f t="shared" si="0"/>
        <v>2.85</v>
      </c>
      <c r="L29" s="76">
        <v>3</v>
      </c>
      <c r="M29" s="76">
        <v>3</v>
      </c>
      <c r="N29" s="76" t="s">
        <v>1058</v>
      </c>
      <c r="O29" s="77" t="s">
        <v>1066</v>
      </c>
      <c r="P29" s="77" t="s">
        <v>1067</v>
      </c>
      <c r="Q29" s="77" t="s">
        <v>1061</v>
      </c>
      <c r="R29" s="77" t="s">
        <v>1090</v>
      </c>
      <c r="S29" s="76" t="s">
        <v>587</v>
      </c>
      <c r="T29" s="76" t="str">
        <f t="shared" si="1"/>
        <v>2026Q2|NFR-03</v>
      </c>
      <c r="U29" s="78">
        <v>46203</v>
      </c>
      <c r="V29" s="76" t="s">
        <v>476</v>
      </c>
      <c r="W29" s="76" t="s">
        <v>475</v>
      </c>
      <c r="X29" s="78">
        <v>46218</v>
      </c>
    </row>
    <row r="30" spans="1:24" ht="131.15" x14ac:dyDescent="0.4">
      <c r="A30" s="76" t="s">
        <v>472</v>
      </c>
      <c r="B30" s="78">
        <v>46203</v>
      </c>
      <c r="C30" s="76" t="s">
        <v>482</v>
      </c>
      <c r="D30" s="76" t="s">
        <v>483</v>
      </c>
      <c r="E30" s="76" t="s">
        <v>425</v>
      </c>
      <c r="F30" s="76" t="s">
        <v>658</v>
      </c>
      <c r="G30" s="76">
        <v>3</v>
      </c>
      <c r="H30" s="76">
        <v>2</v>
      </c>
      <c r="I30" s="76">
        <v>3</v>
      </c>
      <c r="J30" s="76">
        <v>3</v>
      </c>
      <c r="K30" s="90">
        <f t="shared" si="0"/>
        <v>2.85</v>
      </c>
      <c r="L30" s="76">
        <v>3</v>
      </c>
      <c r="M30" s="76">
        <v>3</v>
      </c>
      <c r="N30" s="76" t="s">
        <v>757</v>
      </c>
      <c r="O30" s="77" t="s">
        <v>1069</v>
      </c>
      <c r="P30" s="77" t="s">
        <v>1070</v>
      </c>
      <c r="Q30" s="77" t="s">
        <v>1106</v>
      </c>
      <c r="R30" s="77" t="s">
        <v>1107</v>
      </c>
      <c r="S30" s="76" t="s">
        <v>590</v>
      </c>
      <c r="T30" s="76" t="str">
        <f t="shared" si="1"/>
        <v>2026Q2|NFR-04</v>
      </c>
      <c r="U30" s="78">
        <v>46203</v>
      </c>
      <c r="V30" s="76" t="s">
        <v>476</v>
      </c>
      <c r="W30" s="76" t="s">
        <v>475</v>
      </c>
      <c r="X30" s="78">
        <v>46218</v>
      </c>
    </row>
    <row r="31" spans="1:24" ht="204" x14ac:dyDescent="0.4">
      <c r="A31" s="76" t="s">
        <v>472</v>
      </c>
      <c r="B31" s="78">
        <v>46203</v>
      </c>
      <c r="C31" s="76" t="s">
        <v>484</v>
      </c>
      <c r="D31" s="76" t="s">
        <v>485</v>
      </c>
      <c r="E31" s="76" t="s">
        <v>429</v>
      </c>
      <c r="F31" s="76" t="s">
        <v>659</v>
      </c>
      <c r="G31" s="76">
        <v>3</v>
      </c>
      <c r="H31" s="76">
        <v>3</v>
      </c>
      <c r="I31" s="76">
        <v>3</v>
      </c>
      <c r="J31" s="76">
        <v>3</v>
      </c>
      <c r="K31" s="90">
        <f t="shared" si="0"/>
        <v>3</v>
      </c>
      <c r="L31" s="76">
        <v>4</v>
      </c>
      <c r="M31" s="76">
        <v>3</v>
      </c>
      <c r="N31" s="76" t="s">
        <v>757</v>
      </c>
      <c r="O31" s="77" t="s">
        <v>1072</v>
      </c>
      <c r="P31" s="77" t="s">
        <v>1073</v>
      </c>
      <c r="Q31" s="77" t="s">
        <v>1108</v>
      </c>
      <c r="R31" s="77" t="s">
        <v>1109</v>
      </c>
      <c r="S31" s="76" t="s">
        <v>593</v>
      </c>
      <c r="T31" s="76" t="str">
        <f t="shared" si="1"/>
        <v>2026Q2|NFR-05</v>
      </c>
      <c r="U31" s="78">
        <v>46203</v>
      </c>
      <c r="V31" s="76" t="s">
        <v>476</v>
      </c>
      <c r="W31" s="76" t="s">
        <v>475</v>
      </c>
      <c r="X31" s="78">
        <v>46218</v>
      </c>
    </row>
    <row r="32" spans="1:24" ht="87.45" x14ac:dyDescent="0.4">
      <c r="A32" s="76" t="s">
        <v>472</v>
      </c>
      <c r="B32" s="78">
        <v>46203</v>
      </c>
      <c r="C32" s="76" t="s">
        <v>486</v>
      </c>
      <c r="D32" s="76" t="s">
        <v>487</v>
      </c>
      <c r="E32" s="76" t="s">
        <v>417</v>
      </c>
      <c r="F32" s="76" t="s">
        <v>660</v>
      </c>
      <c r="G32" s="76">
        <v>3</v>
      </c>
      <c r="H32" s="76">
        <v>3</v>
      </c>
      <c r="I32" s="76">
        <v>3</v>
      </c>
      <c r="J32" s="76">
        <v>4</v>
      </c>
      <c r="K32" s="90">
        <f t="shared" si="0"/>
        <v>3.2</v>
      </c>
      <c r="L32" s="76">
        <v>2</v>
      </c>
      <c r="M32" s="76">
        <v>3</v>
      </c>
      <c r="N32" s="76" t="s">
        <v>1058</v>
      </c>
      <c r="O32" s="77" t="s">
        <v>1092</v>
      </c>
      <c r="P32" s="77" t="s">
        <v>1093</v>
      </c>
      <c r="Q32" s="77" t="s">
        <v>1061</v>
      </c>
      <c r="R32" s="77" t="s">
        <v>1094</v>
      </c>
      <c r="S32" s="76" t="s">
        <v>599</v>
      </c>
      <c r="T32" s="76" t="str">
        <f t="shared" si="1"/>
        <v>2026Q2|NFR-06</v>
      </c>
      <c r="U32" s="78">
        <v>46203</v>
      </c>
      <c r="V32" s="76" t="s">
        <v>476</v>
      </c>
      <c r="W32" s="76" t="s">
        <v>475</v>
      </c>
      <c r="X32" s="78">
        <v>46218</v>
      </c>
    </row>
    <row r="33" spans="1:24" ht="87.45" x14ac:dyDescent="0.4">
      <c r="A33" s="76" t="s">
        <v>472</v>
      </c>
      <c r="B33" s="78">
        <v>46203</v>
      </c>
      <c r="C33" s="76" t="s">
        <v>488</v>
      </c>
      <c r="D33" s="76" t="s">
        <v>489</v>
      </c>
      <c r="E33" s="76" t="s">
        <v>427</v>
      </c>
      <c r="F33" s="76" t="s">
        <v>662</v>
      </c>
      <c r="G33" s="76">
        <v>4</v>
      </c>
      <c r="H33" s="76">
        <v>5</v>
      </c>
      <c r="I33" s="76">
        <v>3</v>
      </c>
      <c r="J33" s="76">
        <v>3</v>
      </c>
      <c r="K33" s="90">
        <f t="shared" si="0"/>
        <v>3.6</v>
      </c>
      <c r="L33" s="76">
        <v>3</v>
      </c>
      <c r="M33" s="76">
        <v>3</v>
      </c>
      <c r="N33" s="76" t="s">
        <v>1058</v>
      </c>
      <c r="O33" s="77" t="s">
        <v>1075</v>
      </c>
      <c r="P33" s="77" t="s">
        <v>1076</v>
      </c>
      <c r="Q33" s="77" t="s">
        <v>1061</v>
      </c>
      <c r="R33" s="77" t="s">
        <v>1095</v>
      </c>
      <c r="S33" s="76" t="s">
        <v>583</v>
      </c>
      <c r="T33" s="76" t="str">
        <f t="shared" si="1"/>
        <v>2026Q2|NFR-07</v>
      </c>
      <c r="U33" s="78">
        <v>46203</v>
      </c>
      <c r="V33" s="76" t="s">
        <v>476</v>
      </c>
      <c r="W33" s="76" t="s">
        <v>475</v>
      </c>
      <c r="X33" s="78">
        <v>46218</v>
      </c>
    </row>
    <row r="34" spans="1:24" ht="87.45" x14ac:dyDescent="0.4">
      <c r="A34" s="76" t="s">
        <v>472</v>
      </c>
      <c r="B34" s="78">
        <v>46203</v>
      </c>
      <c r="C34" s="76" t="s">
        <v>490</v>
      </c>
      <c r="D34" s="76" t="s">
        <v>491</v>
      </c>
      <c r="E34" s="76" t="s">
        <v>417</v>
      </c>
      <c r="F34" s="76" t="s">
        <v>664</v>
      </c>
      <c r="G34" s="76">
        <v>3</v>
      </c>
      <c r="H34" s="76">
        <v>3</v>
      </c>
      <c r="I34" s="76">
        <v>3</v>
      </c>
      <c r="J34" s="76">
        <v>3</v>
      </c>
      <c r="K34" s="90">
        <f t="shared" si="0"/>
        <v>2.8</v>
      </c>
      <c r="L34" s="76">
        <v>3</v>
      </c>
      <c r="M34" s="76">
        <v>2</v>
      </c>
      <c r="N34" s="76" t="s">
        <v>1058</v>
      </c>
      <c r="O34" s="77" t="s">
        <v>1078</v>
      </c>
      <c r="P34" s="77" t="s">
        <v>1079</v>
      </c>
      <c r="Q34" s="77" t="s">
        <v>1061</v>
      </c>
      <c r="R34" s="77" t="s">
        <v>1110</v>
      </c>
      <c r="S34" s="76" t="s">
        <v>599</v>
      </c>
      <c r="T34" s="76" t="str">
        <f t="shared" si="1"/>
        <v>2026Q2|NFR-08</v>
      </c>
      <c r="U34" s="78">
        <v>46203</v>
      </c>
      <c r="V34" s="76" t="s">
        <v>476</v>
      </c>
      <c r="W34" s="76" t="s">
        <v>475</v>
      </c>
      <c r="X34" s="78">
        <v>46218</v>
      </c>
    </row>
    <row r="35" spans="1:24" ht="87.45" x14ac:dyDescent="0.4">
      <c r="A35" s="76" t="s">
        <v>472</v>
      </c>
      <c r="B35" s="78">
        <v>46203</v>
      </c>
      <c r="C35" s="76" t="s">
        <v>492</v>
      </c>
      <c r="D35" s="76" t="s">
        <v>493</v>
      </c>
      <c r="E35" s="76" t="s">
        <v>423</v>
      </c>
      <c r="F35" s="76" t="s">
        <v>667</v>
      </c>
      <c r="G35" s="76">
        <v>4</v>
      </c>
      <c r="H35" s="76">
        <v>3</v>
      </c>
      <c r="I35" s="76">
        <v>2</v>
      </c>
      <c r="J35" s="76">
        <v>3</v>
      </c>
      <c r="K35" s="90">
        <f t="shared" si="0"/>
        <v>2.95</v>
      </c>
      <c r="L35" s="76">
        <v>2</v>
      </c>
      <c r="M35" s="76">
        <v>2</v>
      </c>
      <c r="N35" s="76" t="s">
        <v>1058</v>
      </c>
      <c r="O35" s="77" t="s">
        <v>1096</v>
      </c>
      <c r="P35" s="77" t="s">
        <v>1097</v>
      </c>
      <c r="Q35" s="77" t="s">
        <v>1061</v>
      </c>
      <c r="R35" s="77" t="s">
        <v>1098</v>
      </c>
      <c r="S35" s="76" t="s">
        <v>587</v>
      </c>
      <c r="T35" s="76" t="str">
        <f t="shared" si="1"/>
        <v>2026Q2|NFR-09</v>
      </c>
      <c r="U35" s="78">
        <v>46203</v>
      </c>
      <c r="V35" s="76" t="s">
        <v>476</v>
      </c>
      <c r="W35" s="76" t="s">
        <v>475</v>
      </c>
      <c r="X35" s="78">
        <v>46218</v>
      </c>
    </row>
    <row r="36" spans="1:24" ht="87.45" x14ac:dyDescent="0.4">
      <c r="A36" s="76" t="s">
        <v>472</v>
      </c>
      <c r="B36" s="78">
        <v>46203</v>
      </c>
      <c r="C36" s="76" t="s">
        <v>494</v>
      </c>
      <c r="D36" s="76" t="s">
        <v>495</v>
      </c>
      <c r="E36" s="76" t="s">
        <v>423</v>
      </c>
      <c r="F36" s="76" t="s">
        <v>670</v>
      </c>
      <c r="G36" s="76">
        <v>3</v>
      </c>
      <c r="H36" s="76">
        <v>3</v>
      </c>
      <c r="I36" s="76">
        <v>3</v>
      </c>
      <c r="J36" s="76">
        <v>4</v>
      </c>
      <c r="K36" s="90">
        <f t="shared" si="0"/>
        <v>3.2</v>
      </c>
      <c r="L36" s="76">
        <v>2</v>
      </c>
      <c r="M36" s="76">
        <v>3</v>
      </c>
      <c r="N36" s="76" t="s">
        <v>1058</v>
      </c>
      <c r="O36" s="77" t="s">
        <v>1099</v>
      </c>
      <c r="P36" s="77" t="s">
        <v>1100</v>
      </c>
      <c r="Q36" s="77" t="s">
        <v>1061</v>
      </c>
      <c r="R36" s="77" t="s">
        <v>1101</v>
      </c>
      <c r="S36" s="76" t="s">
        <v>608</v>
      </c>
      <c r="T36" s="76" t="str">
        <f t="shared" si="1"/>
        <v>2026Q2|NFR-10</v>
      </c>
      <c r="U36" s="78">
        <v>46203</v>
      </c>
      <c r="V36" s="76" t="s">
        <v>476</v>
      </c>
      <c r="W36" s="76" t="s">
        <v>496</v>
      </c>
      <c r="X36" s="78">
        <v>46218</v>
      </c>
    </row>
    <row r="37" spans="1:24" ht="87.45" x14ac:dyDescent="0.4">
      <c r="A37" s="76" t="s">
        <v>472</v>
      </c>
      <c r="B37" s="78">
        <v>46203</v>
      </c>
      <c r="C37" s="76" t="s">
        <v>498</v>
      </c>
      <c r="D37" s="76" t="s">
        <v>499</v>
      </c>
      <c r="E37" s="76" t="s">
        <v>427</v>
      </c>
      <c r="F37" s="76" t="s">
        <v>659</v>
      </c>
      <c r="G37" s="76">
        <v>3</v>
      </c>
      <c r="H37" s="76">
        <v>2</v>
      </c>
      <c r="I37" s="76">
        <v>3</v>
      </c>
      <c r="J37" s="76">
        <v>4</v>
      </c>
      <c r="K37" s="90">
        <f t="shared" si="0"/>
        <v>3.05</v>
      </c>
      <c r="L37" s="76">
        <v>3</v>
      </c>
      <c r="M37" s="76">
        <v>3</v>
      </c>
      <c r="N37" s="76" t="s">
        <v>1058</v>
      </c>
      <c r="O37" s="77" t="s">
        <v>1081</v>
      </c>
      <c r="P37" s="77" t="s">
        <v>1082</v>
      </c>
      <c r="Q37" s="77" t="s">
        <v>1061</v>
      </c>
      <c r="R37" s="77" t="s">
        <v>1102</v>
      </c>
      <c r="S37" s="76" t="s">
        <v>611</v>
      </c>
      <c r="T37" s="76" t="str">
        <f t="shared" si="1"/>
        <v>2026Q2|NFR-11</v>
      </c>
      <c r="U37" s="78">
        <v>46203</v>
      </c>
      <c r="V37" s="76" t="s">
        <v>476</v>
      </c>
      <c r="W37" s="76" t="s">
        <v>475</v>
      </c>
      <c r="X37" s="78">
        <v>46218</v>
      </c>
    </row>
    <row r="38" spans="1:24" ht="87.45" x14ac:dyDescent="0.4">
      <c r="A38" s="76" t="s">
        <v>472</v>
      </c>
      <c r="B38" s="78">
        <v>46203</v>
      </c>
      <c r="C38" s="76" t="s">
        <v>500</v>
      </c>
      <c r="D38" s="76" t="s">
        <v>501</v>
      </c>
      <c r="E38" s="76" t="s">
        <v>429</v>
      </c>
      <c r="F38" s="76" t="s">
        <v>659</v>
      </c>
      <c r="G38" s="76">
        <v>3</v>
      </c>
      <c r="H38" s="76">
        <v>4</v>
      </c>
      <c r="I38" s="76">
        <v>4</v>
      </c>
      <c r="J38" s="76">
        <v>3</v>
      </c>
      <c r="K38" s="90">
        <f t="shared" si="0"/>
        <v>3.5</v>
      </c>
      <c r="L38" s="76">
        <v>3</v>
      </c>
      <c r="M38" s="76">
        <v>4</v>
      </c>
      <c r="N38" s="76" t="s">
        <v>757</v>
      </c>
      <c r="O38" s="77" t="s">
        <v>1084</v>
      </c>
      <c r="P38" s="77" t="s">
        <v>1085</v>
      </c>
      <c r="Q38" s="77" t="s">
        <v>1111</v>
      </c>
      <c r="R38" s="77" t="s">
        <v>1112</v>
      </c>
      <c r="S38" s="76" t="s">
        <v>593</v>
      </c>
      <c r="T38" s="76" t="str">
        <f t="shared" si="1"/>
        <v>2026Q2|NFR-12</v>
      </c>
      <c r="U38" s="78">
        <v>46203</v>
      </c>
      <c r="V38" s="76" t="s">
        <v>476</v>
      </c>
      <c r="W38" s="76" t="s">
        <v>475</v>
      </c>
      <c r="X38" s="78">
        <v>46218</v>
      </c>
    </row>
    <row r="39" spans="1:24" ht="204" x14ac:dyDescent="0.4">
      <c r="A39" s="94" t="s">
        <v>1266</v>
      </c>
      <c r="B39" s="78">
        <v>46295</v>
      </c>
      <c r="C39" s="94" t="s">
        <v>473</v>
      </c>
      <c r="D39" s="94" t="s">
        <v>474</v>
      </c>
      <c r="E39" s="94" t="s">
        <v>419</v>
      </c>
      <c r="F39" s="94" t="s">
        <v>652</v>
      </c>
      <c r="G39" s="76">
        <v>4</v>
      </c>
      <c r="H39" s="76">
        <v>4</v>
      </c>
      <c r="I39" s="76">
        <v>4</v>
      </c>
      <c r="J39" s="76">
        <v>3</v>
      </c>
      <c r="K39" s="90">
        <f t="shared" ref="K39:K50" si="2">IF(COUNT(G39,H39,I39,J39,M39)&lt;5,"",ROUND(pesoSeverity*G39+pesoVelocity*H39+pesoProssimita*I39+pesoGap*J39+pesoProbabilita*M39,2))</f>
        <v>3.8</v>
      </c>
      <c r="L39" s="76">
        <v>4</v>
      </c>
      <c r="M39" s="76">
        <v>4</v>
      </c>
      <c r="N39" s="94" t="s">
        <v>1058</v>
      </c>
      <c r="O39" s="95" t="s">
        <v>1059</v>
      </c>
      <c r="P39" s="95" t="s">
        <v>1305</v>
      </c>
      <c r="Q39" s="95" t="s">
        <v>1061</v>
      </c>
      <c r="R39" s="95" t="s">
        <v>1306</v>
      </c>
      <c r="S39" s="94" t="s">
        <v>579</v>
      </c>
      <c r="T39" s="76" t="str">
        <f t="shared" ref="T39:T50" si="3">A39&amp;"|"&amp;C39</f>
        <v>2026Q3|NFR-01</v>
      </c>
      <c r="U39" s="78">
        <v>46290</v>
      </c>
      <c r="V39" s="94" t="s">
        <v>476</v>
      </c>
      <c r="W39" s="94" t="s">
        <v>475</v>
      </c>
      <c r="X39" s="78">
        <v>46290</v>
      </c>
    </row>
    <row r="40" spans="1:24" ht="145.75" x14ac:dyDescent="0.4">
      <c r="A40" s="94" t="s">
        <v>1266</v>
      </c>
      <c r="B40" s="78">
        <v>46295</v>
      </c>
      <c r="C40" s="94" t="s">
        <v>478</v>
      </c>
      <c r="D40" s="94" t="s">
        <v>479</v>
      </c>
      <c r="E40" s="94" t="s">
        <v>427</v>
      </c>
      <c r="F40" s="94" t="s">
        <v>654</v>
      </c>
      <c r="G40" s="76">
        <v>4</v>
      </c>
      <c r="H40" s="76">
        <v>4</v>
      </c>
      <c r="I40" s="76">
        <v>3</v>
      </c>
      <c r="J40" s="76">
        <v>3</v>
      </c>
      <c r="K40" s="90">
        <f t="shared" si="2"/>
        <v>3.25</v>
      </c>
      <c r="L40" s="76">
        <v>4</v>
      </c>
      <c r="M40" s="76">
        <v>2</v>
      </c>
      <c r="N40" s="94" t="s">
        <v>757</v>
      </c>
      <c r="O40" s="95" t="s">
        <v>1063</v>
      </c>
      <c r="P40" s="95" t="s">
        <v>1307</v>
      </c>
      <c r="Q40" s="95" t="s">
        <v>1308</v>
      </c>
      <c r="R40" s="95" t="s">
        <v>1309</v>
      </c>
      <c r="S40" s="94" t="s">
        <v>583</v>
      </c>
      <c r="T40" s="76" t="str">
        <f t="shared" si="3"/>
        <v>2026Q3|NFR-02</v>
      </c>
      <c r="U40" s="78">
        <v>46290</v>
      </c>
      <c r="V40" s="94" t="s">
        <v>476</v>
      </c>
      <c r="W40" s="94" t="s">
        <v>475</v>
      </c>
      <c r="X40" s="78">
        <v>46290</v>
      </c>
    </row>
    <row r="41" spans="1:24" ht="131.15" x14ac:dyDescent="0.4">
      <c r="A41" s="94" t="s">
        <v>1266</v>
      </c>
      <c r="B41" s="78">
        <v>46295</v>
      </c>
      <c r="C41" s="94" t="s">
        <v>480</v>
      </c>
      <c r="D41" s="94" t="s">
        <v>481</v>
      </c>
      <c r="E41" s="94" t="s">
        <v>423</v>
      </c>
      <c r="F41" s="94" t="s">
        <v>656</v>
      </c>
      <c r="G41" s="76">
        <v>3</v>
      </c>
      <c r="H41" s="76">
        <v>2</v>
      </c>
      <c r="I41" s="76">
        <v>4</v>
      </c>
      <c r="J41" s="76">
        <v>3</v>
      </c>
      <c r="K41" s="90">
        <f t="shared" si="2"/>
        <v>3</v>
      </c>
      <c r="L41" s="76">
        <v>3</v>
      </c>
      <c r="M41" s="76">
        <v>3</v>
      </c>
      <c r="N41" s="94" t="s">
        <v>757</v>
      </c>
      <c r="O41" s="95" t="s">
        <v>1066</v>
      </c>
      <c r="P41" s="95" t="s">
        <v>1310</v>
      </c>
      <c r="Q41" s="95" t="s">
        <v>1311</v>
      </c>
      <c r="R41" s="95" t="s">
        <v>1312</v>
      </c>
      <c r="S41" s="94" t="s">
        <v>587</v>
      </c>
      <c r="T41" s="76" t="str">
        <f t="shared" si="3"/>
        <v>2026Q3|NFR-03</v>
      </c>
      <c r="U41" s="78">
        <v>46290</v>
      </c>
      <c r="V41" s="94" t="s">
        <v>476</v>
      </c>
      <c r="W41" s="94" t="s">
        <v>475</v>
      </c>
      <c r="X41" s="78">
        <v>46290</v>
      </c>
    </row>
    <row r="42" spans="1:24" ht="87.45" x14ac:dyDescent="0.4">
      <c r="A42" s="94" t="s">
        <v>1266</v>
      </c>
      <c r="B42" s="78">
        <v>46295</v>
      </c>
      <c r="C42" s="94" t="s">
        <v>482</v>
      </c>
      <c r="D42" s="94" t="s">
        <v>483</v>
      </c>
      <c r="E42" s="94" t="s">
        <v>425</v>
      </c>
      <c r="F42" s="94" t="s">
        <v>658</v>
      </c>
      <c r="G42" s="76">
        <v>3</v>
      </c>
      <c r="H42" s="76">
        <v>2</v>
      </c>
      <c r="I42" s="76">
        <v>3</v>
      </c>
      <c r="J42" s="76">
        <v>3</v>
      </c>
      <c r="K42" s="90">
        <f t="shared" si="2"/>
        <v>2.85</v>
      </c>
      <c r="L42" s="76">
        <v>3</v>
      </c>
      <c r="M42" s="76">
        <v>3</v>
      </c>
      <c r="N42" s="94" t="s">
        <v>1058</v>
      </c>
      <c r="O42" s="95" t="s">
        <v>1069</v>
      </c>
      <c r="P42" s="95" t="s">
        <v>1313</v>
      </c>
      <c r="Q42" s="95" t="s">
        <v>1061</v>
      </c>
      <c r="R42" s="95" t="s">
        <v>1107</v>
      </c>
      <c r="S42" s="94" t="s">
        <v>590</v>
      </c>
      <c r="T42" s="76" t="str">
        <f t="shared" si="3"/>
        <v>2026Q3|NFR-04</v>
      </c>
      <c r="U42" s="78">
        <v>46290</v>
      </c>
      <c r="V42" s="94" t="s">
        <v>476</v>
      </c>
      <c r="W42" s="94" t="s">
        <v>475</v>
      </c>
      <c r="X42" s="78">
        <v>46290</v>
      </c>
    </row>
    <row r="43" spans="1:24" ht="116.6" x14ac:dyDescent="0.4">
      <c r="A43" s="94" t="s">
        <v>1266</v>
      </c>
      <c r="B43" s="78">
        <v>46295</v>
      </c>
      <c r="C43" s="94" t="s">
        <v>484</v>
      </c>
      <c r="D43" s="94" t="s">
        <v>485</v>
      </c>
      <c r="E43" s="94" t="s">
        <v>429</v>
      </c>
      <c r="F43" s="94" t="s">
        <v>659</v>
      </c>
      <c r="G43" s="76">
        <v>3</v>
      </c>
      <c r="H43" s="76">
        <v>3</v>
      </c>
      <c r="I43" s="76">
        <v>3</v>
      </c>
      <c r="J43" s="76">
        <v>3</v>
      </c>
      <c r="K43" s="90">
        <f t="shared" si="2"/>
        <v>3</v>
      </c>
      <c r="L43" s="76">
        <v>4</v>
      </c>
      <c r="M43" s="76">
        <v>3</v>
      </c>
      <c r="N43" s="94" t="s">
        <v>1058</v>
      </c>
      <c r="O43" s="95" t="s">
        <v>1072</v>
      </c>
      <c r="P43" s="95" t="s">
        <v>1314</v>
      </c>
      <c r="Q43" s="95" t="s">
        <v>1061</v>
      </c>
      <c r="R43" s="95" t="s">
        <v>1109</v>
      </c>
      <c r="S43" s="94" t="s">
        <v>593</v>
      </c>
      <c r="T43" s="76" t="str">
        <f t="shared" si="3"/>
        <v>2026Q3|NFR-05</v>
      </c>
      <c r="U43" s="78">
        <v>46290</v>
      </c>
      <c r="V43" s="94" t="s">
        <v>476</v>
      </c>
      <c r="W43" s="94" t="s">
        <v>475</v>
      </c>
      <c r="X43" s="78">
        <v>46290</v>
      </c>
    </row>
    <row r="44" spans="1:24" ht="131.15" x14ac:dyDescent="0.4">
      <c r="A44" s="94" t="s">
        <v>1266</v>
      </c>
      <c r="B44" s="78">
        <v>46295</v>
      </c>
      <c r="C44" s="94" t="s">
        <v>486</v>
      </c>
      <c r="D44" s="94" t="s">
        <v>487</v>
      </c>
      <c r="E44" s="94" t="s">
        <v>417</v>
      </c>
      <c r="F44" s="94" t="s">
        <v>660</v>
      </c>
      <c r="G44" s="76">
        <v>3</v>
      </c>
      <c r="H44" s="76">
        <v>3</v>
      </c>
      <c r="I44" s="76">
        <v>3</v>
      </c>
      <c r="J44" s="76">
        <v>3</v>
      </c>
      <c r="K44" s="90">
        <f t="shared" si="2"/>
        <v>3</v>
      </c>
      <c r="L44" s="76">
        <v>2</v>
      </c>
      <c r="M44" s="76">
        <v>3</v>
      </c>
      <c r="N44" s="94" t="s">
        <v>757</v>
      </c>
      <c r="O44" s="95" t="s">
        <v>1092</v>
      </c>
      <c r="P44" s="95" t="s">
        <v>1315</v>
      </c>
      <c r="Q44" s="95" t="s">
        <v>1363</v>
      </c>
      <c r="R44" s="95" t="s">
        <v>1316</v>
      </c>
      <c r="S44" s="94" t="s">
        <v>599</v>
      </c>
      <c r="T44" s="76" t="str">
        <f t="shared" si="3"/>
        <v>2026Q3|NFR-06</v>
      </c>
      <c r="U44" s="78">
        <v>46290</v>
      </c>
      <c r="V44" s="94" t="s">
        <v>476</v>
      </c>
      <c r="W44" s="94" t="s">
        <v>496</v>
      </c>
      <c r="X44" s="78">
        <v>46290</v>
      </c>
    </row>
    <row r="45" spans="1:24" ht="87.45" x14ac:dyDescent="0.4">
      <c r="A45" s="94" t="s">
        <v>1266</v>
      </c>
      <c r="B45" s="78">
        <v>46295</v>
      </c>
      <c r="C45" s="94" t="s">
        <v>488</v>
      </c>
      <c r="D45" s="94" t="s">
        <v>489</v>
      </c>
      <c r="E45" s="94" t="s">
        <v>427</v>
      </c>
      <c r="F45" s="94" t="s">
        <v>662</v>
      </c>
      <c r="G45" s="76">
        <v>4</v>
      </c>
      <c r="H45" s="76">
        <v>5</v>
      </c>
      <c r="I45" s="76">
        <v>3</v>
      </c>
      <c r="J45" s="76">
        <v>3</v>
      </c>
      <c r="K45" s="90">
        <f t="shared" si="2"/>
        <v>3.6</v>
      </c>
      <c r="L45" s="76">
        <v>3</v>
      </c>
      <c r="M45" s="76">
        <v>3</v>
      </c>
      <c r="N45" s="94" t="s">
        <v>1058</v>
      </c>
      <c r="O45" s="95" t="s">
        <v>1075</v>
      </c>
      <c r="P45" s="95" t="s">
        <v>1317</v>
      </c>
      <c r="Q45" s="95" t="s">
        <v>1061</v>
      </c>
      <c r="R45" s="95" t="s">
        <v>1095</v>
      </c>
      <c r="S45" s="94" t="s">
        <v>583</v>
      </c>
      <c r="T45" s="76" t="str">
        <f t="shared" si="3"/>
        <v>2026Q3|NFR-07</v>
      </c>
      <c r="U45" s="78">
        <v>46290</v>
      </c>
      <c r="V45" s="94" t="s">
        <v>476</v>
      </c>
      <c r="W45" s="94" t="s">
        <v>475</v>
      </c>
      <c r="X45" s="78">
        <v>46290</v>
      </c>
    </row>
    <row r="46" spans="1:24" ht="87.45" x14ac:dyDescent="0.4">
      <c r="A46" s="94" t="s">
        <v>1266</v>
      </c>
      <c r="B46" s="78">
        <v>46295</v>
      </c>
      <c r="C46" s="94" t="s">
        <v>490</v>
      </c>
      <c r="D46" s="94" t="s">
        <v>491</v>
      </c>
      <c r="E46" s="94" t="s">
        <v>417</v>
      </c>
      <c r="F46" s="94" t="s">
        <v>664</v>
      </c>
      <c r="G46" s="76">
        <v>3</v>
      </c>
      <c r="H46" s="76">
        <v>3</v>
      </c>
      <c r="I46" s="76">
        <v>3</v>
      </c>
      <c r="J46" s="76">
        <v>3</v>
      </c>
      <c r="K46" s="90">
        <f t="shared" si="2"/>
        <v>2.8</v>
      </c>
      <c r="L46" s="76">
        <v>3</v>
      </c>
      <c r="M46" s="76">
        <v>2</v>
      </c>
      <c r="N46" s="94" t="s">
        <v>1058</v>
      </c>
      <c r="O46" s="95" t="s">
        <v>1078</v>
      </c>
      <c r="P46" s="95" t="s">
        <v>1318</v>
      </c>
      <c r="Q46" s="95" t="s">
        <v>1061</v>
      </c>
      <c r="R46" s="95" t="s">
        <v>1110</v>
      </c>
      <c r="S46" s="94" t="s">
        <v>599</v>
      </c>
      <c r="T46" s="76" t="str">
        <f t="shared" si="3"/>
        <v>2026Q3|NFR-08</v>
      </c>
      <c r="U46" s="78">
        <v>46290</v>
      </c>
      <c r="V46" s="94" t="s">
        <v>476</v>
      </c>
      <c r="W46" s="94" t="s">
        <v>475</v>
      </c>
      <c r="X46" s="78">
        <v>46290</v>
      </c>
    </row>
    <row r="47" spans="1:24" ht="87.45" x14ac:dyDescent="0.4">
      <c r="A47" s="94" t="s">
        <v>1266</v>
      </c>
      <c r="B47" s="78">
        <v>46295</v>
      </c>
      <c r="C47" s="94" t="s">
        <v>492</v>
      </c>
      <c r="D47" s="94" t="s">
        <v>493</v>
      </c>
      <c r="E47" s="94" t="s">
        <v>423</v>
      </c>
      <c r="F47" s="94" t="s">
        <v>667</v>
      </c>
      <c r="G47" s="76">
        <v>4</v>
      </c>
      <c r="H47" s="76">
        <v>3</v>
      </c>
      <c r="I47" s="76">
        <v>2</v>
      </c>
      <c r="J47" s="76">
        <v>3</v>
      </c>
      <c r="K47" s="90">
        <f t="shared" si="2"/>
        <v>2.95</v>
      </c>
      <c r="L47" s="76">
        <v>2</v>
      </c>
      <c r="M47" s="76">
        <v>2</v>
      </c>
      <c r="N47" s="94" t="s">
        <v>1058</v>
      </c>
      <c r="O47" s="95" t="s">
        <v>1096</v>
      </c>
      <c r="P47" s="95" t="s">
        <v>1319</v>
      </c>
      <c r="Q47" s="95" t="s">
        <v>1061</v>
      </c>
      <c r="R47" s="95" t="s">
        <v>1098</v>
      </c>
      <c r="S47" s="94" t="s">
        <v>587</v>
      </c>
      <c r="T47" s="76" t="str">
        <f t="shared" si="3"/>
        <v>2026Q3|NFR-09</v>
      </c>
      <c r="U47" s="78">
        <v>46290</v>
      </c>
      <c r="V47" s="94" t="s">
        <v>476</v>
      </c>
      <c r="W47" s="94" t="s">
        <v>475</v>
      </c>
      <c r="X47" s="78">
        <v>46290</v>
      </c>
    </row>
    <row r="48" spans="1:24" ht="87.45" x14ac:dyDescent="0.4">
      <c r="A48" s="94" t="s">
        <v>1266</v>
      </c>
      <c r="B48" s="78">
        <v>46295</v>
      </c>
      <c r="C48" s="94" t="s">
        <v>494</v>
      </c>
      <c r="D48" s="94" t="s">
        <v>495</v>
      </c>
      <c r="E48" s="94" t="s">
        <v>423</v>
      </c>
      <c r="F48" s="94" t="s">
        <v>670</v>
      </c>
      <c r="G48" s="76">
        <v>3</v>
      </c>
      <c r="H48" s="76">
        <v>3</v>
      </c>
      <c r="I48" s="76">
        <v>3</v>
      </c>
      <c r="J48" s="76">
        <v>4</v>
      </c>
      <c r="K48" s="90">
        <f t="shared" si="2"/>
        <v>3.2</v>
      </c>
      <c r="L48" s="76">
        <v>2</v>
      </c>
      <c r="M48" s="76">
        <v>3</v>
      </c>
      <c r="N48" s="94" t="s">
        <v>1058</v>
      </c>
      <c r="O48" s="95" t="s">
        <v>1099</v>
      </c>
      <c r="P48" s="95" t="s">
        <v>1320</v>
      </c>
      <c r="Q48" s="95" t="s">
        <v>1061</v>
      </c>
      <c r="R48" s="95" t="s">
        <v>1101</v>
      </c>
      <c r="S48" s="94" t="s">
        <v>608</v>
      </c>
      <c r="T48" s="76" t="str">
        <f t="shared" si="3"/>
        <v>2026Q3|NFR-10</v>
      </c>
      <c r="U48" s="78">
        <v>46290</v>
      </c>
      <c r="V48" s="94" t="s">
        <v>476</v>
      </c>
      <c r="W48" s="94" t="s">
        <v>475</v>
      </c>
      <c r="X48" s="78">
        <v>46290</v>
      </c>
    </row>
    <row r="49" spans="1:24" ht="87.45" x14ac:dyDescent="0.4">
      <c r="A49" s="94" t="s">
        <v>1266</v>
      </c>
      <c r="B49" s="78">
        <v>46295</v>
      </c>
      <c r="C49" s="94" t="s">
        <v>498</v>
      </c>
      <c r="D49" s="94" t="s">
        <v>499</v>
      </c>
      <c r="E49" s="94" t="s">
        <v>427</v>
      </c>
      <c r="F49" s="94" t="s">
        <v>659</v>
      </c>
      <c r="G49" s="76">
        <v>3</v>
      </c>
      <c r="H49" s="76">
        <v>2</v>
      </c>
      <c r="I49" s="76">
        <v>3</v>
      </c>
      <c r="J49" s="76">
        <v>4</v>
      </c>
      <c r="K49" s="90">
        <f t="shared" si="2"/>
        <v>3.05</v>
      </c>
      <c r="L49" s="76">
        <v>3</v>
      </c>
      <c r="M49" s="76">
        <v>3</v>
      </c>
      <c r="N49" s="94" t="s">
        <v>1058</v>
      </c>
      <c r="O49" s="95" t="s">
        <v>1081</v>
      </c>
      <c r="P49" s="95" t="s">
        <v>1321</v>
      </c>
      <c r="Q49" s="95" t="s">
        <v>1061</v>
      </c>
      <c r="R49" s="95" t="s">
        <v>1102</v>
      </c>
      <c r="S49" s="94" t="s">
        <v>611</v>
      </c>
      <c r="T49" s="76" t="str">
        <f t="shared" si="3"/>
        <v>2026Q3|NFR-11</v>
      </c>
      <c r="U49" s="78">
        <v>46290</v>
      </c>
      <c r="V49" s="94" t="s">
        <v>476</v>
      </c>
      <c r="W49" s="94" t="s">
        <v>475</v>
      </c>
      <c r="X49" s="78">
        <v>46290</v>
      </c>
    </row>
    <row r="50" spans="1:24" ht="87.45" x14ac:dyDescent="0.4">
      <c r="A50" s="94" t="s">
        <v>1266</v>
      </c>
      <c r="B50" s="78">
        <v>46295</v>
      </c>
      <c r="C50" s="94" t="s">
        <v>500</v>
      </c>
      <c r="D50" s="94" t="s">
        <v>501</v>
      </c>
      <c r="E50" s="94" t="s">
        <v>429</v>
      </c>
      <c r="F50" s="94" t="s">
        <v>659</v>
      </c>
      <c r="G50" s="76">
        <v>3</v>
      </c>
      <c r="H50" s="76">
        <v>4</v>
      </c>
      <c r="I50" s="76">
        <v>4</v>
      </c>
      <c r="J50" s="76">
        <v>3</v>
      </c>
      <c r="K50" s="90">
        <f t="shared" si="2"/>
        <v>3.5</v>
      </c>
      <c r="L50" s="76">
        <v>3</v>
      </c>
      <c r="M50" s="76">
        <v>4</v>
      </c>
      <c r="N50" s="94" t="s">
        <v>1058</v>
      </c>
      <c r="O50" s="95" t="s">
        <v>1084</v>
      </c>
      <c r="P50" s="95" t="s">
        <v>1322</v>
      </c>
      <c r="Q50" s="95" t="s">
        <v>1061</v>
      </c>
      <c r="R50" s="95" t="s">
        <v>1112</v>
      </c>
      <c r="S50" s="94" t="s">
        <v>593</v>
      </c>
      <c r="T50" s="76" t="str">
        <f t="shared" si="3"/>
        <v>2026Q3|NFR-12</v>
      </c>
      <c r="U50" s="78">
        <v>46290</v>
      </c>
      <c r="V50" s="94" t="s">
        <v>476</v>
      </c>
      <c r="W50" s="94" t="s">
        <v>475</v>
      </c>
      <c r="X50" s="78">
        <v>46290</v>
      </c>
    </row>
  </sheetData>
  <mergeCells count="5">
    <mergeCell ref="A2:L2"/>
    <mergeCell ref="A1:L1"/>
    <mergeCell ref="A3:J3"/>
    <mergeCell ref="L3:R3"/>
    <mergeCell ref="V3:X3"/>
  </mergeCells>
  <dataValidations count="2">
    <dataValidation type="list" allowBlank="1" sqref="E6:E20012" xr:uid="{00000000-0002-0000-0F00-000000000000}">
      <formula1>codiciL1</formula1>
    </dataValidation>
    <dataValidation type="list" allowBlank="1" sqref="N6:N20012" xr:uid="{00000000-0002-0000-0F00-000001000000}">
      <formula1>"Confermato,Variato,Nuovo"</formula1>
    </dataValidation>
  </dataValidations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6A6A6"/>
  </sheetPr>
  <dimension ref="A1:M32"/>
  <sheetViews>
    <sheetView workbookViewId="0"/>
  </sheetViews>
  <sheetFormatPr defaultRowHeight="14.6" x14ac:dyDescent="0.4"/>
  <cols>
    <col min="1" max="3" width="15" customWidth="1"/>
    <col min="4" max="4" width="50" customWidth="1"/>
    <col min="5" max="8" width="15" customWidth="1"/>
    <col min="9" max="9" width="50" customWidth="1"/>
    <col min="10" max="13" width="15" customWidth="1"/>
  </cols>
  <sheetData>
    <row r="1" spans="1:13" ht="28" customHeight="1" x14ac:dyDescent="0.4">
      <c r="A1" s="126" t="str">
        <f>"Horizon Scan NFR — Azioni — azioni di mitigazione proposte e loro stato   ·   "&amp;etichettaCiclo</f>
        <v>Horizon Scan NFR — Azioni — azioni di mitigazione proposte e loro stato   ·   Ciclo 2026Q3 · dati al 30/09/2026 · validato · Uso interno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3" ht="59.05" customHeight="1" x14ac:dyDescent="0.4">
      <c r="A2" s="112" t="s">
        <v>1113</v>
      </c>
      <c r="B2" s="98"/>
      <c r="C2" s="98"/>
      <c r="D2" s="98"/>
      <c r="E2" s="98"/>
      <c r="F2" s="98"/>
      <c r="G2" s="98"/>
      <c r="H2" s="98"/>
      <c r="I2" s="98"/>
    </row>
    <row r="3" spans="1:13" x14ac:dyDescent="0.4">
      <c r="A3" s="155" t="s">
        <v>1031</v>
      </c>
      <c r="B3" s="98"/>
      <c r="C3" s="73" t="s">
        <v>449</v>
      </c>
      <c r="D3" s="155" t="s">
        <v>1031</v>
      </c>
      <c r="E3" s="98"/>
      <c r="F3" s="98"/>
      <c r="G3" s="98"/>
      <c r="H3" s="73" t="s">
        <v>1032</v>
      </c>
      <c r="I3" s="88" t="s">
        <v>1031</v>
      </c>
      <c r="J3" s="151" t="s">
        <v>1033</v>
      </c>
      <c r="K3" s="98"/>
      <c r="L3" s="98"/>
      <c r="M3" s="98"/>
    </row>
    <row r="4" spans="1:13" ht="80.05" customHeight="1" x14ac:dyDescent="0.4">
      <c r="A4" s="75" t="s">
        <v>1114</v>
      </c>
      <c r="B4" s="75" t="s">
        <v>1115</v>
      </c>
      <c r="C4" s="75" t="s">
        <v>1116</v>
      </c>
      <c r="D4" s="75" t="s">
        <v>1117</v>
      </c>
      <c r="E4" s="75" t="s">
        <v>1118</v>
      </c>
      <c r="F4" s="75" t="s">
        <v>1119</v>
      </c>
      <c r="G4" s="75" t="s">
        <v>1120</v>
      </c>
      <c r="H4" s="75" t="s">
        <v>1121</v>
      </c>
      <c r="I4" s="75" t="s">
        <v>1122</v>
      </c>
      <c r="J4" s="75" t="s">
        <v>1123</v>
      </c>
      <c r="K4" s="75" t="s">
        <v>1124</v>
      </c>
      <c r="L4" s="75" t="s">
        <v>1125</v>
      </c>
      <c r="M4" s="75" t="s">
        <v>1126</v>
      </c>
    </row>
    <row r="5" spans="1:13" x14ac:dyDescent="0.4">
      <c r="A5" s="89" t="s">
        <v>407</v>
      </c>
      <c r="B5" s="89" t="s">
        <v>727</v>
      </c>
      <c r="C5" s="53" t="s">
        <v>793</v>
      </c>
      <c r="D5" s="89" t="s">
        <v>758</v>
      </c>
      <c r="E5" s="89" t="s">
        <v>156</v>
      </c>
      <c r="F5" s="89" t="s">
        <v>799</v>
      </c>
      <c r="G5" s="89" t="s">
        <v>444</v>
      </c>
      <c r="H5" s="53" t="s">
        <v>804</v>
      </c>
      <c r="I5" s="89" t="s">
        <v>761</v>
      </c>
      <c r="J5" s="51" t="s">
        <v>401</v>
      </c>
      <c r="K5" s="51" t="s">
        <v>813</v>
      </c>
      <c r="L5" s="51" t="s">
        <v>816</v>
      </c>
      <c r="M5" s="51" t="s">
        <v>7</v>
      </c>
    </row>
    <row r="6" spans="1:13" ht="29.15" x14ac:dyDescent="0.4">
      <c r="A6" s="76" t="s">
        <v>472</v>
      </c>
      <c r="B6" s="76" t="s">
        <v>473</v>
      </c>
      <c r="C6" s="76" t="s">
        <v>577</v>
      </c>
      <c r="D6" s="77" t="s">
        <v>578</v>
      </c>
      <c r="E6" s="76" t="s">
        <v>579</v>
      </c>
      <c r="F6" s="76" t="s">
        <v>801</v>
      </c>
      <c r="G6" s="76" t="s">
        <v>580</v>
      </c>
      <c r="H6" s="76">
        <f t="shared" ref="H6:H17" si="0">IFERROR(VALUE(LEFT(G6,FIND(" ",G6)-1)),"")</f>
        <v>6</v>
      </c>
      <c r="I6" s="77" t="s">
        <v>1127</v>
      </c>
      <c r="J6" s="76" t="s">
        <v>812</v>
      </c>
      <c r="K6" s="78">
        <v>46218</v>
      </c>
      <c r="L6" s="76" t="s">
        <v>476</v>
      </c>
      <c r="M6" s="76" t="s">
        <v>475</v>
      </c>
    </row>
    <row r="7" spans="1:13" ht="29.15" x14ac:dyDescent="0.4">
      <c r="A7" s="76" t="s">
        <v>472</v>
      </c>
      <c r="B7" s="76" t="s">
        <v>478</v>
      </c>
      <c r="C7" s="76" t="s">
        <v>581</v>
      </c>
      <c r="D7" s="77" t="s">
        <v>582</v>
      </c>
      <c r="E7" s="76" t="s">
        <v>583</v>
      </c>
      <c r="F7" s="76" t="s">
        <v>801</v>
      </c>
      <c r="G7" s="76" t="s">
        <v>584</v>
      </c>
      <c r="H7" s="76">
        <f t="shared" si="0"/>
        <v>12</v>
      </c>
      <c r="I7" s="77" t="s">
        <v>1128</v>
      </c>
      <c r="J7" s="76" t="s">
        <v>812</v>
      </c>
      <c r="K7" s="78">
        <v>46218</v>
      </c>
      <c r="L7" s="76" t="s">
        <v>476</v>
      </c>
      <c r="M7" s="76" t="s">
        <v>475</v>
      </c>
    </row>
    <row r="8" spans="1:13" ht="29.15" x14ac:dyDescent="0.4">
      <c r="A8" s="76" t="s">
        <v>472</v>
      </c>
      <c r="B8" s="76" t="s">
        <v>480</v>
      </c>
      <c r="C8" s="76" t="s">
        <v>585</v>
      </c>
      <c r="D8" s="77" t="s">
        <v>586</v>
      </c>
      <c r="E8" s="76" t="s">
        <v>587</v>
      </c>
      <c r="F8" s="76" t="s">
        <v>801</v>
      </c>
      <c r="G8" s="76" t="s">
        <v>580</v>
      </c>
      <c r="H8" s="76">
        <f t="shared" si="0"/>
        <v>6</v>
      </c>
      <c r="I8" s="77" t="s">
        <v>1129</v>
      </c>
      <c r="J8" s="76" t="s">
        <v>812</v>
      </c>
      <c r="K8" s="78">
        <v>46218</v>
      </c>
      <c r="L8" s="76" t="s">
        <v>476</v>
      </c>
      <c r="M8" s="76" t="s">
        <v>475</v>
      </c>
    </row>
    <row r="9" spans="1:13" ht="29.15" x14ac:dyDescent="0.4">
      <c r="A9" s="76" t="s">
        <v>472</v>
      </c>
      <c r="B9" s="76" t="s">
        <v>482</v>
      </c>
      <c r="C9" s="76" t="s">
        <v>588</v>
      </c>
      <c r="D9" s="77" t="s">
        <v>589</v>
      </c>
      <c r="E9" s="76" t="s">
        <v>590</v>
      </c>
      <c r="F9" s="76" t="s">
        <v>801</v>
      </c>
      <c r="G9" s="76" t="s">
        <v>584</v>
      </c>
      <c r="H9" s="76">
        <f t="shared" si="0"/>
        <v>12</v>
      </c>
      <c r="I9" s="77" t="s">
        <v>1130</v>
      </c>
      <c r="J9" s="76" t="s">
        <v>812</v>
      </c>
      <c r="K9" s="78">
        <v>46218</v>
      </c>
      <c r="L9" s="76" t="s">
        <v>476</v>
      </c>
      <c r="M9" s="76" t="s">
        <v>475</v>
      </c>
    </row>
    <row r="10" spans="1:13" ht="29.15" x14ac:dyDescent="0.4">
      <c r="A10" s="76" t="s">
        <v>472</v>
      </c>
      <c r="B10" s="76" t="s">
        <v>484</v>
      </c>
      <c r="C10" s="76" t="s">
        <v>591</v>
      </c>
      <c r="D10" s="77" t="s">
        <v>592</v>
      </c>
      <c r="E10" s="76" t="s">
        <v>593</v>
      </c>
      <c r="F10" s="76" t="s">
        <v>1131</v>
      </c>
      <c r="G10" s="76" t="s">
        <v>596</v>
      </c>
      <c r="H10" s="76">
        <f t="shared" si="0"/>
        <v>3</v>
      </c>
      <c r="I10" s="77" t="s">
        <v>1132</v>
      </c>
      <c r="J10" s="76" t="s">
        <v>1133</v>
      </c>
      <c r="K10" s="78">
        <v>46218</v>
      </c>
      <c r="L10" s="76" t="s">
        <v>476</v>
      </c>
      <c r="M10" s="76" t="s">
        <v>594</v>
      </c>
    </row>
    <row r="11" spans="1:13" ht="29.15" x14ac:dyDescent="0.4">
      <c r="A11" s="76" t="s">
        <v>472</v>
      </c>
      <c r="B11" s="76" t="s">
        <v>486</v>
      </c>
      <c r="C11" s="76" t="s">
        <v>597</v>
      </c>
      <c r="D11" s="77" t="s">
        <v>598</v>
      </c>
      <c r="E11" s="76" t="s">
        <v>599</v>
      </c>
      <c r="F11" s="76" t="s">
        <v>801</v>
      </c>
      <c r="G11" s="76" t="s">
        <v>596</v>
      </c>
      <c r="H11" s="76">
        <f t="shared" si="0"/>
        <v>3</v>
      </c>
      <c r="I11" s="77" t="s">
        <v>1134</v>
      </c>
      <c r="J11" s="76" t="s">
        <v>812</v>
      </c>
      <c r="K11" s="78">
        <v>46218</v>
      </c>
      <c r="L11" s="76" t="s">
        <v>476</v>
      </c>
      <c r="M11" s="76" t="s">
        <v>475</v>
      </c>
    </row>
    <row r="12" spans="1:13" ht="29.15" x14ac:dyDescent="0.4">
      <c r="A12" s="76" t="s">
        <v>472</v>
      </c>
      <c r="B12" s="76" t="s">
        <v>488</v>
      </c>
      <c r="C12" s="76" t="s">
        <v>600</v>
      </c>
      <c r="D12" s="77" t="s">
        <v>601</v>
      </c>
      <c r="E12" s="76" t="s">
        <v>583</v>
      </c>
      <c r="F12" s="76" t="s">
        <v>801</v>
      </c>
      <c r="G12" s="76" t="s">
        <v>580</v>
      </c>
      <c r="H12" s="76">
        <f t="shared" si="0"/>
        <v>6</v>
      </c>
      <c r="I12" s="77" t="s">
        <v>1135</v>
      </c>
      <c r="J12" s="76" t="s">
        <v>812</v>
      </c>
      <c r="K12" s="78">
        <v>46218</v>
      </c>
      <c r="L12" s="76" t="s">
        <v>476</v>
      </c>
      <c r="M12" s="76" t="s">
        <v>475</v>
      </c>
    </row>
    <row r="13" spans="1:13" ht="29.15" x14ac:dyDescent="0.4">
      <c r="A13" s="76" t="s">
        <v>472</v>
      </c>
      <c r="B13" s="76" t="s">
        <v>490</v>
      </c>
      <c r="C13" s="76" t="s">
        <v>602</v>
      </c>
      <c r="D13" s="77" t="s">
        <v>603</v>
      </c>
      <c r="E13" s="76" t="s">
        <v>599</v>
      </c>
      <c r="F13" s="76" t="s">
        <v>801</v>
      </c>
      <c r="G13" s="76" t="s">
        <v>596</v>
      </c>
      <c r="H13" s="76">
        <f t="shared" si="0"/>
        <v>3</v>
      </c>
      <c r="I13" s="77" t="s">
        <v>1136</v>
      </c>
      <c r="J13" s="76" t="s">
        <v>812</v>
      </c>
      <c r="K13" s="78">
        <v>46218</v>
      </c>
      <c r="L13" s="76" t="s">
        <v>476</v>
      </c>
      <c r="M13" s="76" t="s">
        <v>475</v>
      </c>
    </row>
    <row r="14" spans="1:13" ht="29.15" x14ac:dyDescent="0.4">
      <c r="A14" s="76" t="s">
        <v>472</v>
      </c>
      <c r="B14" s="76" t="s">
        <v>492</v>
      </c>
      <c r="C14" s="76" t="s">
        <v>604</v>
      </c>
      <c r="D14" s="77" t="s">
        <v>605</v>
      </c>
      <c r="E14" s="76" t="s">
        <v>587</v>
      </c>
      <c r="F14" s="76" t="s">
        <v>801</v>
      </c>
      <c r="G14" s="76" t="s">
        <v>584</v>
      </c>
      <c r="H14" s="76">
        <f t="shared" si="0"/>
        <v>12</v>
      </c>
      <c r="I14" s="77" t="s">
        <v>1137</v>
      </c>
      <c r="J14" s="76" t="s">
        <v>812</v>
      </c>
      <c r="K14" s="78">
        <v>46218</v>
      </c>
      <c r="L14" s="76" t="s">
        <v>476</v>
      </c>
      <c r="M14" s="76" t="s">
        <v>475</v>
      </c>
    </row>
    <row r="15" spans="1:13" ht="29.15" x14ac:dyDescent="0.4">
      <c r="A15" s="76" t="s">
        <v>472</v>
      </c>
      <c r="B15" s="76" t="s">
        <v>494</v>
      </c>
      <c r="C15" s="76" t="s">
        <v>606</v>
      </c>
      <c r="D15" s="77" t="s">
        <v>607</v>
      </c>
      <c r="E15" s="76" t="s">
        <v>608</v>
      </c>
      <c r="F15" s="76" t="s">
        <v>1138</v>
      </c>
      <c r="G15" s="76" t="s">
        <v>596</v>
      </c>
      <c r="H15" s="76">
        <f t="shared" si="0"/>
        <v>3</v>
      </c>
      <c r="I15" s="77" t="s">
        <v>1139</v>
      </c>
      <c r="J15" s="76" t="s">
        <v>812</v>
      </c>
      <c r="K15" s="78">
        <v>46218</v>
      </c>
      <c r="L15" s="76" t="s">
        <v>476</v>
      </c>
      <c r="M15" s="76" t="s">
        <v>475</v>
      </c>
    </row>
    <row r="16" spans="1:13" ht="29.15" x14ac:dyDescent="0.4">
      <c r="A16" s="76" t="s">
        <v>472</v>
      </c>
      <c r="B16" s="76" t="s">
        <v>498</v>
      </c>
      <c r="C16" s="76" t="s">
        <v>609</v>
      </c>
      <c r="D16" s="77" t="s">
        <v>610</v>
      </c>
      <c r="E16" s="76" t="s">
        <v>611</v>
      </c>
      <c r="F16" s="76" t="s">
        <v>801</v>
      </c>
      <c r="G16" s="76" t="s">
        <v>584</v>
      </c>
      <c r="H16" s="76">
        <f t="shared" si="0"/>
        <v>12</v>
      </c>
      <c r="I16" s="77" t="s">
        <v>1140</v>
      </c>
      <c r="J16" s="76" t="s">
        <v>812</v>
      </c>
      <c r="K16" s="78">
        <v>46218</v>
      </c>
      <c r="L16" s="76" t="s">
        <v>476</v>
      </c>
      <c r="M16" s="76" t="s">
        <v>475</v>
      </c>
    </row>
    <row r="17" spans="1:13" ht="29.15" x14ac:dyDescent="0.4">
      <c r="A17" s="76" t="s">
        <v>472</v>
      </c>
      <c r="B17" s="76" t="s">
        <v>500</v>
      </c>
      <c r="C17" s="76" t="s">
        <v>612</v>
      </c>
      <c r="D17" s="77" t="s">
        <v>613</v>
      </c>
      <c r="E17" s="76" t="s">
        <v>593</v>
      </c>
      <c r="F17" s="76" t="s">
        <v>801</v>
      </c>
      <c r="G17" s="76" t="s">
        <v>596</v>
      </c>
      <c r="H17" s="76">
        <f t="shared" si="0"/>
        <v>3</v>
      </c>
      <c r="I17" s="77" t="s">
        <v>1141</v>
      </c>
      <c r="J17" s="76" t="s">
        <v>812</v>
      </c>
      <c r="K17" s="78">
        <v>46218</v>
      </c>
      <c r="L17" s="76" t="s">
        <v>476</v>
      </c>
      <c r="M17" s="76" t="s">
        <v>475</v>
      </c>
    </row>
    <row r="18" spans="1:13" ht="29.15" x14ac:dyDescent="0.4">
      <c r="A18" s="94" t="s">
        <v>1266</v>
      </c>
      <c r="B18" s="94" t="s">
        <v>473</v>
      </c>
      <c r="C18" s="94" t="s">
        <v>1323</v>
      </c>
      <c r="D18" s="95" t="s">
        <v>1324</v>
      </c>
      <c r="E18" s="94" t="s">
        <v>579</v>
      </c>
      <c r="F18" s="94" t="s">
        <v>801</v>
      </c>
      <c r="G18" s="94" t="s">
        <v>596</v>
      </c>
      <c r="H18" s="76">
        <f t="shared" ref="H18:H32" si="1">IFERROR(VALUE(LEFT(G18,FIND(" ",G18)-1)),"")</f>
        <v>3</v>
      </c>
      <c r="I18" s="95" t="s">
        <v>1325</v>
      </c>
      <c r="J18" s="94" t="s">
        <v>812</v>
      </c>
      <c r="K18" s="78">
        <v>46290</v>
      </c>
      <c r="L18" s="94" t="s">
        <v>476</v>
      </c>
      <c r="M18" s="94" t="s">
        <v>475</v>
      </c>
    </row>
    <row r="19" spans="1:13" ht="29.15" x14ac:dyDescent="0.4">
      <c r="A19" s="94" t="s">
        <v>1266</v>
      </c>
      <c r="B19" s="94" t="s">
        <v>473</v>
      </c>
      <c r="C19" s="94" t="s">
        <v>1326</v>
      </c>
      <c r="D19" s="95" t="s">
        <v>1327</v>
      </c>
      <c r="E19" s="94" t="s">
        <v>1328</v>
      </c>
      <c r="F19" s="94" t="s">
        <v>1329</v>
      </c>
      <c r="G19" s="94" t="s">
        <v>580</v>
      </c>
      <c r="H19" s="76">
        <f t="shared" si="1"/>
        <v>6</v>
      </c>
      <c r="I19" s="95" t="s">
        <v>1330</v>
      </c>
      <c r="J19" s="94" t="s">
        <v>812</v>
      </c>
      <c r="K19" s="78">
        <v>46290</v>
      </c>
      <c r="L19" s="94" t="s">
        <v>476</v>
      </c>
      <c r="M19" s="94" t="s">
        <v>475</v>
      </c>
    </row>
    <row r="20" spans="1:13" ht="29.15" x14ac:dyDescent="0.4">
      <c r="A20" s="94" t="s">
        <v>1266</v>
      </c>
      <c r="B20" s="94" t="s">
        <v>478</v>
      </c>
      <c r="C20" s="94" t="s">
        <v>1331</v>
      </c>
      <c r="D20" s="95" t="s">
        <v>1332</v>
      </c>
      <c r="E20" s="94" t="s">
        <v>583</v>
      </c>
      <c r="F20" s="94" t="s">
        <v>801</v>
      </c>
      <c r="G20" s="94" t="s">
        <v>596</v>
      </c>
      <c r="H20" s="76">
        <f t="shared" si="1"/>
        <v>3</v>
      </c>
      <c r="I20" s="95" t="s">
        <v>1333</v>
      </c>
      <c r="J20" s="94" t="s">
        <v>812</v>
      </c>
      <c r="K20" s="78">
        <v>46290</v>
      </c>
      <c r="L20" s="94" t="s">
        <v>476</v>
      </c>
      <c r="M20" s="94" t="s">
        <v>475</v>
      </c>
    </row>
    <row r="21" spans="1:13" ht="29.15" x14ac:dyDescent="0.4">
      <c r="A21" s="94" t="s">
        <v>1266</v>
      </c>
      <c r="B21" s="94" t="s">
        <v>478</v>
      </c>
      <c r="C21" s="94" t="s">
        <v>1334</v>
      </c>
      <c r="D21" s="95" t="s">
        <v>1335</v>
      </c>
      <c r="E21" s="94" t="s">
        <v>1336</v>
      </c>
      <c r="F21" s="94" t="s">
        <v>1329</v>
      </c>
      <c r="G21" s="94" t="s">
        <v>584</v>
      </c>
      <c r="H21" s="76">
        <f t="shared" si="1"/>
        <v>12</v>
      </c>
      <c r="I21" s="95" t="s">
        <v>1337</v>
      </c>
      <c r="J21" s="94" t="s">
        <v>812</v>
      </c>
      <c r="K21" s="78">
        <v>46290</v>
      </c>
      <c r="L21" s="94" t="s">
        <v>476</v>
      </c>
      <c r="M21" s="94" t="s">
        <v>475</v>
      </c>
    </row>
    <row r="22" spans="1:13" ht="29.15" x14ac:dyDescent="0.4">
      <c r="A22" s="94" t="s">
        <v>1266</v>
      </c>
      <c r="B22" s="94" t="s">
        <v>480</v>
      </c>
      <c r="C22" s="94" t="s">
        <v>1338</v>
      </c>
      <c r="D22" s="95" t="s">
        <v>1339</v>
      </c>
      <c r="E22" s="94" t="s">
        <v>587</v>
      </c>
      <c r="F22" s="94" t="s">
        <v>801</v>
      </c>
      <c r="G22" s="94" t="s">
        <v>596</v>
      </c>
      <c r="H22" s="76">
        <f t="shared" si="1"/>
        <v>3</v>
      </c>
      <c r="I22" s="95" t="s">
        <v>1340</v>
      </c>
      <c r="J22" s="94" t="s">
        <v>812</v>
      </c>
      <c r="K22" s="78">
        <v>46290</v>
      </c>
      <c r="L22" s="94" t="s">
        <v>476</v>
      </c>
      <c r="M22" s="94" t="s">
        <v>475</v>
      </c>
    </row>
    <row r="23" spans="1:13" ht="29.15" x14ac:dyDescent="0.4">
      <c r="A23" s="94" t="s">
        <v>1266</v>
      </c>
      <c r="B23" s="94" t="s">
        <v>482</v>
      </c>
      <c r="C23" s="94" t="s">
        <v>1341</v>
      </c>
      <c r="D23" s="95" t="s">
        <v>589</v>
      </c>
      <c r="E23" s="94" t="s">
        <v>590</v>
      </c>
      <c r="F23" s="94" t="s">
        <v>801</v>
      </c>
      <c r="G23" s="94" t="s">
        <v>580</v>
      </c>
      <c r="H23" s="76">
        <f t="shared" si="1"/>
        <v>6</v>
      </c>
      <c r="I23" s="95" t="s">
        <v>1130</v>
      </c>
      <c r="J23" s="94" t="s">
        <v>812</v>
      </c>
      <c r="K23" s="78">
        <v>46290</v>
      </c>
      <c r="L23" s="94" t="s">
        <v>476</v>
      </c>
      <c r="M23" s="94" t="s">
        <v>475</v>
      </c>
    </row>
    <row r="24" spans="1:13" ht="29.15" x14ac:dyDescent="0.4">
      <c r="A24" s="94" t="s">
        <v>1266</v>
      </c>
      <c r="B24" s="94" t="s">
        <v>484</v>
      </c>
      <c r="C24" s="94" t="s">
        <v>1342</v>
      </c>
      <c r="D24" s="95" t="s">
        <v>592</v>
      </c>
      <c r="E24" s="94" t="s">
        <v>593</v>
      </c>
      <c r="F24" s="94" t="s">
        <v>1131</v>
      </c>
      <c r="G24" s="94" t="s">
        <v>596</v>
      </c>
      <c r="H24" s="76">
        <f t="shared" si="1"/>
        <v>3</v>
      </c>
      <c r="I24" s="95" t="s">
        <v>1343</v>
      </c>
      <c r="J24" s="94" t="s">
        <v>812</v>
      </c>
      <c r="K24" s="78">
        <v>46290</v>
      </c>
      <c r="L24" s="94" t="s">
        <v>476</v>
      </c>
      <c r="M24" s="94" t="s">
        <v>475</v>
      </c>
    </row>
    <row r="25" spans="1:13" ht="29.15" x14ac:dyDescent="0.4">
      <c r="A25" s="94" t="s">
        <v>1266</v>
      </c>
      <c r="B25" s="94" t="s">
        <v>486</v>
      </c>
      <c r="C25" s="94" t="s">
        <v>1344</v>
      </c>
      <c r="D25" s="95" t="s">
        <v>1345</v>
      </c>
      <c r="E25" s="94" t="s">
        <v>1346</v>
      </c>
      <c r="F25" s="94" t="s">
        <v>1347</v>
      </c>
      <c r="G25" s="94" t="s">
        <v>580</v>
      </c>
      <c r="H25" s="76">
        <f t="shared" si="1"/>
        <v>6</v>
      </c>
      <c r="I25" s="95" t="s">
        <v>1348</v>
      </c>
      <c r="J25" s="94" t="s">
        <v>812</v>
      </c>
      <c r="K25" s="78">
        <v>46290</v>
      </c>
      <c r="L25" s="94" t="s">
        <v>476</v>
      </c>
      <c r="M25" s="94" t="s">
        <v>475</v>
      </c>
    </row>
    <row r="26" spans="1:13" ht="29.15" x14ac:dyDescent="0.4">
      <c r="A26" s="94" t="s">
        <v>1266</v>
      </c>
      <c r="B26" s="94" t="s">
        <v>486</v>
      </c>
      <c r="C26" s="94" t="s">
        <v>1349</v>
      </c>
      <c r="D26" s="95" t="s">
        <v>1350</v>
      </c>
      <c r="E26" s="94" t="s">
        <v>599</v>
      </c>
      <c r="F26" s="94" t="s">
        <v>801</v>
      </c>
      <c r="G26" s="94" t="s">
        <v>580</v>
      </c>
      <c r="H26" s="76">
        <f t="shared" si="1"/>
        <v>6</v>
      </c>
      <c r="I26" s="95" t="s">
        <v>1351</v>
      </c>
      <c r="J26" s="94" t="s">
        <v>812</v>
      </c>
      <c r="K26" s="78">
        <v>46290</v>
      </c>
      <c r="L26" s="94" t="s">
        <v>476</v>
      </c>
      <c r="M26" s="94" t="s">
        <v>475</v>
      </c>
    </row>
    <row r="27" spans="1:13" ht="29.15" x14ac:dyDescent="0.4">
      <c r="A27" s="94" t="s">
        <v>1266</v>
      </c>
      <c r="B27" s="94" t="s">
        <v>488</v>
      </c>
      <c r="C27" s="94" t="s">
        <v>1352</v>
      </c>
      <c r="D27" s="95" t="s">
        <v>601</v>
      </c>
      <c r="E27" s="94" t="s">
        <v>583</v>
      </c>
      <c r="F27" s="94" t="s">
        <v>801</v>
      </c>
      <c r="G27" s="94" t="s">
        <v>580</v>
      </c>
      <c r="H27" s="76">
        <f t="shared" si="1"/>
        <v>6</v>
      </c>
      <c r="I27" s="95" t="s">
        <v>1135</v>
      </c>
      <c r="J27" s="94" t="s">
        <v>812</v>
      </c>
      <c r="K27" s="78">
        <v>46290</v>
      </c>
      <c r="L27" s="94" t="s">
        <v>476</v>
      </c>
      <c r="M27" s="94" t="s">
        <v>475</v>
      </c>
    </row>
    <row r="28" spans="1:13" ht="29.15" x14ac:dyDescent="0.4">
      <c r="A28" s="94" t="s">
        <v>1266</v>
      </c>
      <c r="B28" s="94" t="s">
        <v>490</v>
      </c>
      <c r="C28" s="94" t="s">
        <v>1353</v>
      </c>
      <c r="D28" s="95" t="s">
        <v>603</v>
      </c>
      <c r="E28" s="94" t="s">
        <v>599</v>
      </c>
      <c r="F28" s="94" t="s">
        <v>801</v>
      </c>
      <c r="G28" s="94" t="s">
        <v>596</v>
      </c>
      <c r="H28" s="76">
        <f t="shared" si="1"/>
        <v>3</v>
      </c>
      <c r="I28" s="95" t="s">
        <v>1136</v>
      </c>
      <c r="J28" s="94" t="s">
        <v>1133</v>
      </c>
      <c r="K28" s="78">
        <v>46290</v>
      </c>
      <c r="L28" s="94" t="s">
        <v>476</v>
      </c>
      <c r="M28" s="94" t="s">
        <v>594</v>
      </c>
    </row>
    <row r="29" spans="1:13" ht="29.15" x14ac:dyDescent="0.4">
      <c r="A29" s="94" t="s">
        <v>1266</v>
      </c>
      <c r="B29" s="94" t="s">
        <v>492</v>
      </c>
      <c r="C29" s="94" t="s">
        <v>1354</v>
      </c>
      <c r="D29" s="95" t="s">
        <v>605</v>
      </c>
      <c r="E29" s="94" t="s">
        <v>587</v>
      </c>
      <c r="F29" s="94" t="s">
        <v>801</v>
      </c>
      <c r="G29" s="94" t="s">
        <v>584</v>
      </c>
      <c r="H29" s="76">
        <f t="shared" si="1"/>
        <v>12</v>
      </c>
      <c r="I29" s="95" t="s">
        <v>1137</v>
      </c>
      <c r="J29" s="94" t="s">
        <v>812</v>
      </c>
      <c r="K29" s="78">
        <v>46290</v>
      </c>
      <c r="L29" s="94" t="s">
        <v>476</v>
      </c>
      <c r="M29" s="94" t="s">
        <v>475</v>
      </c>
    </row>
    <row r="30" spans="1:13" ht="29.15" x14ac:dyDescent="0.4">
      <c r="A30" s="94" t="s">
        <v>1266</v>
      </c>
      <c r="B30" s="94" t="s">
        <v>494</v>
      </c>
      <c r="C30" s="94" t="s">
        <v>1355</v>
      </c>
      <c r="D30" s="95" t="s">
        <v>607</v>
      </c>
      <c r="E30" s="94" t="s">
        <v>608</v>
      </c>
      <c r="F30" s="94" t="s">
        <v>1138</v>
      </c>
      <c r="G30" s="94" t="s">
        <v>596</v>
      </c>
      <c r="H30" s="76">
        <f t="shared" si="1"/>
        <v>3</v>
      </c>
      <c r="I30" s="95" t="s">
        <v>1139</v>
      </c>
      <c r="J30" s="94" t="s">
        <v>812</v>
      </c>
      <c r="K30" s="78">
        <v>46290</v>
      </c>
      <c r="L30" s="94" t="s">
        <v>476</v>
      </c>
      <c r="M30" s="94" t="s">
        <v>475</v>
      </c>
    </row>
    <row r="31" spans="1:13" ht="29.15" x14ac:dyDescent="0.4">
      <c r="A31" s="94" t="s">
        <v>1266</v>
      </c>
      <c r="B31" s="94" t="s">
        <v>498</v>
      </c>
      <c r="C31" s="94" t="s">
        <v>1356</v>
      </c>
      <c r="D31" s="95" t="s">
        <v>610</v>
      </c>
      <c r="E31" s="94" t="s">
        <v>611</v>
      </c>
      <c r="F31" s="94" t="s">
        <v>801</v>
      </c>
      <c r="G31" s="94" t="s">
        <v>584</v>
      </c>
      <c r="H31" s="76">
        <f t="shared" si="1"/>
        <v>12</v>
      </c>
      <c r="I31" s="95" t="s">
        <v>1140</v>
      </c>
      <c r="J31" s="94" t="s">
        <v>812</v>
      </c>
      <c r="K31" s="78">
        <v>46290</v>
      </c>
      <c r="L31" s="94" t="s">
        <v>476</v>
      </c>
      <c r="M31" s="94" t="s">
        <v>475</v>
      </c>
    </row>
    <row r="32" spans="1:13" ht="29.15" x14ac:dyDescent="0.4">
      <c r="A32" s="94" t="s">
        <v>1266</v>
      </c>
      <c r="B32" s="94" t="s">
        <v>500</v>
      </c>
      <c r="C32" s="94" t="s">
        <v>1357</v>
      </c>
      <c r="D32" s="95" t="s">
        <v>613</v>
      </c>
      <c r="E32" s="94" t="s">
        <v>593</v>
      </c>
      <c r="F32" s="94" t="s">
        <v>801</v>
      </c>
      <c r="G32" s="94" t="s">
        <v>596</v>
      </c>
      <c r="H32" s="76">
        <f t="shared" si="1"/>
        <v>3</v>
      </c>
      <c r="I32" s="95" t="s">
        <v>1141</v>
      </c>
      <c r="J32" s="94" t="s">
        <v>812</v>
      </c>
      <c r="K32" s="78">
        <v>46290</v>
      </c>
      <c r="L32" s="94" t="s">
        <v>476</v>
      </c>
      <c r="M32" s="94" t="s">
        <v>475</v>
      </c>
    </row>
  </sheetData>
  <mergeCells count="5">
    <mergeCell ref="D3:G3"/>
    <mergeCell ref="A2:I2"/>
    <mergeCell ref="J3:M3"/>
    <mergeCell ref="A1:L1"/>
    <mergeCell ref="A3:B3"/>
  </mergeCells>
  <dataValidations count="1">
    <dataValidation type="list" allowBlank="1" sqref="J6:J20015" xr:uid="{00000000-0002-0000-1000-000000000000}">
      <formula1>"Proposta — da valutare,Approvata,Respinta,In corso,Completata,Annullata"</formula1>
    </dataValidation>
  </dataValidations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6A6A6"/>
  </sheetPr>
  <dimension ref="A1:S141"/>
  <sheetViews>
    <sheetView workbookViewId="0"/>
  </sheetViews>
  <sheetFormatPr defaultRowHeight="14.6" x14ac:dyDescent="0.4"/>
  <cols>
    <col min="1" max="3" width="15" customWidth="1"/>
    <col min="4" max="4" width="40" customWidth="1"/>
    <col min="5" max="5" width="15" customWidth="1"/>
    <col min="6" max="6" width="30" customWidth="1"/>
    <col min="7" max="11" width="15" customWidth="1"/>
    <col min="12" max="12" width="40" customWidth="1"/>
    <col min="13" max="16" width="15" customWidth="1"/>
    <col min="17" max="17" width="50" customWidth="1"/>
    <col min="18" max="19" width="15" customWidth="1"/>
  </cols>
  <sheetData>
    <row r="1" spans="1:19" ht="28" customHeight="1" x14ac:dyDescent="0.4">
      <c r="A1" s="126" t="str">
        <f>"Horizon Scan NFR — KRI — storico degli indicatori, una riga per KRI per ciclo   ·   "&amp;etichettaCiclo</f>
        <v>Horizon Scan NFR — KRI — storico degli indicatori, una riga per KRI per ciclo   ·   Ciclo 2026Q3 · dati al 30/09/2026 · validato · Uso interno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9" ht="86.05" customHeight="1" x14ac:dyDescent="0.4">
      <c r="A2" s="112" t="s">
        <v>1142</v>
      </c>
      <c r="B2" s="98"/>
      <c r="C2" s="98"/>
      <c r="D2" s="98"/>
      <c r="E2" s="98"/>
      <c r="F2" s="98"/>
      <c r="G2" s="98"/>
      <c r="H2" s="98"/>
      <c r="I2" s="98"/>
    </row>
    <row r="3" spans="1:19" x14ac:dyDescent="0.4">
      <c r="A3" s="88" t="s">
        <v>1031</v>
      </c>
      <c r="B3" s="73" t="s">
        <v>449</v>
      </c>
      <c r="C3" s="155" t="s">
        <v>1031</v>
      </c>
      <c r="D3" s="98"/>
      <c r="E3" s="98"/>
      <c r="F3" s="98"/>
      <c r="G3" s="98"/>
      <c r="H3" s="98"/>
      <c r="I3" s="98"/>
      <c r="J3" s="73" t="s">
        <v>449</v>
      </c>
      <c r="K3" s="155" t="s">
        <v>1031</v>
      </c>
      <c r="L3" s="98"/>
      <c r="M3" s="73" t="s">
        <v>1032</v>
      </c>
      <c r="N3" s="152" t="s">
        <v>449</v>
      </c>
      <c r="O3" s="98"/>
      <c r="P3" s="155" t="s">
        <v>1031</v>
      </c>
      <c r="Q3" s="98"/>
      <c r="R3" s="73" t="s">
        <v>1032</v>
      </c>
      <c r="S3" s="74" t="s">
        <v>1033</v>
      </c>
    </row>
    <row r="4" spans="1:19" ht="58" customHeight="1" x14ac:dyDescent="0.4">
      <c r="A4" s="75" t="s">
        <v>1143</v>
      </c>
      <c r="B4" s="75" t="s">
        <v>1144</v>
      </c>
      <c r="C4" s="75" t="s">
        <v>1145</v>
      </c>
      <c r="D4" s="75" t="s">
        <v>1146</v>
      </c>
      <c r="E4" s="75" t="s">
        <v>1147</v>
      </c>
      <c r="F4" s="75" t="s">
        <v>1148</v>
      </c>
      <c r="G4" s="75" t="s">
        <v>1149</v>
      </c>
      <c r="H4" s="75" t="s">
        <v>1150</v>
      </c>
      <c r="I4" s="75" t="s">
        <v>1151</v>
      </c>
      <c r="J4" s="75" t="s">
        <v>1152</v>
      </c>
      <c r="K4" s="75" t="s">
        <v>1153</v>
      </c>
      <c r="L4" s="75" t="s">
        <v>1154</v>
      </c>
      <c r="M4" s="75" t="s">
        <v>1155</v>
      </c>
      <c r="N4" s="75" t="s">
        <v>1156</v>
      </c>
      <c r="O4" s="75" t="s">
        <v>1157</v>
      </c>
      <c r="P4" s="75" t="s">
        <v>1158</v>
      </c>
      <c r="Q4" s="75" t="s">
        <v>1159</v>
      </c>
      <c r="R4" s="75" t="s">
        <v>1160</v>
      </c>
      <c r="S4" s="75" t="s">
        <v>1126</v>
      </c>
    </row>
    <row r="5" spans="1:19" x14ac:dyDescent="0.4">
      <c r="A5" s="89" t="s">
        <v>407</v>
      </c>
      <c r="B5" s="53" t="s">
        <v>395</v>
      </c>
      <c r="C5" s="89" t="s">
        <v>727</v>
      </c>
      <c r="D5" s="89" t="s">
        <v>149</v>
      </c>
      <c r="E5" s="89" t="s">
        <v>826</v>
      </c>
      <c r="F5" s="89" t="s">
        <v>829</v>
      </c>
      <c r="G5" s="89" t="s">
        <v>504</v>
      </c>
      <c r="H5" s="89" t="s">
        <v>505</v>
      </c>
      <c r="I5" s="89" t="s">
        <v>503</v>
      </c>
      <c r="J5" s="53" t="s">
        <v>837</v>
      </c>
      <c r="K5" s="89" t="s">
        <v>840</v>
      </c>
      <c r="L5" s="89" t="s">
        <v>842</v>
      </c>
      <c r="M5" s="53" t="s">
        <v>401</v>
      </c>
      <c r="N5" s="53" t="s">
        <v>847</v>
      </c>
      <c r="O5" s="53" t="s">
        <v>851</v>
      </c>
      <c r="P5" s="89" t="s">
        <v>855</v>
      </c>
      <c r="Q5" s="89" t="s">
        <v>761</v>
      </c>
      <c r="R5" s="53" t="s">
        <v>220</v>
      </c>
      <c r="S5" s="51" t="s">
        <v>7</v>
      </c>
    </row>
    <row r="6" spans="1:19" ht="29.15" x14ac:dyDescent="0.4">
      <c r="A6" s="76" t="s">
        <v>854</v>
      </c>
      <c r="B6" s="76" t="s">
        <v>394</v>
      </c>
      <c r="C6" s="76" t="s">
        <v>473</v>
      </c>
      <c r="D6" s="77" t="s">
        <v>502</v>
      </c>
      <c r="E6" s="76" t="s">
        <v>828</v>
      </c>
      <c r="F6" s="76" t="s">
        <v>831</v>
      </c>
      <c r="G6" s="76">
        <v>3</v>
      </c>
      <c r="H6" s="76">
        <v>6</v>
      </c>
      <c r="I6" s="76">
        <v>2.1</v>
      </c>
      <c r="J6" s="78">
        <v>46022</v>
      </c>
      <c r="K6" s="76" t="s">
        <v>831</v>
      </c>
      <c r="L6" s="77" t="s">
        <v>844</v>
      </c>
      <c r="M6" s="76" t="str">
        <f t="shared" ref="M6:M37" si="0">IF(H6&lt;G6,"SOGLIE INVERTITE — correggere",IF(I6="","Non rilevato",IF(I6&gt;=H6,"Rosso",IF(I6&gt;=G6,"Ambra","Verde"))))</f>
        <v>Verde</v>
      </c>
      <c r="N6" s="76" t="s">
        <v>653</v>
      </c>
      <c r="O6" s="76" t="s">
        <v>854</v>
      </c>
      <c r="P6" s="76" t="s">
        <v>854</v>
      </c>
      <c r="Q6" s="77" t="s">
        <v>1161</v>
      </c>
      <c r="R6" s="76" t="str">
        <f t="shared" ref="R6:R37" si="1">A6&amp;"|"&amp;B6</f>
        <v>2025Q4|NFR-01-K1</v>
      </c>
      <c r="S6" s="76" t="s">
        <v>475</v>
      </c>
    </row>
    <row r="7" spans="1:19" ht="29.15" x14ac:dyDescent="0.4">
      <c r="A7" s="76" t="s">
        <v>854</v>
      </c>
      <c r="B7" s="76" t="s">
        <v>506</v>
      </c>
      <c r="C7" s="76" t="s">
        <v>473</v>
      </c>
      <c r="D7" s="77" t="s">
        <v>507</v>
      </c>
      <c r="E7" s="76" t="s">
        <v>1162</v>
      </c>
      <c r="F7" s="76" t="s">
        <v>1163</v>
      </c>
      <c r="G7" s="76">
        <v>10</v>
      </c>
      <c r="H7" s="76">
        <v>25</v>
      </c>
      <c r="I7" s="76">
        <v>5</v>
      </c>
      <c r="J7" s="78">
        <v>46022</v>
      </c>
      <c r="K7" s="76" t="s">
        <v>1163</v>
      </c>
      <c r="L7" s="77" t="s">
        <v>844</v>
      </c>
      <c r="M7" s="76" t="str">
        <f t="shared" si="0"/>
        <v>Verde</v>
      </c>
      <c r="N7" s="76" t="s">
        <v>653</v>
      </c>
      <c r="O7" s="76" t="s">
        <v>854</v>
      </c>
      <c r="P7" s="76" t="s">
        <v>854</v>
      </c>
      <c r="Q7" s="77" t="s">
        <v>1161</v>
      </c>
      <c r="R7" s="76" t="str">
        <f t="shared" si="1"/>
        <v>2025Q4|NFR-01-K2</v>
      </c>
      <c r="S7" s="76" t="s">
        <v>475</v>
      </c>
    </row>
    <row r="8" spans="1:19" ht="29.15" x14ac:dyDescent="0.4">
      <c r="A8" s="76" t="s">
        <v>854</v>
      </c>
      <c r="B8" s="76" t="s">
        <v>508</v>
      </c>
      <c r="C8" s="76" t="s">
        <v>473</v>
      </c>
      <c r="D8" s="77" t="s">
        <v>509</v>
      </c>
      <c r="E8" s="76" t="s">
        <v>1164</v>
      </c>
      <c r="F8" s="76" t="s">
        <v>1165</v>
      </c>
      <c r="G8" s="76">
        <v>4</v>
      </c>
      <c r="H8" s="76">
        <v>12</v>
      </c>
      <c r="I8" s="76">
        <v>5</v>
      </c>
      <c r="J8" s="78">
        <v>46022</v>
      </c>
      <c r="K8" s="76" t="s">
        <v>1165</v>
      </c>
      <c r="L8" s="77" t="s">
        <v>844</v>
      </c>
      <c r="M8" s="76" t="str">
        <f t="shared" si="0"/>
        <v>Ambra</v>
      </c>
      <c r="N8" s="76" t="s">
        <v>653</v>
      </c>
      <c r="O8" s="76" t="s">
        <v>854</v>
      </c>
      <c r="P8" s="76" t="s">
        <v>854</v>
      </c>
      <c r="Q8" s="77" t="s">
        <v>1161</v>
      </c>
      <c r="R8" s="76" t="str">
        <f t="shared" si="1"/>
        <v>2025Q4|NFR-01-K3</v>
      </c>
      <c r="S8" s="76" t="s">
        <v>475</v>
      </c>
    </row>
    <row r="9" spans="1:19" ht="29.15" x14ac:dyDescent="0.4">
      <c r="A9" s="76" t="s">
        <v>854</v>
      </c>
      <c r="B9" s="76" t="s">
        <v>510</v>
      </c>
      <c r="C9" s="76" t="s">
        <v>478</v>
      </c>
      <c r="D9" s="77" t="s">
        <v>511</v>
      </c>
      <c r="E9" s="76" t="s">
        <v>1162</v>
      </c>
      <c r="F9" s="76" t="s">
        <v>1166</v>
      </c>
      <c r="G9" s="76">
        <v>60</v>
      </c>
      <c r="H9" s="76">
        <v>75</v>
      </c>
      <c r="I9" s="76">
        <v>74</v>
      </c>
      <c r="J9" s="78">
        <v>46022</v>
      </c>
      <c r="K9" s="76" t="s">
        <v>1166</v>
      </c>
      <c r="L9" s="77" t="s">
        <v>844</v>
      </c>
      <c r="M9" s="76" t="str">
        <f t="shared" si="0"/>
        <v>Ambra</v>
      </c>
      <c r="N9" s="76" t="s">
        <v>653</v>
      </c>
      <c r="O9" s="76" t="s">
        <v>854</v>
      </c>
      <c r="P9" s="76" t="s">
        <v>854</v>
      </c>
      <c r="Q9" s="77" t="s">
        <v>1167</v>
      </c>
      <c r="R9" s="76" t="str">
        <f t="shared" si="1"/>
        <v>2025Q4|NFR-02-K1</v>
      </c>
      <c r="S9" s="76" t="s">
        <v>475</v>
      </c>
    </row>
    <row r="10" spans="1:19" ht="29.15" x14ac:dyDescent="0.4">
      <c r="A10" s="76" t="s">
        <v>854</v>
      </c>
      <c r="B10" s="76" t="s">
        <v>512</v>
      </c>
      <c r="C10" s="76" t="s">
        <v>478</v>
      </c>
      <c r="D10" s="77" t="s">
        <v>513</v>
      </c>
      <c r="E10" s="76" t="s">
        <v>1168</v>
      </c>
      <c r="F10" s="76" t="s">
        <v>1169</v>
      </c>
      <c r="G10" s="76">
        <v>365</v>
      </c>
      <c r="H10" s="76">
        <v>540</v>
      </c>
      <c r="I10" s="76">
        <v>320</v>
      </c>
      <c r="J10" s="78">
        <v>46022</v>
      </c>
      <c r="K10" s="76" t="s">
        <v>1169</v>
      </c>
      <c r="L10" s="77" t="s">
        <v>844</v>
      </c>
      <c r="M10" s="76" t="str">
        <f t="shared" si="0"/>
        <v>Verde</v>
      </c>
      <c r="N10" s="76" t="s">
        <v>653</v>
      </c>
      <c r="O10" s="76" t="s">
        <v>854</v>
      </c>
      <c r="P10" s="76" t="s">
        <v>854</v>
      </c>
      <c r="Q10" s="77" t="s">
        <v>1167</v>
      </c>
      <c r="R10" s="76" t="str">
        <f t="shared" si="1"/>
        <v>2025Q4|NFR-02-K2</v>
      </c>
      <c r="S10" s="76" t="s">
        <v>475</v>
      </c>
    </row>
    <row r="11" spans="1:19" ht="29.15" x14ac:dyDescent="0.4">
      <c r="A11" s="76" t="s">
        <v>854</v>
      </c>
      <c r="B11" s="76" t="s">
        <v>514</v>
      </c>
      <c r="C11" s="76" t="s">
        <v>478</v>
      </c>
      <c r="D11" s="77" t="s">
        <v>515</v>
      </c>
      <c r="E11" s="76" t="s">
        <v>1170</v>
      </c>
      <c r="F11" s="76" t="s">
        <v>1171</v>
      </c>
      <c r="G11" s="76">
        <v>2</v>
      </c>
      <c r="H11" s="76">
        <v>4</v>
      </c>
      <c r="I11" s="76">
        <v>2</v>
      </c>
      <c r="J11" s="78">
        <v>46022</v>
      </c>
      <c r="K11" s="76" t="s">
        <v>1171</v>
      </c>
      <c r="L11" s="77" t="s">
        <v>844</v>
      </c>
      <c r="M11" s="76" t="str">
        <f t="shared" si="0"/>
        <v>Ambra</v>
      </c>
      <c r="N11" s="76" t="s">
        <v>653</v>
      </c>
      <c r="O11" s="76" t="s">
        <v>854</v>
      </c>
      <c r="P11" s="76" t="s">
        <v>854</v>
      </c>
      <c r="Q11" s="77" t="s">
        <v>1167</v>
      </c>
      <c r="R11" s="76" t="str">
        <f t="shared" si="1"/>
        <v>2025Q4|NFR-02-K3</v>
      </c>
      <c r="S11" s="76" t="s">
        <v>475</v>
      </c>
    </row>
    <row r="12" spans="1:19" ht="29.15" x14ac:dyDescent="0.4">
      <c r="A12" s="76" t="s">
        <v>854</v>
      </c>
      <c r="B12" s="76" t="s">
        <v>516</v>
      </c>
      <c r="C12" s="76" t="s">
        <v>480</v>
      </c>
      <c r="D12" s="77" t="s">
        <v>517</v>
      </c>
      <c r="E12" s="76" t="s">
        <v>1172</v>
      </c>
      <c r="F12" s="76" t="s">
        <v>1173</v>
      </c>
      <c r="G12" s="76">
        <v>1.5</v>
      </c>
      <c r="H12" s="76">
        <v>3</v>
      </c>
      <c r="I12" s="76">
        <v>0.6</v>
      </c>
      <c r="J12" s="78">
        <v>46022</v>
      </c>
      <c r="K12" s="76" t="s">
        <v>1173</v>
      </c>
      <c r="L12" s="77" t="s">
        <v>844</v>
      </c>
      <c r="M12" s="76" t="str">
        <f t="shared" si="0"/>
        <v>Verde</v>
      </c>
      <c r="N12" s="76" t="s">
        <v>653</v>
      </c>
      <c r="O12" s="76" t="s">
        <v>854</v>
      </c>
      <c r="P12" s="76" t="s">
        <v>854</v>
      </c>
      <c r="Q12" s="77" t="s">
        <v>1174</v>
      </c>
      <c r="R12" s="76" t="str">
        <f t="shared" si="1"/>
        <v>2025Q4|NFR-03-K1</v>
      </c>
      <c r="S12" s="76" t="s">
        <v>475</v>
      </c>
    </row>
    <row r="13" spans="1:19" ht="29.15" x14ac:dyDescent="0.4">
      <c r="A13" s="76" t="s">
        <v>854</v>
      </c>
      <c r="B13" s="76" t="s">
        <v>518</v>
      </c>
      <c r="C13" s="76" t="s">
        <v>480</v>
      </c>
      <c r="D13" s="77" t="s">
        <v>519</v>
      </c>
      <c r="E13" s="76" t="s">
        <v>1162</v>
      </c>
      <c r="F13" s="76" t="s">
        <v>1175</v>
      </c>
      <c r="G13" s="76">
        <v>20</v>
      </c>
      <c r="H13" s="76">
        <v>40</v>
      </c>
      <c r="I13" s="76">
        <v>55</v>
      </c>
      <c r="J13" s="78">
        <v>46022</v>
      </c>
      <c r="K13" s="76" t="s">
        <v>1175</v>
      </c>
      <c r="L13" s="77" t="s">
        <v>844</v>
      </c>
      <c r="M13" s="76" t="str">
        <f t="shared" si="0"/>
        <v>Rosso</v>
      </c>
      <c r="N13" s="76" t="s">
        <v>653</v>
      </c>
      <c r="O13" s="76" t="s">
        <v>854</v>
      </c>
      <c r="P13" s="76" t="s">
        <v>854</v>
      </c>
      <c r="Q13" s="77" t="s">
        <v>1174</v>
      </c>
      <c r="R13" s="76" t="str">
        <f t="shared" si="1"/>
        <v>2025Q4|NFR-03-K2</v>
      </c>
      <c r="S13" s="76" t="s">
        <v>475</v>
      </c>
    </row>
    <row r="14" spans="1:19" ht="29.15" x14ac:dyDescent="0.4">
      <c r="A14" s="76" t="s">
        <v>854</v>
      </c>
      <c r="B14" s="76" t="s">
        <v>520</v>
      </c>
      <c r="C14" s="76" t="s">
        <v>480</v>
      </c>
      <c r="D14" s="77" t="s">
        <v>521</v>
      </c>
      <c r="E14" s="76" t="s">
        <v>1170</v>
      </c>
      <c r="F14" s="76" t="s">
        <v>1176</v>
      </c>
      <c r="G14" s="76">
        <v>1</v>
      </c>
      <c r="H14" s="76">
        <v>3</v>
      </c>
      <c r="I14" s="76">
        <v>2</v>
      </c>
      <c r="J14" s="78">
        <v>46022</v>
      </c>
      <c r="K14" s="76" t="s">
        <v>1176</v>
      </c>
      <c r="L14" s="77" t="s">
        <v>844</v>
      </c>
      <c r="M14" s="76" t="str">
        <f t="shared" si="0"/>
        <v>Ambra</v>
      </c>
      <c r="N14" s="76" t="s">
        <v>653</v>
      </c>
      <c r="O14" s="76" t="s">
        <v>854</v>
      </c>
      <c r="P14" s="76" t="s">
        <v>854</v>
      </c>
      <c r="Q14" s="77" t="s">
        <v>1174</v>
      </c>
      <c r="R14" s="76" t="str">
        <f t="shared" si="1"/>
        <v>2025Q4|NFR-03-K3</v>
      </c>
      <c r="S14" s="76" t="s">
        <v>475</v>
      </c>
    </row>
    <row r="15" spans="1:19" ht="29.15" x14ac:dyDescent="0.4">
      <c r="A15" s="76" t="s">
        <v>854</v>
      </c>
      <c r="B15" s="76" t="s">
        <v>522</v>
      </c>
      <c r="C15" s="76" t="s">
        <v>482</v>
      </c>
      <c r="D15" s="77" t="s">
        <v>523</v>
      </c>
      <c r="E15" s="76" t="s">
        <v>1170</v>
      </c>
      <c r="F15" s="76" t="s">
        <v>1177</v>
      </c>
      <c r="G15" s="76">
        <v>1</v>
      </c>
      <c r="H15" s="76">
        <v>3</v>
      </c>
      <c r="I15" s="76">
        <v>2</v>
      </c>
      <c r="J15" s="78">
        <v>46022</v>
      </c>
      <c r="K15" s="76" t="s">
        <v>1177</v>
      </c>
      <c r="L15" s="77" t="s">
        <v>844</v>
      </c>
      <c r="M15" s="76" t="str">
        <f t="shared" si="0"/>
        <v>Ambra</v>
      </c>
      <c r="N15" s="76" t="s">
        <v>653</v>
      </c>
      <c r="O15" s="76" t="s">
        <v>854</v>
      </c>
      <c r="P15" s="76" t="s">
        <v>854</v>
      </c>
      <c r="Q15" s="77" t="s">
        <v>1178</v>
      </c>
      <c r="R15" s="76" t="str">
        <f t="shared" si="1"/>
        <v>2025Q4|NFR-04-K1</v>
      </c>
      <c r="S15" s="76" t="s">
        <v>475</v>
      </c>
    </row>
    <row r="16" spans="1:19" ht="29.15" x14ac:dyDescent="0.4">
      <c r="A16" s="76" t="s">
        <v>854</v>
      </c>
      <c r="B16" s="76" t="s">
        <v>524</v>
      </c>
      <c r="C16" s="76" t="s">
        <v>482</v>
      </c>
      <c r="D16" s="77" t="s">
        <v>525</v>
      </c>
      <c r="E16" s="76" t="s">
        <v>1168</v>
      </c>
      <c r="F16" s="76" t="s">
        <v>1179</v>
      </c>
      <c r="G16" s="76">
        <v>2</v>
      </c>
      <c r="H16" s="76">
        <v>5</v>
      </c>
      <c r="I16" s="76">
        <v>0</v>
      </c>
      <c r="J16" s="78">
        <v>46022</v>
      </c>
      <c r="K16" s="76" t="s">
        <v>1179</v>
      </c>
      <c r="L16" s="77" t="s">
        <v>844</v>
      </c>
      <c r="M16" s="76" t="str">
        <f t="shared" si="0"/>
        <v>Verde</v>
      </c>
      <c r="N16" s="76" t="s">
        <v>653</v>
      </c>
      <c r="O16" s="76" t="s">
        <v>854</v>
      </c>
      <c r="P16" s="76" t="s">
        <v>854</v>
      </c>
      <c r="Q16" s="77" t="s">
        <v>1178</v>
      </c>
      <c r="R16" s="76" t="str">
        <f t="shared" si="1"/>
        <v>2025Q4|NFR-04-K2</v>
      </c>
      <c r="S16" s="76" t="s">
        <v>475</v>
      </c>
    </row>
    <row r="17" spans="1:19" ht="29.15" x14ac:dyDescent="0.4">
      <c r="A17" s="76" t="s">
        <v>854</v>
      </c>
      <c r="B17" s="76" t="s">
        <v>526</v>
      </c>
      <c r="C17" s="76" t="s">
        <v>482</v>
      </c>
      <c r="D17" s="77" t="s">
        <v>527</v>
      </c>
      <c r="E17" s="76" t="s">
        <v>1164</v>
      </c>
      <c r="F17" s="76" t="s">
        <v>1180</v>
      </c>
      <c r="G17" s="76">
        <v>1</v>
      </c>
      <c r="H17" s="76">
        <v>4</v>
      </c>
      <c r="I17" s="76">
        <v>1.5</v>
      </c>
      <c r="J17" s="78">
        <v>46022</v>
      </c>
      <c r="K17" s="76" t="s">
        <v>1180</v>
      </c>
      <c r="L17" s="77" t="s">
        <v>844</v>
      </c>
      <c r="M17" s="76" t="str">
        <f t="shared" si="0"/>
        <v>Ambra</v>
      </c>
      <c r="N17" s="76" t="s">
        <v>653</v>
      </c>
      <c r="O17" s="76" t="s">
        <v>854</v>
      </c>
      <c r="P17" s="76" t="s">
        <v>854</v>
      </c>
      <c r="Q17" s="77" t="s">
        <v>1178</v>
      </c>
      <c r="R17" s="76" t="str">
        <f t="shared" si="1"/>
        <v>2025Q4|NFR-04-K3</v>
      </c>
      <c r="S17" s="76" t="s">
        <v>475</v>
      </c>
    </row>
    <row r="18" spans="1:19" ht="29.15" x14ac:dyDescent="0.4">
      <c r="A18" s="76" t="s">
        <v>854</v>
      </c>
      <c r="B18" s="76" t="s">
        <v>528</v>
      </c>
      <c r="C18" s="76" t="s">
        <v>484</v>
      </c>
      <c r="D18" s="77" t="s">
        <v>529</v>
      </c>
      <c r="E18" s="76" t="s">
        <v>1170</v>
      </c>
      <c r="F18" s="76" t="s">
        <v>1181</v>
      </c>
      <c r="G18" s="76">
        <v>20</v>
      </c>
      <c r="H18" s="76">
        <v>50</v>
      </c>
      <c r="I18" s="76">
        <v>35</v>
      </c>
      <c r="J18" s="78">
        <v>46022</v>
      </c>
      <c r="K18" s="76" t="s">
        <v>1181</v>
      </c>
      <c r="L18" s="77" t="s">
        <v>844</v>
      </c>
      <c r="M18" s="76" t="str">
        <f t="shared" si="0"/>
        <v>Ambra</v>
      </c>
      <c r="N18" s="76" t="s">
        <v>653</v>
      </c>
      <c r="O18" s="76" t="s">
        <v>854</v>
      </c>
      <c r="P18" s="76" t="s">
        <v>854</v>
      </c>
      <c r="Q18" s="77" t="s">
        <v>1182</v>
      </c>
      <c r="R18" s="76" t="str">
        <f t="shared" si="1"/>
        <v>2025Q4|NFR-05-K1</v>
      </c>
      <c r="S18" s="76" t="s">
        <v>475</v>
      </c>
    </row>
    <row r="19" spans="1:19" ht="29.15" x14ac:dyDescent="0.4">
      <c r="A19" s="76" t="s">
        <v>854</v>
      </c>
      <c r="B19" s="76" t="s">
        <v>530</v>
      </c>
      <c r="C19" s="76" t="s">
        <v>484</v>
      </c>
      <c r="D19" s="77" t="s">
        <v>531</v>
      </c>
      <c r="E19" s="76" t="s">
        <v>1170</v>
      </c>
      <c r="F19" s="76" t="s">
        <v>1183</v>
      </c>
      <c r="G19" s="76">
        <v>3</v>
      </c>
      <c r="H19" s="76">
        <v>6</v>
      </c>
      <c r="I19" s="76">
        <v>4</v>
      </c>
      <c r="J19" s="78">
        <v>46022</v>
      </c>
      <c r="K19" s="76" t="s">
        <v>1183</v>
      </c>
      <c r="L19" s="77" t="s">
        <v>844</v>
      </c>
      <c r="M19" s="76" t="str">
        <f t="shared" si="0"/>
        <v>Ambra</v>
      </c>
      <c r="N19" s="76" t="s">
        <v>653</v>
      </c>
      <c r="O19" s="76" t="s">
        <v>854</v>
      </c>
      <c r="P19" s="76" t="s">
        <v>854</v>
      </c>
      <c r="Q19" s="77" t="s">
        <v>1182</v>
      </c>
      <c r="R19" s="76" t="str">
        <f t="shared" si="1"/>
        <v>2025Q4|NFR-05-K2</v>
      </c>
      <c r="S19" s="76" t="s">
        <v>475</v>
      </c>
    </row>
    <row r="20" spans="1:19" ht="29.15" x14ac:dyDescent="0.4">
      <c r="A20" s="76" t="s">
        <v>854</v>
      </c>
      <c r="B20" s="76" t="s">
        <v>532</v>
      </c>
      <c r="C20" s="76" t="s">
        <v>484</v>
      </c>
      <c r="D20" s="77" t="s">
        <v>533</v>
      </c>
      <c r="E20" s="76" t="s">
        <v>1162</v>
      </c>
      <c r="F20" s="76" t="s">
        <v>1184</v>
      </c>
      <c r="G20" s="76">
        <v>30</v>
      </c>
      <c r="H20" s="76">
        <v>60</v>
      </c>
      <c r="I20" s="76">
        <v>55</v>
      </c>
      <c r="J20" s="78">
        <v>46022</v>
      </c>
      <c r="K20" s="76" t="s">
        <v>1184</v>
      </c>
      <c r="L20" s="77" t="s">
        <v>844</v>
      </c>
      <c r="M20" s="76" t="str">
        <f t="shared" si="0"/>
        <v>Ambra</v>
      </c>
      <c r="N20" s="76" t="s">
        <v>653</v>
      </c>
      <c r="O20" s="76" t="s">
        <v>854</v>
      </c>
      <c r="P20" s="76" t="s">
        <v>854</v>
      </c>
      <c r="Q20" s="77" t="s">
        <v>1182</v>
      </c>
      <c r="R20" s="76" t="str">
        <f t="shared" si="1"/>
        <v>2025Q4|NFR-05-K3</v>
      </c>
      <c r="S20" s="76" t="s">
        <v>475</v>
      </c>
    </row>
    <row r="21" spans="1:19" ht="29.15" x14ac:dyDescent="0.4">
      <c r="A21" s="76" t="s">
        <v>854</v>
      </c>
      <c r="B21" s="76" t="s">
        <v>541</v>
      </c>
      <c r="C21" s="76" t="s">
        <v>488</v>
      </c>
      <c r="D21" s="77" t="s">
        <v>542</v>
      </c>
      <c r="E21" s="76" t="s">
        <v>1170</v>
      </c>
      <c r="F21" s="76" t="s">
        <v>1166</v>
      </c>
      <c r="G21" s="76">
        <v>1</v>
      </c>
      <c r="H21" s="76">
        <v>2</v>
      </c>
      <c r="I21" s="76">
        <v>2</v>
      </c>
      <c r="J21" s="78">
        <v>46022</v>
      </c>
      <c r="K21" s="76" t="s">
        <v>1166</v>
      </c>
      <c r="L21" s="77" t="s">
        <v>844</v>
      </c>
      <c r="M21" s="76" t="str">
        <f t="shared" si="0"/>
        <v>Rosso</v>
      </c>
      <c r="N21" s="76" t="s">
        <v>653</v>
      </c>
      <c r="O21" s="76" t="s">
        <v>854</v>
      </c>
      <c r="P21" s="76" t="s">
        <v>854</v>
      </c>
      <c r="Q21" s="77" t="s">
        <v>1185</v>
      </c>
      <c r="R21" s="76" t="str">
        <f t="shared" si="1"/>
        <v>2025Q4|NFR-07-K1</v>
      </c>
      <c r="S21" s="76" t="s">
        <v>475</v>
      </c>
    </row>
    <row r="22" spans="1:19" ht="29.15" x14ac:dyDescent="0.4">
      <c r="A22" s="76" t="s">
        <v>854</v>
      </c>
      <c r="B22" s="76" t="s">
        <v>543</v>
      </c>
      <c r="C22" s="76" t="s">
        <v>488</v>
      </c>
      <c r="D22" s="77" t="s">
        <v>544</v>
      </c>
      <c r="E22" s="76" t="s">
        <v>1164</v>
      </c>
      <c r="F22" s="76" t="s">
        <v>1171</v>
      </c>
      <c r="G22" s="76">
        <v>4</v>
      </c>
      <c r="H22" s="76">
        <v>12</v>
      </c>
      <c r="I22" s="76">
        <v>1.5</v>
      </c>
      <c r="J22" s="78">
        <v>46022</v>
      </c>
      <c r="K22" s="76" t="s">
        <v>1171</v>
      </c>
      <c r="L22" s="77" t="s">
        <v>844</v>
      </c>
      <c r="M22" s="76" t="str">
        <f t="shared" si="0"/>
        <v>Verde</v>
      </c>
      <c r="N22" s="76" t="s">
        <v>653</v>
      </c>
      <c r="O22" s="76" t="s">
        <v>854</v>
      </c>
      <c r="P22" s="76" t="s">
        <v>854</v>
      </c>
      <c r="Q22" s="77" t="s">
        <v>1185</v>
      </c>
      <c r="R22" s="76" t="str">
        <f t="shared" si="1"/>
        <v>2025Q4|NFR-07-K2</v>
      </c>
      <c r="S22" s="76" t="s">
        <v>475</v>
      </c>
    </row>
    <row r="23" spans="1:19" ht="29.15" x14ac:dyDescent="0.4">
      <c r="A23" s="76" t="s">
        <v>854</v>
      </c>
      <c r="B23" s="76" t="s">
        <v>545</v>
      </c>
      <c r="C23" s="76" t="s">
        <v>488</v>
      </c>
      <c r="D23" s="77" t="s">
        <v>546</v>
      </c>
      <c r="E23" s="76" t="s">
        <v>1170</v>
      </c>
      <c r="F23" s="76" t="s">
        <v>1186</v>
      </c>
      <c r="G23" s="76">
        <v>2</v>
      </c>
      <c r="H23" s="76">
        <v>5</v>
      </c>
      <c r="I23" s="76">
        <v>3</v>
      </c>
      <c r="J23" s="78">
        <v>46022</v>
      </c>
      <c r="K23" s="76" t="s">
        <v>1186</v>
      </c>
      <c r="L23" s="77" t="s">
        <v>844</v>
      </c>
      <c r="M23" s="76" t="str">
        <f t="shared" si="0"/>
        <v>Ambra</v>
      </c>
      <c r="N23" s="76" t="s">
        <v>653</v>
      </c>
      <c r="O23" s="76" t="s">
        <v>854</v>
      </c>
      <c r="P23" s="76" t="s">
        <v>854</v>
      </c>
      <c r="Q23" s="77" t="s">
        <v>1185</v>
      </c>
      <c r="R23" s="76" t="str">
        <f t="shared" si="1"/>
        <v>2025Q4|NFR-07-K3</v>
      </c>
      <c r="S23" s="76" t="s">
        <v>475</v>
      </c>
    </row>
    <row r="24" spans="1:19" ht="29.15" x14ac:dyDescent="0.4">
      <c r="A24" s="76" t="s">
        <v>854</v>
      </c>
      <c r="B24" s="76" t="s">
        <v>547</v>
      </c>
      <c r="C24" s="76" t="s">
        <v>490</v>
      </c>
      <c r="D24" s="77" t="s">
        <v>548</v>
      </c>
      <c r="E24" s="76" t="s">
        <v>1187</v>
      </c>
      <c r="F24" s="76" t="s">
        <v>1188</v>
      </c>
      <c r="G24" s="76">
        <v>20</v>
      </c>
      <c r="H24" s="76">
        <v>50</v>
      </c>
      <c r="I24" s="76">
        <v>35</v>
      </c>
      <c r="J24" s="78">
        <v>46022</v>
      </c>
      <c r="K24" s="76" t="s">
        <v>1188</v>
      </c>
      <c r="L24" s="77" t="s">
        <v>844</v>
      </c>
      <c r="M24" s="76" t="str">
        <f t="shared" si="0"/>
        <v>Ambra</v>
      </c>
      <c r="N24" s="76" t="s">
        <v>653</v>
      </c>
      <c r="O24" s="76" t="s">
        <v>854</v>
      </c>
      <c r="P24" s="76" t="s">
        <v>854</v>
      </c>
      <c r="Q24" s="77" t="s">
        <v>1189</v>
      </c>
      <c r="R24" s="76" t="str">
        <f t="shared" si="1"/>
        <v>2025Q4|NFR-08-K1</v>
      </c>
      <c r="S24" s="76" t="s">
        <v>475</v>
      </c>
    </row>
    <row r="25" spans="1:19" ht="29.15" x14ac:dyDescent="0.4">
      <c r="A25" s="76" t="s">
        <v>854</v>
      </c>
      <c r="B25" s="76" t="s">
        <v>549</v>
      </c>
      <c r="C25" s="76" t="s">
        <v>490</v>
      </c>
      <c r="D25" s="77" t="s">
        <v>550</v>
      </c>
      <c r="E25" s="76" t="s">
        <v>1162</v>
      </c>
      <c r="F25" s="76" t="s">
        <v>1190</v>
      </c>
      <c r="G25" s="76">
        <v>5</v>
      </c>
      <c r="H25" s="76">
        <v>15</v>
      </c>
      <c r="I25" s="76">
        <v>12</v>
      </c>
      <c r="J25" s="78">
        <v>46022</v>
      </c>
      <c r="K25" s="76" t="s">
        <v>1190</v>
      </c>
      <c r="L25" s="77" t="s">
        <v>844</v>
      </c>
      <c r="M25" s="76" t="str">
        <f t="shared" si="0"/>
        <v>Ambra</v>
      </c>
      <c r="N25" s="76" t="s">
        <v>653</v>
      </c>
      <c r="O25" s="76" t="s">
        <v>854</v>
      </c>
      <c r="P25" s="76" t="s">
        <v>854</v>
      </c>
      <c r="Q25" s="77" t="s">
        <v>1189</v>
      </c>
      <c r="R25" s="76" t="str">
        <f t="shared" si="1"/>
        <v>2025Q4|NFR-08-K2</v>
      </c>
      <c r="S25" s="76" t="s">
        <v>475</v>
      </c>
    </row>
    <row r="26" spans="1:19" ht="29.15" x14ac:dyDescent="0.4">
      <c r="A26" s="76" t="s">
        <v>854</v>
      </c>
      <c r="B26" s="76" t="s">
        <v>551</v>
      </c>
      <c r="C26" s="76" t="s">
        <v>490</v>
      </c>
      <c r="D26" s="77" t="s">
        <v>552</v>
      </c>
      <c r="E26" s="76" t="s">
        <v>1170</v>
      </c>
      <c r="F26" s="76" t="s">
        <v>1191</v>
      </c>
      <c r="G26" s="76">
        <v>1</v>
      </c>
      <c r="H26" s="76">
        <v>3</v>
      </c>
      <c r="I26" s="76">
        <v>0</v>
      </c>
      <c r="J26" s="78">
        <v>46022</v>
      </c>
      <c r="K26" s="76" t="s">
        <v>1191</v>
      </c>
      <c r="L26" s="77" t="s">
        <v>844</v>
      </c>
      <c r="M26" s="76" t="str">
        <f t="shared" si="0"/>
        <v>Verde</v>
      </c>
      <c r="N26" s="76" t="s">
        <v>653</v>
      </c>
      <c r="O26" s="76" t="s">
        <v>854</v>
      </c>
      <c r="P26" s="76" t="s">
        <v>854</v>
      </c>
      <c r="Q26" s="77" t="s">
        <v>1189</v>
      </c>
      <c r="R26" s="76" t="str">
        <f t="shared" si="1"/>
        <v>2025Q4|NFR-08-K3</v>
      </c>
      <c r="S26" s="76" t="s">
        <v>475</v>
      </c>
    </row>
    <row r="27" spans="1:19" ht="29.15" x14ac:dyDescent="0.4">
      <c r="A27" s="76" t="s">
        <v>854</v>
      </c>
      <c r="B27" s="76" t="s">
        <v>565</v>
      </c>
      <c r="C27" s="76" t="s">
        <v>498</v>
      </c>
      <c r="D27" s="77" t="s">
        <v>566</v>
      </c>
      <c r="E27" s="76" t="s">
        <v>1170</v>
      </c>
      <c r="F27" s="76" t="s">
        <v>1192</v>
      </c>
      <c r="G27" s="76">
        <v>3</v>
      </c>
      <c r="H27" s="76">
        <v>8</v>
      </c>
      <c r="I27" s="76">
        <v>9</v>
      </c>
      <c r="J27" s="78">
        <v>46022</v>
      </c>
      <c r="K27" s="76" t="s">
        <v>1192</v>
      </c>
      <c r="L27" s="77" t="s">
        <v>844</v>
      </c>
      <c r="M27" s="76" t="str">
        <f t="shared" si="0"/>
        <v>Rosso</v>
      </c>
      <c r="N27" s="76" t="s">
        <v>653</v>
      </c>
      <c r="O27" s="76" t="s">
        <v>854</v>
      </c>
      <c r="P27" s="76" t="s">
        <v>854</v>
      </c>
      <c r="Q27" s="77" t="s">
        <v>1193</v>
      </c>
      <c r="R27" s="76" t="str">
        <f t="shared" si="1"/>
        <v>2025Q4|NFR-11-K1</v>
      </c>
      <c r="S27" s="76" t="s">
        <v>475</v>
      </c>
    </row>
    <row r="28" spans="1:19" ht="29.15" x14ac:dyDescent="0.4">
      <c r="A28" s="76" t="s">
        <v>854</v>
      </c>
      <c r="B28" s="76" t="s">
        <v>567</v>
      </c>
      <c r="C28" s="76" t="s">
        <v>498</v>
      </c>
      <c r="D28" s="77" t="s">
        <v>568</v>
      </c>
      <c r="E28" s="76" t="s">
        <v>1170</v>
      </c>
      <c r="F28" s="76" t="s">
        <v>1194</v>
      </c>
      <c r="G28" s="76">
        <v>2</v>
      </c>
      <c r="H28" s="76">
        <v>6</v>
      </c>
      <c r="I28" s="76">
        <v>4</v>
      </c>
      <c r="J28" s="78">
        <v>46022</v>
      </c>
      <c r="K28" s="76" t="s">
        <v>1194</v>
      </c>
      <c r="L28" s="77" t="s">
        <v>844</v>
      </c>
      <c r="M28" s="76" t="str">
        <f t="shared" si="0"/>
        <v>Ambra</v>
      </c>
      <c r="N28" s="76" t="s">
        <v>653</v>
      </c>
      <c r="O28" s="76" t="s">
        <v>854</v>
      </c>
      <c r="P28" s="76" t="s">
        <v>854</v>
      </c>
      <c r="Q28" s="77" t="s">
        <v>1193</v>
      </c>
      <c r="R28" s="76" t="str">
        <f t="shared" si="1"/>
        <v>2025Q4|NFR-11-K2</v>
      </c>
      <c r="S28" s="76" t="s">
        <v>475</v>
      </c>
    </row>
    <row r="29" spans="1:19" ht="29.15" x14ac:dyDescent="0.4">
      <c r="A29" s="76" t="s">
        <v>854</v>
      </c>
      <c r="B29" s="76" t="s">
        <v>569</v>
      </c>
      <c r="C29" s="76" t="s">
        <v>498</v>
      </c>
      <c r="D29" s="77" t="s">
        <v>570</v>
      </c>
      <c r="E29" s="76" t="s">
        <v>1170</v>
      </c>
      <c r="F29" s="76" t="s">
        <v>1195</v>
      </c>
      <c r="G29" s="76">
        <v>1</v>
      </c>
      <c r="H29" s="76">
        <v>3</v>
      </c>
      <c r="I29" s="76">
        <v>3</v>
      </c>
      <c r="J29" s="78">
        <v>46022</v>
      </c>
      <c r="K29" s="76" t="s">
        <v>1195</v>
      </c>
      <c r="L29" s="77" t="s">
        <v>844</v>
      </c>
      <c r="M29" s="76" t="str">
        <f t="shared" si="0"/>
        <v>Rosso</v>
      </c>
      <c r="N29" s="76" t="s">
        <v>653</v>
      </c>
      <c r="O29" s="76" t="s">
        <v>854</v>
      </c>
      <c r="P29" s="76" t="s">
        <v>854</v>
      </c>
      <c r="Q29" s="77" t="s">
        <v>1193</v>
      </c>
      <c r="R29" s="76" t="str">
        <f t="shared" si="1"/>
        <v>2025Q4|NFR-11-K3</v>
      </c>
      <c r="S29" s="76" t="s">
        <v>475</v>
      </c>
    </row>
    <row r="30" spans="1:19" ht="29.15" x14ac:dyDescent="0.4">
      <c r="A30" s="76" t="s">
        <v>854</v>
      </c>
      <c r="B30" s="76" t="s">
        <v>571</v>
      </c>
      <c r="C30" s="76" t="s">
        <v>500</v>
      </c>
      <c r="D30" s="77" t="s">
        <v>572</v>
      </c>
      <c r="E30" s="76" t="s">
        <v>1170</v>
      </c>
      <c r="F30" s="76" t="s">
        <v>1196</v>
      </c>
      <c r="G30" s="76">
        <v>10</v>
      </c>
      <c r="H30" s="76">
        <v>30</v>
      </c>
      <c r="I30" s="76">
        <v>4</v>
      </c>
      <c r="J30" s="78">
        <v>46022</v>
      </c>
      <c r="K30" s="76" t="s">
        <v>1196</v>
      </c>
      <c r="L30" s="77" t="s">
        <v>844</v>
      </c>
      <c r="M30" s="76" t="str">
        <f t="shared" si="0"/>
        <v>Verde</v>
      </c>
      <c r="N30" s="76" t="s">
        <v>653</v>
      </c>
      <c r="O30" s="76" t="s">
        <v>854</v>
      </c>
      <c r="P30" s="76" t="s">
        <v>854</v>
      </c>
      <c r="Q30" s="77" t="s">
        <v>1197</v>
      </c>
      <c r="R30" s="76" t="str">
        <f t="shared" si="1"/>
        <v>2025Q4|NFR-12-K1</v>
      </c>
      <c r="S30" s="76" t="s">
        <v>475</v>
      </c>
    </row>
    <row r="31" spans="1:19" ht="29.15" x14ac:dyDescent="0.4">
      <c r="A31" s="76" t="s">
        <v>854</v>
      </c>
      <c r="B31" s="76" t="s">
        <v>573</v>
      </c>
      <c r="C31" s="76" t="s">
        <v>500</v>
      </c>
      <c r="D31" s="77" t="s">
        <v>574</v>
      </c>
      <c r="E31" s="76" t="s">
        <v>1170</v>
      </c>
      <c r="F31" s="76" t="s">
        <v>1198</v>
      </c>
      <c r="G31" s="76">
        <v>3</v>
      </c>
      <c r="H31" s="76">
        <v>10</v>
      </c>
      <c r="I31" s="76">
        <v>1</v>
      </c>
      <c r="J31" s="78">
        <v>46022</v>
      </c>
      <c r="K31" s="76" t="s">
        <v>1198</v>
      </c>
      <c r="L31" s="77" t="s">
        <v>844</v>
      </c>
      <c r="M31" s="76" t="str">
        <f t="shared" si="0"/>
        <v>Verde</v>
      </c>
      <c r="N31" s="76" t="s">
        <v>653</v>
      </c>
      <c r="O31" s="76" t="s">
        <v>854</v>
      </c>
      <c r="P31" s="76" t="s">
        <v>854</v>
      </c>
      <c r="Q31" s="77" t="s">
        <v>1197</v>
      </c>
      <c r="R31" s="76" t="str">
        <f t="shared" si="1"/>
        <v>2025Q4|NFR-12-K2</v>
      </c>
      <c r="S31" s="76" t="s">
        <v>475</v>
      </c>
    </row>
    <row r="32" spans="1:19" ht="29.15" x14ac:dyDescent="0.4">
      <c r="A32" s="76" t="s">
        <v>854</v>
      </c>
      <c r="B32" s="76" t="s">
        <v>575</v>
      </c>
      <c r="C32" s="76" t="s">
        <v>500</v>
      </c>
      <c r="D32" s="77" t="s">
        <v>576</v>
      </c>
      <c r="E32" s="76" t="s">
        <v>1164</v>
      </c>
      <c r="F32" s="76" t="s">
        <v>1199</v>
      </c>
      <c r="G32" s="76">
        <v>4</v>
      </c>
      <c r="H32" s="76">
        <v>12</v>
      </c>
      <c r="I32" s="76">
        <v>3</v>
      </c>
      <c r="J32" s="78">
        <v>46022</v>
      </c>
      <c r="K32" s="76" t="s">
        <v>1199</v>
      </c>
      <c r="L32" s="77" t="s">
        <v>844</v>
      </c>
      <c r="M32" s="76" t="str">
        <f t="shared" si="0"/>
        <v>Verde</v>
      </c>
      <c r="N32" s="76" t="s">
        <v>653</v>
      </c>
      <c r="O32" s="76" t="s">
        <v>854</v>
      </c>
      <c r="P32" s="76" t="s">
        <v>854</v>
      </c>
      <c r="Q32" s="77" t="s">
        <v>1197</v>
      </c>
      <c r="R32" s="76" t="str">
        <f t="shared" si="1"/>
        <v>2025Q4|NFR-12-K3</v>
      </c>
      <c r="S32" s="76" t="s">
        <v>475</v>
      </c>
    </row>
    <row r="33" spans="1:19" ht="29.15" x14ac:dyDescent="0.4">
      <c r="A33" s="76" t="s">
        <v>1087</v>
      </c>
      <c r="B33" s="76" t="s">
        <v>394</v>
      </c>
      <c r="C33" s="76" t="s">
        <v>473</v>
      </c>
      <c r="D33" s="77" t="s">
        <v>502</v>
      </c>
      <c r="E33" s="76" t="s">
        <v>828</v>
      </c>
      <c r="F33" s="76" t="s">
        <v>831</v>
      </c>
      <c r="G33" s="76">
        <v>3</v>
      </c>
      <c r="H33" s="76">
        <v>6</v>
      </c>
      <c r="I33" s="76">
        <v>3.4</v>
      </c>
      <c r="J33" s="78">
        <v>46112</v>
      </c>
      <c r="K33" s="76" t="s">
        <v>831</v>
      </c>
      <c r="L33" s="77" t="s">
        <v>844</v>
      </c>
      <c r="M33" s="76" t="str">
        <f t="shared" si="0"/>
        <v>Ambra</v>
      </c>
      <c r="N33" s="76" t="s">
        <v>653</v>
      </c>
      <c r="O33" s="76" t="s">
        <v>854</v>
      </c>
      <c r="P33" s="76" t="s">
        <v>854</v>
      </c>
      <c r="Q33" s="77" t="s">
        <v>1161</v>
      </c>
      <c r="R33" s="76" t="str">
        <f t="shared" si="1"/>
        <v>2026Q1|NFR-01-K1</v>
      </c>
      <c r="S33" s="76" t="s">
        <v>475</v>
      </c>
    </row>
    <row r="34" spans="1:19" ht="29.15" x14ac:dyDescent="0.4">
      <c r="A34" s="76" t="s">
        <v>1087</v>
      </c>
      <c r="B34" s="76" t="s">
        <v>506</v>
      </c>
      <c r="C34" s="76" t="s">
        <v>473</v>
      </c>
      <c r="D34" s="77" t="s">
        <v>507</v>
      </c>
      <c r="E34" s="76" t="s">
        <v>1162</v>
      </c>
      <c r="F34" s="76" t="s">
        <v>1163</v>
      </c>
      <c r="G34" s="76">
        <v>10</v>
      </c>
      <c r="H34" s="76">
        <v>25</v>
      </c>
      <c r="I34" s="76">
        <v>8</v>
      </c>
      <c r="J34" s="78">
        <v>46112</v>
      </c>
      <c r="K34" s="76" t="s">
        <v>1163</v>
      </c>
      <c r="L34" s="77" t="s">
        <v>844</v>
      </c>
      <c r="M34" s="76" t="str">
        <f t="shared" si="0"/>
        <v>Verde</v>
      </c>
      <c r="N34" s="76" t="s">
        <v>653</v>
      </c>
      <c r="O34" s="76" t="s">
        <v>854</v>
      </c>
      <c r="P34" s="76" t="s">
        <v>854</v>
      </c>
      <c r="Q34" s="77" t="s">
        <v>1161</v>
      </c>
      <c r="R34" s="76" t="str">
        <f t="shared" si="1"/>
        <v>2026Q1|NFR-01-K2</v>
      </c>
      <c r="S34" s="76" t="s">
        <v>475</v>
      </c>
    </row>
    <row r="35" spans="1:19" ht="29.15" x14ac:dyDescent="0.4">
      <c r="A35" s="76" t="s">
        <v>1087</v>
      </c>
      <c r="B35" s="76" t="s">
        <v>508</v>
      </c>
      <c r="C35" s="76" t="s">
        <v>473</v>
      </c>
      <c r="D35" s="77" t="s">
        <v>509</v>
      </c>
      <c r="E35" s="76" t="s">
        <v>1164</v>
      </c>
      <c r="F35" s="76" t="s">
        <v>1165</v>
      </c>
      <c r="G35" s="76">
        <v>4</v>
      </c>
      <c r="H35" s="76">
        <v>12</v>
      </c>
      <c r="I35" s="76">
        <v>3.5</v>
      </c>
      <c r="J35" s="78">
        <v>46112</v>
      </c>
      <c r="K35" s="76" t="s">
        <v>1165</v>
      </c>
      <c r="L35" s="77" t="s">
        <v>844</v>
      </c>
      <c r="M35" s="76" t="str">
        <f t="shared" si="0"/>
        <v>Verde</v>
      </c>
      <c r="N35" s="76" t="s">
        <v>653</v>
      </c>
      <c r="O35" s="76" t="s">
        <v>854</v>
      </c>
      <c r="P35" s="76" t="s">
        <v>854</v>
      </c>
      <c r="Q35" s="77" t="s">
        <v>1161</v>
      </c>
      <c r="R35" s="76" t="str">
        <f t="shared" si="1"/>
        <v>2026Q1|NFR-01-K3</v>
      </c>
      <c r="S35" s="76" t="s">
        <v>475</v>
      </c>
    </row>
    <row r="36" spans="1:19" ht="29.15" x14ac:dyDescent="0.4">
      <c r="A36" s="76" t="s">
        <v>1087</v>
      </c>
      <c r="B36" s="76" t="s">
        <v>510</v>
      </c>
      <c r="C36" s="76" t="s">
        <v>478</v>
      </c>
      <c r="D36" s="77" t="s">
        <v>511</v>
      </c>
      <c r="E36" s="76" t="s">
        <v>1162</v>
      </c>
      <c r="F36" s="76" t="s">
        <v>1166</v>
      </c>
      <c r="G36" s="76">
        <v>60</v>
      </c>
      <c r="H36" s="76">
        <v>75</v>
      </c>
      <c r="I36" s="76">
        <v>76</v>
      </c>
      <c r="J36" s="78">
        <v>46112</v>
      </c>
      <c r="K36" s="76" t="s">
        <v>1166</v>
      </c>
      <c r="L36" s="77" t="s">
        <v>844</v>
      </c>
      <c r="M36" s="76" t="str">
        <f t="shared" si="0"/>
        <v>Rosso</v>
      </c>
      <c r="N36" s="76" t="s">
        <v>653</v>
      </c>
      <c r="O36" s="76" t="s">
        <v>854</v>
      </c>
      <c r="P36" s="76" t="s">
        <v>854</v>
      </c>
      <c r="Q36" s="77" t="s">
        <v>1167</v>
      </c>
      <c r="R36" s="76" t="str">
        <f t="shared" si="1"/>
        <v>2026Q1|NFR-02-K1</v>
      </c>
      <c r="S36" s="76" t="s">
        <v>475</v>
      </c>
    </row>
    <row r="37" spans="1:19" ht="29.15" x14ac:dyDescent="0.4">
      <c r="A37" s="76" t="s">
        <v>1087</v>
      </c>
      <c r="B37" s="76" t="s">
        <v>512</v>
      </c>
      <c r="C37" s="76" t="s">
        <v>478</v>
      </c>
      <c r="D37" s="77" t="s">
        <v>513</v>
      </c>
      <c r="E37" s="76" t="s">
        <v>1168</v>
      </c>
      <c r="F37" s="76" t="s">
        <v>1169</v>
      </c>
      <c r="G37" s="76">
        <v>365</v>
      </c>
      <c r="H37" s="76">
        <v>540</v>
      </c>
      <c r="I37" s="76">
        <v>410</v>
      </c>
      <c r="J37" s="78">
        <v>46112</v>
      </c>
      <c r="K37" s="76" t="s">
        <v>1169</v>
      </c>
      <c r="L37" s="77" t="s">
        <v>844</v>
      </c>
      <c r="M37" s="76" t="str">
        <f t="shared" si="0"/>
        <v>Ambra</v>
      </c>
      <c r="N37" s="76" t="s">
        <v>653</v>
      </c>
      <c r="O37" s="76" t="s">
        <v>854</v>
      </c>
      <c r="P37" s="76" t="s">
        <v>854</v>
      </c>
      <c r="Q37" s="77" t="s">
        <v>1167</v>
      </c>
      <c r="R37" s="76" t="str">
        <f t="shared" si="1"/>
        <v>2026Q1|NFR-02-K2</v>
      </c>
      <c r="S37" s="76" t="s">
        <v>475</v>
      </c>
    </row>
    <row r="38" spans="1:19" ht="29.15" x14ac:dyDescent="0.4">
      <c r="A38" s="76" t="s">
        <v>1087</v>
      </c>
      <c r="B38" s="76" t="s">
        <v>514</v>
      </c>
      <c r="C38" s="76" t="s">
        <v>478</v>
      </c>
      <c r="D38" s="77" t="s">
        <v>515</v>
      </c>
      <c r="E38" s="76" t="s">
        <v>1170</v>
      </c>
      <c r="F38" s="76" t="s">
        <v>1171</v>
      </c>
      <c r="G38" s="76">
        <v>2</v>
      </c>
      <c r="H38" s="76">
        <v>4</v>
      </c>
      <c r="I38" s="76">
        <v>0</v>
      </c>
      <c r="J38" s="78">
        <v>46112</v>
      </c>
      <c r="K38" s="76" t="s">
        <v>1171</v>
      </c>
      <c r="L38" s="77" t="s">
        <v>844</v>
      </c>
      <c r="M38" s="76" t="str">
        <f t="shared" ref="M38:M69" si="2">IF(H38&lt;G38,"SOGLIE INVERTITE — correggere",IF(I38="","Non rilevato",IF(I38&gt;=H38,"Rosso",IF(I38&gt;=G38,"Ambra","Verde"))))</f>
        <v>Verde</v>
      </c>
      <c r="N38" s="76" t="s">
        <v>653</v>
      </c>
      <c r="O38" s="76" t="s">
        <v>854</v>
      </c>
      <c r="P38" s="76" t="s">
        <v>854</v>
      </c>
      <c r="Q38" s="77" t="s">
        <v>1167</v>
      </c>
      <c r="R38" s="76" t="str">
        <f t="shared" ref="R38:R69" si="3">A38&amp;"|"&amp;B38</f>
        <v>2026Q1|NFR-02-K3</v>
      </c>
      <c r="S38" s="76" t="s">
        <v>475</v>
      </c>
    </row>
    <row r="39" spans="1:19" ht="29.15" x14ac:dyDescent="0.4">
      <c r="A39" s="76" t="s">
        <v>1087</v>
      </c>
      <c r="B39" s="76" t="s">
        <v>516</v>
      </c>
      <c r="C39" s="76" t="s">
        <v>480</v>
      </c>
      <c r="D39" s="77" t="s">
        <v>517</v>
      </c>
      <c r="E39" s="76" t="s">
        <v>1172</v>
      </c>
      <c r="F39" s="76" t="s">
        <v>1173</v>
      </c>
      <c r="G39" s="76">
        <v>1.5</v>
      </c>
      <c r="H39" s="76">
        <v>3</v>
      </c>
      <c r="I39" s="76">
        <v>0.7</v>
      </c>
      <c r="J39" s="78">
        <v>46112</v>
      </c>
      <c r="K39" s="76" t="s">
        <v>1173</v>
      </c>
      <c r="L39" s="77" t="s">
        <v>844</v>
      </c>
      <c r="M39" s="76" t="str">
        <f t="shared" si="2"/>
        <v>Verde</v>
      </c>
      <c r="N39" s="76" t="s">
        <v>653</v>
      </c>
      <c r="O39" s="76" t="s">
        <v>854</v>
      </c>
      <c r="P39" s="76" t="s">
        <v>854</v>
      </c>
      <c r="Q39" s="77" t="s">
        <v>1174</v>
      </c>
      <c r="R39" s="76" t="str">
        <f t="shared" si="3"/>
        <v>2026Q1|NFR-03-K1</v>
      </c>
      <c r="S39" s="76" t="s">
        <v>475</v>
      </c>
    </row>
    <row r="40" spans="1:19" ht="29.15" x14ac:dyDescent="0.4">
      <c r="A40" s="76" t="s">
        <v>1087</v>
      </c>
      <c r="B40" s="76" t="s">
        <v>518</v>
      </c>
      <c r="C40" s="76" t="s">
        <v>480</v>
      </c>
      <c r="D40" s="77" t="s">
        <v>519</v>
      </c>
      <c r="E40" s="76" t="s">
        <v>1162</v>
      </c>
      <c r="F40" s="76" t="s">
        <v>1175</v>
      </c>
      <c r="G40" s="76">
        <v>20</v>
      </c>
      <c r="H40" s="76">
        <v>40</v>
      </c>
      <c r="I40" s="76"/>
      <c r="J40" s="78"/>
      <c r="K40" s="76"/>
      <c r="L40" s="77" t="s">
        <v>1200</v>
      </c>
      <c r="M40" s="76" t="str">
        <f t="shared" si="2"/>
        <v>Non rilevato</v>
      </c>
      <c r="N40" s="76" t="s">
        <v>653</v>
      </c>
      <c r="O40" s="76" t="s">
        <v>854</v>
      </c>
      <c r="P40" s="76" t="s">
        <v>854</v>
      </c>
      <c r="Q40" s="77" t="s">
        <v>1174</v>
      </c>
      <c r="R40" s="76" t="str">
        <f t="shared" si="3"/>
        <v>2026Q1|NFR-03-K2</v>
      </c>
      <c r="S40" s="76" t="s">
        <v>475</v>
      </c>
    </row>
    <row r="41" spans="1:19" ht="29.15" x14ac:dyDescent="0.4">
      <c r="A41" s="76" t="s">
        <v>1087</v>
      </c>
      <c r="B41" s="76" t="s">
        <v>520</v>
      </c>
      <c r="C41" s="76" t="s">
        <v>480</v>
      </c>
      <c r="D41" s="77" t="s">
        <v>521</v>
      </c>
      <c r="E41" s="76" t="s">
        <v>1170</v>
      </c>
      <c r="F41" s="76" t="s">
        <v>1176</v>
      </c>
      <c r="G41" s="76">
        <v>1</v>
      </c>
      <c r="H41" s="76">
        <v>3</v>
      </c>
      <c r="I41" s="76">
        <v>1</v>
      </c>
      <c r="J41" s="78">
        <v>46112</v>
      </c>
      <c r="K41" s="76" t="s">
        <v>1176</v>
      </c>
      <c r="L41" s="77" t="s">
        <v>844</v>
      </c>
      <c r="M41" s="76" t="str">
        <f t="shared" si="2"/>
        <v>Ambra</v>
      </c>
      <c r="N41" s="76" t="s">
        <v>653</v>
      </c>
      <c r="O41" s="76" t="s">
        <v>854</v>
      </c>
      <c r="P41" s="76" t="s">
        <v>854</v>
      </c>
      <c r="Q41" s="77" t="s">
        <v>1174</v>
      </c>
      <c r="R41" s="76" t="str">
        <f t="shared" si="3"/>
        <v>2026Q1|NFR-03-K3</v>
      </c>
      <c r="S41" s="76" t="s">
        <v>475</v>
      </c>
    </row>
    <row r="42" spans="1:19" ht="29.15" x14ac:dyDescent="0.4">
      <c r="A42" s="76" t="s">
        <v>1087</v>
      </c>
      <c r="B42" s="76" t="s">
        <v>522</v>
      </c>
      <c r="C42" s="76" t="s">
        <v>482</v>
      </c>
      <c r="D42" s="77" t="s">
        <v>523</v>
      </c>
      <c r="E42" s="76" t="s">
        <v>1170</v>
      </c>
      <c r="F42" s="76" t="s">
        <v>1177</v>
      </c>
      <c r="G42" s="76">
        <v>1</v>
      </c>
      <c r="H42" s="76">
        <v>3</v>
      </c>
      <c r="I42" s="76">
        <v>2</v>
      </c>
      <c r="J42" s="78">
        <v>46112</v>
      </c>
      <c r="K42" s="76" t="s">
        <v>1177</v>
      </c>
      <c r="L42" s="77" t="s">
        <v>844</v>
      </c>
      <c r="M42" s="76" t="str">
        <f t="shared" si="2"/>
        <v>Ambra</v>
      </c>
      <c r="N42" s="76" t="s">
        <v>653</v>
      </c>
      <c r="O42" s="76" t="s">
        <v>854</v>
      </c>
      <c r="P42" s="76" t="s">
        <v>854</v>
      </c>
      <c r="Q42" s="77" t="s">
        <v>1178</v>
      </c>
      <c r="R42" s="76" t="str">
        <f t="shared" si="3"/>
        <v>2026Q1|NFR-04-K1</v>
      </c>
      <c r="S42" s="76" t="s">
        <v>475</v>
      </c>
    </row>
    <row r="43" spans="1:19" ht="29.15" x14ac:dyDescent="0.4">
      <c r="A43" s="76" t="s">
        <v>1087</v>
      </c>
      <c r="B43" s="76" t="s">
        <v>524</v>
      </c>
      <c r="C43" s="76" t="s">
        <v>482</v>
      </c>
      <c r="D43" s="77" t="s">
        <v>525</v>
      </c>
      <c r="E43" s="76" t="s">
        <v>1168</v>
      </c>
      <c r="F43" s="76" t="s">
        <v>1179</v>
      </c>
      <c r="G43" s="76">
        <v>2</v>
      </c>
      <c r="H43" s="76">
        <v>5</v>
      </c>
      <c r="I43" s="76">
        <v>1</v>
      </c>
      <c r="J43" s="78">
        <v>46112</v>
      </c>
      <c r="K43" s="76" t="s">
        <v>1179</v>
      </c>
      <c r="L43" s="77" t="s">
        <v>844</v>
      </c>
      <c r="M43" s="76" t="str">
        <f t="shared" si="2"/>
        <v>Verde</v>
      </c>
      <c r="N43" s="76" t="s">
        <v>653</v>
      </c>
      <c r="O43" s="76" t="s">
        <v>854</v>
      </c>
      <c r="P43" s="76" t="s">
        <v>854</v>
      </c>
      <c r="Q43" s="77" t="s">
        <v>1178</v>
      </c>
      <c r="R43" s="76" t="str">
        <f t="shared" si="3"/>
        <v>2026Q1|NFR-04-K2</v>
      </c>
      <c r="S43" s="76" t="s">
        <v>475</v>
      </c>
    </row>
    <row r="44" spans="1:19" ht="29.15" x14ac:dyDescent="0.4">
      <c r="A44" s="76" t="s">
        <v>1087</v>
      </c>
      <c r="B44" s="76" t="s">
        <v>526</v>
      </c>
      <c r="C44" s="76" t="s">
        <v>482</v>
      </c>
      <c r="D44" s="77" t="s">
        <v>527</v>
      </c>
      <c r="E44" s="76" t="s">
        <v>1164</v>
      </c>
      <c r="F44" s="76" t="s">
        <v>1180</v>
      </c>
      <c r="G44" s="76">
        <v>1</v>
      </c>
      <c r="H44" s="76">
        <v>4</v>
      </c>
      <c r="I44" s="76">
        <v>1</v>
      </c>
      <c r="J44" s="78">
        <v>46112</v>
      </c>
      <c r="K44" s="76" t="s">
        <v>1180</v>
      </c>
      <c r="L44" s="77" t="s">
        <v>844</v>
      </c>
      <c r="M44" s="76" t="str">
        <f t="shared" si="2"/>
        <v>Ambra</v>
      </c>
      <c r="N44" s="76" t="s">
        <v>653</v>
      </c>
      <c r="O44" s="76" t="s">
        <v>854</v>
      </c>
      <c r="P44" s="76" t="s">
        <v>854</v>
      </c>
      <c r="Q44" s="77" t="s">
        <v>1178</v>
      </c>
      <c r="R44" s="76" t="str">
        <f t="shared" si="3"/>
        <v>2026Q1|NFR-04-K3</v>
      </c>
      <c r="S44" s="76" t="s">
        <v>475</v>
      </c>
    </row>
    <row r="45" spans="1:19" ht="29.15" x14ac:dyDescent="0.4">
      <c r="A45" s="76" t="s">
        <v>1087</v>
      </c>
      <c r="B45" s="76" t="s">
        <v>528</v>
      </c>
      <c r="C45" s="76" t="s">
        <v>484</v>
      </c>
      <c r="D45" s="77" t="s">
        <v>529</v>
      </c>
      <c r="E45" s="76" t="s">
        <v>1170</v>
      </c>
      <c r="F45" s="76" t="s">
        <v>1181</v>
      </c>
      <c r="G45" s="76">
        <v>20</v>
      </c>
      <c r="H45" s="76">
        <v>50</v>
      </c>
      <c r="I45" s="76">
        <v>22</v>
      </c>
      <c r="J45" s="78">
        <v>46112</v>
      </c>
      <c r="K45" s="76" t="s">
        <v>1181</v>
      </c>
      <c r="L45" s="77" t="s">
        <v>844</v>
      </c>
      <c r="M45" s="76" t="str">
        <f t="shared" si="2"/>
        <v>Ambra</v>
      </c>
      <c r="N45" s="76" t="s">
        <v>653</v>
      </c>
      <c r="O45" s="76" t="s">
        <v>854</v>
      </c>
      <c r="P45" s="76" t="s">
        <v>854</v>
      </c>
      <c r="Q45" s="77" t="s">
        <v>1182</v>
      </c>
      <c r="R45" s="76" t="str">
        <f t="shared" si="3"/>
        <v>2026Q1|NFR-05-K1</v>
      </c>
      <c r="S45" s="76" t="s">
        <v>475</v>
      </c>
    </row>
    <row r="46" spans="1:19" ht="29.15" x14ac:dyDescent="0.4">
      <c r="A46" s="76" t="s">
        <v>1087</v>
      </c>
      <c r="B46" s="76" t="s">
        <v>530</v>
      </c>
      <c r="C46" s="76" t="s">
        <v>484</v>
      </c>
      <c r="D46" s="77" t="s">
        <v>531</v>
      </c>
      <c r="E46" s="76" t="s">
        <v>1170</v>
      </c>
      <c r="F46" s="76" t="s">
        <v>1183</v>
      </c>
      <c r="G46" s="76">
        <v>3</v>
      </c>
      <c r="H46" s="76">
        <v>6</v>
      </c>
      <c r="I46" s="76">
        <v>9</v>
      </c>
      <c r="J46" s="78">
        <v>46112</v>
      </c>
      <c r="K46" s="76" t="s">
        <v>1183</v>
      </c>
      <c r="L46" s="77" t="s">
        <v>844</v>
      </c>
      <c r="M46" s="76" t="str">
        <f t="shared" si="2"/>
        <v>Rosso</v>
      </c>
      <c r="N46" s="76" t="s">
        <v>653</v>
      </c>
      <c r="O46" s="76" t="s">
        <v>854</v>
      </c>
      <c r="P46" s="76" t="s">
        <v>854</v>
      </c>
      <c r="Q46" s="77" t="s">
        <v>1182</v>
      </c>
      <c r="R46" s="76" t="str">
        <f t="shared" si="3"/>
        <v>2026Q1|NFR-05-K2</v>
      </c>
      <c r="S46" s="76" t="s">
        <v>475</v>
      </c>
    </row>
    <row r="47" spans="1:19" ht="29.15" x14ac:dyDescent="0.4">
      <c r="A47" s="76" t="s">
        <v>1087</v>
      </c>
      <c r="B47" s="76" t="s">
        <v>532</v>
      </c>
      <c r="C47" s="76" t="s">
        <v>484</v>
      </c>
      <c r="D47" s="77" t="s">
        <v>533</v>
      </c>
      <c r="E47" s="76" t="s">
        <v>1162</v>
      </c>
      <c r="F47" s="76" t="s">
        <v>1184</v>
      </c>
      <c r="G47" s="76">
        <v>30</v>
      </c>
      <c r="H47" s="76">
        <v>60</v>
      </c>
      <c r="I47" s="76">
        <v>40</v>
      </c>
      <c r="J47" s="78">
        <v>46112</v>
      </c>
      <c r="K47" s="76" t="s">
        <v>1184</v>
      </c>
      <c r="L47" s="77" t="s">
        <v>844</v>
      </c>
      <c r="M47" s="76" t="str">
        <f t="shared" si="2"/>
        <v>Ambra</v>
      </c>
      <c r="N47" s="76" t="s">
        <v>653</v>
      </c>
      <c r="O47" s="76" t="s">
        <v>854</v>
      </c>
      <c r="P47" s="76" t="s">
        <v>854</v>
      </c>
      <c r="Q47" s="77" t="s">
        <v>1182</v>
      </c>
      <c r="R47" s="76" t="str">
        <f t="shared" si="3"/>
        <v>2026Q1|NFR-05-K3</v>
      </c>
      <c r="S47" s="76" t="s">
        <v>475</v>
      </c>
    </row>
    <row r="48" spans="1:19" ht="29.15" x14ac:dyDescent="0.4">
      <c r="A48" s="76" t="s">
        <v>1087</v>
      </c>
      <c r="B48" s="76" t="s">
        <v>534</v>
      </c>
      <c r="C48" s="76" t="s">
        <v>486</v>
      </c>
      <c r="D48" s="77" t="s">
        <v>535</v>
      </c>
      <c r="E48" s="76" t="s">
        <v>1187</v>
      </c>
      <c r="F48" s="76" t="s">
        <v>1201</v>
      </c>
      <c r="G48" s="76">
        <v>10</v>
      </c>
      <c r="H48" s="76">
        <v>30</v>
      </c>
      <c r="I48" s="76">
        <v>22</v>
      </c>
      <c r="J48" s="78">
        <v>46112</v>
      </c>
      <c r="K48" s="76" t="s">
        <v>1201</v>
      </c>
      <c r="L48" s="77" t="s">
        <v>844</v>
      </c>
      <c r="M48" s="76" t="str">
        <f t="shared" si="2"/>
        <v>Ambra</v>
      </c>
      <c r="N48" s="76" t="s">
        <v>653</v>
      </c>
      <c r="O48" s="76" t="s">
        <v>1087</v>
      </c>
      <c r="P48" s="76" t="s">
        <v>1087</v>
      </c>
      <c r="Q48" s="77" t="s">
        <v>1202</v>
      </c>
      <c r="R48" s="76" t="str">
        <f t="shared" si="3"/>
        <v>2026Q1|NFR-06-K1</v>
      </c>
      <c r="S48" s="76" t="s">
        <v>475</v>
      </c>
    </row>
    <row r="49" spans="1:19" ht="29.15" x14ac:dyDescent="0.4">
      <c r="A49" s="76" t="s">
        <v>1087</v>
      </c>
      <c r="B49" s="76" t="s">
        <v>536</v>
      </c>
      <c r="C49" s="76" t="s">
        <v>486</v>
      </c>
      <c r="D49" s="77" t="s">
        <v>537</v>
      </c>
      <c r="E49" s="76" t="s">
        <v>1162</v>
      </c>
      <c r="F49" s="76" t="s">
        <v>1203</v>
      </c>
      <c r="G49" s="76">
        <v>20</v>
      </c>
      <c r="H49" s="76">
        <v>40</v>
      </c>
      <c r="I49" s="76">
        <v>48</v>
      </c>
      <c r="J49" s="78">
        <v>46112</v>
      </c>
      <c r="K49" s="76" t="s">
        <v>1203</v>
      </c>
      <c r="L49" s="77" t="s">
        <v>844</v>
      </c>
      <c r="M49" s="76" t="str">
        <f t="shared" si="2"/>
        <v>Rosso</v>
      </c>
      <c r="N49" s="76" t="s">
        <v>653</v>
      </c>
      <c r="O49" s="76" t="s">
        <v>1087</v>
      </c>
      <c r="P49" s="76" t="s">
        <v>1087</v>
      </c>
      <c r="Q49" s="77" t="s">
        <v>1202</v>
      </c>
      <c r="R49" s="76" t="str">
        <f t="shared" si="3"/>
        <v>2026Q1|NFR-06-K2</v>
      </c>
      <c r="S49" s="76" t="s">
        <v>475</v>
      </c>
    </row>
    <row r="50" spans="1:19" ht="29.15" x14ac:dyDescent="0.4">
      <c r="A50" s="76" t="s">
        <v>1087</v>
      </c>
      <c r="B50" s="76" t="s">
        <v>539</v>
      </c>
      <c r="C50" s="76" t="s">
        <v>486</v>
      </c>
      <c r="D50" s="77" t="s">
        <v>540</v>
      </c>
      <c r="E50" s="76" t="s">
        <v>1170</v>
      </c>
      <c r="F50" s="76" t="s">
        <v>1190</v>
      </c>
      <c r="G50" s="76">
        <v>5</v>
      </c>
      <c r="H50" s="76">
        <v>15</v>
      </c>
      <c r="I50" s="76">
        <v>6</v>
      </c>
      <c r="J50" s="78">
        <v>46112</v>
      </c>
      <c r="K50" s="76" t="s">
        <v>1190</v>
      </c>
      <c r="L50" s="77" t="s">
        <v>844</v>
      </c>
      <c r="M50" s="76" t="str">
        <f t="shared" si="2"/>
        <v>Ambra</v>
      </c>
      <c r="N50" s="76" t="s">
        <v>653</v>
      </c>
      <c r="O50" s="76" t="s">
        <v>1087</v>
      </c>
      <c r="P50" s="76" t="s">
        <v>1087</v>
      </c>
      <c r="Q50" s="77" t="s">
        <v>1202</v>
      </c>
      <c r="R50" s="76" t="str">
        <f t="shared" si="3"/>
        <v>2026Q1|NFR-06-K3</v>
      </c>
      <c r="S50" s="76" t="s">
        <v>475</v>
      </c>
    </row>
    <row r="51" spans="1:19" ht="29.15" x14ac:dyDescent="0.4">
      <c r="A51" s="76" t="s">
        <v>1087</v>
      </c>
      <c r="B51" s="76" t="s">
        <v>541</v>
      </c>
      <c r="C51" s="76" t="s">
        <v>488</v>
      </c>
      <c r="D51" s="77" t="s">
        <v>542</v>
      </c>
      <c r="E51" s="76" t="s">
        <v>1170</v>
      </c>
      <c r="F51" s="76" t="s">
        <v>1166</v>
      </c>
      <c r="G51" s="76">
        <v>1</v>
      </c>
      <c r="H51" s="76">
        <v>2</v>
      </c>
      <c r="I51" s="76">
        <v>2</v>
      </c>
      <c r="J51" s="78">
        <v>46112</v>
      </c>
      <c r="K51" s="76" t="s">
        <v>1166</v>
      </c>
      <c r="L51" s="77" t="s">
        <v>844</v>
      </c>
      <c r="M51" s="76" t="str">
        <f t="shared" si="2"/>
        <v>Rosso</v>
      </c>
      <c r="N51" s="76" t="s">
        <v>653</v>
      </c>
      <c r="O51" s="76" t="s">
        <v>854</v>
      </c>
      <c r="P51" s="76" t="s">
        <v>854</v>
      </c>
      <c r="Q51" s="77" t="s">
        <v>1185</v>
      </c>
      <c r="R51" s="76" t="str">
        <f t="shared" si="3"/>
        <v>2026Q1|NFR-07-K1</v>
      </c>
      <c r="S51" s="76" t="s">
        <v>475</v>
      </c>
    </row>
    <row r="52" spans="1:19" ht="29.15" x14ac:dyDescent="0.4">
      <c r="A52" s="76" t="s">
        <v>1087</v>
      </c>
      <c r="B52" s="76" t="s">
        <v>543</v>
      </c>
      <c r="C52" s="76" t="s">
        <v>488</v>
      </c>
      <c r="D52" s="77" t="s">
        <v>544</v>
      </c>
      <c r="E52" s="76" t="s">
        <v>1164</v>
      </c>
      <c r="F52" s="76" t="s">
        <v>1171</v>
      </c>
      <c r="G52" s="76">
        <v>4</v>
      </c>
      <c r="H52" s="76">
        <v>12</v>
      </c>
      <c r="I52" s="76">
        <v>6</v>
      </c>
      <c r="J52" s="78">
        <v>46112</v>
      </c>
      <c r="K52" s="76" t="s">
        <v>1171</v>
      </c>
      <c r="L52" s="77" t="s">
        <v>844</v>
      </c>
      <c r="M52" s="76" t="str">
        <f t="shared" si="2"/>
        <v>Ambra</v>
      </c>
      <c r="N52" s="76" t="s">
        <v>653</v>
      </c>
      <c r="O52" s="76" t="s">
        <v>854</v>
      </c>
      <c r="P52" s="76" t="s">
        <v>854</v>
      </c>
      <c r="Q52" s="77" t="s">
        <v>1185</v>
      </c>
      <c r="R52" s="76" t="str">
        <f t="shared" si="3"/>
        <v>2026Q1|NFR-07-K2</v>
      </c>
      <c r="S52" s="76" t="s">
        <v>475</v>
      </c>
    </row>
    <row r="53" spans="1:19" ht="29.15" x14ac:dyDescent="0.4">
      <c r="A53" s="76" t="s">
        <v>1087</v>
      </c>
      <c r="B53" s="76" t="s">
        <v>545</v>
      </c>
      <c r="C53" s="76" t="s">
        <v>488</v>
      </c>
      <c r="D53" s="77" t="s">
        <v>546</v>
      </c>
      <c r="E53" s="76" t="s">
        <v>1170</v>
      </c>
      <c r="F53" s="76" t="s">
        <v>1186</v>
      </c>
      <c r="G53" s="76">
        <v>2</v>
      </c>
      <c r="H53" s="76">
        <v>5</v>
      </c>
      <c r="I53" s="76">
        <v>2</v>
      </c>
      <c r="J53" s="78">
        <v>46112</v>
      </c>
      <c r="K53" s="76" t="s">
        <v>1186</v>
      </c>
      <c r="L53" s="77" t="s">
        <v>844</v>
      </c>
      <c r="M53" s="76" t="str">
        <f t="shared" si="2"/>
        <v>Ambra</v>
      </c>
      <c r="N53" s="76" t="s">
        <v>653</v>
      </c>
      <c r="O53" s="76" t="s">
        <v>854</v>
      </c>
      <c r="P53" s="76" t="s">
        <v>854</v>
      </c>
      <c r="Q53" s="77" t="s">
        <v>1185</v>
      </c>
      <c r="R53" s="76" t="str">
        <f t="shared" si="3"/>
        <v>2026Q1|NFR-07-K3</v>
      </c>
      <c r="S53" s="76" t="s">
        <v>475</v>
      </c>
    </row>
    <row r="54" spans="1:19" ht="29.15" x14ac:dyDescent="0.4">
      <c r="A54" s="76" t="s">
        <v>1087</v>
      </c>
      <c r="B54" s="76" t="s">
        <v>547</v>
      </c>
      <c r="C54" s="76" t="s">
        <v>490</v>
      </c>
      <c r="D54" s="77" t="s">
        <v>548</v>
      </c>
      <c r="E54" s="76" t="s">
        <v>1187</v>
      </c>
      <c r="F54" s="76" t="s">
        <v>1188</v>
      </c>
      <c r="G54" s="76">
        <v>20</v>
      </c>
      <c r="H54" s="76">
        <v>50</v>
      </c>
      <c r="I54" s="76">
        <v>28</v>
      </c>
      <c r="J54" s="78">
        <v>46112</v>
      </c>
      <c r="K54" s="76" t="s">
        <v>1188</v>
      </c>
      <c r="L54" s="77" t="s">
        <v>844</v>
      </c>
      <c r="M54" s="76" t="str">
        <f t="shared" si="2"/>
        <v>Ambra</v>
      </c>
      <c r="N54" s="76" t="s">
        <v>653</v>
      </c>
      <c r="O54" s="76" t="s">
        <v>854</v>
      </c>
      <c r="P54" s="76" t="s">
        <v>854</v>
      </c>
      <c r="Q54" s="77" t="s">
        <v>1189</v>
      </c>
      <c r="R54" s="76" t="str">
        <f t="shared" si="3"/>
        <v>2026Q1|NFR-08-K1</v>
      </c>
      <c r="S54" s="76" t="s">
        <v>475</v>
      </c>
    </row>
    <row r="55" spans="1:19" ht="29.15" x14ac:dyDescent="0.4">
      <c r="A55" s="76" t="s">
        <v>1087</v>
      </c>
      <c r="B55" s="76" t="s">
        <v>549</v>
      </c>
      <c r="C55" s="76" t="s">
        <v>490</v>
      </c>
      <c r="D55" s="77" t="s">
        <v>550</v>
      </c>
      <c r="E55" s="76" t="s">
        <v>1162</v>
      </c>
      <c r="F55" s="76" t="s">
        <v>1190</v>
      </c>
      <c r="G55" s="76">
        <v>5</v>
      </c>
      <c r="H55" s="76">
        <v>15</v>
      </c>
      <c r="I55" s="76">
        <v>9</v>
      </c>
      <c r="J55" s="78">
        <v>46112</v>
      </c>
      <c r="K55" s="76" t="s">
        <v>1190</v>
      </c>
      <c r="L55" s="77" t="s">
        <v>844</v>
      </c>
      <c r="M55" s="76" t="str">
        <f t="shared" si="2"/>
        <v>Ambra</v>
      </c>
      <c r="N55" s="76" t="s">
        <v>653</v>
      </c>
      <c r="O55" s="76" t="s">
        <v>854</v>
      </c>
      <c r="P55" s="76" t="s">
        <v>854</v>
      </c>
      <c r="Q55" s="77" t="s">
        <v>1189</v>
      </c>
      <c r="R55" s="76" t="str">
        <f t="shared" si="3"/>
        <v>2026Q1|NFR-08-K2</v>
      </c>
      <c r="S55" s="76" t="s">
        <v>475</v>
      </c>
    </row>
    <row r="56" spans="1:19" ht="29.15" x14ac:dyDescent="0.4">
      <c r="A56" s="76" t="s">
        <v>1087</v>
      </c>
      <c r="B56" s="76" t="s">
        <v>551</v>
      </c>
      <c r="C56" s="76" t="s">
        <v>490</v>
      </c>
      <c r="D56" s="77" t="s">
        <v>552</v>
      </c>
      <c r="E56" s="76" t="s">
        <v>1170</v>
      </c>
      <c r="F56" s="76" t="s">
        <v>1191</v>
      </c>
      <c r="G56" s="76">
        <v>1</v>
      </c>
      <c r="H56" s="76">
        <v>3</v>
      </c>
      <c r="I56" s="76">
        <v>1</v>
      </c>
      <c r="J56" s="78">
        <v>46112</v>
      </c>
      <c r="K56" s="76" t="s">
        <v>1191</v>
      </c>
      <c r="L56" s="77" t="s">
        <v>844</v>
      </c>
      <c r="M56" s="76" t="str">
        <f t="shared" si="2"/>
        <v>Ambra</v>
      </c>
      <c r="N56" s="76" t="s">
        <v>653</v>
      </c>
      <c r="O56" s="76" t="s">
        <v>854</v>
      </c>
      <c r="P56" s="76" t="s">
        <v>854</v>
      </c>
      <c r="Q56" s="77" t="s">
        <v>1189</v>
      </c>
      <c r="R56" s="76" t="str">
        <f t="shared" si="3"/>
        <v>2026Q1|NFR-08-K3</v>
      </c>
      <c r="S56" s="76" t="s">
        <v>475</v>
      </c>
    </row>
    <row r="57" spans="1:19" ht="29.15" x14ac:dyDescent="0.4">
      <c r="A57" s="76" t="s">
        <v>1087</v>
      </c>
      <c r="B57" s="76" t="s">
        <v>553</v>
      </c>
      <c r="C57" s="76" t="s">
        <v>492</v>
      </c>
      <c r="D57" s="77" t="s">
        <v>554</v>
      </c>
      <c r="E57" s="76" t="s">
        <v>828</v>
      </c>
      <c r="F57" s="76" t="s">
        <v>1204</v>
      </c>
      <c r="G57" s="76">
        <v>2</v>
      </c>
      <c r="H57" s="76">
        <v>5</v>
      </c>
      <c r="I57" s="76">
        <v>3.1</v>
      </c>
      <c r="J57" s="78">
        <v>46112</v>
      </c>
      <c r="K57" s="76" t="s">
        <v>1204</v>
      </c>
      <c r="L57" s="77" t="s">
        <v>844</v>
      </c>
      <c r="M57" s="76" t="str">
        <f t="shared" si="2"/>
        <v>Ambra</v>
      </c>
      <c r="N57" s="76" t="s">
        <v>653</v>
      </c>
      <c r="O57" s="76" t="s">
        <v>1087</v>
      </c>
      <c r="P57" s="76" t="s">
        <v>1087</v>
      </c>
      <c r="Q57" s="77" t="s">
        <v>1205</v>
      </c>
      <c r="R57" s="76" t="str">
        <f t="shared" si="3"/>
        <v>2026Q1|NFR-09-K1</v>
      </c>
      <c r="S57" s="76" t="s">
        <v>475</v>
      </c>
    </row>
    <row r="58" spans="1:19" ht="29.15" x14ac:dyDescent="0.4">
      <c r="A58" s="76" t="s">
        <v>1087</v>
      </c>
      <c r="B58" s="76" t="s">
        <v>555</v>
      </c>
      <c r="C58" s="76" t="s">
        <v>492</v>
      </c>
      <c r="D58" s="77" t="s">
        <v>556</v>
      </c>
      <c r="E58" s="76" t="s">
        <v>1162</v>
      </c>
      <c r="F58" s="76" t="s">
        <v>1206</v>
      </c>
      <c r="G58" s="76">
        <v>5</v>
      </c>
      <c r="H58" s="76">
        <v>15</v>
      </c>
      <c r="I58" s="76">
        <v>18</v>
      </c>
      <c r="J58" s="78">
        <v>46112</v>
      </c>
      <c r="K58" s="76" t="s">
        <v>1206</v>
      </c>
      <c r="L58" s="77" t="s">
        <v>844</v>
      </c>
      <c r="M58" s="76" t="str">
        <f t="shared" si="2"/>
        <v>Rosso</v>
      </c>
      <c r="N58" s="76" t="s">
        <v>653</v>
      </c>
      <c r="O58" s="76" t="s">
        <v>1087</v>
      </c>
      <c r="P58" s="76" t="s">
        <v>1087</v>
      </c>
      <c r="Q58" s="77" t="s">
        <v>1205</v>
      </c>
      <c r="R58" s="76" t="str">
        <f t="shared" si="3"/>
        <v>2026Q1|NFR-09-K2</v>
      </c>
      <c r="S58" s="76" t="s">
        <v>475</v>
      </c>
    </row>
    <row r="59" spans="1:19" ht="29.15" x14ac:dyDescent="0.4">
      <c r="A59" s="76" t="s">
        <v>1087</v>
      </c>
      <c r="B59" s="76" t="s">
        <v>557</v>
      </c>
      <c r="C59" s="76" t="s">
        <v>492</v>
      </c>
      <c r="D59" s="77" t="s">
        <v>558</v>
      </c>
      <c r="E59" s="76" t="s">
        <v>1170</v>
      </c>
      <c r="F59" s="76" t="s">
        <v>1207</v>
      </c>
      <c r="G59" s="76">
        <v>1</v>
      </c>
      <c r="H59" s="76">
        <v>3</v>
      </c>
      <c r="I59" s="76">
        <v>0</v>
      </c>
      <c r="J59" s="78">
        <v>46112</v>
      </c>
      <c r="K59" s="76" t="s">
        <v>1207</v>
      </c>
      <c r="L59" s="77" t="s">
        <v>844</v>
      </c>
      <c r="M59" s="76" t="str">
        <f t="shared" si="2"/>
        <v>Verde</v>
      </c>
      <c r="N59" s="76" t="s">
        <v>653</v>
      </c>
      <c r="O59" s="76" t="s">
        <v>1087</v>
      </c>
      <c r="P59" s="76" t="s">
        <v>1087</v>
      </c>
      <c r="Q59" s="77" t="s">
        <v>1205</v>
      </c>
      <c r="R59" s="76" t="str">
        <f t="shared" si="3"/>
        <v>2026Q1|NFR-09-K3</v>
      </c>
      <c r="S59" s="76" t="s">
        <v>475</v>
      </c>
    </row>
    <row r="60" spans="1:19" ht="29.15" x14ac:dyDescent="0.4">
      <c r="A60" s="76" t="s">
        <v>1087</v>
      </c>
      <c r="B60" s="76" t="s">
        <v>559</v>
      </c>
      <c r="C60" s="76" t="s">
        <v>494</v>
      </c>
      <c r="D60" s="77" t="s">
        <v>560</v>
      </c>
      <c r="E60" s="76" t="s">
        <v>1172</v>
      </c>
      <c r="F60" s="76" t="s">
        <v>1208</v>
      </c>
      <c r="G60" s="76">
        <v>2</v>
      </c>
      <c r="H60" s="76">
        <v>5</v>
      </c>
      <c r="I60" s="76"/>
      <c r="J60" s="78"/>
      <c r="K60" s="76"/>
      <c r="L60" s="77" t="s">
        <v>1200</v>
      </c>
      <c r="M60" s="76" t="str">
        <f t="shared" si="2"/>
        <v>Non rilevato</v>
      </c>
      <c r="N60" s="76" t="s">
        <v>653</v>
      </c>
      <c r="O60" s="76" t="s">
        <v>1087</v>
      </c>
      <c r="P60" s="76" t="s">
        <v>1087</v>
      </c>
      <c r="Q60" s="77" t="s">
        <v>1209</v>
      </c>
      <c r="R60" s="76" t="str">
        <f t="shared" si="3"/>
        <v>2026Q1|NFR-10-K1</v>
      </c>
      <c r="S60" s="76" t="s">
        <v>475</v>
      </c>
    </row>
    <row r="61" spans="1:19" ht="29.15" x14ac:dyDescent="0.4">
      <c r="A61" s="76" t="s">
        <v>1087</v>
      </c>
      <c r="B61" s="76" t="s">
        <v>561</v>
      </c>
      <c r="C61" s="76" t="s">
        <v>494</v>
      </c>
      <c r="D61" s="77" t="s">
        <v>562</v>
      </c>
      <c r="E61" s="76" t="s">
        <v>1170</v>
      </c>
      <c r="F61" s="76" t="s">
        <v>1173</v>
      </c>
      <c r="G61" s="76">
        <v>2</v>
      </c>
      <c r="H61" s="76">
        <v>6</v>
      </c>
      <c r="I61" s="76">
        <v>0</v>
      </c>
      <c r="J61" s="78">
        <v>46112</v>
      </c>
      <c r="K61" s="76" t="s">
        <v>1173</v>
      </c>
      <c r="L61" s="77" t="s">
        <v>844</v>
      </c>
      <c r="M61" s="76" t="str">
        <f t="shared" si="2"/>
        <v>Verde</v>
      </c>
      <c r="N61" s="76" t="s">
        <v>653</v>
      </c>
      <c r="O61" s="76" t="s">
        <v>1087</v>
      </c>
      <c r="P61" s="76" t="s">
        <v>1087</v>
      </c>
      <c r="Q61" s="77" t="s">
        <v>1209</v>
      </c>
      <c r="R61" s="76" t="str">
        <f t="shared" si="3"/>
        <v>2026Q1|NFR-10-K2</v>
      </c>
      <c r="S61" s="76" t="s">
        <v>475</v>
      </c>
    </row>
    <row r="62" spans="1:19" ht="29.15" x14ac:dyDescent="0.4">
      <c r="A62" s="76" t="s">
        <v>1087</v>
      </c>
      <c r="B62" s="76" t="s">
        <v>563</v>
      </c>
      <c r="C62" s="76" t="s">
        <v>494</v>
      </c>
      <c r="D62" s="77" t="s">
        <v>564</v>
      </c>
      <c r="E62" s="76" t="s">
        <v>1162</v>
      </c>
      <c r="F62" s="76" t="s">
        <v>1210</v>
      </c>
      <c r="G62" s="76">
        <v>20</v>
      </c>
      <c r="H62" s="76">
        <v>50</v>
      </c>
      <c r="I62" s="76">
        <v>80</v>
      </c>
      <c r="J62" s="78">
        <v>46112</v>
      </c>
      <c r="K62" s="76" t="s">
        <v>1210</v>
      </c>
      <c r="L62" s="77" t="s">
        <v>844</v>
      </c>
      <c r="M62" s="76" t="str">
        <f t="shared" si="2"/>
        <v>Rosso</v>
      </c>
      <c r="N62" s="76" t="s">
        <v>653</v>
      </c>
      <c r="O62" s="76" t="s">
        <v>1087</v>
      </c>
      <c r="P62" s="76" t="s">
        <v>1087</v>
      </c>
      <c r="Q62" s="77" t="s">
        <v>1209</v>
      </c>
      <c r="R62" s="76" t="str">
        <f t="shared" si="3"/>
        <v>2026Q1|NFR-10-K3</v>
      </c>
      <c r="S62" s="76" t="s">
        <v>475</v>
      </c>
    </row>
    <row r="63" spans="1:19" ht="29.15" x14ac:dyDescent="0.4">
      <c r="A63" s="76" t="s">
        <v>1087</v>
      </c>
      <c r="B63" s="76" t="s">
        <v>565</v>
      </c>
      <c r="C63" s="76" t="s">
        <v>498</v>
      </c>
      <c r="D63" s="77" t="s">
        <v>566</v>
      </c>
      <c r="E63" s="76" t="s">
        <v>1170</v>
      </c>
      <c r="F63" s="76" t="s">
        <v>1192</v>
      </c>
      <c r="G63" s="76">
        <v>3</v>
      </c>
      <c r="H63" s="76">
        <v>8</v>
      </c>
      <c r="I63" s="76">
        <v>9</v>
      </c>
      <c r="J63" s="78">
        <v>46112</v>
      </c>
      <c r="K63" s="76" t="s">
        <v>1192</v>
      </c>
      <c r="L63" s="77" t="s">
        <v>844</v>
      </c>
      <c r="M63" s="76" t="str">
        <f t="shared" si="2"/>
        <v>Rosso</v>
      </c>
      <c r="N63" s="76" t="s">
        <v>653</v>
      </c>
      <c r="O63" s="76" t="s">
        <v>854</v>
      </c>
      <c r="P63" s="76" t="s">
        <v>854</v>
      </c>
      <c r="Q63" s="77" t="s">
        <v>1193</v>
      </c>
      <c r="R63" s="76" t="str">
        <f t="shared" si="3"/>
        <v>2026Q1|NFR-11-K1</v>
      </c>
      <c r="S63" s="76" t="s">
        <v>475</v>
      </c>
    </row>
    <row r="64" spans="1:19" ht="29.15" x14ac:dyDescent="0.4">
      <c r="A64" s="76" t="s">
        <v>1087</v>
      </c>
      <c r="B64" s="76" t="s">
        <v>567</v>
      </c>
      <c r="C64" s="76" t="s">
        <v>498</v>
      </c>
      <c r="D64" s="77" t="s">
        <v>568</v>
      </c>
      <c r="E64" s="76" t="s">
        <v>1170</v>
      </c>
      <c r="F64" s="76" t="s">
        <v>1194</v>
      </c>
      <c r="G64" s="76">
        <v>2</v>
      </c>
      <c r="H64" s="76">
        <v>6</v>
      </c>
      <c r="I64" s="76">
        <v>5</v>
      </c>
      <c r="J64" s="78">
        <v>46112</v>
      </c>
      <c r="K64" s="76" t="s">
        <v>1194</v>
      </c>
      <c r="L64" s="77" t="s">
        <v>844</v>
      </c>
      <c r="M64" s="76" t="str">
        <f t="shared" si="2"/>
        <v>Ambra</v>
      </c>
      <c r="N64" s="76" t="s">
        <v>653</v>
      </c>
      <c r="O64" s="76" t="s">
        <v>854</v>
      </c>
      <c r="P64" s="76" t="s">
        <v>854</v>
      </c>
      <c r="Q64" s="77" t="s">
        <v>1193</v>
      </c>
      <c r="R64" s="76" t="str">
        <f t="shared" si="3"/>
        <v>2026Q1|NFR-11-K2</v>
      </c>
      <c r="S64" s="76" t="s">
        <v>475</v>
      </c>
    </row>
    <row r="65" spans="1:19" ht="29.15" x14ac:dyDescent="0.4">
      <c r="A65" s="76" t="s">
        <v>1087</v>
      </c>
      <c r="B65" s="76" t="s">
        <v>569</v>
      </c>
      <c r="C65" s="76" t="s">
        <v>498</v>
      </c>
      <c r="D65" s="77" t="s">
        <v>570</v>
      </c>
      <c r="E65" s="76" t="s">
        <v>1170</v>
      </c>
      <c r="F65" s="76" t="s">
        <v>1195</v>
      </c>
      <c r="G65" s="76">
        <v>1</v>
      </c>
      <c r="H65" s="76">
        <v>3</v>
      </c>
      <c r="I65" s="76">
        <v>3</v>
      </c>
      <c r="J65" s="78">
        <v>46112</v>
      </c>
      <c r="K65" s="76" t="s">
        <v>1195</v>
      </c>
      <c r="L65" s="77" t="s">
        <v>844</v>
      </c>
      <c r="M65" s="76" t="str">
        <f t="shared" si="2"/>
        <v>Rosso</v>
      </c>
      <c r="N65" s="76" t="s">
        <v>653</v>
      </c>
      <c r="O65" s="76" t="s">
        <v>854</v>
      </c>
      <c r="P65" s="76" t="s">
        <v>854</v>
      </c>
      <c r="Q65" s="77" t="s">
        <v>1193</v>
      </c>
      <c r="R65" s="76" t="str">
        <f t="shared" si="3"/>
        <v>2026Q1|NFR-11-K3</v>
      </c>
      <c r="S65" s="76" t="s">
        <v>475</v>
      </c>
    </row>
    <row r="66" spans="1:19" ht="29.15" x14ac:dyDescent="0.4">
      <c r="A66" s="76" t="s">
        <v>1087</v>
      </c>
      <c r="B66" s="76" t="s">
        <v>571</v>
      </c>
      <c r="C66" s="76" t="s">
        <v>500</v>
      </c>
      <c r="D66" s="77" t="s">
        <v>572</v>
      </c>
      <c r="E66" s="76" t="s">
        <v>1170</v>
      </c>
      <c r="F66" s="76" t="s">
        <v>1196</v>
      </c>
      <c r="G66" s="76">
        <v>10</v>
      </c>
      <c r="H66" s="76">
        <v>30</v>
      </c>
      <c r="I66" s="76">
        <v>6</v>
      </c>
      <c r="J66" s="78">
        <v>46112</v>
      </c>
      <c r="K66" s="76" t="s">
        <v>1196</v>
      </c>
      <c r="L66" s="77" t="s">
        <v>844</v>
      </c>
      <c r="M66" s="76" t="str">
        <f t="shared" si="2"/>
        <v>Verde</v>
      </c>
      <c r="N66" s="76" t="s">
        <v>653</v>
      </c>
      <c r="O66" s="76" t="s">
        <v>854</v>
      </c>
      <c r="P66" s="76" t="s">
        <v>854</v>
      </c>
      <c r="Q66" s="77" t="s">
        <v>1197</v>
      </c>
      <c r="R66" s="76" t="str">
        <f t="shared" si="3"/>
        <v>2026Q1|NFR-12-K1</v>
      </c>
      <c r="S66" s="76" t="s">
        <v>475</v>
      </c>
    </row>
    <row r="67" spans="1:19" ht="29.15" x14ac:dyDescent="0.4">
      <c r="A67" s="76" t="s">
        <v>1087</v>
      </c>
      <c r="B67" s="76" t="s">
        <v>573</v>
      </c>
      <c r="C67" s="76" t="s">
        <v>500</v>
      </c>
      <c r="D67" s="77" t="s">
        <v>574</v>
      </c>
      <c r="E67" s="76" t="s">
        <v>1170</v>
      </c>
      <c r="F67" s="76" t="s">
        <v>1198</v>
      </c>
      <c r="G67" s="76">
        <v>3</v>
      </c>
      <c r="H67" s="76">
        <v>10</v>
      </c>
      <c r="I67" s="76">
        <v>2</v>
      </c>
      <c r="J67" s="78">
        <v>46112</v>
      </c>
      <c r="K67" s="76" t="s">
        <v>1198</v>
      </c>
      <c r="L67" s="77" t="s">
        <v>844</v>
      </c>
      <c r="M67" s="76" t="str">
        <f t="shared" si="2"/>
        <v>Verde</v>
      </c>
      <c r="N67" s="76" t="s">
        <v>653</v>
      </c>
      <c r="O67" s="76" t="s">
        <v>854</v>
      </c>
      <c r="P67" s="76" t="s">
        <v>854</v>
      </c>
      <c r="Q67" s="77" t="s">
        <v>1197</v>
      </c>
      <c r="R67" s="76" t="str">
        <f t="shared" si="3"/>
        <v>2026Q1|NFR-12-K2</v>
      </c>
      <c r="S67" s="76" t="s">
        <v>475</v>
      </c>
    </row>
    <row r="68" spans="1:19" ht="29.15" x14ac:dyDescent="0.4">
      <c r="A68" s="76" t="s">
        <v>1087</v>
      </c>
      <c r="B68" s="76" t="s">
        <v>575</v>
      </c>
      <c r="C68" s="76" t="s">
        <v>500</v>
      </c>
      <c r="D68" s="77" t="s">
        <v>576</v>
      </c>
      <c r="E68" s="76" t="s">
        <v>1164</v>
      </c>
      <c r="F68" s="76" t="s">
        <v>1199</v>
      </c>
      <c r="G68" s="76">
        <v>4</v>
      </c>
      <c r="H68" s="76">
        <v>12</v>
      </c>
      <c r="I68" s="76">
        <v>3.5</v>
      </c>
      <c r="J68" s="78">
        <v>46112</v>
      </c>
      <c r="K68" s="76" t="s">
        <v>1199</v>
      </c>
      <c r="L68" s="77" t="s">
        <v>844</v>
      </c>
      <c r="M68" s="76" t="str">
        <f t="shared" si="2"/>
        <v>Verde</v>
      </c>
      <c r="N68" s="76" t="s">
        <v>653</v>
      </c>
      <c r="O68" s="76" t="s">
        <v>854</v>
      </c>
      <c r="P68" s="76" t="s">
        <v>854</v>
      </c>
      <c r="Q68" s="77" t="s">
        <v>1197</v>
      </c>
      <c r="R68" s="76" t="str">
        <f t="shared" si="3"/>
        <v>2026Q1|NFR-12-K3</v>
      </c>
      <c r="S68" s="76" t="s">
        <v>475</v>
      </c>
    </row>
    <row r="69" spans="1:19" ht="29.15" x14ac:dyDescent="0.4">
      <c r="A69" s="76" t="s">
        <v>472</v>
      </c>
      <c r="B69" s="76" t="s">
        <v>394</v>
      </c>
      <c r="C69" s="76" t="s">
        <v>473</v>
      </c>
      <c r="D69" s="77" t="s">
        <v>502</v>
      </c>
      <c r="E69" s="76" t="s">
        <v>828</v>
      </c>
      <c r="F69" s="76" t="s">
        <v>831</v>
      </c>
      <c r="G69" s="76">
        <v>3</v>
      </c>
      <c r="H69" s="76">
        <v>6</v>
      </c>
      <c r="I69" s="76">
        <v>4.2</v>
      </c>
      <c r="J69" s="78">
        <v>46203</v>
      </c>
      <c r="K69" s="76" t="s">
        <v>831</v>
      </c>
      <c r="L69" s="77" t="s">
        <v>844</v>
      </c>
      <c r="M69" s="76" t="str">
        <f t="shared" si="2"/>
        <v>Ambra</v>
      </c>
      <c r="N69" s="76" t="s">
        <v>653</v>
      </c>
      <c r="O69" s="76" t="s">
        <v>854</v>
      </c>
      <c r="P69" s="76" t="s">
        <v>854</v>
      </c>
      <c r="Q69" s="77" t="s">
        <v>1161</v>
      </c>
      <c r="R69" s="76" t="str">
        <f t="shared" si="3"/>
        <v>2026Q2|NFR-01-K1</v>
      </c>
      <c r="S69" s="76" t="s">
        <v>475</v>
      </c>
    </row>
    <row r="70" spans="1:19" ht="29.15" x14ac:dyDescent="0.4">
      <c r="A70" s="76" t="s">
        <v>472</v>
      </c>
      <c r="B70" s="76" t="s">
        <v>506</v>
      </c>
      <c r="C70" s="76" t="s">
        <v>473</v>
      </c>
      <c r="D70" s="77" t="s">
        <v>507</v>
      </c>
      <c r="E70" s="76" t="s">
        <v>1162</v>
      </c>
      <c r="F70" s="76" t="s">
        <v>1163</v>
      </c>
      <c r="G70" s="76">
        <v>10</v>
      </c>
      <c r="H70" s="76">
        <v>25</v>
      </c>
      <c r="I70" s="76">
        <v>12</v>
      </c>
      <c r="J70" s="78">
        <v>46203</v>
      </c>
      <c r="K70" s="76" t="s">
        <v>1163</v>
      </c>
      <c r="L70" s="77" t="s">
        <v>844</v>
      </c>
      <c r="M70" s="76" t="str">
        <f t="shared" ref="M70:M104" si="4">IF(H70&lt;G70,"SOGLIE INVERTITE — correggere",IF(I70="","Non rilevato",IF(I70&gt;=H70,"Rosso",IF(I70&gt;=G70,"Ambra","Verde"))))</f>
        <v>Ambra</v>
      </c>
      <c r="N70" s="76" t="s">
        <v>653</v>
      </c>
      <c r="O70" s="76" t="s">
        <v>854</v>
      </c>
      <c r="P70" s="76" t="s">
        <v>854</v>
      </c>
      <c r="Q70" s="77" t="s">
        <v>1161</v>
      </c>
      <c r="R70" s="76" t="str">
        <f t="shared" ref="R70:R104" si="5">A70&amp;"|"&amp;B70</f>
        <v>2026Q2|NFR-01-K2</v>
      </c>
      <c r="S70" s="76" t="s">
        <v>475</v>
      </c>
    </row>
    <row r="71" spans="1:19" ht="29.15" x14ac:dyDescent="0.4">
      <c r="A71" s="76" t="s">
        <v>472</v>
      </c>
      <c r="B71" s="76" t="s">
        <v>508</v>
      </c>
      <c r="C71" s="76" t="s">
        <v>473</v>
      </c>
      <c r="D71" s="77" t="s">
        <v>509</v>
      </c>
      <c r="E71" s="76" t="s">
        <v>1164</v>
      </c>
      <c r="F71" s="76" t="s">
        <v>1165</v>
      </c>
      <c r="G71" s="76">
        <v>4</v>
      </c>
      <c r="H71" s="76">
        <v>12</v>
      </c>
      <c r="I71" s="76">
        <v>2.5</v>
      </c>
      <c r="J71" s="78">
        <v>46203</v>
      </c>
      <c r="K71" s="76" t="s">
        <v>1165</v>
      </c>
      <c r="L71" s="77" t="s">
        <v>844</v>
      </c>
      <c r="M71" s="76" t="str">
        <f t="shared" si="4"/>
        <v>Verde</v>
      </c>
      <c r="N71" s="76" t="s">
        <v>653</v>
      </c>
      <c r="O71" s="76" t="s">
        <v>854</v>
      </c>
      <c r="P71" s="76" t="s">
        <v>854</v>
      </c>
      <c r="Q71" s="77" t="s">
        <v>1161</v>
      </c>
      <c r="R71" s="76" t="str">
        <f t="shared" si="5"/>
        <v>2026Q2|NFR-01-K3</v>
      </c>
      <c r="S71" s="76" t="s">
        <v>475</v>
      </c>
    </row>
    <row r="72" spans="1:19" ht="29.15" x14ac:dyDescent="0.4">
      <c r="A72" s="76" t="s">
        <v>472</v>
      </c>
      <c r="B72" s="76" t="s">
        <v>510</v>
      </c>
      <c r="C72" s="76" t="s">
        <v>478</v>
      </c>
      <c r="D72" s="77" t="s">
        <v>511</v>
      </c>
      <c r="E72" s="76" t="s">
        <v>1162</v>
      </c>
      <c r="F72" s="76" t="s">
        <v>1166</v>
      </c>
      <c r="G72" s="76">
        <v>60</v>
      </c>
      <c r="H72" s="76">
        <v>75</v>
      </c>
      <c r="I72" s="76">
        <v>78</v>
      </c>
      <c r="J72" s="78">
        <v>46203</v>
      </c>
      <c r="K72" s="76" t="s">
        <v>1166</v>
      </c>
      <c r="L72" s="77" t="s">
        <v>844</v>
      </c>
      <c r="M72" s="76" t="str">
        <f t="shared" si="4"/>
        <v>Rosso</v>
      </c>
      <c r="N72" s="76" t="s">
        <v>653</v>
      </c>
      <c r="O72" s="76" t="s">
        <v>854</v>
      </c>
      <c r="P72" s="76" t="s">
        <v>854</v>
      </c>
      <c r="Q72" s="77" t="s">
        <v>1167</v>
      </c>
      <c r="R72" s="76" t="str">
        <f t="shared" si="5"/>
        <v>2026Q2|NFR-02-K1</v>
      </c>
      <c r="S72" s="76" t="s">
        <v>475</v>
      </c>
    </row>
    <row r="73" spans="1:19" ht="29.15" x14ac:dyDescent="0.4">
      <c r="A73" s="76" t="s">
        <v>472</v>
      </c>
      <c r="B73" s="76" t="s">
        <v>512</v>
      </c>
      <c r="C73" s="76" t="s">
        <v>478</v>
      </c>
      <c r="D73" s="77" t="s">
        <v>513</v>
      </c>
      <c r="E73" s="76" t="s">
        <v>1168</v>
      </c>
      <c r="F73" s="76" t="s">
        <v>1169</v>
      </c>
      <c r="G73" s="76">
        <v>365</v>
      </c>
      <c r="H73" s="76">
        <v>540</v>
      </c>
      <c r="I73" s="76">
        <v>49</v>
      </c>
      <c r="J73" s="78">
        <v>46203</v>
      </c>
      <c r="K73" s="76" t="s">
        <v>1169</v>
      </c>
      <c r="L73" s="77" t="s">
        <v>844</v>
      </c>
      <c r="M73" s="76" t="str">
        <f t="shared" si="4"/>
        <v>Verde</v>
      </c>
      <c r="N73" s="76" t="s">
        <v>653</v>
      </c>
      <c r="O73" s="76" t="s">
        <v>854</v>
      </c>
      <c r="P73" s="76" t="s">
        <v>854</v>
      </c>
      <c r="Q73" s="77" t="s">
        <v>1167</v>
      </c>
      <c r="R73" s="76" t="str">
        <f t="shared" si="5"/>
        <v>2026Q2|NFR-02-K2</v>
      </c>
      <c r="S73" s="76" t="s">
        <v>475</v>
      </c>
    </row>
    <row r="74" spans="1:19" ht="29.15" x14ac:dyDescent="0.4">
      <c r="A74" s="76" t="s">
        <v>472</v>
      </c>
      <c r="B74" s="76" t="s">
        <v>514</v>
      </c>
      <c r="C74" s="76" t="s">
        <v>478</v>
      </c>
      <c r="D74" s="77" t="s">
        <v>515</v>
      </c>
      <c r="E74" s="76" t="s">
        <v>1170</v>
      </c>
      <c r="F74" s="76" t="s">
        <v>1171</v>
      </c>
      <c r="G74" s="76">
        <v>2</v>
      </c>
      <c r="H74" s="76">
        <v>4</v>
      </c>
      <c r="I74" s="76">
        <v>1</v>
      </c>
      <c r="J74" s="78">
        <v>46203</v>
      </c>
      <c r="K74" s="76" t="s">
        <v>1171</v>
      </c>
      <c r="L74" s="77" t="s">
        <v>844</v>
      </c>
      <c r="M74" s="76" t="str">
        <f t="shared" si="4"/>
        <v>Verde</v>
      </c>
      <c r="N74" s="76" t="s">
        <v>653</v>
      </c>
      <c r="O74" s="76" t="s">
        <v>854</v>
      </c>
      <c r="P74" s="76" t="s">
        <v>854</v>
      </c>
      <c r="Q74" s="77" t="s">
        <v>1167</v>
      </c>
      <c r="R74" s="76" t="str">
        <f t="shared" si="5"/>
        <v>2026Q2|NFR-02-K3</v>
      </c>
      <c r="S74" s="76" t="s">
        <v>475</v>
      </c>
    </row>
    <row r="75" spans="1:19" ht="29.15" x14ac:dyDescent="0.4">
      <c r="A75" s="76" t="s">
        <v>472</v>
      </c>
      <c r="B75" s="76" t="s">
        <v>516</v>
      </c>
      <c r="C75" s="76" t="s">
        <v>480</v>
      </c>
      <c r="D75" s="77" t="s">
        <v>517</v>
      </c>
      <c r="E75" s="76" t="s">
        <v>1172</v>
      </c>
      <c r="F75" s="76" t="s">
        <v>1173</v>
      </c>
      <c r="G75" s="76">
        <v>1.5</v>
      </c>
      <c r="H75" s="76">
        <v>3</v>
      </c>
      <c r="I75" s="76">
        <v>0.8</v>
      </c>
      <c r="J75" s="78">
        <v>46203</v>
      </c>
      <c r="K75" s="76" t="s">
        <v>1173</v>
      </c>
      <c r="L75" s="77" t="s">
        <v>844</v>
      </c>
      <c r="M75" s="76" t="str">
        <f t="shared" si="4"/>
        <v>Verde</v>
      </c>
      <c r="N75" s="76" t="s">
        <v>653</v>
      </c>
      <c r="O75" s="76" t="s">
        <v>854</v>
      </c>
      <c r="P75" s="76" t="s">
        <v>854</v>
      </c>
      <c r="Q75" s="77" t="s">
        <v>1174</v>
      </c>
      <c r="R75" s="76" t="str">
        <f t="shared" si="5"/>
        <v>2026Q2|NFR-03-K1</v>
      </c>
      <c r="S75" s="76" t="s">
        <v>475</v>
      </c>
    </row>
    <row r="76" spans="1:19" ht="29.15" x14ac:dyDescent="0.4">
      <c r="A76" s="76" t="s">
        <v>472</v>
      </c>
      <c r="B76" s="76" t="s">
        <v>518</v>
      </c>
      <c r="C76" s="76" t="s">
        <v>480</v>
      </c>
      <c r="D76" s="77" t="s">
        <v>519</v>
      </c>
      <c r="E76" s="76" t="s">
        <v>1162</v>
      </c>
      <c r="F76" s="76" t="s">
        <v>1175</v>
      </c>
      <c r="G76" s="76">
        <v>20</v>
      </c>
      <c r="H76" s="76">
        <v>40</v>
      </c>
      <c r="I76" s="76"/>
      <c r="J76" s="78"/>
      <c r="K76" s="76"/>
      <c r="L76" s="77" t="s">
        <v>1200</v>
      </c>
      <c r="M76" s="76" t="str">
        <f t="shared" si="4"/>
        <v>Non rilevato</v>
      </c>
      <c r="N76" s="76" t="s">
        <v>653</v>
      </c>
      <c r="O76" s="76" t="s">
        <v>854</v>
      </c>
      <c r="P76" s="76" t="s">
        <v>854</v>
      </c>
      <c r="Q76" s="77" t="s">
        <v>1174</v>
      </c>
      <c r="R76" s="76" t="str">
        <f t="shared" si="5"/>
        <v>2026Q2|NFR-03-K2</v>
      </c>
      <c r="S76" s="76" t="s">
        <v>475</v>
      </c>
    </row>
    <row r="77" spans="1:19" ht="29.15" x14ac:dyDescent="0.4">
      <c r="A77" s="76" t="s">
        <v>472</v>
      </c>
      <c r="B77" s="76" t="s">
        <v>520</v>
      </c>
      <c r="C77" s="76" t="s">
        <v>480</v>
      </c>
      <c r="D77" s="77" t="s">
        <v>521</v>
      </c>
      <c r="E77" s="76" t="s">
        <v>1170</v>
      </c>
      <c r="F77" s="76" t="s">
        <v>1176</v>
      </c>
      <c r="G77" s="76">
        <v>1</v>
      </c>
      <c r="H77" s="76">
        <v>3</v>
      </c>
      <c r="I77" s="76">
        <v>1</v>
      </c>
      <c r="J77" s="78">
        <v>46203</v>
      </c>
      <c r="K77" s="76" t="s">
        <v>1176</v>
      </c>
      <c r="L77" s="77" t="s">
        <v>844</v>
      </c>
      <c r="M77" s="76" t="str">
        <f t="shared" si="4"/>
        <v>Ambra</v>
      </c>
      <c r="N77" s="76" t="s">
        <v>653</v>
      </c>
      <c r="O77" s="76" t="s">
        <v>854</v>
      </c>
      <c r="P77" s="76" t="s">
        <v>854</v>
      </c>
      <c r="Q77" s="77" t="s">
        <v>1174</v>
      </c>
      <c r="R77" s="76" t="str">
        <f t="shared" si="5"/>
        <v>2026Q2|NFR-03-K3</v>
      </c>
      <c r="S77" s="76" t="s">
        <v>475</v>
      </c>
    </row>
    <row r="78" spans="1:19" ht="29.15" x14ac:dyDescent="0.4">
      <c r="A78" s="76" t="s">
        <v>472</v>
      </c>
      <c r="B78" s="76" t="s">
        <v>522</v>
      </c>
      <c r="C78" s="76" t="s">
        <v>482</v>
      </c>
      <c r="D78" s="77" t="s">
        <v>523</v>
      </c>
      <c r="E78" s="76" t="s">
        <v>1170</v>
      </c>
      <c r="F78" s="76" t="s">
        <v>1177</v>
      </c>
      <c r="G78" s="76">
        <v>1</v>
      </c>
      <c r="H78" s="76">
        <v>3</v>
      </c>
      <c r="I78" s="76">
        <v>2</v>
      </c>
      <c r="J78" s="78">
        <v>46203</v>
      </c>
      <c r="K78" s="76" t="s">
        <v>1177</v>
      </c>
      <c r="L78" s="77" t="s">
        <v>844</v>
      </c>
      <c r="M78" s="76" t="str">
        <f t="shared" si="4"/>
        <v>Ambra</v>
      </c>
      <c r="N78" s="76" t="s">
        <v>653</v>
      </c>
      <c r="O78" s="76" t="s">
        <v>854</v>
      </c>
      <c r="P78" s="76" t="s">
        <v>854</v>
      </c>
      <c r="Q78" s="77" t="s">
        <v>1178</v>
      </c>
      <c r="R78" s="76" t="str">
        <f t="shared" si="5"/>
        <v>2026Q2|NFR-04-K1</v>
      </c>
      <c r="S78" s="76" t="s">
        <v>475</v>
      </c>
    </row>
    <row r="79" spans="1:19" ht="29.15" x14ac:dyDescent="0.4">
      <c r="A79" s="76" t="s">
        <v>472</v>
      </c>
      <c r="B79" s="76" t="s">
        <v>524</v>
      </c>
      <c r="C79" s="76" t="s">
        <v>482</v>
      </c>
      <c r="D79" s="77" t="s">
        <v>525</v>
      </c>
      <c r="E79" s="76" t="s">
        <v>1168</v>
      </c>
      <c r="F79" s="76" t="s">
        <v>1179</v>
      </c>
      <c r="G79" s="76">
        <v>2</v>
      </c>
      <c r="H79" s="76">
        <v>5</v>
      </c>
      <c r="I79" s="76">
        <v>3</v>
      </c>
      <c r="J79" s="78">
        <v>46203</v>
      </c>
      <c r="K79" s="76" t="s">
        <v>1179</v>
      </c>
      <c r="L79" s="77" t="s">
        <v>844</v>
      </c>
      <c r="M79" s="76" t="str">
        <f t="shared" si="4"/>
        <v>Ambra</v>
      </c>
      <c r="N79" s="76" t="s">
        <v>653</v>
      </c>
      <c r="O79" s="76" t="s">
        <v>854</v>
      </c>
      <c r="P79" s="76" t="s">
        <v>854</v>
      </c>
      <c r="Q79" s="77" t="s">
        <v>1178</v>
      </c>
      <c r="R79" s="76" t="str">
        <f t="shared" si="5"/>
        <v>2026Q2|NFR-04-K2</v>
      </c>
      <c r="S79" s="76" t="s">
        <v>475</v>
      </c>
    </row>
    <row r="80" spans="1:19" ht="29.15" x14ac:dyDescent="0.4">
      <c r="A80" s="76" t="s">
        <v>472</v>
      </c>
      <c r="B80" s="76" t="s">
        <v>526</v>
      </c>
      <c r="C80" s="76" t="s">
        <v>482</v>
      </c>
      <c r="D80" s="77" t="s">
        <v>527</v>
      </c>
      <c r="E80" s="76" t="s">
        <v>1164</v>
      </c>
      <c r="F80" s="76" t="s">
        <v>1180</v>
      </c>
      <c r="G80" s="76">
        <v>1</v>
      </c>
      <c r="H80" s="76">
        <v>4</v>
      </c>
      <c r="I80" s="76">
        <v>0.5</v>
      </c>
      <c r="J80" s="78">
        <v>46203</v>
      </c>
      <c r="K80" s="76" t="s">
        <v>1180</v>
      </c>
      <c r="L80" s="77" t="s">
        <v>844</v>
      </c>
      <c r="M80" s="76" t="str">
        <f t="shared" si="4"/>
        <v>Verde</v>
      </c>
      <c r="N80" s="76" t="s">
        <v>653</v>
      </c>
      <c r="O80" s="76" t="s">
        <v>854</v>
      </c>
      <c r="P80" s="76" t="s">
        <v>854</v>
      </c>
      <c r="Q80" s="77" t="s">
        <v>1178</v>
      </c>
      <c r="R80" s="76" t="str">
        <f t="shared" si="5"/>
        <v>2026Q2|NFR-04-K3</v>
      </c>
      <c r="S80" s="76" t="s">
        <v>475</v>
      </c>
    </row>
    <row r="81" spans="1:19" ht="29.15" x14ac:dyDescent="0.4">
      <c r="A81" s="76" t="s">
        <v>472</v>
      </c>
      <c r="B81" s="76" t="s">
        <v>528</v>
      </c>
      <c r="C81" s="76" t="s">
        <v>484</v>
      </c>
      <c r="D81" s="77" t="s">
        <v>529</v>
      </c>
      <c r="E81" s="76" t="s">
        <v>1170</v>
      </c>
      <c r="F81" s="76" t="s">
        <v>1181</v>
      </c>
      <c r="G81" s="76">
        <v>20</v>
      </c>
      <c r="H81" s="76">
        <v>50</v>
      </c>
      <c r="I81" s="76">
        <v>12</v>
      </c>
      <c r="J81" s="78">
        <v>46203</v>
      </c>
      <c r="K81" s="76" t="s">
        <v>1181</v>
      </c>
      <c r="L81" s="77" t="s">
        <v>844</v>
      </c>
      <c r="M81" s="76" t="str">
        <f t="shared" si="4"/>
        <v>Verde</v>
      </c>
      <c r="N81" s="76" t="s">
        <v>653</v>
      </c>
      <c r="O81" s="76" t="s">
        <v>854</v>
      </c>
      <c r="P81" s="76" t="s">
        <v>854</v>
      </c>
      <c r="Q81" s="77" t="s">
        <v>1182</v>
      </c>
      <c r="R81" s="76" t="str">
        <f t="shared" si="5"/>
        <v>2026Q2|NFR-05-K1</v>
      </c>
      <c r="S81" s="76" t="s">
        <v>475</v>
      </c>
    </row>
    <row r="82" spans="1:19" ht="29.15" x14ac:dyDescent="0.4">
      <c r="A82" s="76" t="s">
        <v>472</v>
      </c>
      <c r="B82" s="76" t="s">
        <v>530</v>
      </c>
      <c r="C82" s="76" t="s">
        <v>484</v>
      </c>
      <c r="D82" s="77" t="s">
        <v>531</v>
      </c>
      <c r="E82" s="76" t="s">
        <v>1170</v>
      </c>
      <c r="F82" s="76" t="s">
        <v>1183</v>
      </c>
      <c r="G82" s="76">
        <v>3</v>
      </c>
      <c r="H82" s="76">
        <v>6</v>
      </c>
      <c r="I82" s="76">
        <v>7</v>
      </c>
      <c r="J82" s="78">
        <v>46203</v>
      </c>
      <c r="K82" s="76" t="s">
        <v>1183</v>
      </c>
      <c r="L82" s="77" t="s">
        <v>844</v>
      </c>
      <c r="M82" s="76" t="str">
        <f t="shared" si="4"/>
        <v>Rosso</v>
      </c>
      <c r="N82" s="76" t="s">
        <v>653</v>
      </c>
      <c r="O82" s="76" t="s">
        <v>854</v>
      </c>
      <c r="P82" s="76" t="s">
        <v>854</v>
      </c>
      <c r="Q82" s="77" t="s">
        <v>1182</v>
      </c>
      <c r="R82" s="76" t="str">
        <f t="shared" si="5"/>
        <v>2026Q2|NFR-05-K2</v>
      </c>
      <c r="S82" s="76" t="s">
        <v>475</v>
      </c>
    </row>
    <row r="83" spans="1:19" ht="29.15" x14ac:dyDescent="0.4">
      <c r="A83" s="76" t="s">
        <v>472</v>
      </c>
      <c r="B83" s="76" t="s">
        <v>532</v>
      </c>
      <c r="C83" s="76" t="s">
        <v>484</v>
      </c>
      <c r="D83" s="77" t="s">
        <v>533</v>
      </c>
      <c r="E83" s="76" t="s">
        <v>1162</v>
      </c>
      <c r="F83" s="76" t="s">
        <v>1184</v>
      </c>
      <c r="G83" s="76">
        <v>30</v>
      </c>
      <c r="H83" s="76">
        <v>60</v>
      </c>
      <c r="I83" s="76">
        <v>25</v>
      </c>
      <c r="J83" s="78">
        <v>46203</v>
      </c>
      <c r="K83" s="76" t="s">
        <v>1184</v>
      </c>
      <c r="L83" s="77" t="s">
        <v>844</v>
      </c>
      <c r="M83" s="76" t="str">
        <f t="shared" si="4"/>
        <v>Verde</v>
      </c>
      <c r="N83" s="76" t="s">
        <v>653</v>
      </c>
      <c r="O83" s="76" t="s">
        <v>854</v>
      </c>
      <c r="P83" s="76" t="s">
        <v>854</v>
      </c>
      <c r="Q83" s="77" t="s">
        <v>1182</v>
      </c>
      <c r="R83" s="76" t="str">
        <f t="shared" si="5"/>
        <v>2026Q2|NFR-05-K3</v>
      </c>
      <c r="S83" s="76" t="s">
        <v>475</v>
      </c>
    </row>
    <row r="84" spans="1:19" ht="29.15" x14ac:dyDescent="0.4">
      <c r="A84" s="76" t="s">
        <v>472</v>
      </c>
      <c r="B84" s="76" t="s">
        <v>534</v>
      </c>
      <c r="C84" s="76" t="s">
        <v>486</v>
      </c>
      <c r="D84" s="77" t="s">
        <v>535</v>
      </c>
      <c r="E84" s="76" t="s">
        <v>1187</v>
      </c>
      <c r="F84" s="76" t="s">
        <v>1201</v>
      </c>
      <c r="G84" s="76">
        <v>10</v>
      </c>
      <c r="H84" s="76">
        <v>30</v>
      </c>
      <c r="I84" s="76">
        <v>14</v>
      </c>
      <c r="J84" s="78">
        <v>46203</v>
      </c>
      <c r="K84" s="76" t="s">
        <v>1201</v>
      </c>
      <c r="L84" s="77" t="s">
        <v>844</v>
      </c>
      <c r="M84" s="76" t="str">
        <f t="shared" si="4"/>
        <v>Ambra</v>
      </c>
      <c r="N84" s="76" t="s">
        <v>653</v>
      </c>
      <c r="O84" s="76" t="s">
        <v>1087</v>
      </c>
      <c r="P84" s="76" t="s">
        <v>1087</v>
      </c>
      <c r="Q84" s="77" t="s">
        <v>1202</v>
      </c>
      <c r="R84" s="76" t="str">
        <f t="shared" si="5"/>
        <v>2026Q2|NFR-06-K1</v>
      </c>
      <c r="S84" s="76" t="s">
        <v>475</v>
      </c>
    </row>
    <row r="85" spans="1:19" ht="29.15" x14ac:dyDescent="0.4">
      <c r="A85" s="76" t="s">
        <v>472</v>
      </c>
      <c r="B85" s="76" t="s">
        <v>536</v>
      </c>
      <c r="C85" s="76" t="s">
        <v>486</v>
      </c>
      <c r="D85" s="77" t="s">
        <v>537</v>
      </c>
      <c r="E85" s="76" t="s">
        <v>1162</v>
      </c>
      <c r="F85" s="76" t="s">
        <v>1203</v>
      </c>
      <c r="G85" s="76">
        <v>20</v>
      </c>
      <c r="H85" s="76">
        <v>40</v>
      </c>
      <c r="I85" s="76">
        <v>35</v>
      </c>
      <c r="J85" s="78">
        <v>46203</v>
      </c>
      <c r="K85" s="76" t="s">
        <v>1203</v>
      </c>
      <c r="L85" s="77" t="s">
        <v>844</v>
      </c>
      <c r="M85" s="76" t="str">
        <f t="shared" si="4"/>
        <v>Ambra</v>
      </c>
      <c r="N85" s="76" t="s">
        <v>653</v>
      </c>
      <c r="O85" s="76" t="s">
        <v>1087</v>
      </c>
      <c r="P85" s="76" t="s">
        <v>1087</v>
      </c>
      <c r="Q85" s="77" t="s">
        <v>1202</v>
      </c>
      <c r="R85" s="76" t="str">
        <f t="shared" si="5"/>
        <v>2026Q2|NFR-06-K2</v>
      </c>
      <c r="S85" s="76" t="s">
        <v>496</v>
      </c>
    </row>
    <row r="86" spans="1:19" ht="29.15" x14ac:dyDescent="0.4">
      <c r="A86" s="76" t="s">
        <v>472</v>
      </c>
      <c r="B86" s="76" t="s">
        <v>539</v>
      </c>
      <c r="C86" s="76" t="s">
        <v>486</v>
      </c>
      <c r="D86" s="77" t="s">
        <v>540</v>
      </c>
      <c r="E86" s="76" t="s">
        <v>1170</v>
      </c>
      <c r="F86" s="76" t="s">
        <v>1190</v>
      </c>
      <c r="G86" s="76">
        <v>5</v>
      </c>
      <c r="H86" s="76">
        <v>15</v>
      </c>
      <c r="I86" s="76">
        <v>3</v>
      </c>
      <c r="J86" s="78">
        <v>46203</v>
      </c>
      <c r="K86" s="76" t="s">
        <v>1190</v>
      </c>
      <c r="L86" s="77" t="s">
        <v>844</v>
      </c>
      <c r="M86" s="76" t="str">
        <f t="shared" si="4"/>
        <v>Verde</v>
      </c>
      <c r="N86" s="76" t="s">
        <v>653</v>
      </c>
      <c r="O86" s="76" t="s">
        <v>1087</v>
      </c>
      <c r="P86" s="76" t="s">
        <v>1087</v>
      </c>
      <c r="Q86" s="77" t="s">
        <v>1202</v>
      </c>
      <c r="R86" s="76" t="str">
        <f t="shared" si="5"/>
        <v>2026Q2|NFR-06-K3</v>
      </c>
      <c r="S86" s="76" t="s">
        <v>475</v>
      </c>
    </row>
    <row r="87" spans="1:19" ht="29.15" x14ac:dyDescent="0.4">
      <c r="A87" s="76" t="s">
        <v>472</v>
      </c>
      <c r="B87" s="76" t="s">
        <v>541</v>
      </c>
      <c r="C87" s="76" t="s">
        <v>488</v>
      </c>
      <c r="D87" s="77" t="s">
        <v>542</v>
      </c>
      <c r="E87" s="76" t="s">
        <v>1170</v>
      </c>
      <c r="F87" s="76" t="s">
        <v>1166</v>
      </c>
      <c r="G87" s="76">
        <v>1</v>
      </c>
      <c r="H87" s="76">
        <v>2</v>
      </c>
      <c r="I87" s="76">
        <v>1</v>
      </c>
      <c r="J87" s="78">
        <v>46203</v>
      </c>
      <c r="K87" s="76" t="s">
        <v>1166</v>
      </c>
      <c r="L87" s="77" t="s">
        <v>844</v>
      </c>
      <c r="M87" s="76" t="str">
        <f t="shared" si="4"/>
        <v>Ambra</v>
      </c>
      <c r="N87" s="76" t="s">
        <v>653</v>
      </c>
      <c r="O87" s="76" t="s">
        <v>854</v>
      </c>
      <c r="P87" s="76" t="s">
        <v>854</v>
      </c>
      <c r="Q87" s="77" t="s">
        <v>1185</v>
      </c>
      <c r="R87" s="76" t="str">
        <f t="shared" si="5"/>
        <v>2026Q2|NFR-07-K1</v>
      </c>
      <c r="S87" s="76" t="s">
        <v>475</v>
      </c>
    </row>
    <row r="88" spans="1:19" ht="29.15" x14ac:dyDescent="0.4">
      <c r="A88" s="76" t="s">
        <v>472</v>
      </c>
      <c r="B88" s="76" t="s">
        <v>543</v>
      </c>
      <c r="C88" s="76" t="s">
        <v>488</v>
      </c>
      <c r="D88" s="77" t="s">
        <v>544</v>
      </c>
      <c r="E88" s="76" t="s">
        <v>1164</v>
      </c>
      <c r="F88" s="76" t="s">
        <v>1171</v>
      </c>
      <c r="G88" s="76">
        <v>4</v>
      </c>
      <c r="H88" s="76">
        <v>12</v>
      </c>
      <c r="I88" s="76">
        <v>3</v>
      </c>
      <c r="J88" s="78">
        <v>46203</v>
      </c>
      <c r="K88" s="76" t="s">
        <v>1171</v>
      </c>
      <c r="L88" s="77" t="s">
        <v>844</v>
      </c>
      <c r="M88" s="76" t="str">
        <f t="shared" si="4"/>
        <v>Verde</v>
      </c>
      <c r="N88" s="76" t="s">
        <v>653</v>
      </c>
      <c r="O88" s="76" t="s">
        <v>854</v>
      </c>
      <c r="P88" s="76" t="s">
        <v>854</v>
      </c>
      <c r="Q88" s="77" t="s">
        <v>1185</v>
      </c>
      <c r="R88" s="76" t="str">
        <f t="shared" si="5"/>
        <v>2026Q2|NFR-07-K2</v>
      </c>
      <c r="S88" s="76" t="s">
        <v>475</v>
      </c>
    </row>
    <row r="89" spans="1:19" ht="29.15" x14ac:dyDescent="0.4">
      <c r="A89" s="76" t="s">
        <v>472</v>
      </c>
      <c r="B89" s="76" t="s">
        <v>545</v>
      </c>
      <c r="C89" s="76" t="s">
        <v>488</v>
      </c>
      <c r="D89" s="77" t="s">
        <v>546</v>
      </c>
      <c r="E89" s="76" t="s">
        <v>1170</v>
      </c>
      <c r="F89" s="76" t="s">
        <v>1186</v>
      </c>
      <c r="G89" s="76">
        <v>2</v>
      </c>
      <c r="H89" s="76">
        <v>5</v>
      </c>
      <c r="I89" s="76">
        <v>2</v>
      </c>
      <c r="J89" s="78">
        <v>46203</v>
      </c>
      <c r="K89" s="76" t="s">
        <v>1186</v>
      </c>
      <c r="L89" s="77" t="s">
        <v>844</v>
      </c>
      <c r="M89" s="76" t="str">
        <f t="shared" si="4"/>
        <v>Ambra</v>
      </c>
      <c r="N89" s="76" t="s">
        <v>653</v>
      </c>
      <c r="O89" s="76" t="s">
        <v>854</v>
      </c>
      <c r="P89" s="76" t="s">
        <v>854</v>
      </c>
      <c r="Q89" s="77" t="s">
        <v>1185</v>
      </c>
      <c r="R89" s="76" t="str">
        <f t="shared" si="5"/>
        <v>2026Q2|NFR-07-K3</v>
      </c>
      <c r="S89" s="76" t="s">
        <v>475</v>
      </c>
    </row>
    <row r="90" spans="1:19" ht="29.15" x14ac:dyDescent="0.4">
      <c r="A90" s="76" t="s">
        <v>472</v>
      </c>
      <c r="B90" s="76" t="s">
        <v>547</v>
      </c>
      <c r="C90" s="76" t="s">
        <v>490</v>
      </c>
      <c r="D90" s="77" t="s">
        <v>548</v>
      </c>
      <c r="E90" s="76" t="s">
        <v>1187</v>
      </c>
      <c r="F90" s="76" t="s">
        <v>1188</v>
      </c>
      <c r="G90" s="76">
        <v>20</v>
      </c>
      <c r="H90" s="76">
        <v>50</v>
      </c>
      <c r="I90" s="76">
        <v>24</v>
      </c>
      <c r="J90" s="78">
        <v>46203</v>
      </c>
      <c r="K90" s="76" t="s">
        <v>1188</v>
      </c>
      <c r="L90" s="77" t="s">
        <v>844</v>
      </c>
      <c r="M90" s="76" t="str">
        <f t="shared" si="4"/>
        <v>Ambra</v>
      </c>
      <c r="N90" s="76" t="s">
        <v>653</v>
      </c>
      <c r="O90" s="76" t="s">
        <v>854</v>
      </c>
      <c r="P90" s="76" t="s">
        <v>854</v>
      </c>
      <c r="Q90" s="77" t="s">
        <v>1189</v>
      </c>
      <c r="R90" s="76" t="str">
        <f t="shared" si="5"/>
        <v>2026Q2|NFR-08-K1</v>
      </c>
      <c r="S90" s="76" t="s">
        <v>475</v>
      </c>
    </row>
    <row r="91" spans="1:19" ht="29.15" x14ac:dyDescent="0.4">
      <c r="A91" s="76" t="s">
        <v>472</v>
      </c>
      <c r="B91" s="76" t="s">
        <v>549</v>
      </c>
      <c r="C91" s="76" t="s">
        <v>490</v>
      </c>
      <c r="D91" s="77" t="s">
        <v>550</v>
      </c>
      <c r="E91" s="76" t="s">
        <v>1162</v>
      </c>
      <c r="F91" s="76" t="s">
        <v>1190</v>
      </c>
      <c r="G91" s="76">
        <v>5</v>
      </c>
      <c r="H91" s="76">
        <v>15</v>
      </c>
      <c r="I91" s="76">
        <v>6</v>
      </c>
      <c r="J91" s="78">
        <v>46203</v>
      </c>
      <c r="K91" s="76" t="s">
        <v>1190</v>
      </c>
      <c r="L91" s="77" t="s">
        <v>844</v>
      </c>
      <c r="M91" s="76" t="str">
        <f t="shared" si="4"/>
        <v>Ambra</v>
      </c>
      <c r="N91" s="76" t="s">
        <v>653</v>
      </c>
      <c r="O91" s="76" t="s">
        <v>854</v>
      </c>
      <c r="P91" s="76" t="s">
        <v>854</v>
      </c>
      <c r="Q91" s="77" t="s">
        <v>1189</v>
      </c>
      <c r="R91" s="76" t="str">
        <f t="shared" si="5"/>
        <v>2026Q2|NFR-08-K2</v>
      </c>
      <c r="S91" s="76" t="s">
        <v>475</v>
      </c>
    </row>
    <row r="92" spans="1:19" ht="29.15" x14ac:dyDescent="0.4">
      <c r="A92" s="76" t="s">
        <v>472</v>
      </c>
      <c r="B92" s="76" t="s">
        <v>551</v>
      </c>
      <c r="C92" s="76" t="s">
        <v>490</v>
      </c>
      <c r="D92" s="77" t="s">
        <v>552</v>
      </c>
      <c r="E92" s="76" t="s">
        <v>1170</v>
      </c>
      <c r="F92" s="76" t="s">
        <v>1191</v>
      </c>
      <c r="G92" s="76">
        <v>1</v>
      </c>
      <c r="H92" s="76">
        <v>3</v>
      </c>
      <c r="I92" s="76">
        <v>0</v>
      </c>
      <c r="J92" s="78">
        <v>46203</v>
      </c>
      <c r="K92" s="76" t="s">
        <v>1191</v>
      </c>
      <c r="L92" s="77" t="s">
        <v>844</v>
      </c>
      <c r="M92" s="76" t="str">
        <f t="shared" si="4"/>
        <v>Verde</v>
      </c>
      <c r="N92" s="76" t="s">
        <v>653</v>
      </c>
      <c r="O92" s="76" t="s">
        <v>854</v>
      </c>
      <c r="P92" s="76" t="s">
        <v>854</v>
      </c>
      <c r="Q92" s="77" t="s">
        <v>1189</v>
      </c>
      <c r="R92" s="76" t="str">
        <f t="shared" si="5"/>
        <v>2026Q2|NFR-08-K3</v>
      </c>
      <c r="S92" s="76" t="s">
        <v>475</v>
      </c>
    </row>
    <row r="93" spans="1:19" ht="29.15" x14ac:dyDescent="0.4">
      <c r="A93" s="76" t="s">
        <v>472</v>
      </c>
      <c r="B93" s="76" t="s">
        <v>553</v>
      </c>
      <c r="C93" s="76" t="s">
        <v>492</v>
      </c>
      <c r="D93" s="77" t="s">
        <v>554</v>
      </c>
      <c r="E93" s="76" t="s">
        <v>828</v>
      </c>
      <c r="F93" s="76" t="s">
        <v>1204</v>
      </c>
      <c r="G93" s="76">
        <v>2</v>
      </c>
      <c r="H93" s="76">
        <v>5</v>
      </c>
      <c r="I93" s="76">
        <v>3.8</v>
      </c>
      <c r="J93" s="78">
        <v>46203</v>
      </c>
      <c r="K93" s="76" t="s">
        <v>1204</v>
      </c>
      <c r="L93" s="77" t="s">
        <v>844</v>
      </c>
      <c r="M93" s="76" t="str">
        <f t="shared" si="4"/>
        <v>Ambra</v>
      </c>
      <c r="N93" s="76" t="s">
        <v>653</v>
      </c>
      <c r="O93" s="76" t="s">
        <v>1087</v>
      </c>
      <c r="P93" s="76" t="s">
        <v>1087</v>
      </c>
      <c r="Q93" s="77" t="s">
        <v>1205</v>
      </c>
      <c r="R93" s="76" t="str">
        <f t="shared" si="5"/>
        <v>2026Q2|NFR-09-K1</v>
      </c>
      <c r="S93" s="76" t="s">
        <v>475</v>
      </c>
    </row>
    <row r="94" spans="1:19" ht="29.15" x14ac:dyDescent="0.4">
      <c r="A94" s="76" t="s">
        <v>472</v>
      </c>
      <c r="B94" s="76" t="s">
        <v>555</v>
      </c>
      <c r="C94" s="76" t="s">
        <v>492</v>
      </c>
      <c r="D94" s="77" t="s">
        <v>556</v>
      </c>
      <c r="E94" s="76" t="s">
        <v>1162</v>
      </c>
      <c r="F94" s="76" t="s">
        <v>1206</v>
      </c>
      <c r="G94" s="76">
        <v>5</v>
      </c>
      <c r="H94" s="76">
        <v>15</v>
      </c>
      <c r="I94" s="76">
        <v>11</v>
      </c>
      <c r="J94" s="78">
        <v>46203</v>
      </c>
      <c r="K94" s="76" t="s">
        <v>1206</v>
      </c>
      <c r="L94" s="77" t="s">
        <v>844</v>
      </c>
      <c r="M94" s="76" t="str">
        <f t="shared" si="4"/>
        <v>Ambra</v>
      </c>
      <c r="N94" s="76" t="s">
        <v>653</v>
      </c>
      <c r="O94" s="76" t="s">
        <v>1087</v>
      </c>
      <c r="P94" s="76" t="s">
        <v>1087</v>
      </c>
      <c r="Q94" s="77" t="s">
        <v>1205</v>
      </c>
      <c r="R94" s="76" t="str">
        <f t="shared" si="5"/>
        <v>2026Q2|NFR-09-K2</v>
      </c>
      <c r="S94" s="76" t="s">
        <v>475</v>
      </c>
    </row>
    <row r="95" spans="1:19" ht="29.15" x14ac:dyDescent="0.4">
      <c r="A95" s="76" t="s">
        <v>472</v>
      </c>
      <c r="B95" s="76" t="s">
        <v>557</v>
      </c>
      <c r="C95" s="76" t="s">
        <v>492</v>
      </c>
      <c r="D95" s="77" t="s">
        <v>558</v>
      </c>
      <c r="E95" s="76" t="s">
        <v>1170</v>
      </c>
      <c r="F95" s="76" t="s">
        <v>1207</v>
      </c>
      <c r="G95" s="76">
        <v>1</v>
      </c>
      <c r="H95" s="76">
        <v>3</v>
      </c>
      <c r="I95" s="76">
        <v>1</v>
      </c>
      <c r="J95" s="78">
        <v>46203</v>
      </c>
      <c r="K95" s="76" t="s">
        <v>1207</v>
      </c>
      <c r="L95" s="77" t="s">
        <v>844</v>
      </c>
      <c r="M95" s="76" t="str">
        <f t="shared" si="4"/>
        <v>Ambra</v>
      </c>
      <c r="N95" s="76" t="s">
        <v>653</v>
      </c>
      <c r="O95" s="76" t="s">
        <v>1087</v>
      </c>
      <c r="P95" s="76" t="s">
        <v>1087</v>
      </c>
      <c r="Q95" s="77" t="s">
        <v>1205</v>
      </c>
      <c r="R95" s="76" t="str">
        <f t="shared" si="5"/>
        <v>2026Q2|NFR-09-K3</v>
      </c>
      <c r="S95" s="76" t="s">
        <v>475</v>
      </c>
    </row>
    <row r="96" spans="1:19" ht="29.15" x14ac:dyDescent="0.4">
      <c r="A96" s="76" t="s">
        <v>472</v>
      </c>
      <c r="B96" s="76" t="s">
        <v>559</v>
      </c>
      <c r="C96" s="76" t="s">
        <v>494</v>
      </c>
      <c r="D96" s="77" t="s">
        <v>560</v>
      </c>
      <c r="E96" s="76" t="s">
        <v>1172</v>
      </c>
      <c r="F96" s="76" t="s">
        <v>1208</v>
      </c>
      <c r="G96" s="76">
        <v>2</v>
      </c>
      <c r="H96" s="76">
        <v>5</v>
      </c>
      <c r="I96" s="76">
        <v>1.4</v>
      </c>
      <c r="J96" s="78">
        <v>46203</v>
      </c>
      <c r="K96" s="76" t="s">
        <v>1208</v>
      </c>
      <c r="L96" s="77" t="s">
        <v>844</v>
      </c>
      <c r="M96" s="76" t="str">
        <f t="shared" si="4"/>
        <v>Verde</v>
      </c>
      <c r="N96" s="76" t="s">
        <v>653</v>
      </c>
      <c r="O96" s="76" t="s">
        <v>1087</v>
      </c>
      <c r="P96" s="76" t="s">
        <v>1087</v>
      </c>
      <c r="Q96" s="77" t="s">
        <v>1209</v>
      </c>
      <c r="R96" s="76" t="str">
        <f t="shared" si="5"/>
        <v>2026Q2|NFR-10-K1</v>
      </c>
      <c r="S96" s="76" t="s">
        <v>475</v>
      </c>
    </row>
    <row r="97" spans="1:19" ht="29.15" x14ac:dyDescent="0.4">
      <c r="A97" s="76" t="s">
        <v>472</v>
      </c>
      <c r="B97" s="76" t="s">
        <v>561</v>
      </c>
      <c r="C97" s="76" t="s">
        <v>494</v>
      </c>
      <c r="D97" s="77" t="s">
        <v>562</v>
      </c>
      <c r="E97" s="76" t="s">
        <v>1170</v>
      </c>
      <c r="F97" s="76" t="s">
        <v>1173</v>
      </c>
      <c r="G97" s="76">
        <v>2</v>
      </c>
      <c r="H97" s="76">
        <v>6</v>
      </c>
      <c r="I97" s="76">
        <v>3</v>
      </c>
      <c r="J97" s="78">
        <v>46203</v>
      </c>
      <c r="K97" s="76" t="s">
        <v>1173</v>
      </c>
      <c r="L97" s="77" t="s">
        <v>844</v>
      </c>
      <c r="M97" s="76" t="str">
        <f t="shared" si="4"/>
        <v>Ambra</v>
      </c>
      <c r="N97" s="76" t="s">
        <v>653</v>
      </c>
      <c r="O97" s="76" t="s">
        <v>1087</v>
      </c>
      <c r="P97" s="76" t="s">
        <v>1087</v>
      </c>
      <c r="Q97" s="77" t="s">
        <v>1209</v>
      </c>
      <c r="R97" s="76" t="str">
        <f t="shared" si="5"/>
        <v>2026Q2|NFR-10-K2</v>
      </c>
      <c r="S97" s="76" t="s">
        <v>475</v>
      </c>
    </row>
    <row r="98" spans="1:19" ht="29.15" x14ac:dyDescent="0.4">
      <c r="A98" s="76" t="s">
        <v>472</v>
      </c>
      <c r="B98" s="76" t="s">
        <v>563</v>
      </c>
      <c r="C98" s="76" t="s">
        <v>494</v>
      </c>
      <c r="D98" s="77" t="s">
        <v>564</v>
      </c>
      <c r="E98" s="76" t="s">
        <v>1162</v>
      </c>
      <c r="F98" s="76" t="s">
        <v>1210</v>
      </c>
      <c r="G98" s="76">
        <v>20</v>
      </c>
      <c r="H98" s="76">
        <v>50</v>
      </c>
      <c r="I98" s="76">
        <v>60</v>
      </c>
      <c r="J98" s="78">
        <v>46203</v>
      </c>
      <c r="K98" s="76" t="s">
        <v>1210</v>
      </c>
      <c r="L98" s="77" t="s">
        <v>844</v>
      </c>
      <c r="M98" s="76" t="str">
        <f t="shared" si="4"/>
        <v>Rosso</v>
      </c>
      <c r="N98" s="76" t="s">
        <v>653</v>
      </c>
      <c r="O98" s="76" t="s">
        <v>1087</v>
      </c>
      <c r="P98" s="76" t="s">
        <v>1087</v>
      </c>
      <c r="Q98" s="77" t="s">
        <v>1209</v>
      </c>
      <c r="R98" s="76" t="str">
        <f t="shared" si="5"/>
        <v>2026Q2|NFR-10-K3</v>
      </c>
      <c r="S98" s="76" t="s">
        <v>475</v>
      </c>
    </row>
    <row r="99" spans="1:19" ht="29.15" x14ac:dyDescent="0.4">
      <c r="A99" s="76" t="s">
        <v>472</v>
      </c>
      <c r="B99" s="76" t="s">
        <v>565</v>
      </c>
      <c r="C99" s="76" t="s">
        <v>498</v>
      </c>
      <c r="D99" s="77" t="s">
        <v>566</v>
      </c>
      <c r="E99" s="76" t="s">
        <v>1170</v>
      </c>
      <c r="F99" s="76" t="s">
        <v>1192</v>
      </c>
      <c r="G99" s="76">
        <v>3</v>
      </c>
      <c r="H99" s="76">
        <v>8</v>
      </c>
      <c r="I99" s="76">
        <v>7</v>
      </c>
      <c r="J99" s="78">
        <v>46203</v>
      </c>
      <c r="K99" s="76" t="s">
        <v>1192</v>
      </c>
      <c r="L99" s="77" t="s">
        <v>844</v>
      </c>
      <c r="M99" s="76" t="str">
        <f t="shared" si="4"/>
        <v>Ambra</v>
      </c>
      <c r="N99" s="76" t="s">
        <v>653</v>
      </c>
      <c r="O99" s="76" t="s">
        <v>854</v>
      </c>
      <c r="P99" s="76" t="s">
        <v>854</v>
      </c>
      <c r="Q99" s="77" t="s">
        <v>1193</v>
      </c>
      <c r="R99" s="76" t="str">
        <f t="shared" si="5"/>
        <v>2026Q2|NFR-11-K1</v>
      </c>
      <c r="S99" s="76" t="s">
        <v>475</v>
      </c>
    </row>
    <row r="100" spans="1:19" ht="29.15" x14ac:dyDescent="0.4">
      <c r="A100" s="76" t="s">
        <v>472</v>
      </c>
      <c r="B100" s="76" t="s">
        <v>567</v>
      </c>
      <c r="C100" s="76" t="s">
        <v>498</v>
      </c>
      <c r="D100" s="77" t="s">
        <v>568</v>
      </c>
      <c r="E100" s="76" t="s">
        <v>1170</v>
      </c>
      <c r="F100" s="76" t="s">
        <v>1194</v>
      </c>
      <c r="G100" s="76">
        <v>2</v>
      </c>
      <c r="H100" s="76">
        <v>6</v>
      </c>
      <c r="I100" s="76">
        <v>5</v>
      </c>
      <c r="J100" s="78">
        <v>46203</v>
      </c>
      <c r="K100" s="76" t="s">
        <v>1194</v>
      </c>
      <c r="L100" s="77" t="s">
        <v>844</v>
      </c>
      <c r="M100" s="76" t="str">
        <f t="shared" si="4"/>
        <v>Ambra</v>
      </c>
      <c r="N100" s="76" t="s">
        <v>653</v>
      </c>
      <c r="O100" s="76" t="s">
        <v>854</v>
      </c>
      <c r="P100" s="76" t="s">
        <v>854</v>
      </c>
      <c r="Q100" s="77" t="s">
        <v>1193</v>
      </c>
      <c r="R100" s="76" t="str">
        <f t="shared" si="5"/>
        <v>2026Q2|NFR-11-K2</v>
      </c>
      <c r="S100" s="76" t="s">
        <v>475</v>
      </c>
    </row>
    <row r="101" spans="1:19" ht="29.15" x14ac:dyDescent="0.4">
      <c r="A101" s="76" t="s">
        <v>472</v>
      </c>
      <c r="B101" s="76" t="s">
        <v>569</v>
      </c>
      <c r="C101" s="76" t="s">
        <v>498</v>
      </c>
      <c r="D101" s="77" t="s">
        <v>570</v>
      </c>
      <c r="E101" s="76" t="s">
        <v>1170</v>
      </c>
      <c r="F101" s="76" t="s">
        <v>1195</v>
      </c>
      <c r="G101" s="76">
        <v>1</v>
      </c>
      <c r="H101" s="76">
        <v>3</v>
      </c>
      <c r="I101" s="76">
        <v>2</v>
      </c>
      <c r="J101" s="78">
        <v>46203</v>
      </c>
      <c r="K101" s="76" t="s">
        <v>1195</v>
      </c>
      <c r="L101" s="77" t="s">
        <v>844</v>
      </c>
      <c r="M101" s="76" t="str">
        <f t="shared" si="4"/>
        <v>Ambra</v>
      </c>
      <c r="N101" s="76" t="s">
        <v>653</v>
      </c>
      <c r="O101" s="76" t="s">
        <v>854</v>
      </c>
      <c r="P101" s="76" t="s">
        <v>854</v>
      </c>
      <c r="Q101" s="77" t="s">
        <v>1193</v>
      </c>
      <c r="R101" s="76" t="str">
        <f t="shared" si="5"/>
        <v>2026Q2|NFR-11-K3</v>
      </c>
      <c r="S101" s="76" t="s">
        <v>475</v>
      </c>
    </row>
    <row r="102" spans="1:19" ht="29.15" x14ac:dyDescent="0.4">
      <c r="A102" s="76" t="s">
        <v>472</v>
      </c>
      <c r="B102" s="76" t="s">
        <v>571</v>
      </c>
      <c r="C102" s="76" t="s">
        <v>500</v>
      </c>
      <c r="D102" s="77" t="s">
        <v>572</v>
      </c>
      <c r="E102" s="76" t="s">
        <v>1170</v>
      </c>
      <c r="F102" s="76" t="s">
        <v>1196</v>
      </c>
      <c r="G102" s="76">
        <v>10</v>
      </c>
      <c r="H102" s="76">
        <v>30</v>
      </c>
      <c r="I102" s="76">
        <v>14</v>
      </c>
      <c r="J102" s="78">
        <v>46203</v>
      </c>
      <c r="K102" s="76" t="s">
        <v>1196</v>
      </c>
      <c r="L102" s="77" t="s">
        <v>844</v>
      </c>
      <c r="M102" s="76" t="str">
        <f t="shared" si="4"/>
        <v>Ambra</v>
      </c>
      <c r="N102" s="76" t="s">
        <v>653</v>
      </c>
      <c r="O102" s="76" t="s">
        <v>854</v>
      </c>
      <c r="P102" s="76" t="s">
        <v>854</v>
      </c>
      <c r="Q102" s="77" t="s">
        <v>1197</v>
      </c>
      <c r="R102" s="76" t="str">
        <f t="shared" si="5"/>
        <v>2026Q2|NFR-12-K1</v>
      </c>
      <c r="S102" s="76" t="s">
        <v>475</v>
      </c>
    </row>
    <row r="103" spans="1:19" ht="29.15" x14ac:dyDescent="0.4">
      <c r="A103" s="76" t="s">
        <v>472</v>
      </c>
      <c r="B103" s="76" t="s">
        <v>573</v>
      </c>
      <c r="C103" s="76" t="s">
        <v>500</v>
      </c>
      <c r="D103" s="77" t="s">
        <v>574</v>
      </c>
      <c r="E103" s="76" t="s">
        <v>1170</v>
      </c>
      <c r="F103" s="76" t="s">
        <v>1198</v>
      </c>
      <c r="G103" s="76">
        <v>3</v>
      </c>
      <c r="H103" s="76">
        <v>10</v>
      </c>
      <c r="I103" s="76">
        <v>5</v>
      </c>
      <c r="J103" s="78">
        <v>46203</v>
      </c>
      <c r="K103" s="76" t="s">
        <v>1198</v>
      </c>
      <c r="L103" s="77" t="s">
        <v>844</v>
      </c>
      <c r="M103" s="76" t="str">
        <f t="shared" si="4"/>
        <v>Ambra</v>
      </c>
      <c r="N103" s="76" t="s">
        <v>653</v>
      </c>
      <c r="O103" s="76" t="s">
        <v>854</v>
      </c>
      <c r="P103" s="76" t="s">
        <v>854</v>
      </c>
      <c r="Q103" s="77" t="s">
        <v>1197</v>
      </c>
      <c r="R103" s="76" t="str">
        <f t="shared" si="5"/>
        <v>2026Q2|NFR-12-K2</v>
      </c>
      <c r="S103" s="76" t="s">
        <v>475</v>
      </c>
    </row>
    <row r="104" spans="1:19" ht="29.15" x14ac:dyDescent="0.4">
      <c r="A104" s="76" t="s">
        <v>472</v>
      </c>
      <c r="B104" s="76" t="s">
        <v>575</v>
      </c>
      <c r="C104" s="76" t="s">
        <v>500</v>
      </c>
      <c r="D104" s="77" t="s">
        <v>576</v>
      </c>
      <c r="E104" s="76" t="s">
        <v>1164</v>
      </c>
      <c r="F104" s="76" t="s">
        <v>1199</v>
      </c>
      <c r="G104" s="76">
        <v>4</v>
      </c>
      <c r="H104" s="76">
        <v>12</v>
      </c>
      <c r="I104" s="76">
        <v>5</v>
      </c>
      <c r="J104" s="78">
        <v>46203</v>
      </c>
      <c r="K104" s="76" t="s">
        <v>1199</v>
      </c>
      <c r="L104" s="77" t="s">
        <v>844</v>
      </c>
      <c r="M104" s="76" t="str">
        <f t="shared" si="4"/>
        <v>Ambra</v>
      </c>
      <c r="N104" s="76" t="s">
        <v>653</v>
      </c>
      <c r="O104" s="76" t="s">
        <v>854</v>
      </c>
      <c r="P104" s="76" t="s">
        <v>854</v>
      </c>
      <c r="Q104" s="77" t="s">
        <v>1197</v>
      </c>
      <c r="R104" s="76" t="str">
        <f t="shared" si="5"/>
        <v>2026Q2|NFR-12-K3</v>
      </c>
      <c r="S104" s="76" t="s">
        <v>475</v>
      </c>
    </row>
    <row r="105" spans="1:19" ht="29.15" x14ac:dyDescent="0.4">
      <c r="A105" s="94" t="s">
        <v>1266</v>
      </c>
      <c r="B105" s="94" t="s">
        <v>394</v>
      </c>
      <c r="C105" s="94" t="s">
        <v>473</v>
      </c>
      <c r="D105" s="95" t="s">
        <v>502</v>
      </c>
      <c r="E105" s="94" t="s">
        <v>828</v>
      </c>
      <c r="F105" s="94" t="s">
        <v>831</v>
      </c>
      <c r="G105" s="76">
        <v>3</v>
      </c>
      <c r="H105" s="76">
        <v>6</v>
      </c>
      <c r="I105" s="76">
        <v>5.3</v>
      </c>
      <c r="J105" s="78">
        <v>46295</v>
      </c>
      <c r="K105" s="94" t="s">
        <v>831</v>
      </c>
      <c r="L105" s="95" t="s">
        <v>1267</v>
      </c>
      <c r="M105" s="76" t="str">
        <f t="shared" ref="M105:M141" si="6">IF(H105&lt;G105,"SOGLIE INVERTITE — correggere",IF(I105="","Non rilevato",IF(I105&gt;=H105,"Rosso",IF(I105&gt;=G105,"Ambra","Verde"))))</f>
        <v>Ambra</v>
      </c>
      <c r="N105" s="94" t="s">
        <v>653</v>
      </c>
      <c r="O105" s="94" t="s">
        <v>854</v>
      </c>
      <c r="P105" s="94" t="s">
        <v>1266</v>
      </c>
      <c r="Q105" s="95" t="s">
        <v>1268</v>
      </c>
      <c r="R105" s="76" t="str">
        <f t="shared" ref="R105:R141" si="7">A105&amp;"|"&amp;B105</f>
        <v>2026Q3|NFR-01-K1</v>
      </c>
      <c r="S105" s="94" t="s">
        <v>496</v>
      </c>
    </row>
    <row r="106" spans="1:19" ht="29.15" x14ac:dyDescent="0.4">
      <c r="A106" s="94" t="s">
        <v>1266</v>
      </c>
      <c r="B106" s="94" t="s">
        <v>506</v>
      </c>
      <c r="C106" s="94" t="s">
        <v>473</v>
      </c>
      <c r="D106" s="95" t="s">
        <v>507</v>
      </c>
      <c r="E106" s="94" t="s">
        <v>1162</v>
      </c>
      <c r="F106" s="94" t="s">
        <v>1163</v>
      </c>
      <c r="G106" s="76">
        <v>10</v>
      </c>
      <c r="H106" s="76">
        <v>25</v>
      </c>
      <c r="I106" s="76">
        <v>14</v>
      </c>
      <c r="J106" s="78">
        <v>46295</v>
      </c>
      <c r="K106" s="94" t="s">
        <v>1163</v>
      </c>
      <c r="L106" s="95" t="s">
        <v>1269</v>
      </c>
      <c r="M106" s="76" t="str">
        <f t="shared" si="6"/>
        <v>Ambra</v>
      </c>
      <c r="N106" s="94" t="s">
        <v>653</v>
      </c>
      <c r="O106" s="94" t="s">
        <v>854</v>
      </c>
      <c r="P106" s="94" t="s">
        <v>1266</v>
      </c>
      <c r="Q106" s="95" t="s">
        <v>1270</v>
      </c>
      <c r="R106" s="76" t="str">
        <f t="shared" si="7"/>
        <v>2026Q3|NFR-01-K2</v>
      </c>
      <c r="S106" s="94" t="s">
        <v>475</v>
      </c>
    </row>
    <row r="107" spans="1:19" ht="29.15" x14ac:dyDescent="0.4">
      <c r="A107" s="94" t="s">
        <v>1266</v>
      </c>
      <c r="B107" s="94" t="s">
        <v>508</v>
      </c>
      <c r="C107" s="94" t="s">
        <v>473</v>
      </c>
      <c r="D107" s="95" t="s">
        <v>509</v>
      </c>
      <c r="E107" s="94" t="s">
        <v>1164</v>
      </c>
      <c r="F107" s="94" t="s">
        <v>1165</v>
      </c>
      <c r="G107" s="76">
        <v>4</v>
      </c>
      <c r="H107" s="76">
        <v>12</v>
      </c>
      <c r="I107" s="76">
        <v>3</v>
      </c>
      <c r="J107" s="78">
        <v>46295</v>
      </c>
      <c r="K107" s="94" t="s">
        <v>1165</v>
      </c>
      <c r="L107" s="95" t="s">
        <v>1271</v>
      </c>
      <c r="M107" s="76" t="str">
        <f t="shared" si="6"/>
        <v>Verde</v>
      </c>
      <c r="N107" s="94" t="s">
        <v>653</v>
      </c>
      <c r="O107" s="94" t="s">
        <v>854</v>
      </c>
      <c r="P107" s="94" t="s">
        <v>1266</v>
      </c>
      <c r="Q107" s="95" t="s">
        <v>1272</v>
      </c>
      <c r="R107" s="76" t="str">
        <f t="shared" si="7"/>
        <v>2026Q3|NFR-01-K3</v>
      </c>
      <c r="S107" s="94" t="s">
        <v>475</v>
      </c>
    </row>
    <row r="108" spans="1:19" ht="29.15" x14ac:dyDescent="0.4">
      <c r="A108" s="94" t="s">
        <v>1266</v>
      </c>
      <c r="B108" s="94" t="s">
        <v>510</v>
      </c>
      <c r="C108" s="94" t="s">
        <v>478</v>
      </c>
      <c r="D108" s="95" t="s">
        <v>511</v>
      </c>
      <c r="E108" s="94" t="s">
        <v>1162</v>
      </c>
      <c r="F108" s="94" t="s">
        <v>1166</v>
      </c>
      <c r="G108" s="76">
        <v>60</v>
      </c>
      <c r="H108" s="76">
        <v>75</v>
      </c>
      <c r="I108" s="76">
        <v>72</v>
      </c>
      <c r="J108" s="78">
        <v>46295</v>
      </c>
      <c r="K108" s="94" t="s">
        <v>1166</v>
      </c>
      <c r="L108" s="95" t="s">
        <v>1273</v>
      </c>
      <c r="M108" s="76" t="str">
        <f t="shared" si="6"/>
        <v>Ambra</v>
      </c>
      <c r="N108" s="94" t="s">
        <v>653</v>
      </c>
      <c r="O108" s="94" t="s">
        <v>854</v>
      </c>
      <c r="P108" s="94" t="s">
        <v>1266</v>
      </c>
      <c r="Q108" s="95" t="s">
        <v>1274</v>
      </c>
      <c r="R108" s="76" t="str">
        <f t="shared" si="7"/>
        <v>2026Q3|NFR-02-K1</v>
      </c>
      <c r="S108" s="94" t="s">
        <v>475</v>
      </c>
    </row>
    <row r="109" spans="1:19" ht="29.15" x14ac:dyDescent="0.4">
      <c r="A109" s="94" t="s">
        <v>1266</v>
      </c>
      <c r="B109" s="94" t="s">
        <v>512</v>
      </c>
      <c r="C109" s="94" t="s">
        <v>478</v>
      </c>
      <c r="D109" s="95" t="s">
        <v>513</v>
      </c>
      <c r="E109" s="94" t="s">
        <v>1168</v>
      </c>
      <c r="F109" s="94" t="s">
        <v>1169</v>
      </c>
      <c r="G109" s="76">
        <v>365</v>
      </c>
      <c r="H109" s="76">
        <v>540</v>
      </c>
      <c r="I109" s="76">
        <v>33</v>
      </c>
      <c r="J109" s="78">
        <v>46295</v>
      </c>
      <c r="K109" s="94" t="s">
        <v>1169</v>
      </c>
      <c r="L109" s="95" t="s">
        <v>1275</v>
      </c>
      <c r="M109" s="76" t="str">
        <f t="shared" si="6"/>
        <v>Verde</v>
      </c>
      <c r="N109" s="94" t="s">
        <v>657</v>
      </c>
      <c r="O109" s="94" t="s">
        <v>854</v>
      </c>
      <c r="P109" s="94" t="s">
        <v>854</v>
      </c>
      <c r="Q109" s="95" t="s">
        <v>1167</v>
      </c>
      <c r="R109" s="76" t="str">
        <f t="shared" si="7"/>
        <v>2026Q3|NFR-02-K2</v>
      </c>
      <c r="S109" s="94" t="s">
        <v>475</v>
      </c>
    </row>
    <row r="110" spans="1:19" ht="29.15" x14ac:dyDescent="0.4">
      <c r="A110" s="94" t="s">
        <v>1266</v>
      </c>
      <c r="B110" s="94" t="s">
        <v>514</v>
      </c>
      <c r="C110" s="94" t="s">
        <v>478</v>
      </c>
      <c r="D110" s="95" t="s">
        <v>515</v>
      </c>
      <c r="E110" s="94" t="s">
        <v>1170</v>
      </c>
      <c r="F110" s="94" t="s">
        <v>1171</v>
      </c>
      <c r="G110" s="76">
        <v>2</v>
      </c>
      <c r="H110" s="76">
        <v>4</v>
      </c>
      <c r="I110" s="76">
        <v>0</v>
      </c>
      <c r="J110" s="78">
        <v>46295</v>
      </c>
      <c r="K110" s="94" t="s">
        <v>1171</v>
      </c>
      <c r="L110" s="95" t="s">
        <v>1276</v>
      </c>
      <c r="M110" s="76" t="str">
        <f t="shared" si="6"/>
        <v>Verde</v>
      </c>
      <c r="N110" s="94" t="s">
        <v>653</v>
      </c>
      <c r="O110" s="94" t="s">
        <v>854</v>
      </c>
      <c r="P110" s="94" t="s">
        <v>1266</v>
      </c>
      <c r="Q110" s="95" t="s">
        <v>1277</v>
      </c>
      <c r="R110" s="76" t="str">
        <f t="shared" si="7"/>
        <v>2026Q3|NFR-02-K3</v>
      </c>
      <c r="S110" s="94" t="s">
        <v>475</v>
      </c>
    </row>
    <row r="111" spans="1:19" ht="29.15" x14ac:dyDescent="0.4">
      <c r="A111" s="94" t="s">
        <v>1266</v>
      </c>
      <c r="B111" s="94" t="s">
        <v>516</v>
      </c>
      <c r="C111" s="94" t="s">
        <v>480</v>
      </c>
      <c r="D111" s="95" t="s">
        <v>517</v>
      </c>
      <c r="E111" s="94" t="s">
        <v>1172</v>
      </c>
      <c r="F111" s="94" t="s">
        <v>1173</v>
      </c>
      <c r="G111" s="76">
        <v>1.5</v>
      </c>
      <c r="H111" s="76">
        <v>3</v>
      </c>
      <c r="I111" s="76">
        <v>1.9</v>
      </c>
      <c r="J111" s="78">
        <v>46295</v>
      </c>
      <c r="K111" s="94" t="s">
        <v>1173</v>
      </c>
      <c r="L111" s="95" t="s">
        <v>1278</v>
      </c>
      <c r="M111" s="76" t="str">
        <f t="shared" si="6"/>
        <v>Ambra</v>
      </c>
      <c r="N111" s="94" t="s">
        <v>653</v>
      </c>
      <c r="O111" s="94" t="s">
        <v>854</v>
      </c>
      <c r="P111" s="94" t="s">
        <v>1266</v>
      </c>
      <c r="Q111" s="95" t="s">
        <v>1279</v>
      </c>
      <c r="R111" s="76" t="str">
        <f t="shared" si="7"/>
        <v>2026Q3|NFR-03-K1</v>
      </c>
      <c r="S111" s="94" t="s">
        <v>475</v>
      </c>
    </row>
    <row r="112" spans="1:19" ht="29.15" x14ac:dyDescent="0.4">
      <c r="A112" s="94" t="s">
        <v>1266</v>
      </c>
      <c r="B112" s="94" t="s">
        <v>518</v>
      </c>
      <c r="C112" s="94" t="s">
        <v>480</v>
      </c>
      <c r="D112" s="95" t="s">
        <v>519</v>
      </c>
      <c r="E112" s="94" t="s">
        <v>1162</v>
      </c>
      <c r="F112" s="94" t="s">
        <v>1175</v>
      </c>
      <c r="G112" s="76">
        <v>20</v>
      </c>
      <c r="H112" s="76">
        <v>40</v>
      </c>
      <c r="I112" s="76"/>
      <c r="J112" s="78"/>
      <c r="K112" s="94" t="s">
        <v>1175</v>
      </c>
      <c r="L112" s="95" t="s">
        <v>1280</v>
      </c>
      <c r="M112" s="76" t="str">
        <f t="shared" si="6"/>
        <v>Non rilevato</v>
      </c>
      <c r="N112" s="94" t="s">
        <v>653</v>
      </c>
      <c r="O112" s="94" t="s">
        <v>854</v>
      </c>
      <c r="P112" s="94" t="s">
        <v>1266</v>
      </c>
      <c r="Q112" s="95" t="s">
        <v>1281</v>
      </c>
      <c r="R112" s="76" t="str">
        <f t="shared" si="7"/>
        <v>2026Q3|NFR-03-K2</v>
      </c>
      <c r="S112" s="94" t="s">
        <v>475</v>
      </c>
    </row>
    <row r="113" spans="1:19" ht="29.15" x14ac:dyDescent="0.4">
      <c r="A113" s="94" t="s">
        <v>1266</v>
      </c>
      <c r="B113" s="94" t="s">
        <v>520</v>
      </c>
      <c r="C113" s="94" t="s">
        <v>480</v>
      </c>
      <c r="D113" s="95" t="s">
        <v>521</v>
      </c>
      <c r="E113" s="94" t="s">
        <v>1170</v>
      </c>
      <c r="F113" s="94" t="s">
        <v>1176</v>
      </c>
      <c r="G113" s="76">
        <v>1</v>
      </c>
      <c r="H113" s="76">
        <v>3</v>
      </c>
      <c r="I113" s="76">
        <v>2</v>
      </c>
      <c r="J113" s="78">
        <v>46295</v>
      </c>
      <c r="K113" s="94" t="s">
        <v>1176</v>
      </c>
      <c r="L113" s="95" t="s">
        <v>1282</v>
      </c>
      <c r="M113" s="76" t="str">
        <f t="shared" si="6"/>
        <v>Ambra</v>
      </c>
      <c r="N113" s="94" t="s">
        <v>653</v>
      </c>
      <c r="O113" s="94" t="s">
        <v>854</v>
      </c>
      <c r="P113" s="94" t="s">
        <v>1266</v>
      </c>
      <c r="Q113" s="95" t="s">
        <v>1283</v>
      </c>
      <c r="R113" s="76" t="str">
        <f t="shared" si="7"/>
        <v>2026Q3|NFR-03-K3</v>
      </c>
      <c r="S113" s="94" t="s">
        <v>475</v>
      </c>
    </row>
    <row r="114" spans="1:19" ht="29.15" x14ac:dyDescent="0.4">
      <c r="A114" s="94" t="s">
        <v>1266</v>
      </c>
      <c r="B114" s="94" t="s">
        <v>522</v>
      </c>
      <c r="C114" s="94" t="s">
        <v>482</v>
      </c>
      <c r="D114" s="95" t="s">
        <v>523</v>
      </c>
      <c r="E114" s="94" t="s">
        <v>1170</v>
      </c>
      <c r="F114" s="94" t="s">
        <v>1177</v>
      </c>
      <c r="G114" s="76">
        <v>1</v>
      </c>
      <c r="H114" s="76">
        <v>3</v>
      </c>
      <c r="I114" s="76">
        <v>2</v>
      </c>
      <c r="J114" s="78">
        <v>46295</v>
      </c>
      <c r="K114" s="94" t="s">
        <v>1177</v>
      </c>
      <c r="L114" s="95" t="s">
        <v>1284</v>
      </c>
      <c r="M114" s="76" t="str">
        <f t="shared" si="6"/>
        <v>Ambra</v>
      </c>
      <c r="N114" s="94" t="s">
        <v>653</v>
      </c>
      <c r="O114" s="94" t="s">
        <v>854</v>
      </c>
      <c r="P114" s="94" t="s">
        <v>1266</v>
      </c>
      <c r="Q114" s="95" t="s">
        <v>1285</v>
      </c>
      <c r="R114" s="76" t="str">
        <f t="shared" si="7"/>
        <v>2026Q3|NFR-04-K1</v>
      </c>
      <c r="S114" s="94" t="s">
        <v>475</v>
      </c>
    </row>
    <row r="115" spans="1:19" ht="29.15" x14ac:dyDescent="0.4">
      <c r="A115" s="94" t="s">
        <v>1266</v>
      </c>
      <c r="B115" s="94" t="s">
        <v>524</v>
      </c>
      <c r="C115" s="94" t="s">
        <v>482</v>
      </c>
      <c r="D115" s="95" t="s">
        <v>525</v>
      </c>
      <c r="E115" s="94" t="s">
        <v>1168</v>
      </c>
      <c r="F115" s="94" t="s">
        <v>1179</v>
      </c>
      <c r="G115" s="76">
        <v>2</v>
      </c>
      <c r="H115" s="76">
        <v>5</v>
      </c>
      <c r="I115" s="76">
        <v>0</v>
      </c>
      <c r="J115" s="78">
        <v>46295</v>
      </c>
      <c r="K115" s="94" t="s">
        <v>1179</v>
      </c>
      <c r="L115" s="95" t="s">
        <v>1286</v>
      </c>
      <c r="M115" s="76" t="str">
        <f t="shared" si="6"/>
        <v>Verde</v>
      </c>
      <c r="N115" s="94" t="s">
        <v>653</v>
      </c>
      <c r="O115" s="94" t="s">
        <v>854</v>
      </c>
      <c r="P115" s="94" t="s">
        <v>1266</v>
      </c>
      <c r="Q115" s="95" t="s">
        <v>1287</v>
      </c>
      <c r="R115" s="76" t="str">
        <f t="shared" si="7"/>
        <v>2026Q3|NFR-04-K2</v>
      </c>
      <c r="S115" s="94" t="s">
        <v>475</v>
      </c>
    </row>
    <row r="116" spans="1:19" ht="29.15" x14ac:dyDescent="0.4">
      <c r="A116" s="94" t="s">
        <v>1266</v>
      </c>
      <c r="B116" s="94" t="s">
        <v>526</v>
      </c>
      <c r="C116" s="94" t="s">
        <v>482</v>
      </c>
      <c r="D116" s="95" t="s">
        <v>527</v>
      </c>
      <c r="E116" s="94" t="s">
        <v>1164</v>
      </c>
      <c r="F116" s="94" t="s">
        <v>1180</v>
      </c>
      <c r="G116" s="76">
        <v>1</v>
      </c>
      <c r="H116" s="76">
        <v>4</v>
      </c>
      <c r="I116" s="76">
        <v>0.5</v>
      </c>
      <c r="J116" s="78">
        <v>46295</v>
      </c>
      <c r="K116" s="94" t="s">
        <v>1180</v>
      </c>
      <c r="L116" s="95" t="s">
        <v>1288</v>
      </c>
      <c r="M116" s="76" t="str">
        <f t="shared" si="6"/>
        <v>Verde</v>
      </c>
      <c r="N116" s="94" t="s">
        <v>653</v>
      </c>
      <c r="O116" s="94" t="s">
        <v>854</v>
      </c>
      <c r="P116" s="94" t="s">
        <v>1266</v>
      </c>
      <c r="Q116" s="95" t="s">
        <v>1289</v>
      </c>
      <c r="R116" s="76" t="str">
        <f t="shared" si="7"/>
        <v>2026Q3|NFR-04-K3</v>
      </c>
      <c r="S116" s="94" t="s">
        <v>475</v>
      </c>
    </row>
    <row r="117" spans="1:19" ht="29.15" x14ac:dyDescent="0.4">
      <c r="A117" s="94" t="s">
        <v>1266</v>
      </c>
      <c r="B117" s="94" t="s">
        <v>528</v>
      </c>
      <c r="C117" s="94" t="s">
        <v>484</v>
      </c>
      <c r="D117" s="95" t="s">
        <v>529</v>
      </c>
      <c r="E117" s="94" t="s">
        <v>1170</v>
      </c>
      <c r="F117" s="94" t="s">
        <v>1181</v>
      </c>
      <c r="G117" s="76">
        <v>20</v>
      </c>
      <c r="H117" s="76">
        <v>50</v>
      </c>
      <c r="I117" s="76">
        <v>9</v>
      </c>
      <c r="J117" s="78">
        <v>46295</v>
      </c>
      <c r="K117" s="94" t="s">
        <v>1181</v>
      </c>
      <c r="L117" s="95" t="s">
        <v>1290</v>
      </c>
      <c r="M117" s="76" t="str">
        <f t="shared" si="6"/>
        <v>Verde</v>
      </c>
      <c r="N117" s="94" t="s">
        <v>653</v>
      </c>
      <c r="O117" s="94" t="s">
        <v>854</v>
      </c>
      <c r="P117" s="94" t="s">
        <v>1266</v>
      </c>
      <c r="Q117" s="95" t="s">
        <v>1291</v>
      </c>
      <c r="R117" s="76" t="str">
        <f t="shared" si="7"/>
        <v>2026Q3|NFR-05-K1</v>
      </c>
      <c r="S117" s="94" t="s">
        <v>475</v>
      </c>
    </row>
    <row r="118" spans="1:19" x14ac:dyDescent="0.4">
      <c r="A118" s="94" t="s">
        <v>1266</v>
      </c>
      <c r="B118" s="94" t="s">
        <v>530</v>
      </c>
      <c r="C118" s="94" t="s">
        <v>484</v>
      </c>
      <c r="D118" s="95" t="s">
        <v>531</v>
      </c>
      <c r="E118" s="94" t="s">
        <v>1170</v>
      </c>
      <c r="F118" s="94" t="s">
        <v>1183</v>
      </c>
      <c r="G118" s="76">
        <v>3</v>
      </c>
      <c r="H118" s="76">
        <v>6</v>
      </c>
      <c r="I118" s="76">
        <v>4</v>
      </c>
      <c r="J118" s="78">
        <v>46295</v>
      </c>
      <c r="K118" s="94" t="s">
        <v>1183</v>
      </c>
      <c r="L118" s="95" t="s">
        <v>1292</v>
      </c>
      <c r="M118" s="76" t="str">
        <f t="shared" si="6"/>
        <v>Ambra</v>
      </c>
      <c r="N118" s="94" t="s">
        <v>653</v>
      </c>
      <c r="O118" s="94" t="s">
        <v>854</v>
      </c>
      <c r="P118" s="94" t="s">
        <v>1266</v>
      </c>
      <c r="Q118" s="95" t="s">
        <v>1293</v>
      </c>
      <c r="R118" s="76" t="str">
        <f t="shared" si="7"/>
        <v>2026Q3|NFR-05-K2</v>
      </c>
      <c r="S118" s="94" t="s">
        <v>475</v>
      </c>
    </row>
    <row r="119" spans="1:19" ht="29.15" x14ac:dyDescent="0.4">
      <c r="A119" s="94" t="s">
        <v>1266</v>
      </c>
      <c r="B119" s="94" t="s">
        <v>532</v>
      </c>
      <c r="C119" s="94" t="s">
        <v>484</v>
      </c>
      <c r="D119" s="95" t="s">
        <v>533</v>
      </c>
      <c r="E119" s="94" t="s">
        <v>1162</v>
      </c>
      <c r="F119" s="94" t="s">
        <v>1184</v>
      </c>
      <c r="G119" s="76">
        <v>30</v>
      </c>
      <c r="H119" s="76">
        <v>60</v>
      </c>
      <c r="I119" s="76">
        <v>18</v>
      </c>
      <c r="J119" s="78">
        <v>46295</v>
      </c>
      <c r="K119" s="94" t="s">
        <v>1184</v>
      </c>
      <c r="L119" s="95" t="s">
        <v>1294</v>
      </c>
      <c r="M119" s="76" t="str">
        <f t="shared" si="6"/>
        <v>Verde</v>
      </c>
      <c r="N119" s="94" t="s">
        <v>653</v>
      </c>
      <c r="O119" s="94" t="s">
        <v>854</v>
      </c>
      <c r="P119" s="94" t="s">
        <v>1266</v>
      </c>
      <c r="Q119" s="95" t="s">
        <v>1295</v>
      </c>
      <c r="R119" s="76" t="str">
        <f t="shared" si="7"/>
        <v>2026Q3|NFR-05-K3</v>
      </c>
      <c r="S119" s="94" t="s">
        <v>475</v>
      </c>
    </row>
    <row r="120" spans="1:19" ht="29.15" x14ac:dyDescent="0.4">
      <c r="A120" s="94" t="s">
        <v>1266</v>
      </c>
      <c r="B120" s="94" t="s">
        <v>534</v>
      </c>
      <c r="C120" s="94" t="s">
        <v>486</v>
      </c>
      <c r="D120" s="95" t="s">
        <v>535</v>
      </c>
      <c r="E120" s="94" t="s">
        <v>1187</v>
      </c>
      <c r="F120" s="94" t="s">
        <v>1201</v>
      </c>
      <c r="G120" s="76">
        <v>10</v>
      </c>
      <c r="H120" s="76">
        <v>30</v>
      </c>
      <c r="I120" s="76">
        <v>6</v>
      </c>
      <c r="J120" s="78">
        <v>46295</v>
      </c>
      <c r="K120" s="94" t="s">
        <v>1201</v>
      </c>
      <c r="L120" s="95" t="s">
        <v>1296</v>
      </c>
      <c r="M120" s="76" t="str">
        <f t="shared" si="6"/>
        <v>Verde</v>
      </c>
      <c r="N120" s="94" t="s">
        <v>653</v>
      </c>
      <c r="O120" s="94" t="s">
        <v>1087</v>
      </c>
      <c r="P120" s="94" t="s">
        <v>1266</v>
      </c>
      <c r="Q120" s="95" t="s">
        <v>1297</v>
      </c>
      <c r="R120" s="76" t="str">
        <f t="shared" si="7"/>
        <v>2026Q3|NFR-06-K1</v>
      </c>
      <c r="S120" s="94" t="s">
        <v>475</v>
      </c>
    </row>
    <row r="121" spans="1:19" ht="29.15" x14ac:dyDescent="0.4">
      <c r="A121" s="94" t="s">
        <v>1266</v>
      </c>
      <c r="B121" s="94" t="s">
        <v>536</v>
      </c>
      <c r="C121" s="94" t="s">
        <v>486</v>
      </c>
      <c r="D121" s="95" t="s">
        <v>537</v>
      </c>
      <c r="E121" s="94" t="s">
        <v>1162</v>
      </c>
      <c r="F121" s="94" t="s">
        <v>1203</v>
      </c>
      <c r="G121" s="76">
        <v>20</v>
      </c>
      <c r="H121" s="76">
        <v>40</v>
      </c>
      <c r="I121" s="76">
        <v>22</v>
      </c>
      <c r="J121" s="78">
        <v>46295</v>
      </c>
      <c r="K121" s="94" t="s">
        <v>1203</v>
      </c>
      <c r="L121" s="95" t="s">
        <v>1298</v>
      </c>
      <c r="M121" s="76" t="str">
        <f t="shared" si="6"/>
        <v>Ambra</v>
      </c>
      <c r="N121" s="94" t="s">
        <v>653</v>
      </c>
      <c r="O121" s="94" t="s">
        <v>1087</v>
      </c>
      <c r="P121" s="94" t="s">
        <v>1266</v>
      </c>
      <c r="Q121" s="95" t="s">
        <v>1299</v>
      </c>
      <c r="R121" s="76" t="str">
        <f t="shared" si="7"/>
        <v>2026Q3|NFR-06-K2</v>
      </c>
      <c r="S121" s="94" t="s">
        <v>475</v>
      </c>
    </row>
    <row r="122" spans="1:19" ht="29.15" x14ac:dyDescent="0.4">
      <c r="A122" s="94" t="s">
        <v>1266</v>
      </c>
      <c r="B122" s="94" t="s">
        <v>539</v>
      </c>
      <c r="C122" s="94" t="s">
        <v>486</v>
      </c>
      <c r="D122" s="95" t="s">
        <v>540</v>
      </c>
      <c r="E122" s="94" t="s">
        <v>1170</v>
      </c>
      <c r="F122" s="94" t="s">
        <v>1190</v>
      </c>
      <c r="G122" s="76">
        <v>5</v>
      </c>
      <c r="H122" s="76">
        <v>15</v>
      </c>
      <c r="I122" s="76">
        <v>2</v>
      </c>
      <c r="J122" s="78">
        <v>46295</v>
      </c>
      <c r="K122" s="94" t="s">
        <v>1190</v>
      </c>
      <c r="L122" s="95" t="s">
        <v>1271</v>
      </c>
      <c r="M122" s="76" t="str">
        <f t="shared" si="6"/>
        <v>Verde</v>
      </c>
      <c r="N122" s="94" t="s">
        <v>653</v>
      </c>
      <c r="O122" s="94" t="s">
        <v>1087</v>
      </c>
      <c r="P122" s="94" t="s">
        <v>1266</v>
      </c>
      <c r="Q122" s="95" t="s">
        <v>1300</v>
      </c>
      <c r="R122" s="76" t="str">
        <f t="shared" si="7"/>
        <v>2026Q3|NFR-06-K3</v>
      </c>
      <c r="S122" s="94" t="s">
        <v>475</v>
      </c>
    </row>
    <row r="123" spans="1:19" ht="29.15" x14ac:dyDescent="0.4">
      <c r="A123" s="94" t="s">
        <v>1266</v>
      </c>
      <c r="B123" s="94" t="s">
        <v>541</v>
      </c>
      <c r="C123" s="94" t="s">
        <v>488</v>
      </c>
      <c r="D123" s="95" t="s">
        <v>542</v>
      </c>
      <c r="E123" s="94" t="s">
        <v>1170</v>
      </c>
      <c r="F123" s="94" t="s">
        <v>1166</v>
      </c>
      <c r="G123" s="76">
        <v>1</v>
      </c>
      <c r="H123" s="76">
        <v>2</v>
      </c>
      <c r="I123" s="76">
        <v>1</v>
      </c>
      <c r="J123" s="78">
        <v>46295</v>
      </c>
      <c r="K123" s="94" t="s">
        <v>1166</v>
      </c>
      <c r="L123" s="95" t="s">
        <v>1301</v>
      </c>
      <c r="M123" s="76" t="str">
        <f t="shared" si="6"/>
        <v>Ambra</v>
      </c>
      <c r="N123" s="94" t="s">
        <v>653</v>
      </c>
      <c r="O123" s="94" t="s">
        <v>854</v>
      </c>
      <c r="P123" s="94" t="s">
        <v>1266</v>
      </c>
      <c r="Q123" s="95" t="s">
        <v>1185</v>
      </c>
      <c r="R123" s="76" t="str">
        <f t="shared" si="7"/>
        <v>2026Q3|NFR-07-K1</v>
      </c>
      <c r="S123" s="94" t="s">
        <v>475</v>
      </c>
    </row>
    <row r="124" spans="1:19" ht="29.15" x14ac:dyDescent="0.4">
      <c r="A124" s="94" t="s">
        <v>1266</v>
      </c>
      <c r="B124" s="94" t="s">
        <v>543</v>
      </c>
      <c r="C124" s="94" t="s">
        <v>488</v>
      </c>
      <c r="D124" s="95" t="s">
        <v>544</v>
      </c>
      <c r="E124" s="94" t="s">
        <v>1164</v>
      </c>
      <c r="F124" s="94" t="s">
        <v>1171</v>
      </c>
      <c r="G124" s="76">
        <v>4</v>
      </c>
      <c r="H124" s="76">
        <v>12</v>
      </c>
      <c r="I124" s="76">
        <v>2.5</v>
      </c>
      <c r="J124" s="78">
        <v>46295</v>
      </c>
      <c r="K124" s="94" t="s">
        <v>1171</v>
      </c>
      <c r="L124" s="95" t="s">
        <v>1301</v>
      </c>
      <c r="M124" s="76" t="str">
        <f t="shared" si="6"/>
        <v>Verde</v>
      </c>
      <c r="N124" s="94" t="s">
        <v>653</v>
      </c>
      <c r="O124" s="94" t="s">
        <v>854</v>
      </c>
      <c r="P124" s="94" t="s">
        <v>1266</v>
      </c>
      <c r="Q124" s="95" t="s">
        <v>1185</v>
      </c>
      <c r="R124" s="76" t="str">
        <f t="shared" si="7"/>
        <v>2026Q3|NFR-07-K2</v>
      </c>
      <c r="S124" s="94" t="s">
        <v>475</v>
      </c>
    </row>
    <row r="125" spans="1:19" ht="29.15" x14ac:dyDescent="0.4">
      <c r="A125" s="94" t="s">
        <v>1266</v>
      </c>
      <c r="B125" s="94" t="s">
        <v>545</v>
      </c>
      <c r="C125" s="94" t="s">
        <v>488</v>
      </c>
      <c r="D125" s="95" t="s">
        <v>546</v>
      </c>
      <c r="E125" s="94" t="s">
        <v>1170</v>
      </c>
      <c r="F125" s="94" t="s">
        <v>1186</v>
      </c>
      <c r="G125" s="76">
        <v>2</v>
      </c>
      <c r="H125" s="76">
        <v>5</v>
      </c>
      <c r="I125" s="76">
        <v>2</v>
      </c>
      <c r="J125" s="78">
        <v>46295</v>
      </c>
      <c r="K125" s="94" t="s">
        <v>1186</v>
      </c>
      <c r="L125" s="95" t="s">
        <v>1301</v>
      </c>
      <c r="M125" s="76" t="str">
        <f t="shared" si="6"/>
        <v>Ambra</v>
      </c>
      <c r="N125" s="94" t="s">
        <v>653</v>
      </c>
      <c r="O125" s="94" t="s">
        <v>854</v>
      </c>
      <c r="P125" s="94" t="s">
        <v>1266</v>
      </c>
      <c r="Q125" s="95" t="s">
        <v>1185</v>
      </c>
      <c r="R125" s="76" t="str">
        <f t="shared" si="7"/>
        <v>2026Q3|NFR-07-K3</v>
      </c>
      <c r="S125" s="94" t="s">
        <v>475</v>
      </c>
    </row>
    <row r="126" spans="1:19" ht="29.15" x14ac:dyDescent="0.4">
      <c r="A126" s="94" t="s">
        <v>1266</v>
      </c>
      <c r="B126" s="94" t="s">
        <v>547</v>
      </c>
      <c r="C126" s="94" t="s">
        <v>490</v>
      </c>
      <c r="D126" s="95" t="s">
        <v>548</v>
      </c>
      <c r="E126" s="94" t="s">
        <v>1187</v>
      </c>
      <c r="F126" s="94" t="s">
        <v>1188</v>
      </c>
      <c r="G126" s="76">
        <v>20</v>
      </c>
      <c r="H126" s="76">
        <v>50</v>
      </c>
      <c r="I126" s="76">
        <v>22</v>
      </c>
      <c r="J126" s="78">
        <v>46295</v>
      </c>
      <c r="K126" s="94" t="s">
        <v>1188</v>
      </c>
      <c r="L126" s="95" t="s">
        <v>1301</v>
      </c>
      <c r="M126" s="76" t="str">
        <f t="shared" si="6"/>
        <v>Ambra</v>
      </c>
      <c r="N126" s="94" t="s">
        <v>653</v>
      </c>
      <c r="O126" s="94" t="s">
        <v>854</v>
      </c>
      <c r="P126" s="94" t="s">
        <v>1266</v>
      </c>
      <c r="Q126" s="95" t="s">
        <v>1189</v>
      </c>
      <c r="R126" s="76" t="str">
        <f t="shared" si="7"/>
        <v>2026Q3|NFR-08-K1</v>
      </c>
      <c r="S126" s="94" t="s">
        <v>475</v>
      </c>
    </row>
    <row r="127" spans="1:19" ht="29.15" x14ac:dyDescent="0.4">
      <c r="A127" s="94" t="s">
        <v>1266</v>
      </c>
      <c r="B127" s="94" t="s">
        <v>549</v>
      </c>
      <c r="C127" s="94" t="s">
        <v>490</v>
      </c>
      <c r="D127" s="95" t="s">
        <v>550</v>
      </c>
      <c r="E127" s="94" t="s">
        <v>1162</v>
      </c>
      <c r="F127" s="94" t="s">
        <v>1190</v>
      </c>
      <c r="G127" s="76">
        <v>5</v>
      </c>
      <c r="H127" s="76">
        <v>15</v>
      </c>
      <c r="I127" s="76">
        <v>5</v>
      </c>
      <c r="J127" s="78">
        <v>46295</v>
      </c>
      <c r="K127" s="94" t="s">
        <v>1190</v>
      </c>
      <c r="L127" s="95" t="s">
        <v>1301</v>
      </c>
      <c r="M127" s="76" t="str">
        <f t="shared" si="6"/>
        <v>Ambra</v>
      </c>
      <c r="N127" s="94" t="s">
        <v>653</v>
      </c>
      <c r="O127" s="94" t="s">
        <v>854</v>
      </c>
      <c r="P127" s="94" t="s">
        <v>1266</v>
      </c>
      <c r="Q127" s="95" t="s">
        <v>1189</v>
      </c>
      <c r="R127" s="76" t="str">
        <f t="shared" si="7"/>
        <v>2026Q3|NFR-08-K2</v>
      </c>
      <c r="S127" s="94" t="s">
        <v>475</v>
      </c>
    </row>
    <row r="128" spans="1:19" ht="29.15" x14ac:dyDescent="0.4">
      <c r="A128" s="94" t="s">
        <v>1266</v>
      </c>
      <c r="B128" s="94" t="s">
        <v>551</v>
      </c>
      <c r="C128" s="94" t="s">
        <v>490</v>
      </c>
      <c r="D128" s="95" t="s">
        <v>552</v>
      </c>
      <c r="E128" s="94" t="s">
        <v>1170</v>
      </c>
      <c r="F128" s="94" t="s">
        <v>1191</v>
      </c>
      <c r="G128" s="76">
        <v>1</v>
      </c>
      <c r="H128" s="76">
        <v>3</v>
      </c>
      <c r="I128" s="76">
        <v>0</v>
      </c>
      <c r="J128" s="78">
        <v>46295</v>
      </c>
      <c r="K128" s="94" t="s">
        <v>1191</v>
      </c>
      <c r="L128" s="95" t="s">
        <v>1301</v>
      </c>
      <c r="M128" s="76" t="str">
        <f t="shared" si="6"/>
        <v>Verde</v>
      </c>
      <c r="N128" s="94" t="s">
        <v>653</v>
      </c>
      <c r="O128" s="94" t="s">
        <v>854</v>
      </c>
      <c r="P128" s="94" t="s">
        <v>1266</v>
      </c>
      <c r="Q128" s="95" t="s">
        <v>1189</v>
      </c>
      <c r="R128" s="76" t="str">
        <f t="shared" si="7"/>
        <v>2026Q3|NFR-08-K3</v>
      </c>
      <c r="S128" s="94" t="s">
        <v>475</v>
      </c>
    </row>
    <row r="129" spans="1:19" ht="29.15" x14ac:dyDescent="0.4">
      <c r="A129" s="94" t="s">
        <v>1266</v>
      </c>
      <c r="B129" s="94" t="s">
        <v>553</v>
      </c>
      <c r="C129" s="94" t="s">
        <v>492</v>
      </c>
      <c r="D129" s="95" t="s">
        <v>554</v>
      </c>
      <c r="E129" s="94" t="s">
        <v>828</v>
      </c>
      <c r="F129" s="94" t="s">
        <v>1204</v>
      </c>
      <c r="G129" s="76">
        <v>2</v>
      </c>
      <c r="H129" s="76">
        <v>5</v>
      </c>
      <c r="I129" s="76">
        <v>4.2</v>
      </c>
      <c r="J129" s="78">
        <v>46295</v>
      </c>
      <c r="K129" s="94" t="s">
        <v>1204</v>
      </c>
      <c r="L129" s="95" t="s">
        <v>1301</v>
      </c>
      <c r="M129" s="76" t="str">
        <f t="shared" si="6"/>
        <v>Ambra</v>
      </c>
      <c r="N129" s="94" t="s">
        <v>653</v>
      </c>
      <c r="O129" s="94" t="s">
        <v>1087</v>
      </c>
      <c r="P129" s="94" t="s">
        <v>1266</v>
      </c>
      <c r="Q129" s="95" t="s">
        <v>1205</v>
      </c>
      <c r="R129" s="76" t="str">
        <f t="shared" si="7"/>
        <v>2026Q3|NFR-09-K1</v>
      </c>
      <c r="S129" s="94" t="s">
        <v>475</v>
      </c>
    </row>
    <row r="130" spans="1:19" ht="29.15" x14ac:dyDescent="0.4">
      <c r="A130" s="94" t="s">
        <v>1266</v>
      </c>
      <c r="B130" s="94" t="s">
        <v>555</v>
      </c>
      <c r="C130" s="94" t="s">
        <v>492</v>
      </c>
      <c r="D130" s="95" t="s">
        <v>556</v>
      </c>
      <c r="E130" s="94" t="s">
        <v>1162</v>
      </c>
      <c r="F130" s="94" t="s">
        <v>1206</v>
      </c>
      <c r="G130" s="76">
        <v>5</v>
      </c>
      <c r="H130" s="76">
        <v>15</v>
      </c>
      <c r="I130" s="76">
        <v>9</v>
      </c>
      <c r="J130" s="78">
        <v>46295</v>
      </c>
      <c r="K130" s="94" t="s">
        <v>1206</v>
      </c>
      <c r="L130" s="95" t="s">
        <v>1301</v>
      </c>
      <c r="M130" s="76" t="str">
        <f t="shared" si="6"/>
        <v>Ambra</v>
      </c>
      <c r="N130" s="94" t="s">
        <v>653</v>
      </c>
      <c r="O130" s="94" t="s">
        <v>1087</v>
      </c>
      <c r="P130" s="94" t="s">
        <v>1266</v>
      </c>
      <c r="Q130" s="95" t="s">
        <v>1205</v>
      </c>
      <c r="R130" s="76" t="str">
        <f t="shared" si="7"/>
        <v>2026Q3|NFR-09-K2</v>
      </c>
      <c r="S130" s="94" t="s">
        <v>475</v>
      </c>
    </row>
    <row r="131" spans="1:19" ht="29.15" x14ac:dyDescent="0.4">
      <c r="A131" s="94" t="s">
        <v>1266</v>
      </c>
      <c r="B131" s="94" t="s">
        <v>557</v>
      </c>
      <c r="C131" s="94" t="s">
        <v>492</v>
      </c>
      <c r="D131" s="95" t="s">
        <v>558</v>
      </c>
      <c r="E131" s="94" t="s">
        <v>1170</v>
      </c>
      <c r="F131" s="94" t="s">
        <v>1207</v>
      </c>
      <c r="G131" s="76">
        <v>1</v>
      </c>
      <c r="H131" s="76">
        <v>3</v>
      </c>
      <c r="I131" s="76">
        <v>0</v>
      </c>
      <c r="J131" s="78">
        <v>46295</v>
      </c>
      <c r="K131" s="94" t="s">
        <v>1207</v>
      </c>
      <c r="L131" s="95" t="s">
        <v>1301</v>
      </c>
      <c r="M131" s="76" t="str">
        <f t="shared" si="6"/>
        <v>Verde</v>
      </c>
      <c r="N131" s="94" t="s">
        <v>653</v>
      </c>
      <c r="O131" s="94" t="s">
        <v>1087</v>
      </c>
      <c r="P131" s="94" t="s">
        <v>1266</v>
      </c>
      <c r="Q131" s="95" t="s">
        <v>1205</v>
      </c>
      <c r="R131" s="76" t="str">
        <f t="shared" si="7"/>
        <v>2026Q3|NFR-09-K3</v>
      </c>
      <c r="S131" s="94" t="s">
        <v>475</v>
      </c>
    </row>
    <row r="132" spans="1:19" ht="29.15" x14ac:dyDescent="0.4">
      <c r="A132" s="94" t="s">
        <v>1266</v>
      </c>
      <c r="B132" s="94" t="s">
        <v>559</v>
      </c>
      <c r="C132" s="94" t="s">
        <v>494</v>
      </c>
      <c r="D132" s="95" t="s">
        <v>560</v>
      </c>
      <c r="E132" s="94" t="s">
        <v>1172</v>
      </c>
      <c r="F132" s="94" t="s">
        <v>1208</v>
      </c>
      <c r="G132" s="76">
        <v>2</v>
      </c>
      <c r="H132" s="76">
        <v>5</v>
      </c>
      <c r="I132" s="76">
        <v>1.9</v>
      </c>
      <c r="J132" s="78">
        <v>46295</v>
      </c>
      <c r="K132" s="94" t="s">
        <v>1208</v>
      </c>
      <c r="L132" s="95" t="s">
        <v>1301</v>
      </c>
      <c r="M132" s="76" t="str">
        <f t="shared" si="6"/>
        <v>Verde</v>
      </c>
      <c r="N132" s="94" t="s">
        <v>653</v>
      </c>
      <c r="O132" s="94" t="s">
        <v>1087</v>
      </c>
      <c r="P132" s="94" t="s">
        <v>1266</v>
      </c>
      <c r="Q132" s="95" t="s">
        <v>1209</v>
      </c>
      <c r="R132" s="76" t="str">
        <f t="shared" si="7"/>
        <v>2026Q3|NFR-10-K1</v>
      </c>
      <c r="S132" s="94" t="s">
        <v>475</v>
      </c>
    </row>
    <row r="133" spans="1:19" ht="29.15" x14ac:dyDescent="0.4">
      <c r="A133" s="94" t="s">
        <v>1266</v>
      </c>
      <c r="B133" s="94" t="s">
        <v>561</v>
      </c>
      <c r="C133" s="94" t="s">
        <v>494</v>
      </c>
      <c r="D133" s="95" t="s">
        <v>562</v>
      </c>
      <c r="E133" s="94" t="s">
        <v>1170</v>
      </c>
      <c r="F133" s="94" t="s">
        <v>1173</v>
      </c>
      <c r="G133" s="76">
        <v>2</v>
      </c>
      <c r="H133" s="76">
        <v>6</v>
      </c>
      <c r="I133" s="76">
        <v>4</v>
      </c>
      <c r="J133" s="78">
        <v>46295</v>
      </c>
      <c r="K133" s="94" t="s">
        <v>1173</v>
      </c>
      <c r="L133" s="95" t="s">
        <v>1301</v>
      </c>
      <c r="M133" s="76" t="str">
        <f t="shared" si="6"/>
        <v>Ambra</v>
      </c>
      <c r="N133" s="94" t="s">
        <v>653</v>
      </c>
      <c r="O133" s="94" t="s">
        <v>1087</v>
      </c>
      <c r="P133" s="94" t="s">
        <v>1266</v>
      </c>
      <c r="Q133" s="95" t="s">
        <v>1209</v>
      </c>
      <c r="R133" s="76" t="str">
        <f t="shared" si="7"/>
        <v>2026Q3|NFR-10-K2</v>
      </c>
      <c r="S133" s="94" t="s">
        <v>475</v>
      </c>
    </row>
    <row r="134" spans="1:19" ht="29.15" x14ac:dyDescent="0.4">
      <c r="A134" s="94" t="s">
        <v>1266</v>
      </c>
      <c r="B134" s="94" t="s">
        <v>563</v>
      </c>
      <c r="C134" s="94" t="s">
        <v>494</v>
      </c>
      <c r="D134" s="95" t="s">
        <v>564</v>
      </c>
      <c r="E134" s="94" t="s">
        <v>1162</v>
      </c>
      <c r="F134" s="94" t="s">
        <v>1210</v>
      </c>
      <c r="G134" s="76">
        <v>20</v>
      </c>
      <c r="H134" s="76">
        <v>50</v>
      </c>
      <c r="I134" s="76">
        <v>45</v>
      </c>
      <c r="J134" s="78">
        <v>46295</v>
      </c>
      <c r="K134" s="94" t="s">
        <v>1210</v>
      </c>
      <c r="L134" s="95" t="s">
        <v>1301</v>
      </c>
      <c r="M134" s="76" t="str">
        <f t="shared" si="6"/>
        <v>Ambra</v>
      </c>
      <c r="N134" s="94" t="s">
        <v>653</v>
      </c>
      <c r="O134" s="94" t="s">
        <v>1087</v>
      </c>
      <c r="P134" s="94" t="s">
        <v>1266</v>
      </c>
      <c r="Q134" s="95" t="s">
        <v>1209</v>
      </c>
      <c r="R134" s="76" t="str">
        <f t="shared" si="7"/>
        <v>2026Q3|NFR-10-K3</v>
      </c>
      <c r="S134" s="94" t="s">
        <v>475</v>
      </c>
    </row>
    <row r="135" spans="1:19" ht="29.15" x14ac:dyDescent="0.4">
      <c r="A135" s="94" t="s">
        <v>1266</v>
      </c>
      <c r="B135" s="94" t="s">
        <v>565</v>
      </c>
      <c r="C135" s="94" t="s">
        <v>498</v>
      </c>
      <c r="D135" s="95" t="s">
        <v>566</v>
      </c>
      <c r="E135" s="94" t="s">
        <v>1170</v>
      </c>
      <c r="F135" s="94" t="s">
        <v>1192</v>
      </c>
      <c r="G135" s="76">
        <v>3</v>
      </c>
      <c r="H135" s="76">
        <v>8</v>
      </c>
      <c r="I135" s="76">
        <v>6</v>
      </c>
      <c r="J135" s="78">
        <v>46295</v>
      </c>
      <c r="K135" s="94" t="s">
        <v>1192</v>
      </c>
      <c r="L135" s="95" t="s">
        <v>1301</v>
      </c>
      <c r="M135" s="76" t="str">
        <f t="shared" si="6"/>
        <v>Ambra</v>
      </c>
      <c r="N135" s="94" t="s">
        <v>653</v>
      </c>
      <c r="O135" s="94" t="s">
        <v>854</v>
      </c>
      <c r="P135" s="94" t="s">
        <v>1266</v>
      </c>
      <c r="Q135" s="95" t="s">
        <v>1193</v>
      </c>
      <c r="R135" s="76" t="str">
        <f t="shared" si="7"/>
        <v>2026Q3|NFR-11-K1</v>
      </c>
      <c r="S135" s="94" t="s">
        <v>475</v>
      </c>
    </row>
    <row r="136" spans="1:19" ht="29.15" x14ac:dyDescent="0.4">
      <c r="A136" s="94" t="s">
        <v>1266</v>
      </c>
      <c r="B136" s="94" t="s">
        <v>567</v>
      </c>
      <c r="C136" s="94" t="s">
        <v>498</v>
      </c>
      <c r="D136" s="95" t="s">
        <v>568</v>
      </c>
      <c r="E136" s="94" t="s">
        <v>1170</v>
      </c>
      <c r="F136" s="94" t="s">
        <v>1194</v>
      </c>
      <c r="G136" s="76">
        <v>2</v>
      </c>
      <c r="H136" s="76">
        <v>6</v>
      </c>
      <c r="I136" s="76">
        <v>5</v>
      </c>
      <c r="J136" s="78">
        <v>46295</v>
      </c>
      <c r="K136" s="94" t="s">
        <v>1194</v>
      </c>
      <c r="L136" s="95" t="s">
        <v>1301</v>
      </c>
      <c r="M136" s="76" t="str">
        <f t="shared" si="6"/>
        <v>Ambra</v>
      </c>
      <c r="N136" s="94" t="s">
        <v>653</v>
      </c>
      <c r="O136" s="94" t="s">
        <v>854</v>
      </c>
      <c r="P136" s="94" t="s">
        <v>1266</v>
      </c>
      <c r="Q136" s="95" t="s">
        <v>1193</v>
      </c>
      <c r="R136" s="76" t="str">
        <f t="shared" si="7"/>
        <v>2026Q3|NFR-11-K2</v>
      </c>
      <c r="S136" s="94" t="s">
        <v>475</v>
      </c>
    </row>
    <row r="137" spans="1:19" ht="29.15" x14ac:dyDescent="0.4">
      <c r="A137" s="94" t="s">
        <v>1266</v>
      </c>
      <c r="B137" s="94" t="s">
        <v>569</v>
      </c>
      <c r="C137" s="94" t="s">
        <v>498</v>
      </c>
      <c r="D137" s="95" t="s">
        <v>570</v>
      </c>
      <c r="E137" s="94" t="s">
        <v>1170</v>
      </c>
      <c r="F137" s="94" t="s">
        <v>1195</v>
      </c>
      <c r="G137" s="76">
        <v>1</v>
      </c>
      <c r="H137" s="76">
        <v>3</v>
      </c>
      <c r="I137" s="76">
        <v>2</v>
      </c>
      <c r="J137" s="78">
        <v>46295</v>
      </c>
      <c r="K137" s="94" t="s">
        <v>1195</v>
      </c>
      <c r="L137" s="95" t="s">
        <v>1301</v>
      </c>
      <c r="M137" s="76" t="str">
        <f t="shared" si="6"/>
        <v>Ambra</v>
      </c>
      <c r="N137" s="94" t="s">
        <v>653</v>
      </c>
      <c r="O137" s="94" t="s">
        <v>854</v>
      </c>
      <c r="P137" s="94" t="s">
        <v>1266</v>
      </c>
      <c r="Q137" s="95" t="s">
        <v>1193</v>
      </c>
      <c r="R137" s="76" t="str">
        <f t="shared" si="7"/>
        <v>2026Q3|NFR-11-K3</v>
      </c>
      <c r="S137" s="94" t="s">
        <v>475</v>
      </c>
    </row>
    <row r="138" spans="1:19" ht="29.15" x14ac:dyDescent="0.4">
      <c r="A138" s="94" t="s">
        <v>1266</v>
      </c>
      <c r="B138" s="94" t="s">
        <v>571</v>
      </c>
      <c r="C138" s="94" t="s">
        <v>500</v>
      </c>
      <c r="D138" s="95" t="s">
        <v>572</v>
      </c>
      <c r="E138" s="94" t="s">
        <v>1170</v>
      </c>
      <c r="F138" s="94" t="s">
        <v>1196</v>
      </c>
      <c r="G138" s="76">
        <v>10</v>
      </c>
      <c r="H138" s="76">
        <v>30</v>
      </c>
      <c r="I138" s="76">
        <v>12</v>
      </c>
      <c r="J138" s="78">
        <v>46295</v>
      </c>
      <c r="K138" s="94" t="s">
        <v>1196</v>
      </c>
      <c r="L138" s="95" t="s">
        <v>1301</v>
      </c>
      <c r="M138" s="76" t="str">
        <f t="shared" si="6"/>
        <v>Ambra</v>
      </c>
      <c r="N138" s="94" t="s">
        <v>653</v>
      </c>
      <c r="O138" s="94" t="s">
        <v>854</v>
      </c>
      <c r="P138" s="94" t="s">
        <v>1266</v>
      </c>
      <c r="Q138" s="95" t="s">
        <v>1197</v>
      </c>
      <c r="R138" s="76" t="str">
        <f t="shared" si="7"/>
        <v>2026Q3|NFR-12-K1</v>
      </c>
      <c r="S138" s="94" t="s">
        <v>475</v>
      </c>
    </row>
    <row r="139" spans="1:19" ht="29.15" x14ac:dyDescent="0.4">
      <c r="A139" s="94" t="s">
        <v>1266</v>
      </c>
      <c r="B139" s="94" t="s">
        <v>573</v>
      </c>
      <c r="C139" s="94" t="s">
        <v>500</v>
      </c>
      <c r="D139" s="95" t="s">
        <v>574</v>
      </c>
      <c r="E139" s="94" t="s">
        <v>1170</v>
      </c>
      <c r="F139" s="94" t="s">
        <v>1198</v>
      </c>
      <c r="G139" s="76">
        <v>3</v>
      </c>
      <c r="H139" s="76">
        <v>10</v>
      </c>
      <c r="I139" s="76">
        <v>4</v>
      </c>
      <c r="J139" s="78">
        <v>46295</v>
      </c>
      <c r="K139" s="94" t="s">
        <v>1198</v>
      </c>
      <c r="L139" s="95" t="s">
        <v>1301</v>
      </c>
      <c r="M139" s="76" t="str">
        <f t="shared" si="6"/>
        <v>Ambra</v>
      </c>
      <c r="N139" s="94" t="s">
        <v>653</v>
      </c>
      <c r="O139" s="94" t="s">
        <v>854</v>
      </c>
      <c r="P139" s="94" t="s">
        <v>1266</v>
      </c>
      <c r="Q139" s="95" t="s">
        <v>1197</v>
      </c>
      <c r="R139" s="76" t="str">
        <f t="shared" si="7"/>
        <v>2026Q3|NFR-12-K2</v>
      </c>
      <c r="S139" s="94" t="s">
        <v>475</v>
      </c>
    </row>
    <row r="140" spans="1:19" ht="29.15" x14ac:dyDescent="0.4">
      <c r="A140" s="94" t="s">
        <v>1266</v>
      </c>
      <c r="B140" s="94" t="s">
        <v>575</v>
      </c>
      <c r="C140" s="94" t="s">
        <v>500</v>
      </c>
      <c r="D140" s="95" t="s">
        <v>576</v>
      </c>
      <c r="E140" s="94" t="s">
        <v>1164</v>
      </c>
      <c r="F140" s="94" t="s">
        <v>1199</v>
      </c>
      <c r="G140" s="76">
        <v>4</v>
      </c>
      <c r="H140" s="76">
        <v>12</v>
      </c>
      <c r="I140" s="76">
        <v>4.5</v>
      </c>
      <c r="J140" s="78">
        <v>46295</v>
      </c>
      <c r="K140" s="94" t="s">
        <v>1199</v>
      </c>
      <c r="L140" s="95" t="s">
        <v>1301</v>
      </c>
      <c r="M140" s="76" t="str">
        <f t="shared" si="6"/>
        <v>Ambra</v>
      </c>
      <c r="N140" s="94" t="s">
        <v>653</v>
      </c>
      <c r="O140" s="94" t="s">
        <v>854</v>
      </c>
      <c r="P140" s="94" t="s">
        <v>1266</v>
      </c>
      <c r="Q140" s="95" t="s">
        <v>1197</v>
      </c>
      <c r="R140" s="76" t="str">
        <f t="shared" si="7"/>
        <v>2026Q3|NFR-12-K3</v>
      </c>
      <c r="S140" s="94" t="s">
        <v>475</v>
      </c>
    </row>
    <row r="141" spans="1:19" ht="29.15" x14ac:dyDescent="0.4">
      <c r="A141" s="94" t="s">
        <v>1266</v>
      </c>
      <c r="B141" s="94" t="s">
        <v>1302</v>
      </c>
      <c r="C141" s="94" t="s">
        <v>478</v>
      </c>
      <c r="D141" s="95" t="s">
        <v>1303</v>
      </c>
      <c r="E141" s="94" t="s">
        <v>1170</v>
      </c>
      <c r="F141" s="94" t="s">
        <v>1169</v>
      </c>
      <c r="G141" s="76">
        <v>1</v>
      </c>
      <c r="H141" s="76">
        <v>2</v>
      </c>
      <c r="I141" s="76"/>
      <c r="J141" s="78"/>
      <c r="K141" s="94"/>
      <c r="L141" s="95"/>
      <c r="M141" s="76" t="str">
        <f t="shared" si="6"/>
        <v>Non rilevato</v>
      </c>
      <c r="N141" s="94" t="s">
        <v>653</v>
      </c>
      <c r="O141" s="94" t="s">
        <v>1266</v>
      </c>
      <c r="P141" s="94" t="s">
        <v>1266</v>
      </c>
      <c r="Q141" s="95" t="s">
        <v>1304</v>
      </c>
      <c r="R141" s="76" t="str">
        <f t="shared" si="7"/>
        <v>2026Q3|NFR-02-K4</v>
      </c>
      <c r="S141" s="94" t="s">
        <v>475</v>
      </c>
    </row>
  </sheetData>
  <mergeCells count="6">
    <mergeCell ref="P3:Q3"/>
    <mergeCell ref="N3:O3"/>
    <mergeCell ref="A2:I2"/>
    <mergeCell ref="C3:I3"/>
    <mergeCell ref="A1:L1"/>
    <mergeCell ref="K3:L3"/>
  </mergeCells>
  <conditionalFormatting sqref="M6:M20037">
    <cfRule type="expression" dxfId="3" priority="1">
      <formula>M6="Rosso"</formula>
    </cfRule>
    <cfRule type="expression" dxfId="2" priority="2">
      <formula>M6="Ambra"</formula>
    </cfRule>
    <cfRule type="expression" dxfId="1" priority="3">
      <formula>M6="Verde"</formula>
    </cfRule>
    <cfRule type="expression" dxfId="0" priority="4">
      <formula>M6="SOGLIE INVERTITE — correggere"</formula>
    </cfRule>
  </conditionalFormatting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A6A6A6"/>
  </sheetPr>
  <dimension ref="A1:Q15"/>
  <sheetViews>
    <sheetView workbookViewId="0"/>
  </sheetViews>
  <sheetFormatPr defaultRowHeight="14.6" x14ac:dyDescent="0.4"/>
  <cols>
    <col min="1" max="3" width="15" customWidth="1"/>
    <col min="4" max="4" width="50" customWidth="1"/>
    <col min="5" max="15" width="15" customWidth="1"/>
    <col min="16" max="16" width="60" customWidth="1"/>
    <col min="17" max="17" width="15" customWidth="1"/>
  </cols>
  <sheetData>
    <row r="1" spans="1:17" ht="28" customHeight="1" x14ac:dyDescent="0.4">
      <c r="A1" s="126" t="str">
        <f>"Horizon Scan NFR — NewsLog — notizie valutate ogni settimana   ·   "&amp;etichettaCiclo</f>
        <v>Horizon Scan NFR — NewsLog — notizie valutate ogni settimana   ·   Ciclo 2026Q3 · dati al 30/09/2026 · validato · Uso interno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7" ht="72.55" customHeight="1" x14ac:dyDescent="0.4">
      <c r="A2" s="146" t="s">
        <v>1211</v>
      </c>
      <c r="B2" s="98"/>
      <c r="C2" s="98"/>
      <c r="D2" s="98"/>
      <c r="E2" s="98"/>
      <c r="F2" s="98"/>
      <c r="G2" s="98"/>
      <c r="H2" s="98"/>
      <c r="I2" s="98"/>
    </row>
    <row r="3" spans="1:17" x14ac:dyDescent="0.4">
      <c r="A3" s="91" t="s">
        <v>1212</v>
      </c>
      <c r="B3" s="73" t="s">
        <v>1032</v>
      </c>
      <c r="C3" s="156" t="s">
        <v>1212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74" t="s">
        <v>1033</v>
      </c>
    </row>
    <row r="4" spans="1:17" ht="58" customHeight="1" x14ac:dyDescent="0.4">
      <c r="A4" s="75" t="s">
        <v>1213</v>
      </c>
      <c r="B4" s="75" t="s">
        <v>1214</v>
      </c>
      <c r="C4" s="75" t="s">
        <v>1215</v>
      </c>
      <c r="D4" s="75" t="s">
        <v>1216</v>
      </c>
      <c r="E4" s="75" t="s">
        <v>1217</v>
      </c>
      <c r="F4" s="75" t="s">
        <v>1218</v>
      </c>
      <c r="G4" s="75" t="s">
        <v>1219</v>
      </c>
      <c r="H4" s="75" t="s">
        <v>1220</v>
      </c>
      <c r="I4" s="75" t="s">
        <v>1221</v>
      </c>
      <c r="J4" s="75" t="s">
        <v>1222</v>
      </c>
      <c r="K4" s="75" t="s">
        <v>1223</v>
      </c>
      <c r="L4" s="75" t="s">
        <v>1224</v>
      </c>
      <c r="M4" s="75" t="s">
        <v>1225</v>
      </c>
      <c r="N4" s="75" t="s">
        <v>1226</v>
      </c>
      <c r="O4" s="75" t="s">
        <v>1227</v>
      </c>
      <c r="P4" s="75" t="s">
        <v>1228</v>
      </c>
      <c r="Q4" s="75" t="s">
        <v>1126</v>
      </c>
    </row>
    <row r="5" spans="1:17" x14ac:dyDescent="0.4">
      <c r="A5" s="92" t="s">
        <v>861</v>
      </c>
      <c r="B5" s="53" t="s">
        <v>433</v>
      </c>
      <c r="C5" s="92" t="s">
        <v>868</v>
      </c>
      <c r="D5" s="92" t="s">
        <v>870</v>
      </c>
      <c r="E5" s="92" t="s">
        <v>341</v>
      </c>
      <c r="F5" s="92" t="s">
        <v>875</v>
      </c>
      <c r="G5" s="92" t="s">
        <v>618</v>
      </c>
      <c r="H5" s="92" t="s">
        <v>619</v>
      </c>
      <c r="I5" s="92" t="s">
        <v>882</v>
      </c>
      <c r="J5" s="92" t="s">
        <v>885</v>
      </c>
      <c r="K5" s="92" t="s">
        <v>887</v>
      </c>
      <c r="L5" s="92" t="s">
        <v>889</v>
      </c>
      <c r="M5" s="92" t="s">
        <v>892</v>
      </c>
      <c r="N5" s="92" t="s">
        <v>894</v>
      </c>
      <c r="O5" s="92" t="s">
        <v>896</v>
      </c>
      <c r="P5" s="92" t="s">
        <v>898</v>
      </c>
      <c r="Q5" s="51" t="s">
        <v>7</v>
      </c>
    </row>
    <row r="6" spans="1:17" ht="29.15" x14ac:dyDescent="0.4">
      <c r="A6" s="78">
        <v>46162</v>
      </c>
      <c r="B6" s="78">
        <f t="shared" ref="B6:B15" si="0">A6-WEEKDAY(A6,2)+1</f>
        <v>46160</v>
      </c>
      <c r="C6" s="76" t="s">
        <v>616</v>
      </c>
      <c r="D6" s="77" t="s">
        <v>617</v>
      </c>
      <c r="E6" s="76" t="s">
        <v>1229</v>
      </c>
      <c r="F6" s="76" t="s">
        <v>1230</v>
      </c>
      <c r="G6" s="76" t="s">
        <v>478</v>
      </c>
      <c r="H6" s="76" t="s">
        <v>620</v>
      </c>
      <c r="I6" s="76">
        <v>0</v>
      </c>
      <c r="J6" s="76">
        <v>0</v>
      </c>
      <c r="K6" s="76">
        <v>0</v>
      </c>
      <c r="L6" s="76">
        <v>0</v>
      </c>
      <c r="M6" s="76">
        <v>0</v>
      </c>
      <c r="N6" s="76">
        <v>2</v>
      </c>
      <c r="O6" s="76">
        <v>0</v>
      </c>
      <c r="P6" s="77" t="s">
        <v>1231</v>
      </c>
      <c r="Q6" s="76" t="s">
        <v>475</v>
      </c>
    </row>
    <row r="7" spans="1:17" ht="29.15" x14ac:dyDescent="0.4">
      <c r="A7" s="78">
        <v>46182</v>
      </c>
      <c r="B7" s="78">
        <f t="shared" si="0"/>
        <v>46181</v>
      </c>
      <c r="C7" s="76" t="s">
        <v>622</v>
      </c>
      <c r="D7" s="77" t="s">
        <v>623</v>
      </c>
      <c r="E7" s="76" t="s">
        <v>874</v>
      </c>
      <c r="F7" s="76" t="s">
        <v>877</v>
      </c>
      <c r="G7" s="76" t="s">
        <v>473</v>
      </c>
      <c r="H7" s="76" t="s">
        <v>620</v>
      </c>
      <c r="I7" s="76">
        <v>0</v>
      </c>
      <c r="J7" s="76">
        <v>3</v>
      </c>
      <c r="K7" s="76">
        <v>0</v>
      </c>
      <c r="L7" s="76">
        <v>1</v>
      </c>
      <c r="M7" s="76">
        <v>0</v>
      </c>
      <c r="N7" s="76">
        <v>0</v>
      </c>
      <c r="O7" s="76">
        <v>0</v>
      </c>
      <c r="P7" s="77" t="s">
        <v>1232</v>
      </c>
      <c r="Q7" s="76" t="s">
        <v>475</v>
      </c>
    </row>
    <row r="8" spans="1:17" ht="29.15" x14ac:dyDescent="0.4">
      <c r="A8" s="78">
        <v>46183</v>
      </c>
      <c r="B8" s="78">
        <f t="shared" si="0"/>
        <v>46181</v>
      </c>
      <c r="C8" s="76" t="s">
        <v>624</v>
      </c>
      <c r="D8" s="77" t="s">
        <v>625</v>
      </c>
      <c r="E8" s="76" t="s">
        <v>1233</v>
      </c>
      <c r="F8" s="76" t="s">
        <v>1234</v>
      </c>
      <c r="G8" s="76" t="s">
        <v>484</v>
      </c>
      <c r="H8" s="76" t="s">
        <v>626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2</v>
      </c>
      <c r="P8" s="77" t="s">
        <v>1235</v>
      </c>
      <c r="Q8" s="76" t="s">
        <v>475</v>
      </c>
    </row>
    <row r="9" spans="1:17" ht="29.15" x14ac:dyDescent="0.4">
      <c r="A9" s="78">
        <v>46184</v>
      </c>
      <c r="B9" s="78">
        <f t="shared" si="0"/>
        <v>46181</v>
      </c>
      <c r="C9" s="76" t="s">
        <v>627</v>
      </c>
      <c r="D9" s="77" t="s">
        <v>628</v>
      </c>
      <c r="E9" s="76" t="s">
        <v>1236</v>
      </c>
      <c r="F9" s="76" t="s">
        <v>1234</v>
      </c>
      <c r="G9" s="76" t="s">
        <v>478</v>
      </c>
      <c r="H9" s="76" t="s">
        <v>626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1</v>
      </c>
      <c r="O9" s="76">
        <v>0</v>
      </c>
      <c r="P9" s="77" t="s">
        <v>1237</v>
      </c>
      <c r="Q9" s="76" t="s">
        <v>475</v>
      </c>
    </row>
    <row r="10" spans="1:17" ht="29.15" x14ac:dyDescent="0.4">
      <c r="A10" s="78">
        <v>46189</v>
      </c>
      <c r="B10" s="78">
        <f t="shared" si="0"/>
        <v>46188</v>
      </c>
      <c r="C10" s="76" t="s">
        <v>630</v>
      </c>
      <c r="D10" s="77" t="s">
        <v>631</v>
      </c>
      <c r="E10" s="76" t="s">
        <v>1238</v>
      </c>
      <c r="F10" s="76" t="s">
        <v>1239</v>
      </c>
      <c r="G10" s="76" t="s">
        <v>473</v>
      </c>
      <c r="H10" s="76" t="s">
        <v>620</v>
      </c>
      <c r="I10" s="76">
        <v>0</v>
      </c>
      <c r="J10" s="76">
        <v>2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7" t="s">
        <v>1240</v>
      </c>
      <c r="Q10" s="76" t="s">
        <v>475</v>
      </c>
    </row>
    <row r="11" spans="1:17" x14ac:dyDescent="0.4">
      <c r="A11" s="78">
        <v>46190</v>
      </c>
      <c r="B11" s="78">
        <f t="shared" si="0"/>
        <v>46188</v>
      </c>
      <c r="C11" s="76" t="s">
        <v>632</v>
      </c>
      <c r="D11" s="77" t="s">
        <v>633</v>
      </c>
      <c r="E11" s="76" t="s">
        <v>1241</v>
      </c>
      <c r="F11" s="76" t="s">
        <v>1242</v>
      </c>
      <c r="G11" s="76" t="s">
        <v>484</v>
      </c>
      <c r="H11" s="76" t="s">
        <v>626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1</v>
      </c>
      <c r="P11" s="77" t="s">
        <v>1243</v>
      </c>
      <c r="Q11" s="76" t="s">
        <v>475</v>
      </c>
    </row>
    <row r="12" spans="1:17" ht="29.15" x14ac:dyDescent="0.4">
      <c r="A12" s="78">
        <v>46191</v>
      </c>
      <c r="B12" s="78">
        <f t="shared" si="0"/>
        <v>46188</v>
      </c>
      <c r="C12" s="76" t="s">
        <v>634</v>
      </c>
      <c r="D12" s="77" t="s">
        <v>635</v>
      </c>
      <c r="E12" s="76" t="s">
        <v>1244</v>
      </c>
      <c r="F12" s="76" t="s">
        <v>1245</v>
      </c>
      <c r="G12" s="76" t="s">
        <v>482</v>
      </c>
      <c r="H12" s="76" t="s">
        <v>636</v>
      </c>
      <c r="I12" s="76">
        <v>0</v>
      </c>
      <c r="J12" s="76">
        <v>0</v>
      </c>
      <c r="K12" s="76">
        <v>0</v>
      </c>
      <c r="L12" s="76">
        <v>0</v>
      </c>
      <c r="M12" s="76">
        <v>1</v>
      </c>
      <c r="N12" s="76">
        <v>0</v>
      </c>
      <c r="O12" s="76">
        <v>0</v>
      </c>
      <c r="P12" s="77" t="s">
        <v>1246</v>
      </c>
      <c r="Q12" s="76" t="s">
        <v>475</v>
      </c>
    </row>
    <row r="13" spans="1:17" ht="29.15" x14ac:dyDescent="0.4">
      <c r="A13" s="78">
        <v>46196</v>
      </c>
      <c r="B13" s="78">
        <f t="shared" si="0"/>
        <v>46195</v>
      </c>
      <c r="C13" s="76" t="s">
        <v>638</v>
      </c>
      <c r="D13" s="77" t="s">
        <v>639</v>
      </c>
      <c r="E13" s="76" t="s">
        <v>1236</v>
      </c>
      <c r="F13" s="76" t="s">
        <v>1234</v>
      </c>
      <c r="G13" s="76" t="s">
        <v>478</v>
      </c>
      <c r="H13" s="76" t="s">
        <v>620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1</v>
      </c>
      <c r="O13" s="76">
        <v>0</v>
      </c>
      <c r="P13" s="77" t="s">
        <v>1247</v>
      </c>
      <c r="Q13" s="76" t="s">
        <v>475</v>
      </c>
    </row>
    <row r="14" spans="1:17" ht="29.15" x14ac:dyDescent="0.4">
      <c r="A14" s="78">
        <v>46197</v>
      </c>
      <c r="B14" s="78">
        <f t="shared" si="0"/>
        <v>46195</v>
      </c>
      <c r="C14" s="76" t="s">
        <v>640</v>
      </c>
      <c r="D14" s="77" t="s">
        <v>641</v>
      </c>
      <c r="E14" s="76" t="s">
        <v>1248</v>
      </c>
      <c r="F14" s="76" t="s">
        <v>1249</v>
      </c>
      <c r="G14" s="76" t="s">
        <v>473</v>
      </c>
      <c r="H14" s="76" t="s">
        <v>620</v>
      </c>
      <c r="I14" s="76">
        <v>0</v>
      </c>
      <c r="J14" s="76">
        <v>2</v>
      </c>
      <c r="K14" s="76">
        <v>0</v>
      </c>
      <c r="L14" s="76">
        <v>2</v>
      </c>
      <c r="M14" s="76">
        <v>0</v>
      </c>
      <c r="N14" s="76">
        <v>0</v>
      </c>
      <c r="O14" s="76">
        <v>0</v>
      </c>
      <c r="P14" s="77" t="s">
        <v>1250</v>
      </c>
      <c r="Q14" s="76" t="s">
        <v>475</v>
      </c>
    </row>
    <row r="15" spans="1:17" ht="29.15" x14ac:dyDescent="0.4">
      <c r="A15" s="78">
        <v>46198</v>
      </c>
      <c r="B15" s="78">
        <f t="shared" si="0"/>
        <v>46195</v>
      </c>
      <c r="C15" s="76" t="s">
        <v>642</v>
      </c>
      <c r="D15" s="77" t="s">
        <v>643</v>
      </c>
      <c r="E15" s="76" t="s">
        <v>1251</v>
      </c>
      <c r="F15" s="76" t="s">
        <v>1234</v>
      </c>
      <c r="G15" s="76" t="s">
        <v>484</v>
      </c>
      <c r="H15" s="76" t="s">
        <v>626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2</v>
      </c>
      <c r="P15" s="77" t="s">
        <v>1252</v>
      </c>
      <c r="Q15" s="76" t="s">
        <v>475</v>
      </c>
    </row>
  </sheetData>
  <mergeCells count="3">
    <mergeCell ref="A2:I2"/>
    <mergeCell ref="C3:P3"/>
    <mergeCell ref="A1:L1"/>
  </mergeCells>
  <dataValidations count="1">
    <dataValidation type="list" allowBlank="1" sqref="H6:H20000" xr:uid="{00000000-0002-0000-1200-000000000000}">
      <formula1>"Peggiorativo,Migliorativo,Neutro,Non rilevante"</formula1>
    </dataValidation>
  </dataValidations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A6A6A6"/>
  </sheetPr>
  <dimension ref="A1:F9"/>
  <sheetViews>
    <sheetView workbookViewId="0"/>
  </sheetViews>
  <sheetFormatPr defaultRowHeight="14.6" x14ac:dyDescent="0.4"/>
  <cols>
    <col min="1" max="2" width="15" customWidth="1"/>
    <col min="3" max="3" width="80" customWidth="1"/>
    <col min="4" max="4" width="60" customWidth="1"/>
    <col min="5" max="6" width="15" customWidth="1"/>
  </cols>
  <sheetData>
    <row r="1" spans="1:6" ht="28" customHeight="1" x14ac:dyDescent="0.4">
      <c r="A1" s="126" t="str">
        <f>"Horizon Scan NFR — Sintesi_Cicli — commento di A1 e sintesi di A5, una riga per ciclo   ·   "&amp;etichettaCiclo</f>
        <v>Horizon Scan NFR — Sintesi_Cicli — commento di A1 e sintesi di A5, una riga per ciclo   ·   Ciclo 2026Q3 · dati al 30/09/2026 · validato · Uso interno</v>
      </c>
      <c r="B1" s="127"/>
      <c r="C1" s="127"/>
      <c r="D1" s="127"/>
      <c r="E1" s="127"/>
      <c r="F1" s="127"/>
    </row>
    <row r="2" spans="1:6" ht="45.55" customHeight="1" x14ac:dyDescent="0.4">
      <c r="A2" s="112" t="s">
        <v>1253</v>
      </c>
      <c r="B2" s="98"/>
      <c r="C2" s="98"/>
      <c r="D2" s="98"/>
    </row>
    <row r="3" spans="1:6" x14ac:dyDescent="0.4">
      <c r="A3" s="155" t="s">
        <v>1031</v>
      </c>
      <c r="B3" s="98"/>
      <c r="C3" s="98"/>
      <c r="D3" s="88" t="s">
        <v>1254</v>
      </c>
      <c r="E3" s="152" t="s">
        <v>449</v>
      </c>
      <c r="F3" s="98"/>
    </row>
    <row r="4" spans="1:6" ht="47.05" customHeight="1" x14ac:dyDescent="0.4">
      <c r="A4" s="75" t="s">
        <v>1255</v>
      </c>
      <c r="B4" s="75" t="s">
        <v>1256</v>
      </c>
      <c r="C4" s="75" t="s">
        <v>1257</v>
      </c>
      <c r="D4" s="75" t="s">
        <v>1258</v>
      </c>
      <c r="E4" s="75" t="s">
        <v>1259</v>
      </c>
      <c r="F4" s="75" t="s">
        <v>1054</v>
      </c>
    </row>
    <row r="5" spans="1:6" x14ac:dyDescent="0.4">
      <c r="A5" s="89" t="s">
        <v>407</v>
      </c>
      <c r="B5" s="89" t="s">
        <v>722</v>
      </c>
      <c r="C5" s="89" t="s">
        <v>904</v>
      </c>
      <c r="D5" s="89" t="s">
        <v>908</v>
      </c>
      <c r="E5" s="53" t="s">
        <v>912</v>
      </c>
      <c r="F5" s="53" t="s">
        <v>777</v>
      </c>
    </row>
    <row r="6" spans="1:6" ht="72.900000000000006" x14ac:dyDescent="0.4">
      <c r="A6" s="77" t="s">
        <v>854</v>
      </c>
      <c r="B6" s="93">
        <v>46022</v>
      </c>
      <c r="C6" s="77" t="s">
        <v>1260</v>
      </c>
      <c r="D6" s="77" t="s">
        <v>1261</v>
      </c>
      <c r="E6" s="77">
        <v>2</v>
      </c>
      <c r="F6" s="93">
        <v>46022</v>
      </c>
    </row>
    <row r="7" spans="1:6" ht="58.3" x14ac:dyDescent="0.4">
      <c r="A7" s="77" t="s">
        <v>1087</v>
      </c>
      <c r="B7" s="93">
        <v>46112</v>
      </c>
      <c r="C7" s="77" t="s">
        <v>1262</v>
      </c>
      <c r="D7" s="77" t="s">
        <v>1263</v>
      </c>
      <c r="E7" s="77">
        <v>1</v>
      </c>
      <c r="F7" s="93">
        <v>46112</v>
      </c>
    </row>
    <row r="8" spans="1:6" ht="87.45" x14ac:dyDescent="0.4">
      <c r="A8" s="77" t="s">
        <v>472</v>
      </c>
      <c r="B8" s="93">
        <v>46203</v>
      </c>
      <c r="C8" s="77" t="s">
        <v>1264</v>
      </c>
      <c r="D8" s="77" t="s">
        <v>1265</v>
      </c>
      <c r="E8" s="77">
        <v>1</v>
      </c>
      <c r="F8" s="93">
        <v>46203</v>
      </c>
    </row>
    <row r="9" spans="1:6" ht="102" x14ac:dyDescent="0.4">
      <c r="A9" s="95" t="s">
        <v>1266</v>
      </c>
      <c r="B9" s="93">
        <v>46295</v>
      </c>
      <c r="C9" s="95" t="s">
        <v>1358</v>
      </c>
      <c r="D9" s="95" t="s">
        <v>1359</v>
      </c>
      <c r="E9" s="77">
        <v>1</v>
      </c>
      <c r="F9" s="93">
        <v>46290</v>
      </c>
    </row>
  </sheetData>
  <mergeCells count="4">
    <mergeCell ref="A3:C3"/>
    <mergeCell ref="A1:F1"/>
    <mergeCell ref="E3:F3"/>
    <mergeCell ref="A2:D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20</vt:i4>
      </vt:variant>
      <vt:variant>
        <vt:lpstr>Intervalli denominati</vt:lpstr>
      </vt:variant>
      <vt:variant>
        <vt:i4>155</vt:i4>
      </vt:variant>
    </vt:vector>
  </HeadingPairs>
  <TitlesOfParts>
    <vt:vector size="175" baseType="lpstr">
      <vt:lpstr>Guida</vt:lpstr>
      <vt:lpstr>Quadro</vt:lpstr>
      <vt:lpstr>Classifica</vt:lpstr>
      <vt:lpstr>Radar_Mosca</vt:lpstr>
      <vt:lpstr>Matrice</vt:lpstr>
      <vt:lpstr>Delta</vt:lpstr>
      <vt:lpstr>Metodologia</vt:lpstr>
      <vt:lpstr>Registro</vt:lpstr>
      <vt:lpstr>Storico</vt:lpstr>
      <vt:lpstr>Indicatori</vt:lpstr>
      <vt:lpstr>Notizie</vt:lpstr>
      <vt:lpstr>Piano_azioni</vt:lpstr>
      <vt:lpstr>Validazione</vt:lpstr>
      <vt:lpstr>Parametri</vt:lpstr>
      <vt:lpstr>Dizionario</vt:lpstr>
      <vt:lpstr>RiskRegister</vt:lpstr>
      <vt:lpstr>Azioni</vt:lpstr>
      <vt:lpstr>KRI</vt:lpstr>
      <vt:lpstr>NewsLog</vt:lpstr>
      <vt:lpstr>Sintesi_Cicli</vt:lpstr>
      <vt:lpstr>ANA_Anni_Adeguamento</vt:lpstr>
      <vt:lpstr>ANA_Attenzione_Supervisore</vt:lpstr>
      <vt:lpstr>ANA_Driver</vt:lpstr>
      <vt:lpstr>ANA_Event_Type</vt:lpstr>
      <vt:lpstr>ANA_ID</vt:lpstr>
      <vt:lpstr>ANA_Nome</vt:lpstr>
      <vt:lpstr>ANA_Owner</vt:lpstr>
      <vt:lpstr>anagrafica</vt:lpstr>
      <vt:lpstr>anniProssimita</vt:lpstr>
      <vt:lpstr>Classifica!Area_stampa</vt:lpstr>
      <vt:lpstr>Delta!Area_stampa</vt:lpstr>
      <vt:lpstr>Matrice!Area_stampa</vt:lpstr>
      <vt:lpstr>Metodologia!Area_stampa</vt:lpstr>
      <vt:lpstr>Quadro!Area_stampa</vt:lpstr>
      <vt:lpstr>Radar_Mosca!Area_stampa</vt:lpstr>
      <vt:lpstr>AZ_Ciclo</vt:lpstr>
      <vt:lpstr>AZ_Data_Decisione</vt:lpstr>
      <vt:lpstr>AZ_Decisa_Da</vt:lpstr>
      <vt:lpstr>AZ_Descrizione</vt:lpstr>
      <vt:lpstr>AZ_Dimensione</vt:lpstr>
      <vt:lpstr>AZ_ID_Azione</vt:lpstr>
      <vt:lpstr>AZ_ID_Rischio</vt:lpstr>
      <vt:lpstr>AZ_Mesi_Orizzonte</vt:lpstr>
      <vt:lpstr>AZ_Orizzonte</vt:lpstr>
      <vt:lpstr>AZ_Owner</vt:lpstr>
      <vt:lpstr>AZ_Razionale</vt:lpstr>
      <vt:lpstr>AZ_Stato</vt:lpstr>
      <vt:lpstr>AZ_Validazione</vt:lpstr>
      <vt:lpstr>cicliTrend</vt:lpstr>
      <vt:lpstr>cicloCorrente</vt:lpstr>
      <vt:lpstr>cicloMeno2</vt:lpstr>
      <vt:lpstr>cicloPrecedente</vt:lpstr>
      <vt:lpstr>codiciL1</vt:lpstr>
      <vt:lpstr>coperturaAnagrafica</vt:lpstr>
      <vt:lpstr>coperturaValutati</vt:lpstr>
      <vt:lpstr>decisioniDaPrendere</vt:lpstr>
      <vt:lpstr>deltaMotivi</vt:lpstr>
      <vt:lpstr>etichettaCiclo</vt:lpstr>
      <vt:lpstr>inizioFinestra4</vt:lpstr>
      <vt:lpstr>KRI_Chiave</vt:lpstr>
      <vt:lpstr>KRI_Ciclo</vt:lpstr>
      <vt:lpstr>KRI_Ciclo_Aggiornamento</vt:lpstr>
      <vt:lpstr>KRI_Ciclo_Definizione</vt:lpstr>
      <vt:lpstr>KRI_Data_Rilevazione</vt:lpstr>
      <vt:lpstr>KRI_Fonte_Dati</vt:lpstr>
      <vt:lpstr>KRI_Fonte_Rilevazione</vt:lpstr>
      <vt:lpstr>KRI_ID_Rischio</vt:lpstr>
      <vt:lpstr>KRI_In_Vigore</vt:lpstr>
      <vt:lpstr>KRI_KRI_ID</vt:lpstr>
      <vt:lpstr>KRI_Nome</vt:lpstr>
      <vt:lpstr>KRI_Nota_Rilevazione</vt:lpstr>
      <vt:lpstr>KRI_Razionale</vt:lpstr>
      <vt:lpstr>KRI_Soglia_Allerta</vt:lpstr>
      <vt:lpstr>KRI_Soglia_Attenzione</vt:lpstr>
      <vt:lpstr>KRI_Stato</vt:lpstr>
      <vt:lpstr>KRI_Unita</vt:lpstr>
      <vt:lpstr>KRI_Validazione</vt:lpstr>
      <vt:lpstr>KRI_Valore_Corrente</vt:lpstr>
      <vt:lpstr>moscaX</vt:lpstr>
      <vt:lpstr>moscaYDefault</vt:lpstr>
      <vt:lpstr>NW_Codice_Fonte</vt:lpstr>
      <vt:lpstr>NW_Data</vt:lpstr>
      <vt:lpstr>NW_Fonte</vt:lpstr>
      <vt:lpstr>NW_ID_Notizia</vt:lpstr>
      <vt:lpstr>NW_Imp_L1_01</vt:lpstr>
      <vt:lpstr>NW_Imp_L1_02</vt:lpstr>
      <vt:lpstr>NW_Imp_L1_03</vt:lpstr>
      <vt:lpstr>NW_Imp_L1_04</vt:lpstr>
      <vt:lpstr>NW_Imp_L1_05</vt:lpstr>
      <vt:lpstr>NW_Imp_L1_06</vt:lpstr>
      <vt:lpstr>NW_Imp_L1_07</vt:lpstr>
      <vt:lpstr>NW_Rischio_ID</vt:lpstr>
      <vt:lpstr>NW_Segnale</vt:lpstr>
      <vt:lpstr>NW_Settimana</vt:lpstr>
      <vt:lpstr>NW_Sintesi</vt:lpstr>
      <vt:lpstr>NW_Titolo</vt:lpstr>
      <vt:lpstr>NW_Validazione</vt:lpstr>
      <vt:lpstr>pesoGap</vt:lpstr>
      <vt:lpstr>pesoProbabilita</vt:lpstr>
      <vt:lpstr>pesoProssimita</vt:lpstr>
      <vt:lpstr>pesoSeverity</vt:lpstr>
      <vt:lpstr>pesoVelocity</vt:lpstr>
      <vt:lpstr>posBadge</vt:lpstr>
      <vt:lpstr>posConfidence</vt:lpstr>
      <vt:lpstr>posGap</vt:lpstr>
      <vt:lpstr>posID</vt:lpstr>
      <vt:lpstr>posNetti</vt:lpstr>
      <vt:lpstr>posNome</vt:lpstr>
      <vt:lpstr>posProbabilita</vt:lpstr>
      <vt:lpstr>posProssimita</vt:lpstr>
      <vt:lpstr>posScore</vt:lpstr>
      <vt:lpstr>posScore2</vt:lpstr>
      <vt:lpstr>posScorePrec</vt:lpstr>
      <vt:lpstr>posSeverity</vt:lpstr>
      <vt:lpstr>posVelocity</vt:lpstr>
      <vt:lpstr>presidioCodici</vt:lpstr>
      <vt:lpstr>presidioStato</vt:lpstr>
      <vt:lpstr>quadroCommento</vt:lpstr>
      <vt:lpstr>quadroSegnalati</vt:lpstr>
      <vt:lpstr>rettificheApplicate</vt:lpstr>
      <vt:lpstr>rmID</vt:lpstr>
      <vt:lpstr>rmMargine</vt:lpstr>
      <vt:lpstr>rmPxI</vt:lpstr>
      <vt:lpstr>rmUrgenza</vt:lpstr>
      <vt:lpstr>rmX</vt:lpstr>
      <vt:lpstr>rmY</vt:lpstr>
      <vt:lpstr>rmZ</vt:lpstr>
      <vt:lpstr>RR_Approvato_Da</vt:lpstr>
      <vt:lpstr>RR_Chiave</vt:lpstr>
      <vt:lpstr>RR_Ciclo</vt:lpstr>
      <vt:lpstr>RR_Confidence</vt:lpstr>
      <vt:lpstr>RR_Data_Riferimento</vt:lpstr>
      <vt:lpstr>RR_Data_Scrittura</vt:lpstr>
      <vt:lpstr>RR_Data_Validazione</vt:lpstr>
      <vt:lpstr>RR_Descrizione</vt:lpstr>
      <vt:lpstr>RR_Driver</vt:lpstr>
      <vt:lpstr>RR_Esito</vt:lpstr>
      <vt:lpstr>RR_Event_Type</vt:lpstr>
      <vt:lpstr>RR_Fonti</vt:lpstr>
      <vt:lpstr>RR_Gap_Controlli</vt:lpstr>
      <vt:lpstr>RR_ID_Rischio</vt:lpstr>
      <vt:lpstr>RR_Nome</vt:lpstr>
      <vt:lpstr>RR_Owner</vt:lpstr>
      <vt:lpstr>RR_Probabilita</vt:lpstr>
      <vt:lpstr>RR_Prossimita</vt:lpstr>
      <vt:lpstr>RR_Razionale</vt:lpstr>
      <vt:lpstr>RR_Score_Composito</vt:lpstr>
      <vt:lpstr>RR_Severity</vt:lpstr>
      <vt:lpstr>RR_Validazione</vt:lpstr>
      <vt:lpstr>RR_Variazioni</vt:lpstr>
      <vt:lpstr>RR_Velocity</vt:lpstr>
      <vt:lpstr>settimanaCorrente</vt:lpstr>
      <vt:lpstr>settimane12</vt:lpstr>
      <vt:lpstr>SI_Ciclo</vt:lpstr>
      <vt:lpstr>SI_Data_Riferimento</vt:lpstr>
      <vt:lpstr>SI_Data_Scrittura</vt:lpstr>
      <vt:lpstr>SI_Osservazioni_Controlli</vt:lpstr>
      <vt:lpstr>SI_Sintesi_A1</vt:lpstr>
      <vt:lpstr>SI_Sintesi_A5</vt:lpstr>
      <vt:lpstr>sogliaDelta</vt:lpstr>
      <vt:lpstr>sogliaDirezione</vt:lpstr>
      <vt:lpstr>statoCopertura</vt:lpstr>
      <vt:lpstr>statoValidazione</vt:lpstr>
      <vt:lpstr>VAL_Campo</vt:lpstr>
      <vt:lpstr>VAL_Data_Validazione</vt:lpstr>
      <vt:lpstr>VAL_Decisione</vt:lpstr>
      <vt:lpstr>VAL_ID</vt:lpstr>
      <vt:lpstr>VAL_Motivazione</vt:lpstr>
      <vt:lpstr>VAL_Nome</vt:lpstr>
      <vt:lpstr>VAL_Oggetto</vt:lpstr>
      <vt:lpstr>VAL_Periodo</vt:lpstr>
      <vt:lpstr>VAL_Proposta_Agente</vt:lpstr>
      <vt:lpstr>VAL_Stato</vt:lpstr>
      <vt:lpstr>VAL_Validato_Da</vt:lpstr>
      <vt:lpstr>VAL_Valore_Validato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Corrado Grasso</cp:lastModifiedBy>
  <dcterms:created xsi:type="dcterms:W3CDTF">2026-09-25T15:44:50Z</dcterms:created>
  <dcterms:modified xsi:type="dcterms:W3CDTF">2026-09-25T17:00:07Z</dcterms:modified>
</cp:coreProperties>
</file>