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gra\AppData\Local\Temp\claude\c--Users-cogra-Documents-NFR-Horizon-Agents\53b06c62-4e66-4fcd-8996-e4f29603a13a\scratchpad\fixture\"/>
    </mc:Choice>
  </mc:AlternateContent>
  <xr:revisionPtr revIDLastSave="0" documentId="13_ncr:1_{0C54B51F-E894-4A7A-9FD8-D8A281D79E9A}" xr6:coauthVersionLast="47" xr6:coauthVersionMax="47" xr10:uidLastSave="{00000000-0000-0000-0000-000000000000}"/>
  <bookViews>
    <workbookView xWindow="6917" yWindow="1946" windowWidth="25037" windowHeight="15660" activeTab="1" xr2:uid="{00000000-000D-0000-FFFF-FFFF00000000}"/>
  </bookViews>
  <sheets>
    <sheet name="Leggimi" sheetId="1" r:id="rId1"/>
    <sheet name="Dashboard" sheetId="2" r:id="rId2"/>
    <sheet name="Radar_Mosca" sheetId="3" r:id="rId3"/>
    <sheet name="Validazione" sheetId="4" r:id="rId4"/>
    <sheet name="Parametri" sheetId="5" r:id="rId5"/>
    <sheet name="RiskRegister" sheetId="6" r:id="rId6"/>
    <sheet name="Trend" sheetId="7" r:id="rId7"/>
    <sheet name="Delta" sheetId="8" r:id="rId8"/>
    <sheet name="NewsLog" sheetId="9" r:id="rId9"/>
    <sheet name="Approfondimento" sheetId="10" r:id="rId10"/>
    <sheet name="Azioni" sheetId="11" r:id="rId11"/>
    <sheet name="KRI" sheetId="12" r:id="rId12"/>
    <sheet name="KRI_Correnti" sheetId="13" r:id="rId13"/>
    <sheet name="Andamento_KRI" sheetId="14" r:id="rId14"/>
    <sheet name="Analisi_News" sheetId="15" r:id="rId15"/>
  </sheets>
  <definedNames>
    <definedName name="ANA_Driver">Parametri!$K$4:$K$18</definedName>
    <definedName name="ANA_Event_Type">Parametri!$J$4:$J$18</definedName>
    <definedName name="ANA_ID">Parametri!$H$4:$H$18</definedName>
    <definedName name="ANA_Nome">Parametri!$I$4:$I$18</definedName>
    <definedName name="ANA_Owner">Parametri!$L$4:$L$18</definedName>
    <definedName name="anagrafica">Parametri!$H$4:$L$18</definedName>
    <definedName name="anniProssimita">Parametri!$B$51:$B$55</definedName>
    <definedName name="AZ_Ciclo">Azioni!$A$2:$A$20003</definedName>
    <definedName name="AZ_Data_Decisione">Azioni!$K$2:$K$20003</definedName>
    <definedName name="AZ_Decisa_Da">Azioni!$L$2:$L$20003</definedName>
    <definedName name="AZ_Descrizione">Azioni!$D$2:$D$20003</definedName>
    <definedName name="AZ_Dimensione">Azioni!$F$2:$F$20003</definedName>
    <definedName name="AZ_ID_Azione">Azioni!$C$2:$C$20003</definedName>
    <definedName name="AZ_ID_Rischio">Azioni!$B$2:$B$20003</definedName>
    <definedName name="AZ_Mesi_Orizzonte">Azioni!$H$2:$H$20003</definedName>
    <definedName name="AZ_Orizzonte">Azioni!$G$2:$G$20003</definedName>
    <definedName name="AZ_Owner">Azioni!$E$2:$E$20003</definedName>
    <definedName name="AZ_Razionale">Azioni!$I$2:$I$20003</definedName>
    <definedName name="AZ_Stato">Azioni!$J$2:$J$20003</definedName>
    <definedName name="AZ_Validazione">Azioni!$M$2:$M$20003</definedName>
    <definedName name="capienzaElencoKRI">150</definedName>
    <definedName name="capienzaKRICorrenti">60</definedName>
    <definedName name="cicliTrend">Parametri!$B$20:$B$27</definedName>
    <definedName name="cicloCorrente">Parametri!$B$15</definedName>
    <definedName name="cicloMeno2">Parametri!$B$17</definedName>
    <definedName name="cicloPrecedente">Parametri!$B$16</definedName>
    <definedName name="codiciL1">Parametri!$E$4:$E$10</definedName>
    <definedName name="elencoKRI">OFFSET(Andamento_KRI!$L$12,0,0,MAX(1,COUNTIF(Andamento_KRI!$L$12:$L$161,"?*")),1)</definedName>
    <definedName name="inizioFinestra4">Parametri!$B$31</definedName>
    <definedName name="KRI_Chiave">KRI!$R$2:$R$19937</definedName>
    <definedName name="KRI_Ciclo">KRI!$A$2:$A$19937</definedName>
    <definedName name="KRI_Ciclo_Aggiornamento">KRI!$P$2:$P$19937</definedName>
    <definedName name="KRI_Ciclo_Definizione">KRI!$O$2:$O$19937</definedName>
    <definedName name="KRI_Data_Rilevazione">KRI!$J$2:$J$19937</definedName>
    <definedName name="KRI_Fonte_Dati">KRI!$F$2:$F$19937</definedName>
    <definedName name="KRI_Fonte_Rilevazione">KRI!$K$2:$K$19937</definedName>
    <definedName name="KRI_ID_Rischio">KRI!$C$2:$C$19937</definedName>
    <definedName name="KRI_In_Vigore">KRI!$N$2:$N$19937</definedName>
    <definedName name="KRI_KRI_ID">KRI!$B$2:$B$19937</definedName>
    <definedName name="KRI_Nome">KRI!$D$2:$D$19937</definedName>
    <definedName name="KRI_Nota_Rilevazione">KRI!$L$2:$L$19937</definedName>
    <definedName name="KRI_Razionale">KRI!$Q$2:$Q$19937</definedName>
    <definedName name="KRI_Soglia_Allerta">KRI!$H$2:$H$19937</definedName>
    <definedName name="KRI_Soglia_Attenzione">KRI!$G$2:$G$19937</definedName>
    <definedName name="KRI_Stato">KRI!$M$2:$M$19937</definedName>
    <definedName name="KRI_Unita">KRI!$E$2:$E$19937</definedName>
    <definedName name="KRI_Validazione">KRI!$S$2:$S$19937</definedName>
    <definedName name="KRI_Valore_Corrente">KRI!$I$2:$I$19937</definedName>
    <definedName name="moscaX">Parametri!$B$48</definedName>
    <definedName name="moscaYDefault">Parametri!$B$49</definedName>
    <definedName name="NW_Codice_Fonte">NewsLog!$F$2:$F$19995</definedName>
    <definedName name="NW_Data">NewsLog!$A$2:$A$19995</definedName>
    <definedName name="NW_Fonte">NewsLog!$E$2:$E$19995</definedName>
    <definedName name="NW_ID_Notizia">NewsLog!$C$2:$C$19995</definedName>
    <definedName name="NW_Imp_L1_01">NewsLog!$I$2:$I$19995</definedName>
    <definedName name="NW_Imp_L1_02">NewsLog!$J$2:$J$19995</definedName>
    <definedName name="NW_Imp_L1_03">NewsLog!$K$2:$K$19995</definedName>
    <definedName name="NW_Imp_L1_04">NewsLog!$L$2:$L$19995</definedName>
    <definedName name="NW_Imp_L1_05">NewsLog!$M$2:$M$19995</definedName>
    <definedName name="NW_Imp_L1_06">NewsLog!$N$2:$N$19995</definedName>
    <definedName name="NW_Imp_L1_07">NewsLog!$O$2:$O$19995</definedName>
    <definedName name="NW_Rischio_ID">NewsLog!$G$2:$G$19995</definedName>
    <definedName name="NW_Segnale">NewsLog!$H$2:$H$19995</definedName>
    <definedName name="NW_Settimana">NewsLog!$B$2:$B$19995</definedName>
    <definedName name="NW_Sintesi">NewsLog!$P$2:$P$19995</definedName>
    <definedName name="NW_Titolo">NewsLog!$D$2:$D$19995</definedName>
    <definedName name="NW_Validazione">NewsLog!$Q$2:$Q$19995</definedName>
    <definedName name="pesoGap">Parametri!$B$7</definedName>
    <definedName name="pesoProssimita">Parametri!$B$6</definedName>
    <definedName name="pesoSeverity">Parametri!$B$4</definedName>
    <definedName name="pesoVelocity">Parametri!$B$5</definedName>
    <definedName name="radarCorrente">OFFSET(Dashboard!$G$13,0,0,MAX(1,COUNTIF(ANA_ID,"NFR-*")),1)</definedName>
    <definedName name="radarMeno2">OFFSET(Dashboard!$I$13,0,0,MAX(1,COUNTIF(ANA_ID,"NFR-*")),1)</definedName>
    <definedName name="radarPrecedente">OFFSET(Dashboard!$H$13,0,0,MAX(1,COUNTIF(ANA_ID,"NFR-*")),1)</definedName>
    <definedName name="radarRischi">OFFSET(Dashboard!$A$13,0,0,MAX(1,COUNTIF(ANA_ID,"NFR-*")),1)</definedName>
    <definedName name="RR_Approvato_Da">RiskRegister!$V$2:$V$19979</definedName>
    <definedName name="RR_Chiave">RiskRegister!$T$2:$T$19979</definedName>
    <definedName name="RR_Ciclo">RiskRegister!$A$2:$A$19979</definedName>
    <definedName name="RR_Confidence">RiskRegister!$L$2:$L$19979</definedName>
    <definedName name="RR_Data_Riferimento">RiskRegister!$B$2:$B$19979</definedName>
    <definedName name="RR_Data_Scrittura">RiskRegister!$U$2:$U$19979</definedName>
    <definedName name="RR_Data_Validazione">RiskRegister!$X$2:$X$19979</definedName>
    <definedName name="RR_Descrizione">RiskRegister!$O$2:$O$19979</definedName>
    <definedName name="RR_Driver">RiskRegister!$F$2:$F$19979</definedName>
    <definedName name="RR_Esito">RiskRegister!$N$2:$N$19979</definedName>
    <definedName name="RR_Event_Type">RiskRegister!$E$2:$E$19979</definedName>
    <definedName name="RR_Fonti">RiskRegister!$R$2:$R$19979</definedName>
    <definedName name="RR_Gap_Controlli">RiskRegister!$J$2:$J$19979</definedName>
    <definedName name="RR_ID_Rischio">RiskRegister!$C$2:$C$19979</definedName>
    <definedName name="RR_Nome">RiskRegister!$D$2:$D$19979</definedName>
    <definedName name="RR_Owner">RiskRegister!$S$2:$S$19979</definedName>
    <definedName name="RR_Probabilita">RiskRegister!$M$2:$M$19979</definedName>
    <definedName name="RR_Prossimita">RiskRegister!$I$2:$I$19979</definedName>
    <definedName name="RR_Razionale">RiskRegister!$P$2:$P$19979</definedName>
    <definedName name="RR_Score_Composito">RiskRegister!$K$2:$K$19979</definedName>
    <definedName name="RR_Severity">RiskRegister!$G$2:$G$19979</definedName>
    <definedName name="RR_Validazione">RiskRegister!$W$2:$W$19979</definedName>
    <definedName name="RR_Variazioni">RiskRegister!$Q$2:$Q$19979</definedName>
    <definedName name="RR_Velocity">RiskRegister!$H$2:$H$19979</definedName>
    <definedName name="settimanaCorrente">Parametri!$B$30</definedName>
    <definedName name="settimane12">Parametri!$B$34:$B$45</definedName>
    <definedName name="sogliaDelta">Parametri!$B$12</definedName>
    <definedName name="sogliaDirezione">Parametri!$B$11</definedName>
    <definedName name="VAL_Campo">Validazione!$E$2:$E$19996</definedName>
    <definedName name="VAL_Data_Validazione">Validazione!$K$2:$K$19996</definedName>
    <definedName name="VAL_Decisione">Validazione!$G$2:$G$19996</definedName>
    <definedName name="VAL_ID">Validazione!$C$2:$C$19996</definedName>
    <definedName name="VAL_Motivazione">Validazione!$I$2:$I$19996</definedName>
    <definedName name="VAL_Nome">Validazione!$D$2:$D$19996</definedName>
    <definedName name="VAL_Oggetto">Validazione!$B$2:$B$19996</definedName>
    <definedName name="VAL_Periodo">Validazione!$A$2:$A$19996</definedName>
    <definedName name="VAL_Proposta_Agente">Validazione!$F$2:$F$19996</definedName>
    <definedName name="VAL_Stato">Validazione!$L$2:$L$19996</definedName>
    <definedName name="VAL_Validato_Da">Validazione!$J$2:$J$19996</definedName>
    <definedName name="VAL_Valore_Validato">Validazione!$H$2:$H$19996</definedName>
  </definedNames>
  <calcPr calcId="191029"/>
</workbook>
</file>

<file path=xl/calcChain.xml><?xml version="1.0" encoding="utf-8"?>
<calcChain xmlns="http://schemas.openxmlformats.org/spreadsheetml/2006/main">
  <c r="H16" i="11" l="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T13" i="6"/>
  <c r="K13" i="6"/>
  <c r="T12" i="6"/>
  <c r="K12" i="6"/>
  <c r="T11" i="6"/>
  <c r="K11" i="6"/>
  <c r="T10" i="6"/>
  <c r="K10" i="6"/>
  <c r="T9" i="6"/>
  <c r="K9" i="6"/>
  <c r="T8" i="6"/>
  <c r="K8" i="6"/>
  <c r="T7" i="6"/>
  <c r="K7" i="6"/>
  <c r="T6" i="6"/>
  <c r="K6" i="6"/>
  <c r="T5" i="6"/>
  <c r="K5" i="6"/>
  <c r="T4" i="6"/>
  <c r="K4" i="6"/>
  <c r="T3" i="6"/>
  <c r="K3" i="6"/>
  <c r="T2" i="6"/>
  <c r="K2" i="6"/>
  <c r="R37" i="12"/>
  <c r="M37" i="12"/>
  <c r="R36" i="12"/>
  <c r="M36" i="12"/>
  <c r="R35" i="12"/>
  <c r="M35" i="12"/>
  <c r="R34" i="12"/>
  <c r="M34" i="12"/>
  <c r="R33" i="12"/>
  <c r="M33" i="12"/>
  <c r="R32" i="12"/>
  <c r="M32" i="12"/>
  <c r="R31" i="12"/>
  <c r="M31" i="12"/>
  <c r="R30" i="12"/>
  <c r="M30" i="12"/>
  <c r="R29" i="12"/>
  <c r="M29" i="12"/>
  <c r="R28" i="12"/>
  <c r="M28" i="12"/>
  <c r="R27" i="12"/>
  <c r="M27" i="12"/>
  <c r="R26" i="12"/>
  <c r="M26" i="12"/>
  <c r="R25" i="12"/>
  <c r="M25" i="12"/>
  <c r="R24" i="12"/>
  <c r="M24" i="12"/>
  <c r="R23" i="12"/>
  <c r="M23" i="12"/>
  <c r="R22" i="12"/>
  <c r="M22" i="12"/>
  <c r="R21" i="12"/>
  <c r="M21" i="12"/>
  <c r="R20" i="12"/>
  <c r="M20" i="12"/>
  <c r="R19" i="12"/>
  <c r="M19" i="12"/>
  <c r="R18" i="12"/>
  <c r="M18" i="12"/>
  <c r="R17" i="12"/>
  <c r="M17" i="12"/>
  <c r="R16" i="12"/>
  <c r="M16" i="12"/>
  <c r="R15" i="12"/>
  <c r="M15" i="12"/>
  <c r="R14" i="12"/>
  <c r="M14" i="12"/>
  <c r="R13" i="12"/>
  <c r="M13" i="12"/>
  <c r="R12" i="12"/>
  <c r="M12" i="12"/>
  <c r="R11" i="12"/>
  <c r="M11" i="12"/>
  <c r="R10" i="12"/>
  <c r="M10" i="12"/>
  <c r="R9" i="12"/>
  <c r="M9" i="12"/>
  <c r="R8" i="12"/>
  <c r="M8" i="12"/>
  <c r="R7" i="12"/>
  <c r="M7" i="12"/>
  <c r="R6" i="12"/>
  <c r="M6" i="12"/>
  <c r="R5" i="12"/>
  <c r="M5" i="12"/>
  <c r="R4" i="12"/>
  <c r="M4" i="12"/>
  <c r="R3" i="12"/>
  <c r="M3" i="12"/>
  <c r="R2" i="12"/>
  <c r="M2" i="12"/>
  <c r="B6" i="9"/>
  <c r="B5" i="9"/>
  <c r="B4" i="9"/>
  <c r="B3" i="9"/>
  <c r="B2" i="9"/>
  <c r="E11" i="15"/>
  <c r="E10" i="15"/>
  <c r="E9" i="15"/>
  <c r="E8" i="15"/>
  <c r="E7" i="15"/>
  <c r="E6" i="15"/>
  <c r="E5" i="15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J3" i="14"/>
  <c r="B4" i="14" s="1"/>
  <c r="N65" i="13"/>
  <c r="B65" i="13" s="1"/>
  <c r="N64" i="13"/>
  <c r="B64" i="13" s="1"/>
  <c r="N63" i="13"/>
  <c r="B63" i="13" s="1"/>
  <c r="N62" i="13"/>
  <c r="B62" i="13" s="1"/>
  <c r="N61" i="13"/>
  <c r="B61" i="13" s="1"/>
  <c r="N60" i="13"/>
  <c r="B60" i="13" s="1"/>
  <c r="N59" i="13"/>
  <c r="B59" i="13" s="1"/>
  <c r="N58" i="13"/>
  <c r="B58" i="13" s="1"/>
  <c r="N57" i="13"/>
  <c r="N56" i="13"/>
  <c r="B56" i="13" s="1"/>
  <c r="N55" i="13"/>
  <c r="B55" i="13" s="1"/>
  <c r="N54" i="13"/>
  <c r="B54" i="13" s="1"/>
  <c r="N53" i="13"/>
  <c r="B53" i="13" s="1"/>
  <c r="N52" i="13"/>
  <c r="B52" i="13" s="1"/>
  <c r="N51" i="13"/>
  <c r="B51" i="13" s="1"/>
  <c r="N50" i="13"/>
  <c r="B50" i="13" s="1"/>
  <c r="N49" i="13"/>
  <c r="B49" i="13" s="1"/>
  <c r="N48" i="13"/>
  <c r="B48" i="13" s="1"/>
  <c r="N47" i="13"/>
  <c r="B47" i="13" s="1"/>
  <c r="N46" i="13"/>
  <c r="B46" i="13" s="1"/>
  <c r="N45" i="13"/>
  <c r="I45" i="13" s="1"/>
  <c r="N44" i="13"/>
  <c r="B44" i="13" s="1"/>
  <c r="N43" i="13"/>
  <c r="B43" i="13" s="1"/>
  <c r="N42" i="13"/>
  <c r="B42" i="13" s="1"/>
  <c r="N41" i="13"/>
  <c r="B41" i="13" s="1"/>
  <c r="N40" i="13"/>
  <c r="B40" i="13" s="1"/>
  <c r="N39" i="13"/>
  <c r="N38" i="13"/>
  <c r="B38" i="13" s="1"/>
  <c r="N37" i="13"/>
  <c r="B37" i="13" s="1"/>
  <c r="N36" i="13"/>
  <c r="N35" i="13"/>
  <c r="B35" i="13" s="1"/>
  <c r="N34" i="13"/>
  <c r="B34" i="13" s="1"/>
  <c r="N33" i="13"/>
  <c r="N32" i="13"/>
  <c r="B32" i="13" s="1"/>
  <c r="N31" i="13"/>
  <c r="B31" i="13" s="1"/>
  <c r="N30" i="13"/>
  <c r="B30" i="13" s="1"/>
  <c r="N29" i="13"/>
  <c r="B29" i="13" s="1"/>
  <c r="N28" i="13"/>
  <c r="B28" i="13" s="1"/>
  <c r="N27" i="13"/>
  <c r="N26" i="13"/>
  <c r="E26" i="13" s="1"/>
  <c r="N25" i="13"/>
  <c r="B25" i="13" s="1"/>
  <c r="N24" i="13"/>
  <c r="C24" i="13" s="1"/>
  <c r="N23" i="13"/>
  <c r="B23" i="13" s="1"/>
  <c r="N22" i="13"/>
  <c r="B22" i="13" s="1"/>
  <c r="N21" i="13"/>
  <c r="H21" i="13" s="1"/>
  <c r="N20" i="13"/>
  <c r="B20" i="13" s="1"/>
  <c r="N19" i="13"/>
  <c r="B19" i="13" s="1"/>
  <c r="N18" i="13"/>
  <c r="B18" i="13" s="1"/>
  <c r="N17" i="13"/>
  <c r="B17" i="13" s="1"/>
  <c r="N16" i="13"/>
  <c r="N15" i="13"/>
  <c r="G15" i="13" s="1"/>
  <c r="N14" i="13"/>
  <c r="F14" i="13" s="1"/>
  <c r="N13" i="13"/>
  <c r="G13" i="13" s="1"/>
  <c r="N12" i="13"/>
  <c r="C12" i="13" s="1"/>
  <c r="N11" i="13"/>
  <c r="B11" i="13" s="1"/>
  <c r="N10" i="13"/>
  <c r="B10" i="13" s="1"/>
  <c r="N9" i="13"/>
  <c r="G9" i="13" s="1"/>
  <c r="N8" i="13"/>
  <c r="F8" i="13" s="1"/>
  <c r="N7" i="13"/>
  <c r="B7" i="13" s="1"/>
  <c r="N6" i="13"/>
  <c r="D6" i="13" s="1"/>
  <c r="B3" i="13"/>
  <c r="J29" i="10"/>
  <c r="D29" i="10" s="1"/>
  <c r="J28" i="10"/>
  <c r="J27" i="10"/>
  <c r="A27" i="10" s="1"/>
  <c r="J26" i="10"/>
  <c r="D26" i="10" s="1"/>
  <c r="J25" i="10"/>
  <c r="C25" i="10" s="1"/>
  <c r="J24" i="10"/>
  <c r="F24" i="10" s="1"/>
  <c r="B6" i="10"/>
  <c r="B5" i="10"/>
  <c r="B4" i="10"/>
  <c r="B45" i="5"/>
  <c r="A28" i="15" s="1"/>
  <c r="B44" i="5"/>
  <c r="A27" i="15" s="1"/>
  <c r="B43" i="5"/>
  <c r="A26" i="15" s="1"/>
  <c r="B42" i="5"/>
  <c r="A25" i="15" s="1"/>
  <c r="B41" i="5"/>
  <c r="A24" i="15" s="1"/>
  <c r="B40" i="5"/>
  <c r="A23" i="15" s="1"/>
  <c r="B39" i="5"/>
  <c r="A22" i="15" s="1"/>
  <c r="B38" i="5"/>
  <c r="A21" i="15" s="1"/>
  <c r="B37" i="5"/>
  <c r="A20" i="15" s="1"/>
  <c r="B36" i="5"/>
  <c r="A19" i="15" s="1"/>
  <c r="B35" i="5"/>
  <c r="A18" i="15" s="1"/>
  <c r="B34" i="5"/>
  <c r="A17" i="15" s="1"/>
  <c r="B31" i="5"/>
  <c r="B27" i="5"/>
  <c r="A16" i="10" s="1"/>
  <c r="B16" i="5"/>
  <c r="D3" i="2" s="1"/>
  <c r="B8" i="5"/>
  <c r="C8" i="5" s="1"/>
  <c r="U77" i="3"/>
  <c r="AB77" i="3" s="1"/>
  <c r="U76" i="3"/>
  <c r="AC76" i="3" s="1"/>
  <c r="U75" i="3"/>
  <c r="AC75" i="3" s="1"/>
  <c r="U74" i="3"/>
  <c r="Y74" i="3" s="1"/>
  <c r="U73" i="3"/>
  <c r="X73" i="3" s="1"/>
  <c r="U72" i="3"/>
  <c r="U71" i="3"/>
  <c r="X71" i="3" s="1"/>
  <c r="U70" i="3"/>
  <c r="X70" i="3" s="1"/>
  <c r="U69" i="3"/>
  <c r="W69" i="3" s="1"/>
  <c r="U68" i="3"/>
  <c r="AC68" i="3" s="1"/>
  <c r="U67" i="3"/>
  <c r="X67" i="3" s="1"/>
  <c r="U66" i="3"/>
  <c r="AB66" i="3" s="1"/>
  <c r="U65" i="3"/>
  <c r="AA65" i="3" s="1"/>
  <c r="U64" i="3"/>
  <c r="AB64" i="3" s="1"/>
  <c r="U63" i="3"/>
  <c r="W63" i="3" s="1"/>
  <c r="U62" i="3"/>
  <c r="X62" i="3" s="1"/>
  <c r="U61" i="3"/>
  <c r="AC61" i="3" s="1"/>
  <c r="U60" i="3"/>
  <c r="W60" i="3" s="1"/>
  <c r="U59" i="3"/>
  <c r="X59" i="3" s="1"/>
  <c r="U58" i="3"/>
  <c r="W58" i="3" s="1"/>
  <c r="U57" i="3"/>
  <c r="AB57" i="3" s="1"/>
  <c r="U56" i="3"/>
  <c r="U55" i="3"/>
  <c r="AA55" i="3" s="1"/>
  <c r="U54" i="3"/>
  <c r="AA54" i="3" s="1"/>
  <c r="U53" i="3"/>
  <c r="X53" i="3" s="1"/>
  <c r="U52" i="3"/>
  <c r="AC52" i="3" s="1"/>
  <c r="U51" i="3"/>
  <c r="X51" i="3" s="1"/>
  <c r="U50" i="3"/>
  <c r="U49" i="3"/>
  <c r="V49" i="3" s="1"/>
  <c r="U48" i="3"/>
  <c r="W48" i="3" s="1"/>
  <c r="U47" i="3"/>
  <c r="AB47" i="3" s="1"/>
  <c r="U46" i="3"/>
  <c r="Z46" i="3" s="1"/>
  <c r="U45" i="3"/>
  <c r="W45" i="3" s="1"/>
  <c r="U44" i="3"/>
  <c r="Y44" i="3" s="1"/>
  <c r="U43" i="3"/>
  <c r="AB43" i="3" s="1"/>
  <c r="U42" i="3"/>
  <c r="AB42" i="3" s="1"/>
  <c r="U41" i="3"/>
  <c r="AB41" i="3" s="1"/>
  <c r="U40" i="3"/>
  <c r="Y40" i="3" s="1"/>
  <c r="U39" i="3"/>
  <c r="W39" i="3" s="1"/>
  <c r="U38" i="3"/>
  <c r="Y38" i="3" s="1"/>
  <c r="U37" i="3"/>
  <c r="X37" i="3" s="1"/>
  <c r="U36" i="3"/>
  <c r="AC36" i="3" s="1"/>
  <c r="U35" i="3"/>
  <c r="AA35" i="3" s="1"/>
  <c r="U34" i="3"/>
  <c r="V34" i="3" s="1"/>
  <c r="U33" i="3"/>
  <c r="Z33" i="3" s="1"/>
  <c r="U32" i="3"/>
  <c r="Z32" i="3" s="1"/>
  <c r="U31" i="3"/>
  <c r="X31" i="3" s="1"/>
  <c r="U30" i="3"/>
  <c r="X30" i="3" s="1"/>
  <c r="U29" i="3"/>
  <c r="V29" i="3" s="1"/>
  <c r="U28" i="3"/>
  <c r="AB28" i="3" s="1"/>
  <c r="U27" i="3"/>
  <c r="V27" i="3" s="1"/>
  <c r="U26" i="3"/>
  <c r="Y26" i="3" s="1"/>
  <c r="U25" i="3"/>
  <c r="AB25" i="3" s="1"/>
  <c r="U24" i="3"/>
  <c r="Z24" i="3" s="1"/>
  <c r="U23" i="3"/>
  <c r="V23" i="3" s="1"/>
  <c r="U22" i="3"/>
  <c r="U21" i="3"/>
  <c r="AC21" i="3" s="1"/>
  <c r="U20" i="3"/>
  <c r="AA20" i="3" s="1"/>
  <c r="U19" i="3"/>
  <c r="V19" i="3" s="1"/>
  <c r="A19" i="3"/>
  <c r="N19" i="3" s="1"/>
  <c r="AF18" i="3"/>
  <c r="AE18" i="3"/>
  <c r="U18" i="3"/>
  <c r="W18" i="3" s="1"/>
  <c r="A18" i="3"/>
  <c r="B18" i="3" s="1"/>
  <c r="U17" i="3"/>
  <c r="E17" i="3"/>
  <c r="A17" i="3"/>
  <c r="P17" i="3" s="1"/>
  <c r="AF16" i="3"/>
  <c r="AE16" i="3"/>
  <c r="U16" i="3"/>
  <c r="Z16" i="3" s="1"/>
  <c r="A16" i="3"/>
  <c r="U15" i="3"/>
  <c r="AB15" i="3" s="1"/>
  <c r="A15" i="3"/>
  <c r="J15" i="3" s="1"/>
  <c r="AF14" i="3"/>
  <c r="AE14" i="3"/>
  <c r="U14" i="3"/>
  <c r="AC14" i="3" s="1"/>
  <c r="A14" i="3"/>
  <c r="I14" i="3" s="1"/>
  <c r="U13" i="3"/>
  <c r="AB13" i="3" s="1"/>
  <c r="A13" i="3"/>
  <c r="D13" i="3" s="1"/>
  <c r="AF12" i="3"/>
  <c r="AE12" i="3"/>
  <c r="U12" i="3"/>
  <c r="AC12" i="3" s="1"/>
  <c r="A12" i="3"/>
  <c r="J12" i="3" s="1"/>
  <c r="AJ11" i="3"/>
  <c r="AI11" i="3"/>
  <c r="U11" i="3"/>
  <c r="AC11" i="3" s="1"/>
  <c r="A11" i="3"/>
  <c r="D11" i="3" s="1"/>
  <c r="AJ10" i="3"/>
  <c r="AI10" i="3"/>
  <c r="AF10" i="3"/>
  <c r="AE10" i="3"/>
  <c r="U10" i="3"/>
  <c r="Z10" i="3" s="1"/>
  <c r="A10" i="3"/>
  <c r="AJ9" i="3"/>
  <c r="AI9" i="3"/>
  <c r="U9" i="3"/>
  <c r="V9" i="3" s="1"/>
  <c r="A9" i="3"/>
  <c r="AJ8" i="3"/>
  <c r="AI8" i="3"/>
  <c r="AF8" i="3"/>
  <c r="AE8" i="3"/>
  <c r="U8" i="3"/>
  <c r="V8" i="3" s="1"/>
  <c r="A8" i="3"/>
  <c r="E8" i="3" s="1"/>
  <c r="AJ7" i="3"/>
  <c r="AI7" i="3"/>
  <c r="U7" i="3"/>
  <c r="Z7" i="3" s="1"/>
  <c r="A7" i="3"/>
  <c r="AJ6" i="3"/>
  <c r="AI6" i="3"/>
  <c r="AF6" i="3"/>
  <c r="AE6" i="3"/>
  <c r="U6" i="3"/>
  <c r="X6" i="3" s="1"/>
  <c r="A6" i="3"/>
  <c r="E6" i="3" s="1"/>
  <c r="AJ5" i="3"/>
  <c r="AI5" i="3"/>
  <c r="U5" i="3"/>
  <c r="A5" i="3"/>
  <c r="A27" i="2"/>
  <c r="A18" i="8" s="1"/>
  <c r="E18" i="8" s="1"/>
  <c r="A26" i="2"/>
  <c r="A17" i="8" s="1"/>
  <c r="J17" i="8" s="1"/>
  <c r="A25" i="2"/>
  <c r="A16" i="7" s="1"/>
  <c r="A24" i="2"/>
  <c r="F24" i="2" s="1"/>
  <c r="A23" i="2"/>
  <c r="A22" i="2"/>
  <c r="A13" i="7" s="1"/>
  <c r="A21" i="2"/>
  <c r="F21" i="2" s="1"/>
  <c r="A20" i="2"/>
  <c r="A11" i="8" s="1"/>
  <c r="A19" i="2"/>
  <c r="F19" i="2" s="1"/>
  <c r="A18" i="2"/>
  <c r="A9" i="7" s="1"/>
  <c r="A17" i="2"/>
  <c r="A16" i="2"/>
  <c r="A7" i="7" s="1"/>
  <c r="A15" i="2"/>
  <c r="G15" i="2" s="1"/>
  <c r="A14" i="2"/>
  <c r="A5" i="8" s="1"/>
  <c r="A13" i="2"/>
  <c r="A4" i="8" s="1"/>
  <c r="E10" i="2"/>
  <c r="C10" i="2"/>
  <c r="E8" i="2"/>
  <c r="C8" i="2"/>
  <c r="F8" i="2" s="1"/>
  <c r="B3" i="2"/>
  <c r="B26" i="5" l="1"/>
  <c r="D4" i="8"/>
  <c r="H5" i="8"/>
  <c r="Y66" i="3"/>
  <c r="AC66" i="3"/>
  <c r="E11" i="8"/>
  <c r="D14" i="2"/>
  <c r="I9" i="3"/>
  <c r="D9" i="3"/>
  <c r="X34" i="3"/>
  <c r="V41" i="3"/>
  <c r="H19" i="2"/>
  <c r="Y30" i="3"/>
  <c r="Z36" i="3"/>
  <c r="AC63" i="3"/>
  <c r="G24" i="2"/>
  <c r="W12" i="3"/>
  <c r="AB30" i="3"/>
  <c r="AA36" i="3"/>
  <c r="AC30" i="3"/>
  <c r="AB36" i="3"/>
  <c r="AA57" i="3"/>
  <c r="K24" i="2"/>
  <c r="L24" i="2" s="1"/>
  <c r="C18" i="2"/>
  <c r="J9" i="3"/>
  <c r="W41" i="3"/>
  <c r="X63" i="3"/>
  <c r="X36" i="3"/>
  <c r="Y63" i="3"/>
  <c r="G19" i="2"/>
  <c r="Y36" i="3"/>
  <c r="AB63" i="3"/>
  <c r="AC71" i="3"/>
  <c r="Y6" i="3"/>
  <c r="W7" i="3"/>
  <c r="AA8" i="3"/>
  <c r="W9" i="3"/>
  <c r="E11" i="3"/>
  <c r="F11" i="3" s="1"/>
  <c r="G13" i="3"/>
  <c r="H13" i="3" s="1"/>
  <c r="Z15" i="3"/>
  <c r="X18" i="3"/>
  <c r="AA27" i="3"/>
  <c r="Y42" i="3"/>
  <c r="AC51" i="3"/>
  <c r="X60" i="3"/>
  <c r="AA68" i="3"/>
  <c r="X75" i="3"/>
  <c r="E27" i="2"/>
  <c r="Z6" i="3"/>
  <c r="X7" i="3"/>
  <c r="AB8" i="3"/>
  <c r="I11" i="3"/>
  <c r="Y18" i="3"/>
  <c r="AB21" i="3"/>
  <c r="AB27" i="3"/>
  <c r="AC42" i="3"/>
  <c r="Y60" i="3"/>
  <c r="AB68" i="3"/>
  <c r="Y75" i="3"/>
  <c r="D17" i="2"/>
  <c r="B22" i="2"/>
  <c r="K27" i="2"/>
  <c r="AA6" i="3"/>
  <c r="Y7" i="3"/>
  <c r="AC8" i="3"/>
  <c r="Z18" i="3"/>
  <c r="AC27" i="3"/>
  <c r="AA33" i="3"/>
  <c r="W49" i="3"/>
  <c r="Z60" i="3"/>
  <c r="V64" i="3"/>
  <c r="AA75" i="3"/>
  <c r="G22" i="2"/>
  <c r="E5" i="3"/>
  <c r="AC7" i="3"/>
  <c r="AA14" i="3"/>
  <c r="AC18" i="3"/>
  <c r="AB39" i="3"/>
  <c r="Z49" i="3"/>
  <c r="AA61" i="3"/>
  <c r="H14" i="2"/>
  <c r="J15" i="2"/>
  <c r="W8" i="3"/>
  <c r="B11" i="3"/>
  <c r="G18" i="3"/>
  <c r="H18" i="3" s="1"/>
  <c r="AC19" i="3"/>
  <c r="X27" i="3"/>
  <c r="V47" i="3"/>
  <c r="K15" i="2"/>
  <c r="L15" i="2" s="1"/>
  <c r="C20" i="2"/>
  <c r="W6" i="3"/>
  <c r="V7" i="3"/>
  <c r="Z8" i="3"/>
  <c r="C11" i="3"/>
  <c r="O11" i="3" s="1"/>
  <c r="Y15" i="3"/>
  <c r="Y27" i="3"/>
  <c r="V42" i="3"/>
  <c r="X47" i="3"/>
  <c r="AA51" i="3"/>
  <c r="V75" i="3"/>
  <c r="G17" i="2"/>
  <c r="C22" i="2"/>
  <c r="L27" i="2"/>
  <c r="AB6" i="3"/>
  <c r="AA7" i="3"/>
  <c r="AA18" i="3"/>
  <c r="AB33" i="3"/>
  <c r="V43" i="3"/>
  <c r="X49" i="3"/>
  <c r="AB60" i="3"/>
  <c r="W64" i="3"/>
  <c r="AA69" i="3"/>
  <c r="AB75" i="3"/>
  <c r="J17" i="2"/>
  <c r="D22" i="2"/>
  <c r="AC6" i="3"/>
  <c r="AB7" i="3"/>
  <c r="Z14" i="3"/>
  <c r="AB18" i="3"/>
  <c r="AC33" i="3"/>
  <c r="Y43" i="3"/>
  <c r="Y49" i="3"/>
  <c r="AB14" i="3"/>
  <c r="AA49" i="3"/>
  <c r="E14" i="2"/>
  <c r="G17" i="3"/>
  <c r="H17" i="3" s="1"/>
  <c r="V26" i="3"/>
  <c r="Z30" i="3"/>
  <c r="Z45" i="3"/>
  <c r="AB49" i="3"/>
  <c r="AA66" i="3"/>
  <c r="F14" i="2"/>
  <c r="W26" i="3"/>
  <c r="AA30" i="3"/>
  <c r="AC49" i="3"/>
  <c r="AB10" i="3"/>
  <c r="Y13" i="3"/>
  <c r="I16" i="3"/>
  <c r="AC20" i="3"/>
  <c r="X52" i="3"/>
  <c r="AB55" i="3"/>
  <c r="AA58" i="3"/>
  <c r="Y73" i="3"/>
  <c r="D18" i="2"/>
  <c r="D26" i="2"/>
  <c r="AC10" i="3"/>
  <c r="V11" i="3"/>
  <c r="Z13" i="3"/>
  <c r="E15" i="3"/>
  <c r="I18" i="3"/>
  <c r="V37" i="3"/>
  <c r="Y52" i="3"/>
  <c r="Z73" i="3"/>
  <c r="F20" i="2"/>
  <c r="D23" i="2"/>
  <c r="X9" i="3"/>
  <c r="Y12" i="3"/>
  <c r="V24" i="3"/>
  <c r="AA34" i="3"/>
  <c r="AC55" i="3"/>
  <c r="AB58" i="3"/>
  <c r="AB69" i="3"/>
  <c r="A4" i="7"/>
  <c r="B13" i="2"/>
  <c r="B4" i="8" s="1"/>
  <c r="E18" i="2"/>
  <c r="G20" i="2"/>
  <c r="E23" i="2"/>
  <c r="E26" i="2"/>
  <c r="Y9" i="3"/>
  <c r="W11" i="3"/>
  <c r="AA12" i="3"/>
  <c r="AC13" i="3"/>
  <c r="G15" i="3"/>
  <c r="H15" i="3" s="1"/>
  <c r="V16" i="3"/>
  <c r="N18" i="3"/>
  <c r="V21" i="3"/>
  <c r="W24" i="3"/>
  <c r="X26" i="3"/>
  <c r="X41" i="3"/>
  <c r="Y47" i="3"/>
  <c r="Z52" i="3"/>
  <c r="AC58" i="3"/>
  <c r="Y64" i="3"/>
  <c r="AC69" i="3"/>
  <c r="AA73" i="3"/>
  <c r="V76" i="3"/>
  <c r="A7" i="8"/>
  <c r="E7" i="8" s="1"/>
  <c r="D13" i="2"/>
  <c r="H18" i="2"/>
  <c r="K20" i="2"/>
  <c r="L20" i="2" s="1"/>
  <c r="K23" i="2"/>
  <c r="L23" i="2" s="1"/>
  <c r="L26" i="2"/>
  <c r="AC9" i="3"/>
  <c r="Y11" i="3"/>
  <c r="V15" i="3"/>
  <c r="I19" i="3"/>
  <c r="X21" i="3"/>
  <c r="Y24" i="3"/>
  <c r="AA26" i="3"/>
  <c r="AB29" i="3"/>
  <c r="Z41" i="3"/>
  <c r="AC47" i="3"/>
  <c r="AB52" i="3"/>
  <c r="V57" i="3"/>
  <c r="W68" i="3"/>
  <c r="AA70" i="3"/>
  <c r="X76" i="3"/>
  <c r="A16" i="8"/>
  <c r="G16" i="8" s="1"/>
  <c r="G13" i="2"/>
  <c r="B17" i="2"/>
  <c r="B8" i="8" s="1"/>
  <c r="J18" i="2"/>
  <c r="B9" i="3"/>
  <c r="AA11" i="3"/>
  <c r="W14" i="3"/>
  <c r="W15" i="3"/>
  <c r="V18" i="3"/>
  <c r="O19" i="3"/>
  <c r="Y21" i="3"/>
  <c r="AA24" i="3"/>
  <c r="Y33" i="3"/>
  <c r="V36" i="3"/>
  <c r="AA41" i="3"/>
  <c r="V51" i="3"/>
  <c r="X57" i="3"/>
  <c r="V60" i="3"/>
  <c r="V63" i="3"/>
  <c r="X65" i="3"/>
  <c r="X68" i="3"/>
  <c r="Y76" i="3"/>
  <c r="F18" i="8"/>
  <c r="D25" i="2"/>
  <c r="W10" i="3"/>
  <c r="V13" i="3"/>
  <c r="V20" i="3"/>
  <c r="Z25" i="3"/>
  <c r="V40" i="3"/>
  <c r="X46" i="3"/>
  <c r="V58" i="3"/>
  <c r="V77" i="3"/>
  <c r="C13" i="2"/>
  <c r="D16" i="2"/>
  <c r="F18" i="2"/>
  <c r="J20" i="2"/>
  <c r="F23" i="2"/>
  <c r="K26" i="2"/>
  <c r="AB9" i="3"/>
  <c r="X11" i="3"/>
  <c r="AB12" i="3"/>
  <c r="O18" i="3"/>
  <c r="W21" i="3"/>
  <c r="X24" i="3"/>
  <c r="Y29" i="3"/>
  <c r="Y41" i="3"/>
  <c r="AA52" i="3"/>
  <c r="AA62" i="3"/>
  <c r="V68" i="3"/>
  <c r="AC73" i="3"/>
  <c r="W76" i="3"/>
  <c r="H13" i="2"/>
  <c r="C17" i="2"/>
  <c r="K18" i="2"/>
  <c r="L18" i="2" s="1"/>
  <c r="J24" i="2"/>
  <c r="D27" i="2"/>
  <c r="V6" i="3"/>
  <c r="C9" i="3"/>
  <c r="M9" i="3" s="1"/>
  <c r="AB11" i="3"/>
  <c r="Y14" i="3"/>
  <c r="X15" i="3"/>
  <c r="Z21" i="3"/>
  <c r="AB24" i="3"/>
  <c r="W36" i="3"/>
  <c r="AC41" i="3"/>
  <c r="Z57" i="3"/>
  <c r="Y65" i="3"/>
  <c r="Y68" i="3"/>
  <c r="Z76" i="3"/>
  <c r="K14" i="2"/>
  <c r="L14" i="2" s="1"/>
  <c r="J13" i="3"/>
  <c r="AA21" i="3"/>
  <c r="AC24" i="3"/>
  <c r="Z68" i="3"/>
  <c r="AB76" i="3"/>
  <c r="K25" i="2"/>
  <c r="Y10" i="3"/>
  <c r="W13" i="3"/>
  <c r="C16" i="3"/>
  <c r="O16" i="3" s="1"/>
  <c r="X20" i="3"/>
  <c r="V52" i="3"/>
  <c r="X55" i="3"/>
  <c r="Y58" i="3"/>
  <c r="W73" i="3"/>
  <c r="X77" i="3"/>
  <c r="B18" i="2"/>
  <c r="B20" i="2"/>
  <c r="B11" i="8" s="1"/>
  <c r="L25" i="2"/>
  <c r="D5" i="3"/>
  <c r="V12" i="3"/>
  <c r="X13" i="3"/>
  <c r="D16" i="3"/>
  <c r="D18" i="3"/>
  <c r="Z23" i="3"/>
  <c r="W52" i="3"/>
  <c r="Z58" i="3"/>
  <c r="H20" i="2"/>
  <c r="B17" i="5"/>
  <c r="F3" i="2" s="1"/>
  <c r="B21" i="2"/>
  <c r="P19" i="3"/>
  <c r="H15" i="2"/>
  <c r="A5" i="7"/>
  <c r="E13" i="2"/>
  <c r="G14" i="2"/>
  <c r="B16" i="2"/>
  <c r="B7" i="8" s="1"/>
  <c r="E17" i="2"/>
  <c r="K19" i="2"/>
  <c r="L19" i="2" s="1"/>
  <c r="C21" i="2"/>
  <c r="E22" i="2"/>
  <c r="G23" i="2"/>
  <c r="B25" i="2"/>
  <c r="B26" i="2"/>
  <c r="B27" i="2"/>
  <c r="B5" i="3"/>
  <c r="B6" i="3"/>
  <c r="E9" i="3"/>
  <c r="D12" i="3"/>
  <c r="C14" i="3"/>
  <c r="M14" i="3" s="1"/>
  <c r="B15" i="3"/>
  <c r="J18" i="3"/>
  <c r="H16" i="2"/>
  <c r="J7" i="3"/>
  <c r="B12" i="3"/>
  <c r="J19" i="2"/>
  <c r="C12" i="3"/>
  <c r="O12" i="3" s="1"/>
  <c r="B14" i="3"/>
  <c r="F13" i="2"/>
  <c r="J14" i="2"/>
  <c r="C16" i="2"/>
  <c r="F17" i="2"/>
  <c r="D21" i="2"/>
  <c r="F22" i="2"/>
  <c r="J23" i="2"/>
  <c r="C25" i="2"/>
  <c r="C26" i="2"/>
  <c r="C27" i="2"/>
  <c r="C5" i="3"/>
  <c r="N5" i="3" s="1"/>
  <c r="G6" i="3"/>
  <c r="H6" i="3" s="1"/>
  <c r="G9" i="3"/>
  <c r="H9" i="3" s="1"/>
  <c r="E12" i="3"/>
  <c r="E14" i="3"/>
  <c r="D15" i="3"/>
  <c r="B16" i="3"/>
  <c r="C17" i="3"/>
  <c r="M18" i="3"/>
  <c r="H17" i="2"/>
  <c r="A11" i="7"/>
  <c r="J11" i="3"/>
  <c r="C10" i="3"/>
  <c r="O10" i="3" s="1"/>
  <c r="I12" i="3"/>
  <c r="J13" i="2"/>
  <c r="C15" i="2"/>
  <c r="F16" i="2"/>
  <c r="K17" i="2"/>
  <c r="L17" i="2" s="1"/>
  <c r="B19" i="2"/>
  <c r="D20" i="2"/>
  <c r="G21" i="2"/>
  <c r="J22" i="2"/>
  <c r="B24" i="2"/>
  <c r="F25" i="2"/>
  <c r="F26" i="2"/>
  <c r="F27" i="2"/>
  <c r="G5" i="3"/>
  <c r="H5" i="3" s="1"/>
  <c r="C7" i="3"/>
  <c r="M7" i="3" s="1"/>
  <c r="D10" i="3"/>
  <c r="I15" i="3"/>
  <c r="E16" i="3"/>
  <c r="M17" i="3"/>
  <c r="B19" i="3"/>
  <c r="I15" i="2"/>
  <c r="H22" i="2"/>
  <c r="A17" i="7"/>
  <c r="C17" i="8"/>
  <c r="E16" i="2"/>
  <c r="E25" i="2"/>
  <c r="I14" i="2"/>
  <c r="H21" i="2"/>
  <c r="K13" i="2"/>
  <c r="L13" i="2" s="1"/>
  <c r="D15" i="2"/>
  <c r="I16" i="2"/>
  <c r="C19" i="2"/>
  <c r="E20" i="2"/>
  <c r="K22" i="2"/>
  <c r="L22" i="2" s="1"/>
  <c r="C24" i="2"/>
  <c r="G25" i="2"/>
  <c r="G26" i="2"/>
  <c r="G27" i="2"/>
  <c r="I5" i="3"/>
  <c r="D7" i="3"/>
  <c r="G10" i="3"/>
  <c r="H10" i="3" s="1"/>
  <c r="G16" i="3"/>
  <c r="H16" i="3" s="1"/>
  <c r="C19" i="3"/>
  <c r="H23" i="2"/>
  <c r="E21" i="2"/>
  <c r="G12" i="3"/>
  <c r="H12" i="3" s="1"/>
  <c r="K12" i="3" s="1"/>
  <c r="G14" i="3"/>
  <c r="H14" i="3" s="1"/>
  <c r="J16" i="2"/>
  <c r="D19" i="2"/>
  <c r="J21" i="2"/>
  <c r="D24" i="2"/>
  <c r="H25" i="2"/>
  <c r="H26" i="2"/>
  <c r="H27" i="2"/>
  <c r="J5" i="3"/>
  <c r="E7" i="3"/>
  <c r="D19" i="3"/>
  <c r="I19" i="2"/>
  <c r="H24" i="2"/>
  <c r="C5" i="8"/>
  <c r="B14" i="2"/>
  <c r="B5" i="7" s="1"/>
  <c r="F15" i="2"/>
  <c r="E19" i="2"/>
  <c r="K21" i="2"/>
  <c r="L21" i="2" s="1"/>
  <c r="B23" i="2"/>
  <c r="B14" i="8" s="1"/>
  <c r="E24" i="2"/>
  <c r="I25" i="2"/>
  <c r="I26" i="2"/>
  <c r="I27" i="2"/>
  <c r="O5" i="3"/>
  <c r="E19" i="3"/>
  <c r="G16" i="2"/>
  <c r="E5" i="8"/>
  <c r="D18" i="8"/>
  <c r="B15" i="2"/>
  <c r="B6" i="7" s="1"/>
  <c r="B7" i="3"/>
  <c r="E15" i="2"/>
  <c r="K16" i="2"/>
  <c r="L16" i="2" s="1"/>
  <c r="I7" i="3"/>
  <c r="C14" i="2"/>
  <c r="C23" i="2"/>
  <c r="J25" i="2"/>
  <c r="J26" i="2"/>
  <c r="J27" i="2"/>
  <c r="G8" i="3"/>
  <c r="H8" i="3" s="1"/>
  <c r="G19" i="3"/>
  <c r="H19" i="3" s="1"/>
  <c r="G18" i="2"/>
  <c r="I41" i="13"/>
  <c r="I31" i="13"/>
  <c r="I34" i="13"/>
  <c r="E43" i="13"/>
  <c r="G43" i="13"/>
  <c r="I24" i="13"/>
  <c r="I30" i="13"/>
  <c r="F23" i="13"/>
  <c r="F55" i="13"/>
  <c r="H13" i="13"/>
  <c r="I23" i="13"/>
  <c r="A43" i="13"/>
  <c r="J43" i="13" s="1"/>
  <c r="I29" i="13"/>
  <c r="H34" i="13"/>
  <c r="C43" i="13"/>
  <c r="A59" i="13"/>
  <c r="J59" i="13" s="1"/>
  <c r="D43" i="13"/>
  <c r="F51" i="13"/>
  <c r="F43" i="13"/>
  <c r="G28" i="13"/>
  <c r="I54" i="13"/>
  <c r="A23" i="13"/>
  <c r="J23" i="13" s="1"/>
  <c r="E29" i="13"/>
  <c r="F6" i="13"/>
  <c r="D10" i="13"/>
  <c r="I6" i="13"/>
  <c r="C23" i="13"/>
  <c r="E23" i="13"/>
  <c r="E41" i="13"/>
  <c r="I22" i="13"/>
  <c r="A10" i="13"/>
  <c r="J10" i="13" s="1"/>
  <c r="D13" i="13"/>
  <c r="E18" i="13"/>
  <c r="I33" i="13"/>
  <c r="G40" i="13"/>
  <c r="C48" i="13"/>
  <c r="C19" i="13"/>
  <c r="A41" i="13"/>
  <c r="J41" i="13" s="1"/>
  <c r="A64" i="13"/>
  <c r="J64" i="13" s="1"/>
  <c r="A6" i="13"/>
  <c r="J6" i="13" s="1"/>
  <c r="E10" i="13"/>
  <c r="C6" i="13"/>
  <c r="F10" i="13"/>
  <c r="H14" i="13"/>
  <c r="D19" i="13"/>
  <c r="H23" i="13"/>
  <c r="F30" i="13"/>
  <c r="E35" i="13"/>
  <c r="D64" i="13"/>
  <c r="I43" i="13"/>
  <c r="E31" i="13"/>
  <c r="D42" i="13"/>
  <c r="C59" i="13"/>
  <c r="D65" i="13"/>
  <c r="I18" i="13"/>
  <c r="G10" i="13"/>
  <c r="H31" i="13"/>
  <c r="E42" i="13"/>
  <c r="G52" i="13"/>
  <c r="E59" i="13"/>
  <c r="E65" i="13"/>
  <c r="H6" i="13"/>
  <c r="H10" i="13"/>
  <c r="D17" i="13"/>
  <c r="F22" i="13"/>
  <c r="D25" i="13"/>
  <c r="A38" i="13"/>
  <c r="J38" i="13" s="1"/>
  <c r="F42" i="13"/>
  <c r="G59" i="13"/>
  <c r="H65" i="13"/>
  <c r="I14" i="13"/>
  <c r="G8" i="13"/>
  <c r="F12" i="13"/>
  <c r="E17" i="13"/>
  <c r="G22" i="13"/>
  <c r="E32" i="13"/>
  <c r="E38" i="13"/>
  <c r="I42" i="13"/>
  <c r="G46" i="13"/>
  <c r="I59" i="13"/>
  <c r="H8" i="13"/>
  <c r="G12" i="13"/>
  <c r="H22" i="13"/>
  <c r="F32" i="13"/>
  <c r="H46" i="13"/>
  <c r="H12" i="13"/>
  <c r="A18" i="13"/>
  <c r="J18" i="13" s="1"/>
  <c r="H32" i="13"/>
  <c r="B5" i="14"/>
  <c r="D18" i="13"/>
  <c r="A40" i="13"/>
  <c r="J40" i="13" s="1"/>
  <c r="E53" i="13"/>
  <c r="H7" i="13"/>
  <c r="H11" i="13"/>
  <c r="H19" i="13"/>
  <c r="F44" i="13"/>
  <c r="C47" i="13"/>
  <c r="G26" i="10"/>
  <c r="I37" i="13"/>
  <c r="I7" i="13"/>
  <c r="I11" i="13"/>
  <c r="C18" i="13"/>
  <c r="I19" i="13"/>
  <c r="I25" i="13"/>
  <c r="H29" i="13"/>
  <c r="F31" i="13"/>
  <c r="F34" i="13"/>
  <c r="C41" i="13"/>
  <c r="G44" i="13"/>
  <c r="E47" i="13"/>
  <c r="E50" i="13"/>
  <c r="H53" i="13"/>
  <c r="G55" i="13"/>
  <c r="E62" i="13"/>
  <c r="F15" i="13"/>
  <c r="G31" i="13"/>
  <c r="G34" i="13"/>
  <c r="D37" i="13"/>
  <c r="D41" i="13"/>
  <c r="H44" i="13"/>
  <c r="F47" i="13"/>
  <c r="I53" i="13"/>
  <c r="I55" i="13"/>
  <c r="G65" i="13"/>
  <c r="A30" i="13"/>
  <c r="J30" i="13" s="1"/>
  <c r="G47" i="13"/>
  <c r="C63" i="13"/>
  <c r="F18" i="13"/>
  <c r="E20" i="13"/>
  <c r="C30" i="13"/>
  <c r="H41" i="13"/>
  <c r="H47" i="13"/>
  <c r="C54" i="13"/>
  <c r="E56" i="13"/>
  <c r="F59" i="13"/>
  <c r="F63" i="13"/>
  <c r="I65" i="13"/>
  <c r="A25" i="10"/>
  <c r="F25" i="10"/>
  <c r="D20" i="13"/>
  <c r="D8" i="13"/>
  <c r="A17" i="13"/>
  <c r="J17" i="13" s="1"/>
  <c r="A35" i="13"/>
  <c r="J35" i="13" s="1"/>
  <c r="D46" i="13"/>
  <c r="I47" i="13"/>
  <c r="A52" i="13"/>
  <c r="J52" i="13" s="1"/>
  <c r="D54" i="13"/>
  <c r="F56" i="13"/>
  <c r="B27" i="10"/>
  <c r="C27" i="10"/>
  <c r="C8" i="13"/>
  <c r="E27" i="10"/>
  <c r="F20" i="13"/>
  <c r="A28" i="13"/>
  <c r="J28" i="13" s="1"/>
  <c r="D30" i="13"/>
  <c r="D24" i="10"/>
  <c r="F27" i="10"/>
  <c r="A7" i="13"/>
  <c r="J7" i="13" s="1"/>
  <c r="C17" i="13"/>
  <c r="A19" i="13"/>
  <c r="J19" i="13" s="1"/>
  <c r="G20" i="13"/>
  <c r="G23" i="13"/>
  <c r="D28" i="13"/>
  <c r="E30" i="13"/>
  <c r="D32" i="13"/>
  <c r="C35" i="13"/>
  <c r="C42" i="13"/>
  <c r="H43" i="13"/>
  <c r="F46" i="13"/>
  <c r="D52" i="13"/>
  <c r="F54" i="13"/>
  <c r="H56" i="13"/>
  <c r="H59" i="13"/>
  <c r="D7" i="13"/>
  <c r="C11" i="13"/>
  <c r="F35" i="13"/>
  <c r="G64" i="13"/>
  <c r="B6" i="14"/>
  <c r="B25" i="10"/>
  <c r="E11" i="13"/>
  <c r="H17" i="13"/>
  <c r="E19" i="13"/>
  <c r="A29" i="13"/>
  <c r="J29" i="13" s="1"/>
  <c r="A31" i="13"/>
  <c r="J31" i="13" s="1"/>
  <c r="G32" i="13"/>
  <c r="G35" i="13"/>
  <c r="D40" i="13"/>
  <c r="I46" i="13"/>
  <c r="I48" i="13"/>
  <c r="A53" i="13"/>
  <c r="J53" i="13" s="1"/>
  <c r="C55" i="13"/>
  <c r="G58" i="13"/>
  <c r="C60" i="13"/>
  <c r="B7" i="14"/>
  <c r="E7" i="13"/>
  <c r="C29" i="10"/>
  <c r="F7" i="13"/>
  <c r="F11" i="13"/>
  <c r="E14" i="13"/>
  <c r="I17" i="13"/>
  <c r="F19" i="13"/>
  <c r="H24" i="13"/>
  <c r="C29" i="13"/>
  <c r="C31" i="13"/>
  <c r="H35" i="13"/>
  <c r="D44" i="13"/>
  <c r="C53" i="13"/>
  <c r="D55" i="13"/>
  <c r="H58" i="13"/>
  <c r="A65" i="13"/>
  <c r="J65" i="13" s="1"/>
  <c r="B8" i="14"/>
  <c r="G27" i="10"/>
  <c r="C7" i="13"/>
  <c r="A11" i="13"/>
  <c r="J11" i="13" s="1"/>
  <c r="H20" i="13"/>
  <c r="G7" i="13"/>
  <c r="G11" i="13"/>
  <c r="G19" i="13"/>
  <c r="D29" i="13"/>
  <c r="D31" i="13"/>
  <c r="I35" i="13"/>
  <c r="E44" i="13"/>
  <c r="A47" i="13"/>
  <c r="J47" i="13" s="1"/>
  <c r="D49" i="13"/>
  <c r="D53" i="13"/>
  <c r="E55" i="13"/>
  <c r="I58" i="13"/>
  <c r="D61" i="13"/>
  <c r="C65" i="13"/>
  <c r="F10" i="2"/>
  <c r="B19" i="10"/>
  <c r="B20" i="10"/>
  <c r="AA5" i="3"/>
  <c r="Z5" i="3"/>
  <c r="AA17" i="3"/>
  <c r="W17" i="3"/>
  <c r="V17" i="3"/>
  <c r="X17" i="3"/>
  <c r="AC17" i="3"/>
  <c r="Z17" i="3"/>
  <c r="AB17" i="3"/>
  <c r="AC32" i="3"/>
  <c r="AB32" i="3"/>
  <c r="Y32" i="3"/>
  <c r="V32" i="3"/>
  <c r="AA32" i="3"/>
  <c r="D25" i="15"/>
  <c r="C25" i="15"/>
  <c r="B25" i="15"/>
  <c r="V5" i="3"/>
  <c r="I6" i="3"/>
  <c r="I8" i="3"/>
  <c r="M11" i="3"/>
  <c r="Y17" i="3"/>
  <c r="W32" i="3"/>
  <c r="W74" i="3"/>
  <c r="Z74" i="3"/>
  <c r="AB74" i="3"/>
  <c r="AA74" i="3"/>
  <c r="X74" i="3"/>
  <c r="V74" i="3"/>
  <c r="AC74" i="3"/>
  <c r="W5" i="3"/>
  <c r="J6" i="3"/>
  <c r="J8" i="3"/>
  <c r="X32" i="3"/>
  <c r="Z35" i="3"/>
  <c r="AB35" i="3"/>
  <c r="Y35" i="3"/>
  <c r="X35" i="3"/>
  <c r="V35" i="3"/>
  <c r="W35" i="3"/>
  <c r="X5" i="3"/>
  <c r="Z22" i="3"/>
  <c r="Y22" i="3"/>
  <c r="W22" i="3"/>
  <c r="AB22" i="3"/>
  <c r="V22" i="3"/>
  <c r="Y5" i="3"/>
  <c r="I10" i="3"/>
  <c r="E10" i="3"/>
  <c r="X22" i="3"/>
  <c r="AC35" i="3"/>
  <c r="W38" i="3"/>
  <c r="AC38" i="3"/>
  <c r="X38" i="3"/>
  <c r="AB38" i="3"/>
  <c r="Z38" i="3"/>
  <c r="AA38" i="3"/>
  <c r="Z61" i="3"/>
  <c r="Y61" i="3"/>
  <c r="W61" i="3"/>
  <c r="AB61" i="3"/>
  <c r="V61" i="3"/>
  <c r="AC72" i="3"/>
  <c r="X72" i="3"/>
  <c r="AB72" i="3"/>
  <c r="Z72" i="3"/>
  <c r="V72" i="3"/>
  <c r="Y72" i="3"/>
  <c r="AA72" i="3"/>
  <c r="AB5" i="3"/>
  <c r="B10" i="3"/>
  <c r="X10" i="3"/>
  <c r="V10" i="3"/>
  <c r="N17" i="3"/>
  <c r="B17" i="3"/>
  <c r="I17" i="3"/>
  <c r="D17" i="3"/>
  <c r="F17" i="3" s="1"/>
  <c r="O17" i="3"/>
  <c r="J17" i="3"/>
  <c r="K17" i="3" s="1"/>
  <c r="AA22" i="3"/>
  <c r="V38" i="3"/>
  <c r="AC44" i="3"/>
  <c r="AA44" i="3"/>
  <c r="W44" i="3"/>
  <c r="V44" i="3"/>
  <c r="X44" i="3"/>
  <c r="Z44" i="3"/>
  <c r="AB44" i="3"/>
  <c r="W50" i="3"/>
  <c r="Z50" i="3"/>
  <c r="AA50" i="3"/>
  <c r="Y50" i="3"/>
  <c r="V50" i="3"/>
  <c r="AC50" i="3"/>
  <c r="X50" i="3"/>
  <c r="AB50" i="3"/>
  <c r="AC56" i="3"/>
  <c r="X56" i="3"/>
  <c r="AB56" i="3"/>
  <c r="AA56" i="3"/>
  <c r="Y56" i="3"/>
  <c r="Z56" i="3"/>
  <c r="V56" i="3"/>
  <c r="W56" i="3"/>
  <c r="X61" i="3"/>
  <c r="W72" i="3"/>
  <c r="B8" i="3"/>
  <c r="AC48" i="3"/>
  <c r="AB48" i="3"/>
  <c r="Z48" i="3"/>
  <c r="V48" i="3"/>
  <c r="AA48" i="3"/>
  <c r="X48" i="3"/>
  <c r="Y48" i="3"/>
  <c r="Y53" i="3"/>
  <c r="AA53" i="3"/>
  <c r="Z53" i="3"/>
  <c r="W53" i="3"/>
  <c r="AC53" i="3"/>
  <c r="V53" i="3"/>
  <c r="Z67" i="3"/>
  <c r="W67" i="3"/>
  <c r="AC67" i="3"/>
  <c r="AA67" i="3"/>
  <c r="AB67" i="3"/>
  <c r="V67" i="3"/>
  <c r="AC22" i="3"/>
  <c r="Z59" i="3"/>
  <c r="W59" i="3"/>
  <c r="AC59" i="3"/>
  <c r="AA59" i="3"/>
  <c r="AB59" i="3"/>
  <c r="V59" i="3"/>
  <c r="F4" i="8"/>
  <c r="E4" i="8"/>
  <c r="G4" i="8"/>
  <c r="C4" i="8"/>
  <c r="I4" i="8"/>
  <c r="H4" i="8"/>
  <c r="C6" i="3"/>
  <c r="D8" i="3"/>
  <c r="F8" i="3" s="1"/>
  <c r="Y8" i="3"/>
  <c r="X8" i="3"/>
  <c r="AA10" i="3"/>
  <c r="AC28" i="3"/>
  <c r="AA28" i="3"/>
  <c r="Y28" i="3"/>
  <c r="X28" i="3"/>
  <c r="V28" i="3"/>
  <c r="Z28" i="3"/>
  <c r="AB53" i="3"/>
  <c r="Y67" i="3"/>
  <c r="AC5" i="3"/>
  <c r="C8" i="3"/>
  <c r="M8" i="3" s="1"/>
  <c r="Y59" i="3"/>
  <c r="D6" i="3"/>
  <c r="F6" i="3" s="1"/>
  <c r="AA9" i="3"/>
  <c r="Z9" i="3"/>
  <c r="J10" i="3"/>
  <c r="E13" i="3"/>
  <c r="F13" i="3" s="1"/>
  <c r="C13" i="3"/>
  <c r="O13" i="3" s="1"/>
  <c r="I13" i="3"/>
  <c r="B13" i="3"/>
  <c r="M13" i="3"/>
  <c r="W28" i="3"/>
  <c r="AC40" i="3"/>
  <c r="X40" i="3"/>
  <c r="AA40" i="3"/>
  <c r="W40" i="3"/>
  <c r="Z40" i="3"/>
  <c r="AB40" i="3"/>
  <c r="W46" i="3"/>
  <c r="V46" i="3"/>
  <c r="Y46" i="3"/>
  <c r="AC46" i="3"/>
  <c r="AA46" i="3"/>
  <c r="AB46" i="3"/>
  <c r="W54" i="3"/>
  <c r="AC54" i="3"/>
  <c r="AB54" i="3"/>
  <c r="Z54" i="3"/>
  <c r="Y54" i="3"/>
  <c r="V54" i="3"/>
  <c r="X54" i="3"/>
  <c r="V65" i="3"/>
  <c r="AC65" i="3"/>
  <c r="Z65" i="3"/>
  <c r="W65" i="3"/>
  <c r="AB65" i="3"/>
  <c r="H7" i="8"/>
  <c r="F7" i="8"/>
  <c r="I7" i="8"/>
  <c r="D7" i="8"/>
  <c r="C7" i="8"/>
  <c r="H16" i="8"/>
  <c r="D16" i="8"/>
  <c r="C16" i="8"/>
  <c r="J16" i="8"/>
  <c r="D16" i="10"/>
  <c r="G16" i="10"/>
  <c r="H16" i="10"/>
  <c r="F16" i="10"/>
  <c r="C16" i="10"/>
  <c r="I5" i="8"/>
  <c r="D5" i="8"/>
  <c r="G5" i="8"/>
  <c r="A6" i="8"/>
  <c r="A6" i="7"/>
  <c r="A8" i="7"/>
  <c r="A8" i="8"/>
  <c r="A10" i="7"/>
  <c r="A10" i="8"/>
  <c r="F11" i="8"/>
  <c r="G11" i="8"/>
  <c r="I11" i="8"/>
  <c r="H11" i="8"/>
  <c r="D11" i="8"/>
  <c r="A12" i="8"/>
  <c r="A12" i="7"/>
  <c r="A14" i="7"/>
  <c r="A14" i="8"/>
  <c r="A15" i="8"/>
  <c r="A15" i="7"/>
  <c r="G17" i="8"/>
  <c r="I17" i="8"/>
  <c r="H17" i="8"/>
  <c r="E17" i="8"/>
  <c r="D17" i="8"/>
  <c r="C18" i="8"/>
  <c r="J18" i="8"/>
  <c r="G18" i="8"/>
  <c r="I18" i="8"/>
  <c r="G7" i="3"/>
  <c r="H7" i="3" s="1"/>
  <c r="G11" i="3"/>
  <c r="H11" i="3" s="1"/>
  <c r="AA13" i="3"/>
  <c r="E18" i="3"/>
  <c r="P18" i="3"/>
  <c r="C18" i="3"/>
  <c r="Z27" i="3"/>
  <c r="W27" i="3"/>
  <c r="V33" i="3"/>
  <c r="X33" i="3"/>
  <c r="W33" i="3"/>
  <c r="AC64" i="3"/>
  <c r="AA64" i="3"/>
  <c r="Z64" i="3"/>
  <c r="X64" i="3"/>
  <c r="W66" i="3"/>
  <c r="Z66" i="3"/>
  <c r="X66" i="3"/>
  <c r="V66" i="3"/>
  <c r="D22" i="15"/>
  <c r="C22" i="15"/>
  <c r="B22" i="15"/>
  <c r="B18" i="10"/>
  <c r="A13" i="8"/>
  <c r="H18" i="8"/>
  <c r="B16" i="10"/>
  <c r="Y19" i="3"/>
  <c r="AB19" i="3"/>
  <c r="AA19" i="3"/>
  <c r="X19" i="3"/>
  <c r="W23" i="3"/>
  <c r="AC23" i="3"/>
  <c r="AA23" i="3"/>
  <c r="AC29" i="3"/>
  <c r="AA29" i="3"/>
  <c r="W62" i="3"/>
  <c r="V62" i="3"/>
  <c r="AB62" i="3"/>
  <c r="W70" i="3"/>
  <c r="AC70" i="3"/>
  <c r="V70" i="3"/>
  <c r="AB70" i="3"/>
  <c r="D21" i="15"/>
  <c r="C21" i="15"/>
  <c r="B21" i="15"/>
  <c r="B4" i="7"/>
  <c r="B13" i="8"/>
  <c r="B13" i="7"/>
  <c r="B17" i="8"/>
  <c r="B17" i="7"/>
  <c r="M12" i="3"/>
  <c r="W19" i="3"/>
  <c r="X23" i="3"/>
  <c r="AC25" i="3"/>
  <c r="Y25" i="3"/>
  <c r="X25" i="3"/>
  <c r="V25" i="3"/>
  <c r="W29" i="3"/>
  <c r="Z31" i="3"/>
  <c r="AA31" i="3"/>
  <c r="AB31" i="3"/>
  <c r="Y31" i="3"/>
  <c r="W31" i="3"/>
  <c r="AB45" i="3"/>
  <c r="AA45" i="3"/>
  <c r="Y45" i="3"/>
  <c r="Y62" i="3"/>
  <c r="Y70" i="3"/>
  <c r="E16" i="8"/>
  <c r="E16" i="10"/>
  <c r="I10" i="13"/>
  <c r="I3" i="13"/>
  <c r="W16" i="3"/>
  <c r="AB16" i="3"/>
  <c r="AA16" i="3"/>
  <c r="Y16" i="3"/>
  <c r="Z19" i="3"/>
  <c r="Z20" i="3"/>
  <c r="AB20" i="3"/>
  <c r="Y23" i="3"/>
  <c r="W25" i="3"/>
  <c r="X29" i="3"/>
  <c r="V31" i="3"/>
  <c r="Y37" i="3"/>
  <c r="AC37" i="3"/>
  <c r="AB37" i="3"/>
  <c r="Z37" i="3"/>
  <c r="Z39" i="3"/>
  <c r="Y39" i="3"/>
  <c r="X39" i="3"/>
  <c r="V39" i="3"/>
  <c r="Z43" i="3"/>
  <c r="W43" i="3"/>
  <c r="AC43" i="3"/>
  <c r="V45" i="3"/>
  <c r="Z51" i="3"/>
  <c r="AB51" i="3"/>
  <c r="Z62" i="3"/>
  <c r="Z70" i="3"/>
  <c r="Y77" i="3"/>
  <c r="AC77" i="3"/>
  <c r="AA77" i="3"/>
  <c r="D24" i="15"/>
  <c r="C24" i="15"/>
  <c r="B24" i="15"/>
  <c r="F16" i="8"/>
  <c r="B16" i="13"/>
  <c r="I16" i="13"/>
  <c r="F16" i="13"/>
  <c r="E16" i="13"/>
  <c r="H16" i="13"/>
  <c r="G16" i="13"/>
  <c r="C16" i="13"/>
  <c r="D16" i="13"/>
  <c r="A16" i="13"/>
  <c r="J16" i="13" s="1"/>
  <c r="D14" i="3"/>
  <c r="X16" i="3"/>
  <c r="W20" i="3"/>
  <c r="AB23" i="3"/>
  <c r="AA25" i="3"/>
  <c r="Z29" i="3"/>
  <c r="AC31" i="3"/>
  <c r="W37" i="3"/>
  <c r="AA39" i="3"/>
  <c r="X43" i="3"/>
  <c r="X45" i="3"/>
  <c r="W51" i="3"/>
  <c r="Z55" i="3"/>
  <c r="W55" i="3"/>
  <c r="V55" i="3"/>
  <c r="W57" i="3"/>
  <c r="AC62" i="3"/>
  <c r="Z71" i="3"/>
  <c r="AA71" i="3"/>
  <c r="Y71" i="3"/>
  <c r="W71" i="3"/>
  <c r="V71" i="3"/>
  <c r="W77" i="3"/>
  <c r="A18" i="14"/>
  <c r="I3" i="7"/>
  <c r="I9" i="7" s="1"/>
  <c r="C26" i="15"/>
  <c r="B26" i="15"/>
  <c r="D26" i="15"/>
  <c r="A18" i="7"/>
  <c r="F5" i="8"/>
  <c r="C11" i="8"/>
  <c r="I16" i="8"/>
  <c r="A24" i="10"/>
  <c r="B24" i="10"/>
  <c r="G24" i="10"/>
  <c r="C24" i="10"/>
  <c r="E24" i="10"/>
  <c r="C9" i="13"/>
  <c r="Z11" i="3"/>
  <c r="Z12" i="3"/>
  <c r="X12" i="3"/>
  <c r="X14" i="3"/>
  <c r="V14" i="3"/>
  <c r="AC15" i="3"/>
  <c r="AA15" i="3"/>
  <c r="AC16" i="3"/>
  <c r="Y20" i="3"/>
  <c r="AC26" i="3"/>
  <c r="AB26" i="3"/>
  <c r="Z26" i="3"/>
  <c r="W34" i="3"/>
  <c r="Z34" i="3"/>
  <c r="AC34" i="3"/>
  <c r="AB34" i="3"/>
  <c r="Y34" i="3"/>
  <c r="AA37" i="3"/>
  <c r="AC39" i="3"/>
  <c r="AA43" i="3"/>
  <c r="AC45" i="3"/>
  <c r="Y51" i="3"/>
  <c r="Y55" i="3"/>
  <c r="Y57" i="3"/>
  <c r="Y69" i="3"/>
  <c r="Z69" i="3"/>
  <c r="X69" i="3"/>
  <c r="V69" i="3"/>
  <c r="AB71" i="3"/>
  <c r="Z77" i="3"/>
  <c r="D13" i="15"/>
  <c r="G10" i="15"/>
  <c r="C9" i="15"/>
  <c r="G7" i="15"/>
  <c r="C6" i="15"/>
  <c r="I11" i="15"/>
  <c r="I8" i="15"/>
  <c r="I5" i="15"/>
  <c r="H11" i="15"/>
  <c r="D10" i="15"/>
  <c r="F10" i="15" s="1"/>
  <c r="J10" i="15" s="1"/>
  <c r="H8" i="15"/>
  <c r="D7" i="15"/>
  <c r="F7" i="15" s="1"/>
  <c r="J7" i="15" s="1"/>
  <c r="H5" i="15"/>
  <c r="G11" i="15"/>
  <c r="C10" i="15"/>
  <c r="G8" i="15"/>
  <c r="C7" i="15"/>
  <c r="G5" i="15"/>
  <c r="I9" i="15"/>
  <c r="I6" i="15"/>
  <c r="D11" i="15"/>
  <c r="F11" i="15" s="1"/>
  <c r="J11" i="15" s="1"/>
  <c r="H9" i="15"/>
  <c r="D8" i="15"/>
  <c r="F8" i="15" s="1"/>
  <c r="J8" i="15" s="1"/>
  <c r="H6" i="15"/>
  <c r="D5" i="15"/>
  <c r="F5" i="15" s="1"/>
  <c r="J5" i="15" s="1"/>
  <c r="C11" i="15"/>
  <c r="G9" i="15"/>
  <c r="C8" i="15"/>
  <c r="G6" i="15"/>
  <c r="C5" i="15"/>
  <c r="I10" i="15"/>
  <c r="I7" i="15"/>
  <c r="H10" i="15"/>
  <c r="D9" i="15"/>
  <c r="F9" i="15" s="1"/>
  <c r="J9" i="15" s="1"/>
  <c r="H7" i="15"/>
  <c r="D6" i="15"/>
  <c r="F6" i="15" s="1"/>
  <c r="J6" i="15" s="1"/>
  <c r="D28" i="15"/>
  <c r="C28" i="15"/>
  <c r="B28" i="15"/>
  <c r="A9" i="8"/>
  <c r="F17" i="8"/>
  <c r="F9" i="13"/>
  <c r="E28" i="10"/>
  <c r="C28" i="10"/>
  <c r="F28" i="10"/>
  <c r="G28" i="10"/>
  <c r="D28" i="10"/>
  <c r="B28" i="10"/>
  <c r="A28" i="10"/>
  <c r="B9" i="13"/>
  <c r="A9" i="13"/>
  <c r="J9" i="13" s="1"/>
  <c r="K9" i="13" s="1"/>
  <c r="H9" i="13"/>
  <c r="E9" i="13"/>
  <c r="D9" i="13"/>
  <c r="I9" i="13"/>
  <c r="J14" i="3"/>
  <c r="W42" i="3"/>
  <c r="AA42" i="3"/>
  <c r="Z42" i="3"/>
  <c r="X42" i="3"/>
  <c r="AC57" i="3"/>
  <c r="B19" i="15"/>
  <c r="D19" i="15"/>
  <c r="C19" i="15"/>
  <c r="E29" i="10"/>
  <c r="A29" i="10"/>
  <c r="F29" i="10"/>
  <c r="G29" i="10"/>
  <c r="B29" i="10"/>
  <c r="J19" i="3"/>
  <c r="Z47" i="3"/>
  <c r="AA47" i="3"/>
  <c r="A19" i="14"/>
  <c r="J3" i="7"/>
  <c r="J5" i="7" s="1"/>
  <c r="D27" i="15"/>
  <c r="C27" i="15"/>
  <c r="B27" i="15"/>
  <c r="C15" i="3"/>
  <c r="M19" i="3"/>
  <c r="W47" i="3"/>
  <c r="X58" i="3"/>
  <c r="Z63" i="3"/>
  <c r="AA63" i="3"/>
  <c r="J16" i="3"/>
  <c r="K16" i="3" s="1"/>
  <c r="W30" i="3"/>
  <c r="V30" i="3"/>
  <c r="AC60" i="3"/>
  <c r="AA60" i="3"/>
  <c r="AB73" i="3"/>
  <c r="V73" i="3"/>
  <c r="B26" i="10"/>
  <c r="C26" i="10"/>
  <c r="Z75" i="3"/>
  <c r="W75" i="3"/>
  <c r="D20" i="15"/>
  <c r="C20" i="15"/>
  <c r="B20" i="15"/>
  <c r="G3" i="13"/>
  <c r="K3" i="13"/>
  <c r="E3" i="13"/>
  <c r="E26" i="10"/>
  <c r="A26" i="10"/>
  <c r="F26" i="10"/>
  <c r="E25" i="10"/>
  <c r="G25" i="10"/>
  <c r="I36" i="13"/>
  <c r="B21" i="13"/>
  <c r="D21" i="13"/>
  <c r="C21" i="13"/>
  <c r="A21" i="13"/>
  <c r="J21" i="13" s="1"/>
  <c r="G21" i="13"/>
  <c r="I21" i="13"/>
  <c r="D23" i="15"/>
  <c r="C23" i="15"/>
  <c r="B23" i="15"/>
  <c r="B12" i="13"/>
  <c r="E12" i="13"/>
  <c r="A12" i="13"/>
  <c r="J12" i="13" s="1"/>
  <c r="I12" i="13"/>
  <c r="D12" i="13"/>
  <c r="C15" i="13"/>
  <c r="B39" i="13"/>
  <c r="A39" i="13"/>
  <c r="J39" i="13" s="1"/>
  <c r="I39" i="13"/>
  <c r="H39" i="13"/>
  <c r="G39" i="13"/>
  <c r="E39" i="13"/>
  <c r="D39" i="13"/>
  <c r="F39" i="13"/>
  <c r="C39" i="13"/>
  <c r="B57" i="13"/>
  <c r="I57" i="13"/>
  <c r="H57" i="13"/>
  <c r="G57" i="13"/>
  <c r="F57" i="13"/>
  <c r="E57" i="13"/>
  <c r="D57" i="13"/>
  <c r="C57" i="13"/>
  <c r="A57" i="13"/>
  <c r="J57" i="13" s="1"/>
  <c r="B15" i="13"/>
  <c r="H15" i="13"/>
  <c r="E15" i="13"/>
  <c r="D15" i="13"/>
  <c r="I15" i="13"/>
  <c r="A15" i="13"/>
  <c r="J15" i="13" s="1"/>
  <c r="K15" i="13" s="1"/>
  <c r="AA76" i="3"/>
  <c r="D17" i="15"/>
  <c r="C17" i="15"/>
  <c r="B17" i="15"/>
  <c r="D25" i="10"/>
  <c r="E21" i="13"/>
  <c r="B13" i="13"/>
  <c r="F13" i="13"/>
  <c r="C13" i="13"/>
  <c r="A13" i="13"/>
  <c r="J13" i="13" s="1"/>
  <c r="K13" i="13" s="1"/>
  <c r="I13" i="13"/>
  <c r="E13" i="13"/>
  <c r="F21" i="13"/>
  <c r="B8" i="13"/>
  <c r="I8" i="13"/>
  <c r="G33" i="13"/>
  <c r="B27" i="13"/>
  <c r="A27" i="13"/>
  <c r="J27" i="13" s="1"/>
  <c r="I27" i="13"/>
  <c r="H27" i="13"/>
  <c r="G27" i="13"/>
  <c r="E27" i="13"/>
  <c r="D27" i="13"/>
  <c r="B33" i="13"/>
  <c r="H33" i="13"/>
  <c r="E33" i="13"/>
  <c r="D33" i="13"/>
  <c r="C33" i="13"/>
  <c r="A33" i="13"/>
  <c r="J33" i="13" s="1"/>
  <c r="B6" i="13"/>
  <c r="G6" i="13"/>
  <c r="A8" i="13"/>
  <c r="J8" i="13" s="1"/>
  <c r="B14" i="13"/>
  <c r="G14" i="13"/>
  <c r="D14" i="13"/>
  <c r="C14" i="13"/>
  <c r="A26" i="13"/>
  <c r="J26" i="13" s="1"/>
  <c r="C36" i="13"/>
  <c r="F45" i="13"/>
  <c r="D18" i="15"/>
  <c r="C18" i="15"/>
  <c r="B18" i="15"/>
  <c r="E8" i="13"/>
  <c r="B45" i="13"/>
  <c r="H45" i="13"/>
  <c r="G45" i="13"/>
  <c r="E45" i="13"/>
  <c r="D45" i="13"/>
  <c r="C45" i="13"/>
  <c r="A45" i="13"/>
  <c r="J45" i="13" s="1"/>
  <c r="B36" i="13"/>
  <c r="H36" i="13"/>
  <c r="G36" i="13"/>
  <c r="F36" i="13"/>
  <c r="E36" i="13"/>
  <c r="D36" i="13"/>
  <c r="A36" i="13"/>
  <c r="J36" i="13" s="1"/>
  <c r="B26" i="13"/>
  <c r="I26" i="13"/>
  <c r="H26" i="13"/>
  <c r="G26" i="13"/>
  <c r="F26" i="13"/>
  <c r="D26" i="13"/>
  <c r="C26" i="13"/>
  <c r="E6" i="13"/>
  <c r="A14" i="13"/>
  <c r="J14" i="13" s="1"/>
  <c r="C27" i="13"/>
  <c r="B24" i="13"/>
  <c r="G24" i="13"/>
  <c r="F24" i="13"/>
  <c r="E24" i="13"/>
  <c r="D24" i="13"/>
  <c r="A24" i="13"/>
  <c r="J24" i="13" s="1"/>
  <c r="F27" i="13"/>
  <c r="F33" i="13"/>
  <c r="D27" i="10"/>
  <c r="F17" i="13"/>
  <c r="G18" i="13"/>
  <c r="I20" i="13"/>
  <c r="A25" i="13"/>
  <c r="J25" i="13" s="1"/>
  <c r="E28" i="13"/>
  <c r="F29" i="13"/>
  <c r="G30" i="13"/>
  <c r="I32" i="13"/>
  <c r="A37" i="13"/>
  <c r="J37" i="13" s="1"/>
  <c r="C38" i="13"/>
  <c r="E40" i="13"/>
  <c r="F41" i="13"/>
  <c r="G42" i="13"/>
  <c r="I44" i="13"/>
  <c r="A49" i="13"/>
  <c r="J49" i="13" s="1"/>
  <c r="C50" i="13"/>
  <c r="D51" i="13"/>
  <c r="E52" i="13"/>
  <c r="F53" i="13"/>
  <c r="G54" i="13"/>
  <c r="H55" i="13"/>
  <c r="I56" i="13"/>
  <c r="A61" i="13"/>
  <c r="J61" i="13" s="1"/>
  <c r="C62" i="13"/>
  <c r="D63" i="13"/>
  <c r="E64" i="13"/>
  <c r="F65" i="13"/>
  <c r="B9" i="14"/>
  <c r="G17" i="13"/>
  <c r="H18" i="13"/>
  <c r="C25" i="13"/>
  <c r="F28" i="13"/>
  <c r="G29" i="13"/>
  <c r="H30" i="13"/>
  <c r="C37" i="13"/>
  <c r="D38" i="13"/>
  <c r="F40" i="13"/>
  <c r="G41" i="13"/>
  <c r="H42" i="13"/>
  <c r="A48" i="13"/>
  <c r="J48" i="13" s="1"/>
  <c r="C49" i="13"/>
  <c r="D50" i="13"/>
  <c r="E51" i="13"/>
  <c r="F52" i="13"/>
  <c r="G53" i="13"/>
  <c r="H54" i="13"/>
  <c r="A60" i="13"/>
  <c r="J60" i="13" s="1"/>
  <c r="C61" i="13"/>
  <c r="D62" i="13"/>
  <c r="E63" i="13"/>
  <c r="F64" i="13"/>
  <c r="A22" i="13"/>
  <c r="J22" i="13" s="1"/>
  <c r="E25" i="13"/>
  <c r="H28" i="13"/>
  <c r="A34" i="13"/>
  <c r="J34" i="13" s="1"/>
  <c r="E37" i="13"/>
  <c r="F38" i="13"/>
  <c r="H40" i="13"/>
  <c r="A46" i="13"/>
  <c r="J46" i="13" s="1"/>
  <c r="D48" i="13"/>
  <c r="E49" i="13"/>
  <c r="F50" i="13"/>
  <c r="G51" i="13"/>
  <c r="H52" i="13"/>
  <c r="A58" i="13"/>
  <c r="J58" i="13" s="1"/>
  <c r="D60" i="13"/>
  <c r="E61" i="13"/>
  <c r="F62" i="13"/>
  <c r="G63" i="13"/>
  <c r="H64" i="13"/>
  <c r="C10" i="13"/>
  <c r="D11" i="13"/>
  <c r="C22" i="13"/>
  <c r="D23" i="13"/>
  <c r="F25" i="13"/>
  <c r="I28" i="13"/>
  <c r="C34" i="13"/>
  <c r="D35" i="13"/>
  <c r="F37" i="13"/>
  <c r="G38" i="13"/>
  <c r="I40" i="13"/>
  <c r="C46" i="13"/>
  <c r="D47" i="13"/>
  <c r="E48" i="13"/>
  <c r="F49" i="13"/>
  <c r="G50" i="13"/>
  <c r="H51" i="13"/>
  <c r="I52" i="13"/>
  <c r="C58" i="13"/>
  <c r="D59" i="13"/>
  <c r="E60" i="13"/>
  <c r="F61" i="13"/>
  <c r="G62" i="13"/>
  <c r="H63" i="13"/>
  <c r="I64" i="13"/>
  <c r="A20" i="13"/>
  <c r="J20" i="13" s="1"/>
  <c r="D22" i="13"/>
  <c r="G25" i="13"/>
  <c r="A32" i="13"/>
  <c r="J32" i="13" s="1"/>
  <c r="D34" i="13"/>
  <c r="G37" i="13"/>
  <c r="H38" i="13"/>
  <c r="A44" i="13"/>
  <c r="J44" i="13" s="1"/>
  <c r="F48" i="13"/>
  <c r="G49" i="13"/>
  <c r="H50" i="13"/>
  <c r="I51" i="13"/>
  <c r="A56" i="13"/>
  <c r="J56" i="13" s="1"/>
  <c r="D58" i="13"/>
  <c r="F60" i="13"/>
  <c r="G61" i="13"/>
  <c r="H62" i="13"/>
  <c r="I63" i="13"/>
  <c r="C20" i="13"/>
  <c r="E22" i="13"/>
  <c r="H25" i="13"/>
  <c r="C32" i="13"/>
  <c r="E34" i="13"/>
  <c r="H37" i="13"/>
  <c r="I38" i="13"/>
  <c r="C44" i="13"/>
  <c r="E46" i="13"/>
  <c r="G48" i="13"/>
  <c r="H49" i="13"/>
  <c r="I50" i="13"/>
  <c r="A55" i="13"/>
  <c r="J55" i="13" s="1"/>
  <c r="C56" i="13"/>
  <c r="E58" i="13"/>
  <c r="G60" i="13"/>
  <c r="H61" i="13"/>
  <c r="I62" i="13"/>
  <c r="A42" i="13"/>
  <c r="J42" i="13" s="1"/>
  <c r="H48" i="13"/>
  <c r="I49" i="13"/>
  <c r="A54" i="13"/>
  <c r="J54" i="13" s="1"/>
  <c r="D56" i="13"/>
  <c r="F58" i="13"/>
  <c r="H60" i="13"/>
  <c r="I61" i="13"/>
  <c r="I60" i="13"/>
  <c r="C28" i="13"/>
  <c r="C40" i="13"/>
  <c r="A51" i="13"/>
  <c r="J51" i="13" s="1"/>
  <c r="C52" i="13"/>
  <c r="E54" i="13"/>
  <c r="G56" i="13"/>
  <c r="A63" i="13"/>
  <c r="J63" i="13" s="1"/>
  <c r="C64" i="13"/>
  <c r="A50" i="13"/>
  <c r="J50" i="13" s="1"/>
  <c r="C51" i="13"/>
  <c r="A62" i="13"/>
  <c r="J62" i="13" s="1"/>
  <c r="B6" i="8" l="1"/>
  <c r="N15" i="3"/>
  <c r="I21" i="2"/>
  <c r="K15" i="3"/>
  <c r="L15" i="3" s="1"/>
  <c r="A15" i="10"/>
  <c r="B25" i="5"/>
  <c r="I24" i="2"/>
  <c r="I13" i="2"/>
  <c r="I20" i="2"/>
  <c r="I23" i="2"/>
  <c r="I18" i="2"/>
  <c r="I22" i="2"/>
  <c r="I17" i="2"/>
  <c r="K11" i="3"/>
  <c r="K7" i="3"/>
  <c r="Q7" i="3" s="1"/>
  <c r="K9" i="3"/>
  <c r="Q9" i="3" s="1"/>
  <c r="K14" i="3"/>
  <c r="L14" i="3" s="1"/>
  <c r="K10" i="3"/>
  <c r="Q10" i="3" s="1"/>
  <c r="F16" i="3"/>
  <c r="M16" i="3"/>
  <c r="O15" i="3"/>
  <c r="O14" i="3"/>
  <c r="F12" i="3"/>
  <c r="F10" i="3"/>
  <c r="M10" i="3"/>
  <c r="B8" i="7"/>
  <c r="F9" i="3"/>
  <c r="O9" i="3"/>
  <c r="G7" i="8"/>
  <c r="J7" i="8" s="1"/>
  <c r="O7" i="3"/>
  <c r="K6" i="3"/>
  <c r="L6" i="3" s="1"/>
  <c r="F5" i="3"/>
  <c r="M5" i="3"/>
  <c r="P5" i="3" s="1"/>
  <c r="F18" i="3"/>
  <c r="F15" i="3"/>
  <c r="B7" i="7"/>
  <c r="F14" i="3"/>
  <c r="B5" i="8"/>
  <c r="K18" i="3"/>
  <c r="Q18" i="3" s="1"/>
  <c r="B11" i="7"/>
  <c r="K13" i="3"/>
  <c r="L13" i="3" s="1"/>
  <c r="B14" i="7"/>
  <c r="E18" i="15"/>
  <c r="E23" i="15"/>
  <c r="B9" i="7"/>
  <c r="B9" i="8"/>
  <c r="K5" i="3"/>
  <c r="Q5" i="3" s="1"/>
  <c r="F19" i="3"/>
  <c r="F7" i="3"/>
  <c r="Q12" i="3"/>
  <c r="L12" i="3"/>
  <c r="I17" i="7"/>
  <c r="B10" i="7"/>
  <c r="B10" i="8"/>
  <c r="K8" i="3"/>
  <c r="Q8" i="3" s="1"/>
  <c r="B15" i="8"/>
  <c r="B15" i="7"/>
  <c r="B18" i="8"/>
  <c r="B18" i="7"/>
  <c r="K19" i="3"/>
  <c r="L19" i="3" s="1"/>
  <c r="B16" i="8"/>
  <c r="B16" i="7"/>
  <c r="B12" i="7"/>
  <c r="B12" i="8"/>
  <c r="E22" i="15"/>
  <c r="E27" i="15"/>
  <c r="E21" i="15"/>
  <c r="K22" i="13"/>
  <c r="K31" i="13"/>
  <c r="K10" i="13"/>
  <c r="K28" i="13"/>
  <c r="K20" i="13"/>
  <c r="K40" i="13"/>
  <c r="K8" i="13"/>
  <c r="K43" i="13"/>
  <c r="K44" i="13"/>
  <c r="K34" i="13"/>
  <c r="K32" i="13"/>
  <c r="K46" i="13"/>
  <c r="K12" i="13"/>
  <c r="K53" i="13"/>
  <c r="K59" i="13"/>
  <c r="K6" i="13"/>
  <c r="K23" i="13"/>
  <c r="K64" i="13"/>
  <c r="K30" i="13"/>
  <c r="K58" i="13"/>
  <c r="K18" i="13"/>
  <c r="K7" i="13"/>
  <c r="K52" i="13"/>
  <c r="K11" i="13"/>
  <c r="K17" i="13"/>
  <c r="K61" i="13"/>
  <c r="K51" i="13"/>
  <c r="K55" i="13"/>
  <c r="K37" i="13"/>
  <c r="K24" i="13"/>
  <c r="K35" i="13"/>
  <c r="K56" i="13"/>
  <c r="K42" i="13"/>
  <c r="K65" i="13"/>
  <c r="K19" i="13"/>
  <c r="K27" i="13"/>
  <c r="K47" i="13"/>
  <c r="J11" i="8"/>
  <c r="J5" i="8"/>
  <c r="J4" i="8"/>
  <c r="Q17" i="3"/>
  <c r="L17" i="3"/>
  <c r="Q16" i="3"/>
  <c r="L16" i="3"/>
  <c r="L11" i="3"/>
  <c r="Q11" i="3"/>
  <c r="K14" i="13"/>
  <c r="K38" i="13"/>
  <c r="K54" i="13"/>
  <c r="E17" i="15"/>
  <c r="K39" i="13"/>
  <c r="J9" i="7"/>
  <c r="J11" i="7"/>
  <c r="E13" i="8"/>
  <c r="H13" i="8"/>
  <c r="G13" i="8"/>
  <c r="F13" i="8"/>
  <c r="C13" i="8"/>
  <c r="I13" i="8"/>
  <c r="D13" i="8"/>
  <c r="I16" i="7"/>
  <c r="I6" i="7"/>
  <c r="J6" i="7"/>
  <c r="I4" i="7"/>
  <c r="C6" i="8"/>
  <c r="D6" i="8"/>
  <c r="I6" i="8"/>
  <c r="F6" i="8"/>
  <c r="E6" i="8"/>
  <c r="H6" i="8"/>
  <c r="G6" i="8"/>
  <c r="K26" i="13"/>
  <c r="K57" i="13"/>
  <c r="M15" i="3"/>
  <c r="E24" i="15"/>
  <c r="J16" i="7"/>
  <c r="I12" i="7"/>
  <c r="J12" i="7"/>
  <c r="N7" i="3"/>
  <c r="O6" i="3"/>
  <c r="E28" i="15"/>
  <c r="C12" i="8"/>
  <c r="I12" i="8"/>
  <c r="E12" i="8"/>
  <c r="D12" i="8"/>
  <c r="G12" i="8"/>
  <c r="H12" i="8"/>
  <c r="F12" i="8"/>
  <c r="E25" i="15"/>
  <c r="K16" i="13"/>
  <c r="I15" i="7"/>
  <c r="J15" i="7"/>
  <c r="N12" i="3"/>
  <c r="P12" i="3" s="1"/>
  <c r="H18" i="14"/>
  <c r="G18" i="14"/>
  <c r="F18" i="14"/>
  <c r="E18" i="14"/>
  <c r="D18" i="14"/>
  <c r="C18" i="14"/>
  <c r="B18" i="14"/>
  <c r="K48" i="13"/>
  <c r="I15" i="8"/>
  <c r="E15" i="8"/>
  <c r="F15" i="8"/>
  <c r="G15" i="8"/>
  <c r="D15" i="8"/>
  <c r="C15" i="8"/>
  <c r="H15" i="8"/>
  <c r="G8" i="8"/>
  <c r="E8" i="8"/>
  <c r="D8" i="8"/>
  <c r="C8" i="8"/>
  <c r="H8" i="8"/>
  <c r="I8" i="8"/>
  <c r="F8" i="8"/>
  <c r="Q15" i="3"/>
  <c r="G14" i="8"/>
  <c r="H14" i="8"/>
  <c r="F14" i="8"/>
  <c r="D14" i="8"/>
  <c r="E14" i="8"/>
  <c r="C14" i="8"/>
  <c r="I14" i="8"/>
  <c r="I8" i="7"/>
  <c r="J8" i="7"/>
  <c r="I11" i="7"/>
  <c r="N13" i="3"/>
  <c r="P13" i="3" s="1"/>
  <c r="K25" i="13"/>
  <c r="K50" i="13"/>
  <c r="K41" i="13"/>
  <c r="I14" i="7"/>
  <c r="J14" i="7"/>
  <c r="J4" i="7"/>
  <c r="K21" i="13"/>
  <c r="I18" i="7"/>
  <c r="J18" i="7"/>
  <c r="J17" i="7"/>
  <c r="I7" i="7"/>
  <c r="E20" i="15"/>
  <c r="N16" i="3"/>
  <c r="P16" i="3" s="1"/>
  <c r="E19" i="15"/>
  <c r="C10" i="8"/>
  <c r="H10" i="8"/>
  <c r="D10" i="8"/>
  <c r="I10" i="8"/>
  <c r="G10" i="8"/>
  <c r="F10" i="8"/>
  <c r="E10" i="8"/>
  <c r="J7" i="7"/>
  <c r="O8" i="3"/>
  <c r="N8" i="3"/>
  <c r="I5" i="7"/>
  <c r="N10" i="3"/>
  <c r="P10" i="3" s="1"/>
  <c r="K33" i="13"/>
  <c r="I13" i="7"/>
  <c r="I10" i="7"/>
  <c r="J10" i="7"/>
  <c r="N9" i="3"/>
  <c r="N6" i="3"/>
  <c r="M6" i="3"/>
  <c r="K45" i="13"/>
  <c r="D19" i="14"/>
  <c r="H19" i="14"/>
  <c r="G19" i="14"/>
  <c r="F19" i="14"/>
  <c r="E19" i="14"/>
  <c r="C19" i="14"/>
  <c r="B19" i="14"/>
  <c r="K60" i="13"/>
  <c r="K49" i="13"/>
  <c r="K62" i="13"/>
  <c r="K63" i="13"/>
  <c r="K29" i="13"/>
  <c r="K36" i="13"/>
  <c r="I9" i="8"/>
  <c r="H9" i="8"/>
  <c r="C9" i="8"/>
  <c r="G9" i="8"/>
  <c r="E9" i="8"/>
  <c r="F9" i="8"/>
  <c r="D9" i="8"/>
  <c r="E26" i="15"/>
  <c r="N14" i="3"/>
  <c r="P14" i="3" s="1"/>
  <c r="J13" i="7"/>
  <c r="N11" i="3"/>
  <c r="P11" i="3" s="1"/>
  <c r="A17" i="14" l="1"/>
  <c r="A14" i="10"/>
  <c r="H3" i="7"/>
  <c r="B24" i="5"/>
  <c r="B15" i="10"/>
  <c r="H15" i="10"/>
  <c r="G15" i="10"/>
  <c r="F15" i="10"/>
  <c r="E15" i="10"/>
  <c r="C15" i="10"/>
  <c r="D15" i="10"/>
  <c r="P15" i="3"/>
  <c r="R15" i="3" s="1"/>
  <c r="Q14" i="3"/>
  <c r="R14" i="3" s="1"/>
  <c r="L7" i="3"/>
  <c r="L9" i="3"/>
  <c r="L10" i="3"/>
  <c r="Q6" i="3"/>
  <c r="Q19" i="3"/>
  <c r="S19" i="3" s="1"/>
  <c r="P9" i="3"/>
  <c r="R9" i="3" s="1"/>
  <c r="S5" i="3"/>
  <c r="AX5" i="3" s="1"/>
  <c r="P7" i="3"/>
  <c r="S7" i="3" s="1"/>
  <c r="P8" i="3"/>
  <c r="S8" i="3" s="1"/>
  <c r="R5" i="3"/>
  <c r="L5" i="3"/>
  <c r="Q13" i="3"/>
  <c r="S13" i="3" s="1"/>
  <c r="R12" i="3"/>
  <c r="L18" i="3"/>
  <c r="L8" i="3"/>
  <c r="J15" i="8"/>
  <c r="J8" i="8"/>
  <c r="J10" i="8"/>
  <c r="J9" i="8"/>
  <c r="J13" i="8"/>
  <c r="J14" i="8"/>
  <c r="J12" i="8"/>
  <c r="J6" i="8"/>
  <c r="S16" i="3"/>
  <c r="R16" i="3"/>
  <c r="S11" i="3"/>
  <c r="R11" i="3"/>
  <c r="S18" i="3"/>
  <c r="R18" i="3"/>
  <c r="R10" i="3"/>
  <c r="S10" i="3"/>
  <c r="P6" i="3"/>
  <c r="S12" i="3"/>
  <c r="S17" i="3"/>
  <c r="R17" i="3"/>
  <c r="R7" i="3" l="1"/>
  <c r="G3" i="7"/>
  <c r="A13" i="10"/>
  <c r="A16" i="14"/>
  <c r="B23" i="5"/>
  <c r="S15" i="3"/>
  <c r="AT15" i="3" s="1"/>
  <c r="H13" i="7"/>
  <c r="H16" i="7"/>
  <c r="H9" i="7"/>
  <c r="H10" i="7"/>
  <c r="H6" i="7"/>
  <c r="H5" i="7"/>
  <c r="H18" i="7"/>
  <c r="H17" i="7"/>
  <c r="H12" i="7"/>
  <c r="H14" i="7"/>
  <c r="H7" i="7"/>
  <c r="H15" i="7"/>
  <c r="H11" i="7"/>
  <c r="H4" i="7"/>
  <c r="H8" i="7"/>
  <c r="G14" i="10"/>
  <c r="H14" i="10"/>
  <c r="E14" i="10"/>
  <c r="C14" i="10"/>
  <c r="D14" i="10"/>
  <c r="B14" i="10"/>
  <c r="F14" i="10"/>
  <c r="S9" i="3"/>
  <c r="AP9" i="3" s="1"/>
  <c r="D17" i="14"/>
  <c r="C17" i="14"/>
  <c r="H17" i="14"/>
  <c r="B17" i="14"/>
  <c r="G17" i="14"/>
  <c r="F17" i="14"/>
  <c r="E17" i="14"/>
  <c r="S14" i="3"/>
  <c r="AM14" i="3" s="1"/>
  <c r="S6" i="3"/>
  <c r="AY6" i="3" s="1"/>
  <c r="R19" i="3"/>
  <c r="AQ5" i="3"/>
  <c r="AV5" i="3"/>
  <c r="AW5" i="3"/>
  <c r="AM5" i="3"/>
  <c r="AT5" i="3"/>
  <c r="AU5" i="3"/>
  <c r="AY5" i="3"/>
  <c r="AN5" i="3"/>
  <c r="AR5" i="3"/>
  <c r="AO5" i="3"/>
  <c r="AS5" i="3"/>
  <c r="AL5" i="3"/>
  <c r="R13" i="3"/>
  <c r="AP5" i="3"/>
  <c r="R8" i="3"/>
  <c r="AW9" i="3"/>
  <c r="R6" i="3"/>
  <c r="AT9" i="3"/>
  <c r="AO9" i="3"/>
  <c r="AP8" i="3"/>
  <c r="AL8" i="3"/>
  <c r="AO8" i="3"/>
  <c r="AS8" i="3"/>
  <c r="AM8" i="3"/>
  <c r="AY8" i="3"/>
  <c r="AX8" i="3"/>
  <c r="AV8" i="3"/>
  <c r="AQ8" i="3"/>
  <c r="AW8" i="3"/>
  <c r="AU8" i="3"/>
  <c r="AT8" i="3"/>
  <c r="AR8" i="3"/>
  <c r="AN8" i="3"/>
  <c r="AP18" i="3"/>
  <c r="AN18" i="3"/>
  <c r="AO18" i="3"/>
  <c r="AW18" i="3"/>
  <c r="AY18" i="3"/>
  <c r="AT18" i="3"/>
  <c r="AM18" i="3"/>
  <c r="AR18" i="3"/>
  <c r="AL18" i="3"/>
  <c r="AX18" i="3"/>
  <c r="AV18" i="3"/>
  <c r="AU18" i="3"/>
  <c r="AQ18" i="3"/>
  <c r="AS18" i="3"/>
  <c r="AT11" i="3"/>
  <c r="AN11" i="3"/>
  <c r="AO11" i="3"/>
  <c r="AR11" i="3"/>
  <c r="AS11" i="3"/>
  <c r="AP11" i="3"/>
  <c r="AM11" i="3"/>
  <c r="AW11" i="3"/>
  <c r="AY11" i="3"/>
  <c r="AQ11" i="3"/>
  <c r="AL11" i="3"/>
  <c r="AV11" i="3"/>
  <c r="AX11" i="3"/>
  <c r="AU11" i="3"/>
  <c r="AR17" i="3"/>
  <c r="AM17" i="3"/>
  <c r="AQ17" i="3"/>
  <c r="AT17" i="3"/>
  <c r="AO17" i="3"/>
  <c r="AW17" i="3"/>
  <c r="AS17" i="3"/>
  <c r="AN17" i="3"/>
  <c r="AL17" i="3"/>
  <c r="AY17" i="3"/>
  <c r="AX17" i="3"/>
  <c r="AV17" i="3"/>
  <c r="AU17" i="3"/>
  <c r="AP17" i="3"/>
  <c r="AO19" i="3"/>
  <c r="AP19" i="3"/>
  <c r="AV19" i="3"/>
  <c r="AT19" i="3"/>
  <c r="AQ19" i="3"/>
  <c r="AN19" i="3"/>
  <c r="AL19" i="3"/>
  <c r="AY19" i="3"/>
  <c r="AR19" i="3"/>
  <c r="AU19" i="3"/>
  <c r="AX19" i="3"/>
  <c r="AM19" i="3"/>
  <c r="AS19" i="3"/>
  <c r="AW19" i="3"/>
  <c r="AV7" i="3"/>
  <c r="AT7" i="3"/>
  <c r="AR7" i="3"/>
  <c r="AQ7" i="3"/>
  <c r="AY7" i="3"/>
  <c r="AS7" i="3"/>
  <c r="AM7" i="3"/>
  <c r="AX7" i="3"/>
  <c r="AL7" i="3"/>
  <c r="AO7" i="3"/>
  <c r="AN7" i="3"/>
  <c r="AP7" i="3"/>
  <c r="AW7" i="3"/>
  <c r="AU7" i="3"/>
  <c r="AV16" i="3"/>
  <c r="AO16" i="3"/>
  <c r="AN16" i="3"/>
  <c r="AU16" i="3"/>
  <c r="AM16" i="3"/>
  <c r="AP16" i="3"/>
  <c r="AT16" i="3"/>
  <c r="AR16" i="3"/>
  <c r="AL16" i="3"/>
  <c r="AY16" i="3"/>
  <c r="AW16" i="3"/>
  <c r="AS16" i="3"/>
  <c r="AQ16" i="3"/>
  <c r="AX16" i="3"/>
  <c r="AN10" i="3"/>
  <c r="AM10" i="3"/>
  <c r="AX10" i="3"/>
  <c r="AY10" i="3"/>
  <c r="AL10" i="3"/>
  <c r="AU10" i="3"/>
  <c r="AT10" i="3"/>
  <c r="AV10" i="3"/>
  <c r="AS10" i="3"/>
  <c r="AR10" i="3"/>
  <c r="AP10" i="3"/>
  <c r="AQ10" i="3"/>
  <c r="AO10" i="3"/>
  <c r="AW10" i="3"/>
  <c r="AS12" i="3"/>
  <c r="AU12" i="3"/>
  <c r="AQ12" i="3"/>
  <c r="AX12" i="3"/>
  <c r="AV12" i="3"/>
  <c r="AR12" i="3"/>
  <c r="AL12" i="3"/>
  <c r="AP12" i="3"/>
  <c r="AN12" i="3"/>
  <c r="AT12" i="3"/>
  <c r="AO12" i="3"/>
  <c r="AM12" i="3"/>
  <c r="AW12" i="3"/>
  <c r="AY12" i="3"/>
  <c r="AV13" i="3"/>
  <c r="AT13" i="3"/>
  <c r="AQ13" i="3"/>
  <c r="AO13" i="3"/>
  <c r="AY13" i="3"/>
  <c r="AW13" i="3"/>
  <c r="AS13" i="3"/>
  <c r="AU13" i="3"/>
  <c r="AR13" i="3"/>
  <c r="AN13" i="3"/>
  <c r="AX13" i="3"/>
  <c r="AP13" i="3"/>
  <c r="AL13" i="3"/>
  <c r="AM13" i="3"/>
  <c r="AL15" i="3"/>
  <c r="AO15" i="3"/>
  <c r="AP15" i="3"/>
  <c r="AQ9" i="3" l="1"/>
  <c r="AY15" i="3"/>
  <c r="AX15" i="3"/>
  <c r="AV9" i="3"/>
  <c r="AQ15" i="3"/>
  <c r="AN15" i="3"/>
  <c r="AS15" i="3"/>
  <c r="AU15" i="3"/>
  <c r="AV15" i="3"/>
  <c r="AR9" i="3"/>
  <c r="AM9" i="3"/>
  <c r="AX9" i="3"/>
  <c r="AY9" i="3"/>
  <c r="AL9" i="3"/>
  <c r="AM15" i="3"/>
  <c r="AW15" i="3"/>
  <c r="AR15" i="3"/>
  <c r="AU9" i="3"/>
  <c r="AN9" i="3"/>
  <c r="B22" i="5"/>
  <c r="A15" i="14"/>
  <c r="A12" i="10"/>
  <c r="F3" i="7"/>
  <c r="H16" i="14"/>
  <c r="G16" i="14"/>
  <c r="B16" i="14"/>
  <c r="F16" i="14"/>
  <c r="C16" i="14"/>
  <c r="D16" i="14"/>
  <c r="E16" i="14"/>
  <c r="H13" i="10"/>
  <c r="F13" i="10"/>
  <c r="B13" i="10"/>
  <c r="G13" i="10"/>
  <c r="C13" i="10"/>
  <c r="E13" i="10"/>
  <c r="D13" i="10"/>
  <c r="AS9" i="3"/>
  <c r="G6" i="7"/>
  <c r="G16" i="7"/>
  <c r="G10" i="7"/>
  <c r="G13" i="7"/>
  <c r="G9" i="7"/>
  <c r="G4" i="7"/>
  <c r="G7" i="7"/>
  <c r="G18" i="7"/>
  <c r="G5" i="7"/>
  <c r="G15" i="7"/>
  <c r="G12" i="7"/>
  <c r="G8" i="7"/>
  <c r="G11" i="7"/>
  <c r="G14" i="7"/>
  <c r="G17" i="7"/>
  <c r="AQ6" i="3"/>
  <c r="AL6" i="3"/>
  <c r="AM6" i="3"/>
  <c r="AT6" i="3"/>
  <c r="AP6" i="3"/>
  <c r="AU6" i="3"/>
  <c r="AN6" i="3"/>
  <c r="AO6" i="3"/>
  <c r="AV6" i="3"/>
  <c r="AR6" i="3"/>
  <c r="AS6" i="3"/>
  <c r="AW6" i="3"/>
  <c r="AX6" i="3"/>
  <c r="AQ14" i="3"/>
  <c r="AN14" i="3"/>
  <c r="AS14" i="3"/>
  <c r="AV14" i="3"/>
  <c r="AO14" i="3"/>
  <c r="AP14" i="3"/>
  <c r="AY14" i="3"/>
  <c r="AL14" i="3"/>
  <c r="AT14" i="3"/>
  <c r="AU14" i="3"/>
  <c r="AR14" i="3"/>
  <c r="AW14" i="3"/>
  <c r="AX14" i="3"/>
  <c r="F11" i="7" l="1"/>
  <c r="F9" i="7"/>
  <c r="F5" i="7"/>
  <c r="F8" i="7"/>
  <c r="F7" i="7"/>
  <c r="F16" i="7"/>
  <c r="F18" i="7"/>
  <c r="F15" i="7"/>
  <c r="F14" i="7"/>
  <c r="F12" i="7"/>
  <c r="F13" i="7"/>
  <c r="F6" i="7"/>
  <c r="F17" i="7"/>
  <c r="F10" i="7"/>
  <c r="F4" i="7"/>
  <c r="E12" i="10"/>
  <c r="G12" i="10"/>
  <c r="B12" i="10"/>
  <c r="C12" i="10"/>
  <c r="D12" i="10"/>
  <c r="F12" i="10"/>
  <c r="H12" i="10"/>
  <c r="G15" i="14"/>
  <c r="F15" i="14"/>
  <c r="E15" i="14"/>
  <c r="D15" i="14"/>
  <c r="C15" i="14"/>
  <c r="B15" i="14"/>
  <c r="H15" i="14"/>
  <c r="A14" i="14"/>
  <c r="A11" i="10"/>
  <c r="E3" i="7"/>
  <c r="B21" i="5"/>
  <c r="D3" i="7" l="1"/>
  <c r="B20" i="5"/>
  <c r="A10" i="10"/>
  <c r="A13" i="14"/>
  <c r="E6" i="7"/>
  <c r="E10" i="7"/>
  <c r="E9" i="7"/>
  <c r="E8" i="7"/>
  <c r="E5" i="7"/>
  <c r="E12" i="7"/>
  <c r="E7" i="7"/>
  <c r="E14" i="7"/>
  <c r="E4" i="7"/>
  <c r="E17" i="7"/>
  <c r="E11" i="7"/>
  <c r="E16" i="7"/>
  <c r="E13" i="7"/>
  <c r="E18" i="7"/>
  <c r="E15" i="7"/>
  <c r="D11" i="10"/>
  <c r="E11" i="10"/>
  <c r="G11" i="10"/>
  <c r="F11" i="10"/>
  <c r="B11" i="10"/>
  <c r="C11" i="10"/>
  <c r="H11" i="10"/>
  <c r="G14" i="14"/>
  <c r="F14" i="14"/>
  <c r="E14" i="14"/>
  <c r="D14" i="14"/>
  <c r="C14" i="14"/>
  <c r="B14" i="14"/>
  <c r="H14" i="14"/>
  <c r="H13" i="14" l="1"/>
  <c r="C13" i="14"/>
  <c r="B13" i="14"/>
  <c r="G13" i="14"/>
  <c r="E13" i="14"/>
  <c r="D13" i="14"/>
  <c r="F13" i="14"/>
  <c r="C10" i="10"/>
  <c r="E10" i="10"/>
  <c r="G10" i="10"/>
  <c r="F10" i="10"/>
  <c r="B10" i="10"/>
  <c r="D10" i="10"/>
  <c r="H10" i="10"/>
  <c r="A12" i="14"/>
  <c r="C3" i="7"/>
  <c r="A9" i="10"/>
  <c r="D13" i="7"/>
  <c r="D8" i="7"/>
  <c r="D9" i="7"/>
  <c r="D16" i="7"/>
  <c r="D5" i="7"/>
  <c r="D12" i="7"/>
  <c r="D6" i="7"/>
  <c r="D7" i="7"/>
  <c r="D14" i="7"/>
  <c r="D15" i="7"/>
  <c r="D10" i="7"/>
  <c r="D4" i="7"/>
  <c r="D18" i="7"/>
  <c r="D11" i="7"/>
  <c r="D17" i="7"/>
  <c r="B9" i="10" l="1"/>
  <c r="F9" i="10"/>
  <c r="H9" i="10"/>
  <c r="E9" i="10"/>
  <c r="D9" i="10"/>
  <c r="C9" i="10"/>
  <c r="G9" i="10"/>
  <c r="C8" i="7"/>
  <c r="C12" i="7"/>
  <c r="C16" i="7"/>
  <c r="C18" i="7"/>
  <c r="C7" i="7"/>
  <c r="C10" i="7"/>
  <c r="C6" i="7"/>
  <c r="C5" i="7"/>
  <c r="C4" i="7"/>
  <c r="C15" i="7"/>
  <c r="C17" i="7"/>
  <c r="C14" i="7"/>
  <c r="C11" i="7"/>
  <c r="C9" i="7"/>
  <c r="C13" i="7"/>
  <c r="B12" i="14"/>
  <c r="G12" i="14"/>
  <c r="H12" i="14"/>
  <c r="D12" i="14"/>
  <c r="F12" i="14"/>
  <c r="E12" i="14"/>
  <c r="C12" i="14"/>
</calcChain>
</file>

<file path=xl/sharedStrings.xml><?xml version="1.0" encoding="utf-8"?>
<sst xmlns="http://schemas.openxmlformats.org/spreadsheetml/2006/main" count="3272" uniqueCount="606">
  <si>
    <t>Dashboard — registro NFR emergenti</t>
  </si>
  <si>
    <t>Livello VISTA: solo formule. Si aggiorna da solo quando la scrittura aggiunge righe ai dati.</t>
  </si>
  <si>
    <t>Ciclo corrente</t>
  </si>
  <si>
    <t>Precedente</t>
  </si>
  <si>
    <t>Due cicli prima</t>
  </si>
  <si>
    <t>Score composito 1-5 (5 = peggiore), calcolato dal foglio con i pesi di Parametri. #N/A = non valutato.</t>
  </si>
  <si>
    <t>Badge: segnali netti delle ultime 4 settimane rispetto alla soglia di direzione. Non modifica score.</t>
  </si>
  <si>
    <t>VALIDAZIONE DEL CICLO</t>
  </si>
  <si>
    <t>Decisioni da prendere</t>
  </si>
  <si>
    <t>Rettifiche applicate</t>
  </si>
  <si>
    <t>CONTROLLO DI COPERTURA</t>
  </si>
  <si>
    <t>Rischi in anagrafica</t>
  </si>
  <si>
    <t>Valutati nel ciclo</t>
  </si>
  <si>
    <t>ID</t>
  </si>
  <si>
    <t>Nome</t>
  </si>
  <si>
    <t>Severity</t>
  </si>
  <si>
    <t>Velocity</t>
  </si>
  <si>
    <t>Prossimita'</t>
  </si>
  <si>
    <t>Gap_Controlli</t>
  </si>
  <si>
    <t>Score corrente</t>
  </si>
  <si>
    <t>Score precedente</t>
  </si>
  <si>
    <t>Score 2 cicli fa</t>
  </si>
  <si>
    <t>Confidence</t>
  </si>
  <si>
    <t>Segnali netti 4 sett.</t>
  </si>
  <si>
    <t>Badge</t>
  </si>
  <si>
    <t>Registro NFR emergenti — come si usa questo workbook</t>
  </si>
  <si>
    <t>CHE COSA TROVI E DOVE</t>
  </si>
  <si>
    <t>Dashboard: situazione del ciclo (radar, badge settimanali, controllo di copertura riga 10, stato della validazione riga 8).</t>
  </si>
  <si>
    <t>Radar_Mosca: quanto presto bisogna agire su ogni rischio (vicino al centro = subito) e quanto e' grande (area del cerchio).</t>
  </si>
  <si>
    <t>Validazione: le proposte degli agenti da accettare, correggere o respingere. E' L'UNICO FOGLIO IN CUI SI SCRIVE A MANO.</t>
  </si>
  <si>
    <t>Trend, Delta, Approfondimento, KRI_Correnti, Andamento_KRI, Analisi_News: viste di sola lettura, si aggiornano da sole.</t>
  </si>
  <si>
    <t>RiskRegister, Azioni, KRI, NewsLog: i dati. Li scrive solo lo script: NON modificarli a mano.</t>
  </si>
  <si>
    <t>Parametri: pesi, soglie, parametri dell'urgenza (celle gialle, da cambiare solo se deciso dalla funzione di rischio).</t>
  </si>
  <si>
    <t>COSA FARE, IN BREVE (la guida completa e' 00_GUIDA_PASSO_PASSO.md nel pacchetto)</t>
  </si>
  <si>
    <t>Ogni lunedi': lo script raccoglie le notizie, l'agente A3 le valuta, lo script le scrive qui (comando settimanale).</t>
  </si>
  <si>
    <t>Ogni trimestre: lo script esporta la baseline, A1 valuta i rischi, A5 li controlla, lo script scrive qui (comando trimestrale).</t>
  </si>
  <si>
    <t>Dopo ogni trimestre: il validatore apre il foglio Validazione, decide, salva e CHIUDE il file, poi lancia il comando valida.</t>
  </si>
  <si>
    <t>Finche' il trimestre non e' validato, il trimestre dopo non parte (lo script si ferma e lo dice).</t>
  </si>
  <si>
    <t>REGOLE</t>
  </si>
  <si>
    <t>1. Lo score composito lo calcola il foglio (RiskRegister, colonna Score_Composito). Nessun agente lo fornisce.</t>
  </si>
  <si>
    <t>2. Solo il ciclo trimestrale modifica uno score. La scrittura settimanale aggiunge notizie e fa scorrere la settimana.</t>
  </si>
  <si>
    <t>3. KRI e' lo storico degli indicatori: una riga per KRI per ciclo, mai modificata. KRI_Correnti mostra solo quelli in vigore;</t>
  </si>
  <si>
    <t xml:space="preserve">   Andamento_KRI mostra i valori di un KRI ciclo per ciclo, con le soglie.</t>
  </si>
  <si>
    <t>4. Prima di leggere il radar guardare Dashboard!F10: se dice CICLO INCOMPLETO il grafico non e' affidabile.</t>
  </si>
  <si>
    <t>5. I grafici hanno scala fissa: cicli diversi sono confrontabili a colpo d'occhio.</t>
  </si>
  <si>
    <t>6. Le rettifiche del validatore non cancellano la proposta dell'agente: restano nel foglio Validazione (base per l'apprendimento).</t>
  </si>
  <si>
    <t>7. Un rischio si toglie solo con il comando 'dismetti' dello script, mai svuotando righe dell'anagrafica.</t>
  </si>
  <si>
    <t>PRIMO USO REALE</t>
  </si>
  <si>
    <t>Le righe su fondo grigio sono dati di ESEMPIO. Il registro vero NON si ricava a mano da questo file: lo crea il comando</t>
  </si>
  <si>
    <t xml:space="preserve">  python esegui_ciclo_locale.py inizializza --ciclo-precedente &lt;trimestre prima del primo da valutare&gt; --settimana &lt;lunedi'&gt;</t>
  </si>
  <si>
    <t>che copia il template, toglie tutti gli esempi e imposta ciclo e settimana correnti.</t>
  </si>
  <si>
    <t>Generato da 03_Excel/genera_dashboard.py. Per rifarlo a mano: 03_Excel/costruzione_manuale_template.md.</t>
  </si>
  <si>
    <t>Radar di Mosca — quanto presto bisogna agire, e quanto e' grande ogni rischio</t>
  </si>
  <si>
    <t>Piu' vicino al centro = agire prima (dentro il cerchio rosso X + Y &gt; Z: gia' in ritardo). Area del cerchio = Probabilita x Severity. Settore = event type. Tutto calcolato: parametri X, Y di riserva e Z in Parametri (righe 47-55).</t>
  </si>
  <si>
    <t>Appoggio del grafico: non modificare</t>
  </si>
  <si>
    <t>Event type</t>
  </si>
  <si>
    <t>Impatto (Severity)</t>
  </si>
  <si>
    <t>Probabilita</t>
  </si>
  <si>
    <t>P x I</t>
  </si>
  <si>
    <t>Prossimita</t>
  </si>
  <si>
    <t>Z anni alla manifestazione</t>
  </si>
  <si>
    <t>X anni per decidere</t>
  </si>
  <si>
    <t>Y anni per mitigare</t>
  </si>
  <si>
    <t>Margine Z-(X+Y)</t>
  </si>
  <si>
    <t>Urgenza</t>
  </si>
  <si>
    <t>Settore</t>
  </si>
  <si>
    <t>Posizione nel settore</t>
  </si>
  <si>
    <t>Rischi nel settore</t>
  </si>
  <si>
    <t>Angolo</t>
  </si>
  <si>
    <t>Raggio</t>
  </si>
  <si>
    <t>x</t>
  </si>
  <si>
    <t>y</t>
  </si>
  <si>
    <t>Mosca</t>
  </si>
  <si>
    <t>1 anno</t>
  </si>
  <si>
    <t>2 anni</t>
  </si>
  <si>
    <t>3 anni</t>
  </si>
  <si>
    <t>L1-01</t>
  </si>
  <si>
    <t>L1-02</t>
  </si>
  <si>
    <t>L1-03</t>
  </si>
  <si>
    <t>L1-04</t>
  </si>
  <si>
    <t>L1-05</t>
  </si>
  <si>
    <t>L1-06</t>
  </si>
  <si>
    <t>L1-07</t>
  </si>
  <si>
    <t>Come si legge: cerchio ROSSO = linea di Mosca, dentro si e' gia' in ritardo (X + Y &gt; Z). Cerchi grigi = 1, 2 e 3 anni di margine. Area del cerchio di un rischio = Probabilita x Severity. Settori = event type.</t>
  </si>
  <si>
    <t>Periodo</t>
  </si>
  <si>
    <t>Oggetto</t>
  </si>
  <si>
    <t>Campo</t>
  </si>
  <si>
    <t>Proposta_Agente</t>
  </si>
  <si>
    <t>Decisione</t>
  </si>
  <si>
    <t>Valore_Validato</t>
  </si>
  <si>
    <t>Motivazione</t>
  </si>
  <si>
    <t>Validato_Da</t>
  </si>
  <si>
    <t>Data_Validazione</t>
  </si>
  <si>
    <t>Stato</t>
  </si>
  <si>
    <t>VALIDAZIONE — qui la persona che valida accetta o corregge cio' che hanno proposto gli agenti.</t>
  </si>
  <si>
    <t>Rischio</t>
  </si>
  <si>
    <t>NFR-01</t>
  </si>
  <si>
    <t>COME SI USA (dopo ogni ciclo trimestrale, e se si vuole dopo ogni settimana):</t>
  </si>
  <si>
    <t>1. Filtrare la colonna Stato su 'Da decidere' (e Periodo sul ciclo o sulla settimana).</t>
  </si>
  <si>
    <t>2. Per ogni riga con cui NON si e' d'accordo, compilare Decisione:</t>
  </si>
  <si>
    <t xml:space="preserve">   Rettificato = il valore giusto e' un altro: scriverlo in Valore_Validato;</t>
  </si>
  <si>
    <t xml:space="preserve">   Respinto = KRI, azione o notizia da scartare per intero (un rischio non si respinge, si rettifica).</t>
  </si>
  <si>
    <t xml:space="preserve">   In entrambi i casi Motivazione e' obbligatoria (almeno 10 caratteri).</t>
  </si>
  <si>
    <t>3. Per accettare una riga: Decisione = Accettato (oppure lasciarla vuota e usare --accetta-il-resto).</t>
  </si>
  <si>
    <t>4. Salvare e CHIUDERE il file, poi lanciare:  python esegui_ciclo_locale.py valida --periodo &lt;ciclo o lunedi'&gt; --validatore "&lt;funzione&gt;"</t>
  </si>
  <si>
    <t xml:space="preserve">   (aggiungere --accetta-il-resto per accettare tutte le righe lasciate vuote).</t>
  </si>
  <si>
    <t>Il comando controlla le decisioni, le applica ai dati e mette Stato = Applicata. Proposta_Agente non si cancella mai:</t>
  </si>
  <si>
    <t>le righe Rettificato sono la base dati per insegnare agli agenti (proposta -&gt; decisione umana, con motivo).</t>
  </si>
  <si>
    <t>Un nuovo ciclo trimestrale non parte finche' il ciclo precedente ha righe 'Da decidere'.</t>
  </si>
  <si>
    <t>KRI</t>
  </si>
  <si>
    <t>NFR-01-K1</t>
  </si>
  <si>
    <t>Valore_Corrente</t>
  </si>
  <si>
    <t>Soglia_Attenzione</t>
  </si>
  <si>
    <t>Soglia_Allerta</t>
  </si>
  <si>
    <t>Owner</t>
  </si>
  <si>
    <t>Orizzonte</t>
  </si>
  <si>
    <t>Rischio_ID</t>
  </si>
  <si>
    <t>Segnale</t>
  </si>
  <si>
    <t>Parametri</t>
  </si>
  <si>
    <t>Celle gialle = input. Nessuna costante e' sepolta nelle formule: si cambiano qui.</t>
  </si>
  <si>
    <t>Anagrafica dei rischi attivi (aggiornata dalla scrittura A2). Per togliere un rischio: comando 'dismetti' dello script. NON svuotare righe a mano: una riga vuota in mezzo toglie dal radar l'ultimo rischio.</t>
  </si>
  <si>
    <t>Pesi dello Score_Composito</t>
  </si>
  <si>
    <t>Tassonomia — event type L1</t>
  </si>
  <si>
    <t>Event_Type</t>
  </si>
  <si>
    <t>Driver</t>
  </si>
  <si>
    <t>Frode interna</t>
  </si>
  <si>
    <t>Frode esterna</t>
  </si>
  <si>
    <t>Rapporti di impiego e sicurezza sul lavoro</t>
  </si>
  <si>
    <t>Clientela, prodotti e prassi professionali</t>
  </si>
  <si>
    <t>DRV-CLI</t>
  </si>
  <si>
    <t>Somma dei pesi</t>
  </si>
  <si>
    <t>Danni a beni materiali</t>
  </si>
  <si>
    <t>DRV-TEC</t>
  </si>
  <si>
    <t>Interruzione dell'operativita' e disfunzione dei sistemi</t>
  </si>
  <si>
    <t>Soglie</t>
  </si>
  <si>
    <t>Esecuzione, consegna e gestione dei processi</t>
  </si>
  <si>
    <t>Soglia di direzione (segnali netti in 4 settimane)</t>
  </si>
  <si>
    <t>Soglia di evidenziazione del Delta composito</t>
  </si>
  <si>
    <t>Driver emergenti</t>
  </si>
  <si>
    <t>DRV-GEO</t>
  </si>
  <si>
    <t>DRV-CYB</t>
  </si>
  <si>
    <t>Cyber</t>
  </si>
  <si>
    <t>Cicli del radar</t>
  </si>
  <si>
    <t>DRV-TPR</t>
  </si>
  <si>
    <t>Terze parti</t>
  </si>
  <si>
    <t>Ciclo corrente (scritto dalla scrittura A2)</t>
  </si>
  <si>
    <t>DRV-AI</t>
  </si>
  <si>
    <t>Intelligenza artificiale</t>
  </si>
  <si>
    <t>Ciclo precedente</t>
  </si>
  <si>
    <t>Clima e ambiente</t>
  </si>
  <si>
    <t>DRV-CON</t>
  </si>
  <si>
    <t>Condotta</t>
  </si>
  <si>
    <t>Geopolitica</t>
  </si>
  <si>
    <t>Cicli del trend (dal piu' vecchio)</t>
  </si>
  <si>
    <t>Debito tecnologico</t>
  </si>
  <si>
    <t>T-7</t>
  </si>
  <si>
    <t>DRV-HUM</t>
  </si>
  <si>
    <t>Capitale umano</t>
  </si>
  <si>
    <t>T-6</t>
  </si>
  <si>
    <t>T-5</t>
  </si>
  <si>
    <t>T-4</t>
  </si>
  <si>
    <t>T-3</t>
  </si>
  <si>
    <t>T-2</t>
  </si>
  <si>
    <t>T-1</t>
  </si>
  <si>
    <t>T (corrente)</t>
  </si>
  <si>
    <t>Settimane</t>
  </si>
  <si>
    <t>Settimana corrente (lunedi', scritta dalla scrittura A3)</t>
  </si>
  <si>
    <t>Inizio finestra del badge (4 settimane)</t>
  </si>
  <si>
    <t>Finestra di 12 settimane (dal piu' vecchio)</t>
  </si>
  <si>
    <t>Urgenza — disuguaglianza di Mosca (X + Y &gt; Z = agire ora)</t>
  </si>
  <si>
    <t>X: anni per decidere e avviare la mitigazione</t>
  </si>
  <si>
    <t>Y di riserva: anni di mitigazione se il rischio non ha azioni</t>
  </si>
  <si>
    <t>Z: anni prima che il rischio possa manifestarsi, per Prossimita'</t>
  </si>
  <si>
    <t>Prossimita 1 — oltre 3 anni</t>
  </si>
  <si>
    <t>Prossimita 2 — 2-3 anni</t>
  </si>
  <si>
    <t>Prossimita 3 — 1-2 anni</t>
  </si>
  <si>
    <t>Prossimita 4 — entro 12 mesi</t>
  </si>
  <si>
    <t>Prossimita 5 — in corso o imminente</t>
  </si>
  <si>
    <t>Ciclo</t>
  </si>
  <si>
    <t>Data_Riferimento</t>
  </si>
  <si>
    <t>ID_Rischio</t>
  </si>
  <si>
    <t>Score_Composito</t>
  </si>
  <si>
    <t>Esito</t>
  </si>
  <si>
    <t>Descrizione</t>
  </si>
  <si>
    <t>Razionale</t>
  </si>
  <si>
    <t>Variazioni</t>
  </si>
  <si>
    <t>Fonti</t>
  </si>
  <si>
    <t>Chiave</t>
  </si>
  <si>
    <t>Data_Scrittura</t>
  </si>
  <si>
    <t>Approvato_Da</t>
  </si>
  <si>
    <t>Validazione</t>
  </si>
  <si>
    <t>RiskRegister — livello DATI, una riga per rischio per ciclo. Si scrive solo in append.</t>
  </si>
  <si>
    <t>Score_Composito e Chiave sono formule: non si scrivono a mano.</t>
  </si>
  <si>
    <t>Righe grigie = dati di ESEMPIO: eliminarle (righe della tabella) al primo uso reale.</t>
  </si>
  <si>
    <t>Validazione = Da validare / Accettato / Rettificato: la scrive il comando 'valida' dopo la decisione umana</t>
  </si>
  <si>
    <t>presa nel foglio Validazione. Approvato_Da e Data_Validazione: chi ha validato e quando.</t>
  </si>
  <si>
    <t>I valori di questa tabella sono quelli VALIDATI; la proposta originale dell'agente resta nel foglio Validazione.</t>
  </si>
  <si>
    <t>Probabilita e' fuori dallo score composito: serve al Radar_Mosca (area = Probabilita x Severity).</t>
  </si>
  <si>
    <t>Trend — score composito sugli ultimi otto cicli</t>
  </si>
  <si>
    <t>Scala fissa 0-5. Un punto mancante (#N/A) = rischio non valutato in quel ciclo, non score zero.</t>
  </si>
  <si>
    <t>Delta — ciclo corrente contro ciclo precedente</t>
  </si>
  <si>
    <t>Evidenziato se |Delta score| &gt;= soglia di Parametri. Nessuna dimensione puo' variare di piu' di un punto fra cicli consecutivi.</t>
  </si>
  <si>
    <t>Δ Severity</t>
  </si>
  <si>
    <t>Δ Velocity</t>
  </si>
  <si>
    <t>Δ Prossimita'</t>
  </si>
  <si>
    <t>Δ Gap_Controlli</t>
  </si>
  <si>
    <t>Δ Confidence</t>
  </si>
  <si>
    <t>Δ Probabilita</t>
  </si>
  <si>
    <t>Δ Score</t>
  </si>
  <si>
    <t>Nota</t>
  </si>
  <si>
    <t>Data</t>
  </si>
  <si>
    <t>Settimana</t>
  </si>
  <si>
    <t>ID_Notizia</t>
  </si>
  <si>
    <t>Titolo</t>
  </si>
  <si>
    <t>Fonte</t>
  </si>
  <si>
    <t>Codice_Fonte</t>
  </si>
  <si>
    <t>Imp_L1_01</t>
  </si>
  <si>
    <t>Imp_L1_02</t>
  </si>
  <si>
    <t>Imp_L1_03</t>
  </si>
  <si>
    <t>Imp_L1_04</t>
  </si>
  <si>
    <t>Imp_L1_05</t>
  </si>
  <si>
    <t>Imp_L1_06</t>
  </si>
  <si>
    <t>Imp_L1_07</t>
  </si>
  <si>
    <t>Sintesi</t>
  </si>
  <si>
    <t>NewsLog — una riga per notizia, scritta da A3 ogni settimana (append senza duplicati per ID_Notizia).</t>
  </si>
  <si>
    <t>Segnale: solo i quattro valori del vocabolario, contati per testo esatto.</t>
  </si>
  <si>
    <t>Rischio_ID = 'NON PRESIDIATO' se la notizia non tocca nessun rischio censito.</t>
  </si>
  <si>
    <t>Imp_L1_0x: intensita' 0-3 sull'event type, senza segno. Settimana e' una formula (lunedi').</t>
  </si>
  <si>
    <t>Una notizia Respinta in validazione diventa 'Non rilevante' con impatti 0: non pesa su badge e pressione.</t>
  </si>
  <si>
    <t>Approfondimento — storia di un rischio</t>
  </si>
  <si>
    <t>Scegliere un ID in B3 (unica cella di input): tutto il resto e' formula.</t>
  </si>
  <si>
    <t>ID rischio</t>
  </si>
  <si>
    <t>Score</t>
  </si>
  <si>
    <t>Razionale (ciclo corrente)</t>
  </si>
  <si>
    <t>Variazioni (ciclo corrente)</t>
  </si>
  <si>
    <t>Fonti (ciclo corrente)</t>
  </si>
  <si>
    <t>KRI in vigore del rischio (ciclo corrente; la storia di ciascuno e' in Andamento_KRI)</t>
  </si>
  <si>
    <t>KRI_ID</t>
  </si>
  <si>
    <t>Unita</t>
  </si>
  <si>
    <t>ID_Azione</t>
  </si>
  <si>
    <t>Dimensione</t>
  </si>
  <si>
    <t>Mesi_Orizzonte</t>
  </si>
  <si>
    <t>Data_Decisione</t>
  </si>
  <si>
    <t>Decisa_Da</t>
  </si>
  <si>
    <t>Azioni — una riga per azione proposta. Stato iniziale: 'Proposta — da valutare'.</t>
  </si>
  <si>
    <t>Il comando 'valida' registra la decisione: Approvata (Accettato/Rettificato) o Respinta, con Data_Decisione e Decisa_Da.</t>
  </si>
  <si>
    <t>Annullata = azione aperta di un rischio dismesso (comando 'dismetti').</t>
  </si>
  <si>
    <t>Mesi_Orizzonte e' una formula: il tempo di mitigazione Y del Radar_Mosca.</t>
  </si>
  <si>
    <t>Fonte_Dati</t>
  </si>
  <si>
    <t>Data_Rilevazione</t>
  </si>
  <si>
    <t>Fonte_Rilevazione</t>
  </si>
  <si>
    <t>Nota_Rilevazione</t>
  </si>
  <si>
    <t>In_Vigore</t>
  </si>
  <si>
    <t>Ciclo_Definizione</t>
  </si>
  <si>
    <t>Ciclo_Aggiornamento</t>
  </si>
  <si>
    <t>KRI — STORICO, una riga per KRI per ciclo. Si scrive solo in append: ogni ciclo aggiunge la sua fotografia.</t>
  </si>
  <si>
    <t>Valore_Corrente = valore rilevato in QUEL ciclo; vuoto se non rilevato, mai ricopiato dal ciclo prima.</t>
  </si>
  <si>
    <t>In_Vigore = No: il KRI e' uscito in quel ciclo (sostituito). Nei cicli dopo non ha piu' righe.</t>
  </si>
  <si>
    <t>Solo i KRI correnti: foglio KRI_Correnti. Andamento di un KRI nel tempo: foglio Andamento_KRI.</t>
  </si>
  <si>
    <t>Verso: valori crescenti = peggio; Soglia_Allerta &gt;= Soglia_Attenzione.</t>
  </si>
  <si>
    <t>Stato: 'SOGLIE INVERTITE' ha la precedenza; senza valore e' 'Non rilevato', mai Verde.</t>
  </si>
  <si>
    <t>KRI correnti — indicatori in vigore nel ciclo corrente</t>
  </si>
  <si>
    <t>Vista, solo formule: filtra il foglio KRI (Ciclo = ciclo corrente, In_Vigore = Sì). Tendenza sul ciclo precedente: valori crescenti = peggio.</t>
  </si>
  <si>
    <t>Verde</t>
  </si>
  <si>
    <t>Ambra</t>
  </si>
  <si>
    <t>Rosso</t>
  </si>
  <si>
    <t>Non rilevato</t>
  </si>
  <si>
    <t>Unita'</t>
  </si>
  <si>
    <t>Soglia attenzione</t>
  </si>
  <si>
    <t>Soglia allerta</t>
  </si>
  <si>
    <t>Valore</t>
  </si>
  <si>
    <t>Data rilevazione</t>
  </si>
  <si>
    <t>Valore ciclo precedente</t>
  </si>
  <si>
    <t>Tendenza</t>
  </si>
  <si>
    <t>Andamento KRI — storia di un indicatore</t>
  </si>
  <si>
    <t>Scegliere un KRI in B3 (unica cella di input; l'elenco contiene tutti i KRI mai definiti, anche quelli usciti di vigore).</t>
  </si>
  <si>
    <t>Fonte dati</t>
  </si>
  <si>
    <t>Definito nel ciclo</t>
  </si>
  <si>
    <t>Ultima fotografia</t>
  </si>
  <si>
    <t>Fonte rilevazione</t>
  </si>
  <si>
    <t>Analisi_News — pressione delle notizie sui sette event type</t>
  </si>
  <si>
    <t>Aggregato automatico di NewsLog sulle ultime 4 settimane. Non contiene la notizia che A4 sta esaminando: A4 non scrive nel workbook.</t>
  </si>
  <si>
    <t>Codice</t>
  </si>
  <si>
    <t>Intensita' max 4 sett. (0-3)</t>
  </si>
  <si>
    <t>Notizie con intensita' &gt;= 2</t>
  </si>
  <si>
    <t>Presidio</t>
  </si>
  <si>
    <t>Intensita' 1: nesso indiretto</t>
  </si>
  <si>
    <t>Intensita' 2: nesso diretto</t>
  </si>
  <si>
    <t>Intensita' 3: diretto e immediato</t>
  </si>
  <si>
    <t>Etichetta del grafico</t>
  </si>
  <si>
    <t>Notizie non collegate a un rischio censito (4 settimane)</t>
  </si>
  <si>
    <t>Pressione settimanale (12 settimane)</t>
  </si>
  <si>
    <t>Notizie</t>
  </si>
  <si>
    <t>Peggiorativi</t>
  </si>
  <si>
    <t>Migliorativi</t>
  </si>
  <si>
    <t>Netto</t>
  </si>
  <si>
    <t>Grafici: notizie per event type (sopra) e segnali per settimana (sotto).</t>
  </si>
  <si>
    <t>N-20261006-01</t>
  </si>
  <si>
    <t>Sciopero nazionale del personale bancario e carenza di tecnici IT</t>
  </si>
  <si>
    <t>Agenzia di stampa</t>
  </si>
  <si>
    <t>FNT-17</t>
  </si>
  <si>
    <t>NON PRESIDIATO</t>
  </si>
  <si>
    <t>Peggiorativo</t>
  </si>
  <si>
    <t>I sindacati proclamano due giornate di sciopero; le banche segnalano difficolta' a coprire ruoli tecnici critici.</t>
  </si>
  <si>
    <t>N-20261007-01</t>
  </si>
  <si>
    <t>Frode con voce clonata del direttore finanziario presso un gruppo industriale</t>
  </si>
  <si>
    <t>Stampa economica</t>
  </si>
  <si>
    <t>FNT-18</t>
  </si>
  <si>
    <t>Bonifico istantaneo da 3 milioni disposto su richiesta telefonica con voce sintetica.</t>
  </si>
  <si>
    <t>N-20261008-01</t>
  </si>
  <si>
    <t>Il CERT finanziario segnala kit di clonazione vocale in vendita</t>
  </si>
  <si>
    <t>CERT finanziario nazionale</t>
  </si>
  <si>
    <t>FNT-34</t>
  </si>
  <si>
    <t>Strumenti pronti all'uso abbassano la soglia d'ingresso per le frodi APP.</t>
  </si>
  <si>
    <t>N-20261008-02</t>
  </si>
  <si>
    <t>Il fornitore cloud completa la nuova region italiana</t>
  </si>
  <si>
    <t>Comunicato stampa del fornitore cloud, sito del fornitore</t>
  </si>
  <si>
    <t>MAN</t>
  </si>
  <si>
    <t>Neutro</t>
  </si>
  <si>
    <t>La region e' disponibile; nessun impatto immediato sui servizi della Banca.</t>
  </si>
  <si>
    <t>N-20261009-01</t>
  </si>
  <si>
    <t>Autorita' europea: rimborso obbligatorio delle frodi APP dal 2027</t>
  </si>
  <si>
    <t>Autorita' bancaria europea</t>
  </si>
  <si>
    <t>FNT-03</t>
  </si>
  <si>
    <t>Il rimborso a carico del prestatore di servizi di pagamento diventa obbligatorio per le frodi autorizzate.</t>
  </si>
  <si>
    <t>2026-10-12</t>
  </si>
  <si>
    <t>Notizia</t>
  </si>
  <si>
    <t>Accettato</t>
  </si>
  <si>
    <t>Accettato in blocco (--accetta-il-resto)</t>
  </si>
  <si>
    <t>Corrado</t>
  </si>
  <si>
    <t>Applicata</t>
  </si>
  <si>
    <t>2026Q3</t>
  </si>
  <si>
    <t>Tentativi di frode APP per 10.000 bonifici istantanei</t>
  </si>
  <si>
    <t>n/10k</t>
  </si>
  <si>
    <t>Sistema antifrode transazionale</t>
  </si>
  <si>
    <t>Sì</t>
  </si>
  <si>
    <t>Misura la prossimita': frequenza dei tentativi sul canale piu' esposto.</t>
  </si>
  <si>
    <t>NFR-01-K2</t>
  </si>
  <si>
    <t>Quota di frodi con voce o video sintetici accertati</t>
  </si>
  <si>
    <t>%</t>
  </si>
  <si>
    <t>Casistica frodi — Funzione Antifrode</t>
  </si>
  <si>
    <t>Misura quanto il driver AI pesa sul fenomeno complessivo.</t>
  </si>
  <si>
    <t>NFR-01-K3</t>
  </si>
  <si>
    <t>Tempo medio di blocco di un beneficiario fraudolento</t>
  </si>
  <si>
    <t>ore</t>
  </si>
  <si>
    <t>Log del sistema di pagamento</t>
  </si>
  <si>
    <t>Misura l'efficacia dei controlli: tempi crescenti indicano un gap in aumento.</t>
  </si>
  <si>
    <t>NFR-02-K1</t>
  </si>
  <si>
    <t>NFR-02</t>
  </si>
  <si>
    <t>Quota di servizi critici sul fornitore cloud principale</t>
  </si>
  <si>
    <t>Registro delle informazioni DORA</t>
  </si>
  <si>
    <t>Misura la concentrazione, cioe' la severity potenziale.</t>
  </si>
  <si>
    <t>NFR-02-K2</t>
  </si>
  <si>
    <t>Servizi critici senza piano di uscita testato negli ultimi 12 mesi</t>
  </si>
  <si>
    <t>n</t>
  </si>
  <si>
    <t>Piano di test BCM</t>
  </si>
  <si>
    <t>Sostituisce i giorni dall'ultimo test: misura direttamente il gap_controlli residuo.</t>
  </si>
  <si>
    <t>NFR-02-K3</t>
  </si>
  <si>
    <t>Incidenti del fornitore con impatto sui servizi nel trimestre</t>
  </si>
  <si>
    <t>Incident management ICT</t>
  </si>
  <si>
    <t>Misura la prossimita': incidenti reali sul fornitore.</t>
  </si>
  <si>
    <t>NFR-03-K1</t>
  </si>
  <si>
    <t>NFR-03</t>
  </si>
  <si>
    <t>Reclami su prodotti ESG ogni 1.000 contratti</t>
  </si>
  <si>
    <t>n/1000</t>
  </si>
  <si>
    <t>Sistema di gestione reclami</t>
  </si>
  <si>
    <t>Segnale anticipato di contestazioni della clientela.</t>
  </si>
  <si>
    <t>NFR-03-K2</t>
  </si>
  <si>
    <t>Quota di prodotti ESG senza revisione dei claim nell'anno</t>
  </si>
  <si>
    <t>Inventario prodotti — Compliance</t>
  </si>
  <si>
    <t>Misura il gap_controlli residuo.</t>
  </si>
  <si>
    <t>NFR-03-K3</t>
  </si>
  <si>
    <t>Rilievi di audit aperti sulla trasparenza ESG</t>
  </si>
  <si>
    <t>Sistema di follow-up audit</t>
  </si>
  <si>
    <t>Misura il gap_controlli dal punto di vista della terza linea.</t>
  </si>
  <si>
    <t>NFR-04-K1</t>
  </si>
  <si>
    <t>NFR-04</t>
  </si>
  <si>
    <t>Sedi critiche in aree a rischio idrogeologico senza piano specifico</t>
  </si>
  <si>
    <t>Mappatura BCM delle sedi</t>
  </si>
  <si>
    <t>Misura il gap_controlli sulle sedi.</t>
  </si>
  <si>
    <t>NFR-04-K2</t>
  </si>
  <si>
    <t>Giorni di indisponibilita' di sedi per eventi climatici</t>
  </si>
  <si>
    <t>giorni</t>
  </si>
  <si>
    <t>Registro incidenti BCM</t>
  </si>
  <si>
    <t>Misura la prossimita' osservata.</t>
  </si>
  <si>
    <t>NFR-04-K3</t>
  </si>
  <si>
    <t>Scarto fra RTO dichiarato e testato del sito secondario</t>
  </si>
  <si>
    <t>Report dei test di disaster recovery</t>
  </si>
  <si>
    <t>Misura la severity di un degrado del data center.</t>
  </si>
  <si>
    <t>NFR-05-K1</t>
  </si>
  <si>
    <t>NFR-05</t>
  </si>
  <si>
    <t>Differenze di riconciliazione aperte oltre 5 giorni</t>
  </si>
  <si>
    <t>Sistema di riconciliazione contabile</t>
  </si>
  <si>
    <t>Misura l'efficacia dei controlli di riconciliazione.</t>
  </si>
  <si>
    <t>NFR-05-K2</t>
  </si>
  <si>
    <t>Incidenti di produzione legati alla migrazione</t>
  </si>
  <si>
    <t>Incident management IT</t>
  </si>
  <si>
    <t>Misura la prossimita' degli errori di processo.</t>
  </si>
  <si>
    <t>NFR-05-K3</t>
  </si>
  <si>
    <t>Quota di controlli di processo non ridisegnati sul nuovo core</t>
  </si>
  <si>
    <t>Piano di migrazione — PMO</t>
  </si>
  <si>
    <t>Misura il gap_controlli in vista della wave 2.</t>
  </si>
  <si>
    <t>NFR-06-K1</t>
  </si>
  <si>
    <t>NFR-06</t>
  </si>
  <si>
    <t>Tentativi di caricamento di dati riservati su servizi AI non autorizzati</t>
  </si>
  <si>
    <t>n/mese</t>
  </si>
  <si>
    <t>DLP e proxy web</t>
  </si>
  <si>
    <t>Misura la prossimita' del comportamento.</t>
  </si>
  <si>
    <t>NFR-06-K2</t>
  </si>
  <si>
    <t>Quota di dipendenti senza formazione sull'uso dell'AI</t>
  </si>
  <si>
    <t>Piattaforma di formazione</t>
  </si>
  <si>
    <t>Misura il presidio sul capitale umano.</t>
  </si>
  <si>
    <t>NFR-06-K3</t>
  </si>
  <si>
    <t>Utenze privilegiate senza revisione degli accessi nel trimestre</t>
  </si>
  <si>
    <t>Sistema IAM</t>
  </si>
  <si>
    <t>Misura il gap_controlli sugli accessi piu' sensibili.</t>
  </si>
  <si>
    <t>NFR-07-K1</t>
  </si>
  <si>
    <t>NFR-07</t>
  </si>
  <si>
    <t>Fornitori di pagamento critici senza test di ripristino da ransomware</t>
  </si>
  <si>
    <t>Misura una componente del rischio NFR-07; valori crescenti indicano peggioramento.</t>
  </si>
  <si>
    <t>NFR-07-K2</t>
  </si>
  <si>
    <t>Ore di indisponibilita' del gateway di pagamento nel trimestre</t>
  </si>
  <si>
    <t>NFR-07-K3</t>
  </si>
  <si>
    <t>Vulnerabilita' critiche aperte oltre 30 giorni presso il fornitore</t>
  </si>
  <si>
    <t>Rapporti di sicurezza del fornitore</t>
  </si>
  <si>
    <t>NFR-08-K1</t>
  </si>
  <si>
    <t>NFR-08</t>
  </si>
  <si>
    <t>Accessi ai dati clienti senza pratica associata</t>
  </si>
  <si>
    <t>Log applicativi e SOC</t>
  </si>
  <si>
    <t>Misura una componente del rischio NFR-08; valori crescenti indicano peggioramento.</t>
  </si>
  <si>
    <t>NFR-08-K2</t>
  </si>
  <si>
    <t>Utenze con profili di accesso non rivisti nell'anno</t>
  </si>
  <si>
    <t>NFR-08-K3</t>
  </si>
  <si>
    <t>Accessi impropri accertati nel trimestre</t>
  </si>
  <si>
    <t>Registro incidenti di sicurezza</t>
  </si>
  <si>
    <t>NFR-09-K1</t>
  </si>
  <si>
    <t>NFR-09</t>
  </si>
  <si>
    <t>Pagamenti bloccati dal filtro sanzioni ogni 10.000 verso paesi di transito</t>
  </si>
  <si>
    <t>Sistema di filtro sanzioni</t>
  </si>
  <si>
    <t>Misura una componente del rischio NFR-09; valori crescenti indicano peggioramento.</t>
  </si>
  <si>
    <t>NFR-09-K2</t>
  </si>
  <si>
    <t>Clienti corporate ad alto rischio senza due diligence rafforzata aggiornata</t>
  </si>
  <si>
    <t>Anagrafe clienti — Compliance</t>
  </si>
  <si>
    <t>NFR-09-K3</t>
  </si>
  <si>
    <t>Liste sanzioni recepite oltre 24 ore dalla pubblicazione</t>
  </si>
  <si>
    <t>Log del filtro sanzioni</t>
  </si>
  <si>
    <t>NFR-10-K1</t>
  </si>
  <si>
    <t>NFR-10</t>
  </si>
  <si>
    <t>Risposte del chatbot contestate ogni 1.000 conversazioni</t>
  </si>
  <si>
    <t>Piattaforma di assistenza</t>
  </si>
  <si>
    <t>Misura una componente del rischio NFR-10; valori crescenti indicano peggioramento.</t>
  </si>
  <si>
    <t>NFR-10-K2</t>
  </si>
  <si>
    <t>Reclami con rimborso originati da informazioni del chatbot</t>
  </si>
  <si>
    <t>NFR-10-K3</t>
  </si>
  <si>
    <t>Quota di risposte del chatbot non campionate dal controllo qualita'</t>
  </si>
  <si>
    <t>Controllo qualita' Customer Experience</t>
  </si>
  <si>
    <t>NFR-11-K1</t>
  </si>
  <si>
    <t>NFR-11</t>
  </si>
  <si>
    <t>Componenti del sistema di pagamento fuori supporto</t>
  </si>
  <si>
    <t>Inventario IT</t>
  </si>
  <si>
    <t>Misura una componente del rischio NFR-11; valori crescenti indicano peggioramento.</t>
  </si>
  <si>
    <t>NFR-11-K2</t>
  </si>
  <si>
    <t>Vulnerabilita' senza patch disponibile sui sistemi legacy</t>
  </si>
  <si>
    <t>Vulnerability management</t>
  </si>
  <si>
    <t>NFR-11-K3</t>
  </si>
  <si>
    <t>Presidi della piattaforma legacy coperti da una sola persona</t>
  </si>
  <si>
    <t>Piano delle competenze IT</t>
  </si>
  <si>
    <t>NFR-12-K1</t>
  </si>
  <si>
    <t>NFR-12</t>
  </si>
  <si>
    <t>Differenze di riconciliazione sui bonifici istantanei aperte oltre 1 giorno</t>
  </si>
  <si>
    <t>Sistema di riconciliazione</t>
  </si>
  <si>
    <t>Misura una componente del rischio NFR-12; valori crescenti indicano peggioramento.</t>
  </si>
  <si>
    <t>NFR-12-K2</t>
  </si>
  <si>
    <t>Rimborsi indebiti per errori di esecuzione nel trimestre</t>
  </si>
  <si>
    <t>Contabilita' operativa</t>
  </si>
  <si>
    <t>NFR-12-K3</t>
  </si>
  <si>
    <t>Tempo medio di risoluzione delle eccezioni sui pagamenti istantanei</t>
  </si>
  <si>
    <t>Workflow delle eccezioni</t>
  </si>
  <si>
    <t>Frodi su pagamenti istantanei abilitate da AI generativa</t>
  </si>
  <si>
    <t>DRV-AI, DRV-CYB</t>
  </si>
  <si>
    <t>Da assegnare</t>
  </si>
  <si>
    <t>Concentrazione su un fornitore cloud critico</t>
  </si>
  <si>
    <t>DRV-TPR, DRV-CYB</t>
  </si>
  <si>
    <t>Greenwashing nella commercializzazione di prodotti ESG</t>
  </si>
  <si>
    <t>DRV-CON, DRV-CLI</t>
  </si>
  <si>
    <t>Eventi climatici estremi su sedi e data center</t>
  </si>
  <si>
    <t>Errori di processo nella migrazione del core banking</t>
  </si>
  <si>
    <t>Esfiltrazione di dati tramite strumenti di AI non autorizzati</t>
  </si>
  <si>
    <t>DRV-AI, DRV-HUM</t>
  </si>
  <si>
    <t>Ransomware presso un fornitore di servizi di pagamento</t>
  </si>
  <si>
    <t>DRV-CYB, DRV-TPR</t>
  </si>
  <si>
    <t>Accessi impropri di dipendenti ai dati dei clienti</t>
  </si>
  <si>
    <t>DRV-HUM, DRV-CON</t>
  </si>
  <si>
    <t>Violazione di sanzioni internazionali tramite triangolazioni</t>
  </si>
  <si>
    <t>Informazioni errate ai clienti da assistenti di AI generativa</t>
  </si>
  <si>
    <t>DRV-AI, DRV-CON</t>
  </si>
  <si>
    <t>Fine del supporto dei sistemi di pagamento legacy</t>
  </si>
  <si>
    <t>Errori operativi nei pagamenti istantanei obbligatori</t>
  </si>
  <si>
    <t>Nuovo</t>
  </si>
  <si>
    <t>Frodi a danno dei clienti tramite voci o video sintetici che inducono bonifici istantanei irrevocabili verso conti di terzi.</t>
  </si>
  <si>
    <t>Il report frodi del terzo trimestre conferma importi medi elevati e casi con voce sintetica in linea con il trimestre precedente: severity 4 (danno reputazionale nazionale possibile), velocity 4 (impatto in minuti), prossimita' 4 (casi in banche comparabili). Gap_Controlli resta 3: la verifica fuori banda e' approvata ma non ancora attiva sui bonifici istantanei.</t>
  </si>
  <si>
    <t>[]</t>
  </si>
  <si>
    <t>[{"riferimento": "Analisi interna sulle frodi da ingegneria sociale", "data": "2025-10-20", "tipo": "Interna"}, {"riferimento": "Threat intelligence: campagne di frode con voce sintetica verso banche UE", "data": "2026-04-15", "tipo": "Esterna"}, {"riferimento": "Report trimestrale frodi — Funzione Antifrode", "data": "2026-06-10", "tipo": "Interna"}, {"riferimento": "Relazione annuale sui pagamenti al dettaglio dell'autorita' di vigilanza", "data": "2026-05-28", "tipo": "Esterna"}, {"riferimento": "Report trimestrale frodi Q3 — Funzione Antifrode", "data": "2026-09-12", "tipo": "Interna"}]</t>
  </si>
  <si>
    <t>Indisponibilita' prolungata del fornitore cloud che ospita servizi critici, senza alternativa attivabile nei tempi di ripristino.</t>
  </si>
  <si>
    <t>Gap_Controlli scende da 4 a 3 perche' la exit strategy e' ora testata su tutti i servizi critici (descrittore 3: controlli disegnati e testati di recente ma con rilievi aperti). Severity, velocity e prossimita' invariate: la concentrazione resta al 72% dei servizi critici e non ci sono incidenti gravi nel trimestre.</t>
  </si>
  <si>
    <t>[{"riferimento": "Contratto e piano di uscita del fornitore cloud", "data": "2025-09-30", "tipo": "Interna"}, {"riferimento": "Registro delle informazioni DORA — servizi ICT critici", "data": "2026-03-20", "tipo": "Interna"}, {"riferimento": "Esito del test di exit strategy sul fornitore cloud", "data": "2026-05-12", "tipo": "Interna"}, {"riferimento": "Report del test completo di exit strategy sui servizi critici", "data": "2026-08-28", "tipo": "Interna"}]</t>
  </si>
  <si>
    <t>Claim ambientali non sostanziati nella documentazione di prodotti di investimento ESG, con rischio di sanzioni e rimborsi.</t>
  </si>
  <si>
    <t>Prossimita' sale a 4: la sanzione a una banca comparabile e' un caso nel settore entro 12 mesi (descrittore 4). Severity resta 3 perche' l'impatto potenziale non cambia; Gap_Controlli resta 3 perche' la revisione dei claim non e' ancora completata.</t>
  </si>
  <si>
    <t>[{"riferimento": "Orientamenti dell'autorita' europea sui nomi dei fondi ESG", "data": "2025-11-14", "tipo": "Esterna"}, {"riferimento": "Verifica interna dei claim ambientali — Compliance", "data": "2026-02-18", "tipo": "Interna"}, {"riferimento": "Provvedimento sanzionatorio su claim ESG di una banca comparabile", "data": "2026-07-22", "tipo": "Esterna"}]</t>
  </si>
  <si>
    <t>Alluvioni o ondate di calore che rendono inagibili sedi operative o degradano il data center secondario.</t>
  </si>
  <si>
    <t>Nessun evento nuovo sulle sedi nel trimestre e i piani specifici per le due sedi critiche non sono ancora redatti: si confermano severity 3, velocity 2, prossimita' 3 e gap 3 con le fonti del ciclo precedente.</t>
  </si>
  <si>
    <t>[{"riferimento": "Mappa del rischio idrogeologico delle sedi — BCM", "data": "2025-10-30", "tipo": "Interna"}, {"riferimento": "Alluvione in Emilia-Romagna con chiusura di due filiali", "data": "2026-05-06", "tipo": "Esterna"}]</t>
  </si>
  <si>
    <t>Errori di conversione dati e controlli di processo non ridisegnati durante la migrazione a ondate del sistema core.</t>
  </si>
  <si>
    <t>La wave 2 resta pianificata per il 2027 e i controlli di riconciliazione testati a maggio restano efficaci: si confermano tutte le dimensioni. Gli incidenti di produzione scendono ma restano sopra la soglia di attenzione.</t>
  </si>
  <si>
    <t>[{"riferimento": "Piano di migrazione del core banking — PMO", "data": "2025-09-15", "tipo": "Interna"}, {"riferimento": "Chiusura della wave 1 di migrazione — PMO", "data": "2026-05-04", "tipo": "Interna"}, {"riferimento": "Relazione di audit sui controlli di riconciliazione post-migrazione", "data": "2026-05-20", "tipo": "Interna"}]</t>
  </si>
  <si>
    <t>Dipendenti che trasferiscono intenzionalmente dati riservati su servizi di AI generativa esterni per uso personale o a favore di terzi.</t>
  </si>
  <si>
    <t>Gap_Controlli scende a 3 perche' il DLP ora copre tutti i servizi, ma l'estensione e' recente e non ancora verificata dall'audit (descrittore 3). Severity, velocity e prossimita' invariate: i tentativi rilevati dal DLP calano ma non si azzerano.</t>
  </si>
  <si>
    <t>[{"riferimento": "Log DLP: tentativi di caricamento verso servizi AI esterni", "data": "2026-03-15", "tipo": "Interna"}, {"riferimento": "Survey interna sull'uso di strumenti di AI generativa", "data": "2026-02-10", "tipo": "Interna"}, {"riferimento": "Verbale del test di blocco DLP sui servizi di AI generativa", "data": "2026-09-05", "tipo": "Interna"}]</t>
  </si>
  <si>
    <t>Blocco prolungato dei pagamenti per un attacco ransomware al fornitore esterno che gestisce il gateway di pagamento della Banca.</t>
  </si>
  <si>
    <t>Nessuna evidenza nuova nel trimestre: si confermano severity 4, velocity 5, prossimita' 3, gap 3 e probabilita' 3 con le fonti del ciclo precedente.</t>
  </si>
  <si>
    <t>[{"riferimento": "Registro DORA: fornitore del gateway di pagamento classificato critico", "data": "2025-10-15", "tipo": "Interna"}, {"riferimento": "Attacco ransomware a un processore di pagamenti europeo", "data": "2026-02-20", "tipo": "Esterna"}]</t>
  </si>
  <si>
    <t>Dipendenti che consultano o estraggono dati di clienti senza motivo di servizio, per curiosita' o a favore di terzi.</t>
  </si>
  <si>
    <t>Nessuna evidenza nuova nel trimestre: si confermano severity 3, velocity 3, prossimita' 3, gap 3 e probabilita' 2 con le fonti del ciclo precedente.</t>
  </si>
  <si>
    <t>[{"riferimento": "Esiti del monitoraggio degli accessi ai dati clienti — SOC", "data": "2025-11-10", "tipo": "Interna"}, {"riferimento": "Provvedimento dell'autorita' privacy su accessi abusivi in una banca", "data": "2026-04-08", "tipo": "Esterna"}]</t>
  </si>
  <si>
    <t>Pagamenti di clientela corporate verso controparti sanzionate interposte in paesi terzi, non intercettati dal filtro sanzioni.</t>
  </si>
  <si>
    <t>Nessuna evidenza nuova nel trimestre: si confermano severity 4, velocity 3, prossimita' 2, gap 3 e probabilita' 2 con le fonti del ciclo precedente.</t>
  </si>
  <si>
    <t>[{"riferimento": "Nuovo pacchetto di sanzioni UE con obblighi di due diligence rafforzata", "data": "2026-02-24", "tipo": "Esterna"}, {"riferimento": "Analisi dei flussi verso paesi di transito — Compliance", "data": "2026-03-12", "tipo": "Interna"}]</t>
  </si>
  <si>
    <t>Chatbot di assistenza basati su AI generativa che danno ai clienti informazioni errate su condizioni, costi o diritti, con reclami e rimborsi.</t>
  </si>
  <si>
    <t>Nessuna evidenza nuova nel trimestre: si confermano severity 3, velocity 3, prossimita' 3, gap 4 e probabilita' 3 con le fonti del ciclo precedente.</t>
  </si>
  <si>
    <t>[{"riferimento": "Piano di rilascio del chatbot di assistenza con AI generativa", "data": "2026-01-20", "tipo": "Interna"}, {"riferimento": "Sanzione a una compagnia aerea per risposte errate del proprio chatbot", "data": "2026-02-15", "tipo": "Esterna"}]</t>
  </si>
  <si>
    <t>Componenti del sistema di pagamento fuori supporto del produttore, senza patch di sicurezza e con competenze interne in riduzione.</t>
  </si>
  <si>
    <t>Nessuna evidenza nuova nel trimestre: si confermano severity 3, velocity 2, prossimita' 3, gap 4 e probabilita' 3 con le fonti del ciclo precedente.</t>
  </si>
  <si>
    <t>[{"riferimento": "Inventario delle componenti fuori supporto — IT", "data": "2025-09-30", "tipo": "Interna"}, {"riferimento": "Comunicazione del produttore sulla fine del supporto esteso", "data": "2026-01-31", "tipo": "Esterna"}]</t>
  </si>
  <si>
    <t>Errori di riconciliazione e rimborsi indebiti dopo l'obbligo di offrire i bonifici istantanei a tutta la clientela.</t>
  </si>
  <si>
    <t>Nessuna evidenza nuova nel trimestre: si confermano severity 3, velocity 4, prossimita' 4, gap 3 e probabilita' 4 con le fonti del ciclo precedente.</t>
  </si>
  <si>
    <t>[{"riferimento": "Piano di adeguamento al regolamento sui bonifici istantanei", "data": "2025-10-01", "tipo": "Interna"}, {"riferimento": "Report operativo dei pagamenti istantanei — maggio", "data": "2026-05-15", "tipo": "Interna"}]</t>
  </si>
  <si>
    <t>2026Q3-NFR-01-A1</t>
  </si>
  <si>
    <t>Attivare la verifica fuori banda per bonifici istantanei sopra soglia verso beneficiari nuovi.</t>
  </si>
  <si>
    <t>Funzione Antifrode</t>
  </si>
  <si>
    <t>gap_controlli</t>
  </si>
  <si>
    <t>3 mesi</t>
  </si>
  <si>
    <t>Chiude il gap_controlli principale: la verifica approvata non e' ancora in produzione.</t>
  </si>
  <si>
    <t>2026Q3-NFR-01-A2</t>
  </si>
  <si>
    <t>Campagna di sensibilizzazione dei clienti corporate sulle frodi con voce clonata.</t>
  </si>
  <si>
    <t>Direzione Marketing e Comunicazione</t>
  </si>
  <si>
    <t>severity</t>
  </si>
  <si>
    <t>6 mesi</t>
  </si>
  <si>
    <t>Riduce la severity attesa limitando gli importi disposti su richiesta telefonica.</t>
  </si>
  <si>
    <t>2026Q3-NFR-02-A1</t>
  </si>
  <si>
    <t>Chiudere i rilievi minori emersi dal test di exit strategy entro il prossimo trimestre.</t>
  </si>
  <si>
    <t>Funzione ICT &amp; Security Risk</t>
  </si>
  <si>
    <t>Porta il gap_controlli verso il descrittore 2.</t>
  </si>
  <si>
    <t>2026Q3-NFR-02-A2</t>
  </si>
  <si>
    <t>Valutare lo spostamento di un servizio critico sulla nuova region nazionale del fornitore.</t>
  </si>
  <si>
    <t>Direzione Sistemi Informativi</t>
  </si>
  <si>
    <t>12 mesi</t>
  </si>
  <si>
    <t>Riduce la severity di un'interruzione di una singola region.</t>
  </si>
  <si>
    <t>2026Q3-NFR-03-A1</t>
  </si>
  <si>
    <t>Completare la revisione indipendente dei claim ambientali di tutti i prodotti ESG in catalogo.</t>
  </si>
  <si>
    <t>Funzione Compliance</t>
  </si>
  <si>
    <t>Chiude il gap_controlli sulla sostanziazione dei claim, reso piu' urgente dalla prossimita' in aumento.</t>
  </si>
  <si>
    <t>2026Q3-NFR-04-A1</t>
  </si>
  <si>
    <t>Redigere piani di continuita' specifici per le due sedi critiche in aree a rischio.</t>
  </si>
  <si>
    <t>Funzione Business Continuity</t>
  </si>
  <si>
    <t>Il KRI NFR-04-K1 mostra due sedi senza piano: e' il gap_controlli principale.</t>
  </si>
  <si>
    <t>2026Q3-NFR-05-A1</t>
  </si>
  <si>
    <t>Monitoraggio giornaliero degli incidenti post-migrazione con escalation entro 4 ore.</t>
  </si>
  <si>
    <t>Funzione Operations</t>
  </si>
  <si>
    <t>velocity</t>
  </si>
  <si>
    <t>Riduce l'effetto della velocity intercettando gli errori prima che si propaghino.</t>
  </si>
  <si>
    <t>2026Q3-NFR-06-A1</t>
  </si>
  <si>
    <t>Completare la formazione obbligatoria sull'uso dell'AI per tutto il personale.</t>
  </si>
  <si>
    <t>Direzione Risorse Umane</t>
  </si>
  <si>
    <t>prossimita</t>
  </si>
  <si>
    <t>Riduce la prossimita': meno comportamenti a rischio per inconsapevolezza.</t>
  </si>
  <si>
    <t>2026Q3-NFR-06-A2</t>
  </si>
  <si>
    <t>Chiedere all'audit interno la verifica dell'estensione del DLP.</t>
  </si>
  <si>
    <t>Funzione Sicurezza delle Informazioni</t>
  </si>
  <si>
    <t>Serve un test indipendente per portare il gap_controlli al descrittore 2.</t>
  </si>
  <si>
    <t>2026Q3-NFR-07-A1</t>
  </si>
  <si>
    <t>Test congiunto di ripristino da ransomware con il fornitore del gateway di pagamento.</t>
  </si>
  <si>
    <t>Il gap_controlli resta 3 finche' il ripristino non e' testato con il fornitore.</t>
  </si>
  <si>
    <t>2026Q3-NFR-08-A1</t>
  </si>
  <si>
    <t>Revisione trimestrale automatica degli accessi ai dati clienti senza pratica associata.</t>
  </si>
  <si>
    <t>Riduce il gap_controlli: oggi la revisione e' annuale e a campione.</t>
  </si>
  <si>
    <t>2026Q3-NFR-09-A1</t>
  </si>
  <si>
    <t>Estendere lo screening sanzioni alle controparti indirette dei pagamenti verso paesi di transito.</t>
  </si>
  <si>
    <t>Chiude il gap_controlli sulle triangolazioni, oggi non coperte dal filtro.</t>
  </si>
  <si>
    <t>2026Q3-NFR-10-A1</t>
  </si>
  <si>
    <t>Campionamento settimanale delle risposte del chatbot con verifica umana.</t>
  </si>
  <si>
    <t>Funzione Customer Experience</t>
  </si>
  <si>
    <t>probabilita</t>
  </si>
  <si>
    <t>Riduce la probabilita' che informazioni errate raggiungano molti clienti.</t>
  </si>
  <si>
    <t>2026Q3-NFR-11-A1</t>
  </si>
  <si>
    <t>Piano di sostituzione delle componenti fuori supporto del sistema di pagamento.</t>
  </si>
  <si>
    <t>Funzione IT Operations</t>
  </si>
  <si>
    <t>Riduce il gap_controlli: oggi non ci sono patch per le componenti fuori supporto.</t>
  </si>
  <si>
    <t>2026Q3-NFR-12-A1</t>
  </si>
  <si>
    <t>Controllo giornaliero automatico delle differenze di riconciliazione sui bonifici istantanei.</t>
  </si>
  <si>
    <t>Il gap_controlli e' 3: la riconciliazione oggi e' settimanale.</t>
  </si>
  <si>
    <t>Azione</t>
  </si>
  <si>
    <t>Rettificato</t>
  </si>
  <si>
    <t>Nessun caso interno: probabilita' piu' bassa di quella proposta.</t>
  </si>
  <si>
    <t>Primo valore rilevato dal sistema antifrode a fine settembre.</t>
  </si>
  <si>
    <t>Rettifica del validatore (Corrado)</t>
  </si>
  <si>
    <t>Approvata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</si>
</sst>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;0.00"/>
  </numFmts>
  <fonts count="4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i/>
      <sz val="11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2" fillId="0" borderId="0" xfId="0" applyFont="1" applyAlignment="1">
      <alignment vertical="top" wrapText="1"/>
    </xf>
    <xf numFmtId="2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0" fontId="0" fillId="2" borderId="0" xfId="0" quotePrefix="1" applyFill="1"/>
    <xf numFmtId="0" fontId="0" fillId="0" borderId="0" xfId="0" quotePrefix="1"/>
    <xf numFmtId="0" fontId="0" fillId="0" borderId="0" xfId="0" quotePrefix="1" applyAlignment="1">
      <alignment vertical="top" wrapText="1"/>
    </xf>
  </cellXfs>
  <cellStyles count="1">
    <cellStyle name="Normale" xfId="0" builtinId="0"/>
  </cellStyles>
  <dxfs count="124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  <dxf>
      <font>
        <color rgb="FFBFBFBF"/>
      </font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  <dxf>
      <font>
        <color rgb="FFBFBFBF"/>
      </font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color rgb="FFBFBFBF"/>
      </font>
    </dxf>
    <dxf>
      <font>
        <color rgb="FFBFBFBF"/>
      </font>
    </dxf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  <dxf>
      <font>
        <color rgb="FFBFBFBF"/>
      </font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ont>
        <color rgb="FFBFBFBF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t-IT"/>
              <a:t>Score composito — tre cicli (scala fissa 0-5)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2026Q1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[0]!radarRischi</c:f>
              <c:strCache>
                <c:ptCount val="12"/>
                <c:pt idx="0">
                  <c:v>NFR-01</c:v>
                </c:pt>
                <c:pt idx="1">
                  <c:v>NFR-02</c:v>
                </c:pt>
                <c:pt idx="2">
                  <c:v>NFR-03</c:v>
                </c:pt>
                <c:pt idx="3">
                  <c:v>NFR-04</c:v>
                </c:pt>
                <c:pt idx="4">
                  <c:v>NFR-05</c:v>
                </c:pt>
                <c:pt idx="5">
                  <c:v>NFR-06</c:v>
                </c:pt>
                <c:pt idx="6">
                  <c:v>NFR-07</c:v>
                </c:pt>
                <c:pt idx="7">
                  <c:v>NFR-08</c:v>
                </c:pt>
                <c:pt idx="8">
                  <c:v>NFR-09</c:v>
                </c:pt>
                <c:pt idx="9">
                  <c:v>NFR-10</c:v>
                </c:pt>
                <c:pt idx="10">
                  <c:v>NFR-11</c:v>
                </c:pt>
                <c:pt idx="11">
                  <c:v>NFR-12</c:v>
                </c:pt>
              </c:strCache>
            </c:strRef>
          </c:cat>
          <c:val>
            <c:numRef>
              <c:f>[0]!radarMeno2</c:f>
              <c:numCache>
                <c:formatCode>0.00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A-4D4B-BE13-295A3A318414}"/>
            </c:ext>
          </c:extLst>
        </c:ser>
        <c:ser>
          <c:idx val="1"/>
          <c:order val="1"/>
          <c:tx>
            <c:strRef>
              <c:f>Dashboard!$D$3</c:f>
              <c:strCache>
                <c:ptCount val="1"/>
                <c:pt idx="0">
                  <c:v>2026Q2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[0]!radarRischi</c:f>
              <c:strCache>
                <c:ptCount val="12"/>
                <c:pt idx="0">
                  <c:v>NFR-01</c:v>
                </c:pt>
                <c:pt idx="1">
                  <c:v>NFR-02</c:v>
                </c:pt>
                <c:pt idx="2">
                  <c:v>NFR-03</c:v>
                </c:pt>
                <c:pt idx="3">
                  <c:v>NFR-04</c:v>
                </c:pt>
                <c:pt idx="4">
                  <c:v>NFR-05</c:v>
                </c:pt>
                <c:pt idx="5">
                  <c:v>NFR-06</c:v>
                </c:pt>
                <c:pt idx="6">
                  <c:v>NFR-07</c:v>
                </c:pt>
                <c:pt idx="7">
                  <c:v>NFR-08</c:v>
                </c:pt>
                <c:pt idx="8">
                  <c:v>NFR-09</c:v>
                </c:pt>
                <c:pt idx="9">
                  <c:v>NFR-10</c:v>
                </c:pt>
                <c:pt idx="10">
                  <c:v>NFR-11</c:v>
                </c:pt>
                <c:pt idx="11">
                  <c:v>NFR-12</c:v>
                </c:pt>
              </c:strCache>
            </c:strRef>
          </c:cat>
          <c:val>
            <c:numRef>
              <c:f>[0]!radarPrecedente</c:f>
              <c:numCache>
                <c:formatCode>0.00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A-4D4B-BE13-295A3A318414}"/>
            </c:ext>
          </c:extLst>
        </c:ser>
        <c:ser>
          <c:idx val="2"/>
          <c:order val="2"/>
          <c:tx>
            <c:strRef>
              <c:f>Dashboard!$B$3</c:f>
              <c:strCache>
                <c:ptCount val="1"/>
                <c:pt idx="0">
                  <c:v>2026Q3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[0]!radarRischi</c:f>
              <c:strCache>
                <c:ptCount val="12"/>
                <c:pt idx="0">
                  <c:v>NFR-01</c:v>
                </c:pt>
                <c:pt idx="1">
                  <c:v>NFR-02</c:v>
                </c:pt>
                <c:pt idx="2">
                  <c:v>NFR-03</c:v>
                </c:pt>
                <c:pt idx="3">
                  <c:v>NFR-04</c:v>
                </c:pt>
                <c:pt idx="4">
                  <c:v>NFR-05</c:v>
                </c:pt>
                <c:pt idx="5">
                  <c:v>NFR-06</c:v>
                </c:pt>
                <c:pt idx="6">
                  <c:v>NFR-07</c:v>
                </c:pt>
                <c:pt idx="7">
                  <c:v>NFR-08</c:v>
                </c:pt>
                <c:pt idx="8">
                  <c:v>NFR-09</c:v>
                </c:pt>
                <c:pt idx="9">
                  <c:v>NFR-10</c:v>
                </c:pt>
                <c:pt idx="10">
                  <c:v>NFR-11</c:v>
                </c:pt>
                <c:pt idx="11">
                  <c:v>NFR-12</c:v>
                </c:pt>
              </c:strCache>
            </c:strRef>
          </c:cat>
          <c:val>
            <c:numRef>
              <c:f>[0]!radarCorrente</c:f>
              <c:numCache>
                <c:formatCode>0.00</c:formatCode>
                <c:ptCount val="12"/>
                <c:pt idx="0">
                  <c:v>3.8</c:v>
                </c:pt>
                <c:pt idx="1">
                  <c:v>3.6</c:v>
                </c:pt>
                <c:pt idx="2">
                  <c:v>3</c:v>
                </c:pt>
                <c:pt idx="3">
                  <c:v>2.8</c:v>
                </c:pt>
                <c:pt idx="4">
                  <c:v>3</c:v>
                </c:pt>
                <c:pt idx="5">
                  <c:v>3</c:v>
                </c:pt>
                <c:pt idx="6">
                  <c:v>3.8</c:v>
                </c:pt>
                <c:pt idx="7">
                  <c:v>3</c:v>
                </c:pt>
                <c:pt idx="8">
                  <c:v>3.2</c:v>
                </c:pt>
                <c:pt idx="9">
                  <c:v>3.2</c:v>
                </c:pt>
                <c:pt idx="10">
                  <c:v>3</c:v>
                </c:pt>
                <c:pt idx="11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A-4D4B-BE13-295A3A31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Mosca</c:v>
          </c:tx>
          <c:spPr>
            <a:ln w="2857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D0-43DD-8DE0-A9E405604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Radar_Mosca!$V$5:$V$77</c:f>
              <c:numCache>
                <c:formatCode>General</c:formatCode>
                <c:ptCount val="73"/>
                <c:pt idx="0">
                  <c:v>0</c:v>
                </c:pt>
                <c:pt idx="1">
                  <c:v>0.17431148549531633</c:v>
                </c:pt>
                <c:pt idx="2">
                  <c:v>0.34729635533386066</c:v>
                </c:pt>
                <c:pt idx="3">
                  <c:v>0.51763809020504148</c:v>
                </c:pt>
                <c:pt idx="4">
                  <c:v>0.68404028665133743</c:v>
                </c:pt>
                <c:pt idx="5">
                  <c:v>0.84523652348139888</c:v>
                </c:pt>
                <c:pt idx="6">
                  <c:v>0.99999999999999989</c:v>
                </c:pt>
                <c:pt idx="7">
                  <c:v>1.1471528727020921</c:v>
                </c:pt>
                <c:pt idx="8">
                  <c:v>1.2855752193730785</c:v>
                </c:pt>
                <c:pt idx="9">
                  <c:v>1.4142135623730949</c:v>
                </c:pt>
                <c:pt idx="10">
                  <c:v>1.532088886237956</c:v>
                </c:pt>
                <c:pt idx="11">
                  <c:v>1.6383040885779834</c:v>
                </c:pt>
                <c:pt idx="12">
                  <c:v>1.7320508075688772</c:v>
                </c:pt>
                <c:pt idx="13">
                  <c:v>1.8126155740732999</c:v>
                </c:pt>
                <c:pt idx="14">
                  <c:v>1.8793852415718166</c:v>
                </c:pt>
                <c:pt idx="15">
                  <c:v>1.9318516525781364</c:v>
                </c:pt>
                <c:pt idx="16">
                  <c:v>1.969615506024416</c:v>
                </c:pt>
                <c:pt idx="17">
                  <c:v>1.9923893961834911</c:v>
                </c:pt>
                <c:pt idx="18">
                  <c:v>2</c:v>
                </c:pt>
                <c:pt idx="19">
                  <c:v>1.9923893961834911</c:v>
                </c:pt>
                <c:pt idx="20">
                  <c:v>1.969615506024416</c:v>
                </c:pt>
                <c:pt idx="21">
                  <c:v>1.9318516525781366</c:v>
                </c:pt>
                <c:pt idx="22">
                  <c:v>1.8793852415718169</c:v>
                </c:pt>
                <c:pt idx="23">
                  <c:v>1.8126155740733001</c:v>
                </c:pt>
                <c:pt idx="24">
                  <c:v>1.7320508075688774</c:v>
                </c:pt>
                <c:pt idx="25">
                  <c:v>1.6383040885779834</c:v>
                </c:pt>
                <c:pt idx="26">
                  <c:v>1.532088886237956</c:v>
                </c:pt>
                <c:pt idx="27">
                  <c:v>1.4142135623730951</c:v>
                </c:pt>
                <c:pt idx="28">
                  <c:v>1.2855752193730789</c:v>
                </c:pt>
                <c:pt idx="29">
                  <c:v>1.1471528727020919</c:v>
                </c:pt>
                <c:pt idx="30">
                  <c:v>1.0000000000000007</c:v>
                </c:pt>
                <c:pt idx="31">
                  <c:v>0.84523652348139899</c:v>
                </c:pt>
                <c:pt idx="32">
                  <c:v>0.68404028665133776</c:v>
                </c:pt>
                <c:pt idx="33">
                  <c:v>0.51763809020504115</c:v>
                </c:pt>
                <c:pt idx="34">
                  <c:v>0.34729635533386055</c:v>
                </c:pt>
                <c:pt idx="35">
                  <c:v>0.17431148549531639</c:v>
                </c:pt>
                <c:pt idx="36">
                  <c:v>2.45029690981724E-16</c:v>
                </c:pt>
                <c:pt idx="37">
                  <c:v>-0.17431148549531589</c:v>
                </c:pt>
                <c:pt idx="38">
                  <c:v>-0.34729635533386005</c:v>
                </c:pt>
                <c:pt idx="39">
                  <c:v>-0.5176380902050407</c:v>
                </c:pt>
                <c:pt idx="40">
                  <c:v>-0.68404028665133731</c:v>
                </c:pt>
                <c:pt idx="41">
                  <c:v>-0.84523652348139777</c:v>
                </c:pt>
                <c:pt idx="42">
                  <c:v>-1.0000000000000002</c:v>
                </c:pt>
                <c:pt idx="43">
                  <c:v>-1.1471528727020917</c:v>
                </c:pt>
                <c:pt idx="44">
                  <c:v>-1.2855752193730778</c:v>
                </c:pt>
                <c:pt idx="45">
                  <c:v>-1.4142135623730949</c:v>
                </c:pt>
                <c:pt idx="46">
                  <c:v>-1.5320888862379558</c:v>
                </c:pt>
                <c:pt idx="47">
                  <c:v>-1.6383040885779843</c:v>
                </c:pt>
                <c:pt idx="48">
                  <c:v>-1.7320508075688767</c:v>
                </c:pt>
                <c:pt idx="49">
                  <c:v>-1.8126155740732994</c:v>
                </c:pt>
                <c:pt idx="50">
                  <c:v>-1.8793852415718169</c:v>
                </c:pt>
                <c:pt idx="51">
                  <c:v>-1.9318516525781366</c:v>
                </c:pt>
                <c:pt idx="52">
                  <c:v>-1.969615506024416</c:v>
                </c:pt>
                <c:pt idx="53">
                  <c:v>-1.9923893961834911</c:v>
                </c:pt>
                <c:pt idx="54">
                  <c:v>-2</c:v>
                </c:pt>
                <c:pt idx="55">
                  <c:v>-1.9923893961834911</c:v>
                </c:pt>
                <c:pt idx="56">
                  <c:v>-1.9696155060244163</c:v>
                </c:pt>
                <c:pt idx="57">
                  <c:v>-1.9318516525781368</c:v>
                </c:pt>
                <c:pt idx="58">
                  <c:v>-1.8793852415718166</c:v>
                </c:pt>
                <c:pt idx="59">
                  <c:v>-1.8126155740733005</c:v>
                </c:pt>
                <c:pt idx="60">
                  <c:v>-1.7320508075688781</c:v>
                </c:pt>
                <c:pt idx="61">
                  <c:v>-1.6383040885779836</c:v>
                </c:pt>
                <c:pt idx="62">
                  <c:v>-1.5320888862379562</c:v>
                </c:pt>
                <c:pt idx="63">
                  <c:v>-1.4142135623730954</c:v>
                </c:pt>
                <c:pt idx="64">
                  <c:v>-1.2855752193730792</c:v>
                </c:pt>
                <c:pt idx="65">
                  <c:v>-1.147152872702093</c:v>
                </c:pt>
                <c:pt idx="66">
                  <c:v>-0.99999999999999933</c:v>
                </c:pt>
                <c:pt idx="67">
                  <c:v>-0.84523652348139999</c:v>
                </c:pt>
                <c:pt idx="68">
                  <c:v>-0.6840402866513372</c:v>
                </c:pt>
                <c:pt idx="69">
                  <c:v>-0.51763809020504137</c:v>
                </c:pt>
                <c:pt idx="70">
                  <c:v>-0.34729635533386077</c:v>
                </c:pt>
                <c:pt idx="71">
                  <c:v>-0.17431148549531664</c:v>
                </c:pt>
                <c:pt idx="72">
                  <c:v>-4.90059381963448E-16</c:v>
                </c:pt>
              </c:numCache>
            </c:numRef>
          </c:xVal>
          <c:yVal>
            <c:numRef>
              <c:f>Radar_Mosca!$W$5:$W$77</c:f>
              <c:numCache>
                <c:formatCode>General</c:formatCode>
                <c:ptCount val="73"/>
                <c:pt idx="0">
                  <c:v>2</c:v>
                </c:pt>
                <c:pt idx="1">
                  <c:v>1.9923893961834911</c:v>
                </c:pt>
                <c:pt idx="2">
                  <c:v>1.969615506024416</c:v>
                </c:pt>
                <c:pt idx="3">
                  <c:v>1.9318516525781366</c:v>
                </c:pt>
                <c:pt idx="4">
                  <c:v>1.8793852415718169</c:v>
                </c:pt>
                <c:pt idx="5">
                  <c:v>1.8126155740732999</c:v>
                </c:pt>
                <c:pt idx="6">
                  <c:v>1.7320508075688774</c:v>
                </c:pt>
                <c:pt idx="7">
                  <c:v>1.6383040885779836</c:v>
                </c:pt>
                <c:pt idx="8">
                  <c:v>1.532088886237956</c:v>
                </c:pt>
                <c:pt idx="9">
                  <c:v>1.4142135623730951</c:v>
                </c:pt>
                <c:pt idx="10">
                  <c:v>1.2855752193730787</c:v>
                </c:pt>
                <c:pt idx="11">
                  <c:v>1.1471528727020923</c:v>
                </c:pt>
                <c:pt idx="12">
                  <c:v>1.0000000000000002</c:v>
                </c:pt>
                <c:pt idx="13">
                  <c:v>0.84523652348139888</c:v>
                </c:pt>
                <c:pt idx="14">
                  <c:v>0.68404028665133765</c:v>
                </c:pt>
                <c:pt idx="15">
                  <c:v>0.51763809020504192</c:v>
                </c:pt>
                <c:pt idx="16">
                  <c:v>0.34729635533386083</c:v>
                </c:pt>
                <c:pt idx="17">
                  <c:v>0.17431148549531628</c:v>
                </c:pt>
                <c:pt idx="18">
                  <c:v>1.22514845490862E-16</c:v>
                </c:pt>
                <c:pt idx="19">
                  <c:v>-0.17431148549531603</c:v>
                </c:pt>
                <c:pt idx="20">
                  <c:v>-0.34729635533386061</c:v>
                </c:pt>
                <c:pt idx="21">
                  <c:v>-0.5176380902050417</c:v>
                </c:pt>
                <c:pt idx="22">
                  <c:v>-0.68404028665133698</c:v>
                </c:pt>
                <c:pt idx="23">
                  <c:v>-0.84523652348139866</c:v>
                </c:pt>
                <c:pt idx="24">
                  <c:v>-0.99999999999999956</c:v>
                </c:pt>
                <c:pt idx="25">
                  <c:v>-1.1471528727020923</c:v>
                </c:pt>
                <c:pt idx="26">
                  <c:v>-1.2855752193730787</c:v>
                </c:pt>
                <c:pt idx="27">
                  <c:v>-1.4142135623730949</c:v>
                </c:pt>
                <c:pt idx="28">
                  <c:v>-1.5320888862379558</c:v>
                </c:pt>
                <c:pt idx="29">
                  <c:v>-1.6383040885779838</c:v>
                </c:pt>
                <c:pt idx="30">
                  <c:v>-1.732050807568877</c:v>
                </c:pt>
                <c:pt idx="31">
                  <c:v>-1.8126155740732999</c:v>
                </c:pt>
                <c:pt idx="32">
                  <c:v>-1.8793852415718166</c:v>
                </c:pt>
                <c:pt idx="33">
                  <c:v>-1.9318516525781366</c:v>
                </c:pt>
                <c:pt idx="34">
                  <c:v>-1.969615506024416</c:v>
                </c:pt>
                <c:pt idx="35">
                  <c:v>-1.9923893961834911</c:v>
                </c:pt>
                <c:pt idx="36">
                  <c:v>-2</c:v>
                </c:pt>
                <c:pt idx="37">
                  <c:v>-1.9923893961834911</c:v>
                </c:pt>
                <c:pt idx="38">
                  <c:v>-1.9696155060244163</c:v>
                </c:pt>
                <c:pt idx="39">
                  <c:v>-1.9318516525781368</c:v>
                </c:pt>
                <c:pt idx="40">
                  <c:v>-1.8793852415718169</c:v>
                </c:pt>
                <c:pt idx="41">
                  <c:v>-1.8126155740733005</c:v>
                </c:pt>
                <c:pt idx="42">
                  <c:v>-1.7320508075688772</c:v>
                </c:pt>
                <c:pt idx="43">
                  <c:v>-1.638304088577984</c:v>
                </c:pt>
                <c:pt idx="44">
                  <c:v>-1.5320888862379567</c:v>
                </c:pt>
                <c:pt idx="45">
                  <c:v>-1.4142135623730954</c:v>
                </c:pt>
                <c:pt idx="46">
                  <c:v>-1.2855752193730789</c:v>
                </c:pt>
                <c:pt idx="47">
                  <c:v>-1.1471528727020914</c:v>
                </c:pt>
                <c:pt idx="48">
                  <c:v>-1.0000000000000009</c:v>
                </c:pt>
                <c:pt idx="49">
                  <c:v>-0.84523652348139988</c:v>
                </c:pt>
                <c:pt idx="50">
                  <c:v>-0.68404028665133709</c:v>
                </c:pt>
                <c:pt idx="51">
                  <c:v>-0.51763809020504126</c:v>
                </c:pt>
                <c:pt idx="52">
                  <c:v>-0.34729635533386066</c:v>
                </c:pt>
                <c:pt idx="53">
                  <c:v>-0.1743114854953165</c:v>
                </c:pt>
                <c:pt idx="54">
                  <c:v>-3.67544536472586E-16</c:v>
                </c:pt>
                <c:pt idx="55">
                  <c:v>0.17431148549531578</c:v>
                </c:pt>
                <c:pt idx="56">
                  <c:v>0.34729635533385994</c:v>
                </c:pt>
                <c:pt idx="57">
                  <c:v>0.51763809020504059</c:v>
                </c:pt>
                <c:pt idx="58">
                  <c:v>0.68404028665133798</c:v>
                </c:pt>
                <c:pt idx="59">
                  <c:v>0.84523652348139766</c:v>
                </c:pt>
                <c:pt idx="60">
                  <c:v>0.99999999999999867</c:v>
                </c:pt>
                <c:pt idx="61">
                  <c:v>1.1471528727020921</c:v>
                </c:pt>
                <c:pt idx="62">
                  <c:v>1.2855752193730785</c:v>
                </c:pt>
                <c:pt idx="63">
                  <c:v>1.4142135623730947</c:v>
                </c:pt>
                <c:pt idx="64">
                  <c:v>1.5320888862379556</c:v>
                </c:pt>
                <c:pt idx="65">
                  <c:v>1.6383040885779832</c:v>
                </c:pt>
                <c:pt idx="66">
                  <c:v>1.7320508075688776</c:v>
                </c:pt>
                <c:pt idx="67">
                  <c:v>1.8126155740732994</c:v>
                </c:pt>
                <c:pt idx="68">
                  <c:v>1.8793852415718169</c:v>
                </c:pt>
                <c:pt idx="69">
                  <c:v>1.9318516525781366</c:v>
                </c:pt>
                <c:pt idx="70">
                  <c:v>1.969615506024416</c:v>
                </c:pt>
                <c:pt idx="71">
                  <c:v>1.9923893961834911</c:v>
                </c:pt>
                <c:pt idx="7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D0-43DD-8DE0-A9E405604AD1}"/>
            </c:ext>
          </c:extLst>
        </c:ser>
        <c:ser>
          <c:idx val="1"/>
          <c:order val="1"/>
          <c:tx>
            <c:v>1 anno</c:v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D0-43DD-8DE0-A9E405604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Radar_Mosca!$X$5:$X$77</c:f>
              <c:numCache>
                <c:formatCode>General</c:formatCode>
                <c:ptCount val="73"/>
                <c:pt idx="0">
                  <c:v>0</c:v>
                </c:pt>
                <c:pt idx="1">
                  <c:v>0.26146722824297453</c:v>
                </c:pt>
                <c:pt idx="2">
                  <c:v>0.52094453300079102</c:v>
                </c:pt>
                <c:pt idx="3">
                  <c:v>0.77645713530756222</c:v>
                </c:pt>
                <c:pt idx="4">
                  <c:v>1.0260604299770062</c:v>
                </c:pt>
                <c:pt idx="5">
                  <c:v>1.2678547852220983</c:v>
                </c:pt>
                <c:pt idx="6">
                  <c:v>1.4999999999999998</c:v>
                </c:pt>
                <c:pt idx="7">
                  <c:v>1.7207293090531381</c:v>
                </c:pt>
                <c:pt idx="8">
                  <c:v>1.9283628290596178</c:v>
                </c:pt>
                <c:pt idx="9">
                  <c:v>2.1213203435596424</c:v>
                </c:pt>
                <c:pt idx="10">
                  <c:v>2.2981333293569342</c:v>
                </c:pt>
                <c:pt idx="11">
                  <c:v>2.4574561328669748</c:v>
                </c:pt>
                <c:pt idx="12">
                  <c:v>2.598076211353316</c:v>
                </c:pt>
                <c:pt idx="13">
                  <c:v>2.7189233611099497</c:v>
                </c:pt>
                <c:pt idx="14">
                  <c:v>2.8190778623577248</c:v>
                </c:pt>
                <c:pt idx="15">
                  <c:v>2.8977774788672046</c:v>
                </c:pt>
                <c:pt idx="16">
                  <c:v>2.9544232590366239</c:v>
                </c:pt>
                <c:pt idx="17">
                  <c:v>2.9885840942752369</c:v>
                </c:pt>
                <c:pt idx="18">
                  <c:v>3</c:v>
                </c:pt>
                <c:pt idx="19">
                  <c:v>2.9885840942752369</c:v>
                </c:pt>
                <c:pt idx="20">
                  <c:v>2.9544232590366239</c:v>
                </c:pt>
                <c:pt idx="21">
                  <c:v>2.897777478867205</c:v>
                </c:pt>
                <c:pt idx="22">
                  <c:v>2.8190778623577253</c:v>
                </c:pt>
                <c:pt idx="23">
                  <c:v>2.7189233611099501</c:v>
                </c:pt>
                <c:pt idx="24">
                  <c:v>2.598076211353316</c:v>
                </c:pt>
                <c:pt idx="25">
                  <c:v>2.4574561328669748</c:v>
                </c:pt>
                <c:pt idx="26">
                  <c:v>2.2981333293569342</c:v>
                </c:pt>
                <c:pt idx="27">
                  <c:v>2.1213203435596428</c:v>
                </c:pt>
                <c:pt idx="28">
                  <c:v>1.9283628290596184</c:v>
                </c:pt>
                <c:pt idx="29">
                  <c:v>1.7207293090531377</c:v>
                </c:pt>
                <c:pt idx="30">
                  <c:v>1.5000000000000009</c:v>
                </c:pt>
                <c:pt idx="31">
                  <c:v>1.2678547852220985</c:v>
                </c:pt>
                <c:pt idx="32">
                  <c:v>1.0260604299770066</c:v>
                </c:pt>
                <c:pt idx="33">
                  <c:v>0.77645713530756177</c:v>
                </c:pt>
                <c:pt idx="34">
                  <c:v>0.5209445330007908</c:v>
                </c:pt>
                <c:pt idx="35">
                  <c:v>0.26146722824297458</c:v>
                </c:pt>
                <c:pt idx="36">
                  <c:v>3.67544536472586E-16</c:v>
                </c:pt>
                <c:pt idx="37">
                  <c:v>-0.26146722824297386</c:v>
                </c:pt>
                <c:pt idx="38">
                  <c:v>-0.52094453300079002</c:v>
                </c:pt>
                <c:pt idx="39">
                  <c:v>-0.77645713530756111</c:v>
                </c:pt>
                <c:pt idx="40">
                  <c:v>-1.026060429977006</c:v>
                </c:pt>
                <c:pt idx="41">
                  <c:v>-1.2678547852220967</c:v>
                </c:pt>
                <c:pt idx="42">
                  <c:v>-1.5000000000000004</c:v>
                </c:pt>
                <c:pt idx="43">
                  <c:v>-1.7207293090531375</c:v>
                </c:pt>
                <c:pt idx="44">
                  <c:v>-1.9283628290596169</c:v>
                </c:pt>
                <c:pt idx="45">
                  <c:v>-2.1213203435596424</c:v>
                </c:pt>
                <c:pt idx="46">
                  <c:v>-2.2981333293569337</c:v>
                </c:pt>
                <c:pt idx="47">
                  <c:v>-2.4574561328669766</c:v>
                </c:pt>
                <c:pt idx="48">
                  <c:v>-2.5980762113533151</c:v>
                </c:pt>
                <c:pt idx="49">
                  <c:v>-2.7189233611099493</c:v>
                </c:pt>
                <c:pt idx="50">
                  <c:v>-2.8190778623577253</c:v>
                </c:pt>
                <c:pt idx="51">
                  <c:v>-2.897777478867205</c:v>
                </c:pt>
                <c:pt idx="52">
                  <c:v>-2.9544232590366239</c:v>
                </c:pt>
                <c:pt idx="53">
                  <c:v>-2.9885840942752369</c:v>
                </c:pt>
                <c:pt idx="54">
                  <c:v>-3</c:v>
                </c:pt>
                <c:pt idx="55">
                  <c:v>-2.9885840942752369</c:v>
                </c:pt>
                <c:pt idx="56">
                  <c:v>-2.9544232590366244</c:v>
                </c:pt>
                <c:pt idx="57">
                  <c:v>-2.897777478867205</c:v>
                </c:pt>
                <c:pt idx="58">
                  <c:v>-2.8190778623577248</c:v>
                </c:pt>
                <c:pt idx="59">
                  <c:v>-2.718923361109951</c:v>
                </c:pt>
                <c:pt idx="60">
                  <c:v>-2.5980762113533169</c:v>
                </c:pt>
                <c:pt idx="61">
                  <c:v>-2.4574561328669753</c:v>
                </c:pt>
                <c:pt idx="62">
                  <c:v>-2.2981333293569346</c:v>
                </c:pt>
                <c:pt idx="63">
                  <c:v>-2.1213203435596428</c:v>
                </c:pt>
                <c:pt idx="64">
                  <c:v>-1.9283628290596186</c:v>
                </c:pt>
                <c:pt idx="65">
                  <c:v>-1.7207293090531395</c:v>
                </c:pt>
                <c:pt idx="66">
                  <c:v>-1.4999999999999991</c:v>
                </c:pt>
                <c:pt idx="67">
                  <c:v>-1.2678547852221</c:v>
                </c:pt>
                <c:pt idx="68">
                  <c:v>-1.0260604299770058</c:v>
                </c:pt>
                <c:pt idx="69">
                  <c:v>-0.776457135307562</c:v>
                </c:pt>
                <c:pt idx="70">
                  <c:v>-0.52094453300079113</c:v>
                </c:pt>
                <c:pt idx="71">
                  <c:v>-0.26146722824297497</c:v>
                </c:pt>
                <c:pt idx="72">
                  <c:v>-7.3508907294517201E-16</c:v>
                </c:pt>
              </c:numCache>
            </c:numRef>
          </c:xVal>
          <c:yVal>
            <c:numRef>
              <c:f>Radar_Mosca!$Y$5:$Y$77</c:f>
              <c:numCache>
                <c:formatCode>General</c:formatCode>
                <c:ptCount val="73"/>
                <c:pt idx="0">
                  <c:v>3</c:v>
                </c:pt>
                <c:pt idx="1">
                  <c:v>2.9885840942752369</c:v>
                </c:pt>
                <c:pt idx="2">
                  <c:v>2.9544232590366239</c:v>
                </c:pt>
                <c:pt idx="3">
                  <c:v>2.897777478867205</c:v>
                </c:pt>
                <c:pt idx="4">
                  <c:v>2.8190778623577253</c:v>
                </c:pt>
                <c:pt idx="5">
                  <c:v>2.7189233611099497</c:v>
                </c:pt>
                <c:pt idx="6">
                  <c:v>2.598076211353316</c:v>
                </c:pt>
                <c:pt idx="7">
                  <c:v>2.4574561328669753</c:v>
                </c:pt>
                <c:pt idx="8">
                  <c:v>2.2981333293569342</c:v>
                </c:pt>
                <c:pt idx="9">
                  <c:v>2.1213203435596428</c:v>
                </c:pt>
                <c:pt idx="10">
                  <c:v>1.9283628290596182</c:v>
                </c:pt>
                <c:pt idx="11">
                  <c:v>1.7207293090531386</c:v>
                </c:pt>
                <c:pt idx="12">
                  <c:v>1.5000000000000004</c:v>
                </c:pt>
                <c:pt idx="13">
                  <c:v>1.2678547852220983</c:v>
                </c:pt>
                <c:pt idx="14">
                  <c:v>1.0260604299770064</c:v>
                </c:pt>
                <c:pt idx="15">
                  <c:v>0.77645713530756288</c:v>
                </c:pt>
                <c:pt idx="16">
                  <c:v>0.52094453300079124</c:v>
                </c:pt>
                <c:pt idx="17">
                  <c:v>0.26146722824297441</c:v>
                </c:pt>
                <c:pt idx="18">
                  <c:v>1.83772268236293E-16</c:v>
                </c:pt>
                <c:pt idx="19">
                  <c:v>-0.26146722824297403</c:v>
                </c:pt>
                <c:pt idx="20">
                  <c:v>-0.52094453300079091</c:v>
                </c:pt>
                <c:pt idx="21">
                  <c:v>-0.77645713530756255</c:v>
                </c:pt>
                <c:pt idx="22">
                  <c:v>-1.0260604299770055</c:v>
                </c:pt>
                <c:pt idx="23">
                  <c:v>-1.267854785222098</c:v>
                </c:pt>
                <c:pt idx="24">
                  <c:v>-1.4999999999999993</c:v>
                </c:pt>
                <c:pt idx="25">
                  <c:v>-1.7207293090531386</c:v>
                </c:pt>
                <c:pt idx="26">
                  <c:v>-1.9283628290596182</c:v>
                </c:pt>
                <c:pt idx="27">
                  <c:v>-2.1213203435596424</c:v>
                </c:pt>
                <c:pt idx="28">
                  <c:v>-2.2981333293569337</c:v>
                </c:pt>
                <c:pt idx="29">
                  <c:v>-2.4574561328669757</c:v>
                </c:pt>
                <c:pt idx="30">
                  <c:v>-2.5980762113533156</c:v>
                </c:pt>
                <c:pt idx="31">
                  <c:v>-2.7189233611099497</c:v>
                </c:pt>
                <c:pt idx="32">
                  <c:v>-2.8190778623577248</c:v>
                </c:pt>
                <c:pt idx="33">
                  <c:v>-2.897777478867205</c:v>
                </c:pt>
                <c:pt idx="34">
                  <c:v>-2.9544232590366239</c:v>
                </c:pt>
                <c:pt idx="35">
                  <c:v>-2.9885840942752369</c:v>
                </c:pt>
                <c:pt idx="36">
                  <c:v>-3</c:v>
                </c:pt>
                <c:pt idx="37">
                  <c:v>-2.9885840942752369</c:v>
                </c:pt>
                <c:pt idx="38">
                  <c:v>-2.9544232590366244</c:v>
                </c:pt>
                <c:pt idx="39">
                  <c:v>-2.897777478867205</c:v>
                </c:pt>
                <c:pt idx="40">
                  <c:v>-2.8190778623577253</c:v>
                </c:pt>
                <c:pt idx="41">
                  <c:v>-2.718923361109951</c:v>
                </c:pt>
                <c:pt idx="42">
                  <c:v>-2.598076211353316</c:v>
                </c:pt>
                <c:pt idx="43">
                  <c:v>-2.4574561328669762</c:v>
                </c:pt>
                <c:pt idx="44">
                  <c:v>-2.298133329356935</c:v>
                </c:pt>
                <c:pt idx="45">
                  <c:v>-2.1213203435596428</c:v>
                </c:pt>
                <c:pt idx="46">
                  <c:v>-1.9283628290596184</c:v>
                </c:pt>
                <c:pt idx="47">
                  <c:v>-1.7207293090531373</c:v>
                </c:pt>
                <c:pt idx="48">
                  <c:v>-1.5000000000000013</c:v>
                </c:pt>
                <c:pt idx="49">
                  <c:v>-1.2678547852220998</c:v>
                </c:pt>
                <c:pt idx="50">
                  <c:v>-1.0260604299770058</c:v>
                </c:pt>
                <c:pt idx="51">
                  <c:v>-0.77645713530756189</c:v>
                </c:pt>
                <c:pt idx="52">
                  <c:v>-0.52094453300079102</c:v>
                </c:pt>
                <c:pt idx="53">
                  <c:v>-0.26146722824297475</c:v>
                </c:pt>
                <c:pt idx="54">
                  <c:v>-5.51316804708879E-16</c:v>
                </c:pt>
                <c:pt idx="55">
                  <c:v>0.26146722824297364</c:v>
                </c:pt>
                <c:pt idx="56">
                  <c:v>0.52094453300078991</c:v>
                </c:pt>
                <c:pt idx="57">
                  <c:v>0.77645713530756089</c:v>
                </c:pt>
                <c:pt idx="58">
                  <c:v>1.0260604299770071</c:v>
                </c:pt>
                <c:pt idx="59">
                  <c:v>1.2678547852220965</c:v>
                </c:pt>
                <c:pt idx="60">
                  <c:v>1.499999999999998</c:v>
                </c:pt>
                <c:pt idx="61">
                  <c:v>1.7207293090531381</c:v>
                </c:pt>
                <c:pt idx="62">
                  <c:v>1.9283628290596178</c:v>
                </c:pt>
                <c:pt idx="63">
                  <c:v>2.1213203435596419</c:v>
                </c:pt>
                <c:pt idx="64">
                  <c:v>2.2981333293569333</c:v>
                </c:pt>
                <c:pt idx="65">
                  <c:v>2.4574561328669748</c:v>
                </c:pt>
                <c:pt idx="66">
                  <c:v>2.5980762113533165</c:v>
                </c:pt>
                <c:pt idx="67">
                  <c:v>2.7189233611099493</c:v>
                </c:pt>
                <c:pt idx="68">
                  <c:v>2.8190778623577253</c:v>
                </c:pt>
                <c:pt idx="69">
                  <c:v>2.897777478867205</c:v>
                </c:pt>
                <c:pt idx="70">
                  <c:v>2.9544232590366239</c:v>
                </c:pt>
                <c:pt idx="71">
                  <c:v>2.9885840942752369</c:v>
                </c:pt>
                <c:pt idx="7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D0-43DD-8DE0-A9E405604AD1}"/>
            </c:ext>
          </c:extLst>
        </c:ser>
        <c:ser>
          <c:idx val="2"/>
          <c:order val="2"/>
          <c:tx>
            <c:v>2 anni</c:v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D0-43DD-8DE0-A9E405604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Radar_Mosca!$Z$5:$Z$77</c:f>
              <c:numCache>
                <c:formatCode>General</c:formatCode>
                <c:ptCount val="73"/>
                <c:pt idx="0">
                  <c:v>0</c:v>
                </c:pt>
                <c:pt idx="1">
                  <c:v>0.34862297099063266</c:v>
                </c:pt>
                <c:pt idx="2">
                  <c:v>0.69459271066772132</c:v>
                </c:pt>
                <c:pt idx="3">
                  <c:v>1.035276180410083</c:v>
                </c:pt>
                <c:pt idx="4">
                  <c:v>1.3680805733026749</c:v>
                </c:pt>
                <c:pt idx="5">
                  <c:v>1.6904730469627978</c:v>
                </c:pt>
                <c:pt idx="6">
                  <c:v>1.9999999999999998</c:v>
                </c:pt>
                <c:pt idx="7">
                  <c:v>2.2943057454041842</c:v>
                </c:pt>
                <c:pt idx="8">
                  <c:v>2.571150438746157</c:v>
                </c:pt>
                <c:pt idx="9">
                  <c:v>2.8284271247461898</c:v>
                </c:pt>
                <c:pt idx="10">
                  <c:v>3.0641777724759121</c:v>
                </c:pt>
                <c:pt idx="11">
                  <c:v>3.2766081771559668</c:v>
                </c:pt>
                <c:pt idx="12">
                  <c:v>3.4641016151377544</c:v>
                </c:pt>
                <c:pt idx="13">
                  <c:v>3.6252311481465997</c:v>
                </c:pt>
                <c:pt idx="14">
                  <c:v>3.7587704831436333</c:v>
                </c:pt>
                <c:pt idx="15">
                  <c:v>3.8637033051562728</c:v>
                </c:pt>
                <c:pt idx="16">
                  <c:v>3.9392310120488321</c:v>
                </c:pt>
                <c:pt idx="17">
                  <c:v>3.9847787923669822</c:v>
                </c:pt>
                <c:pt idx="18">
                  <c:v>4</c:v>
                </c:pt>
                <c:pt idx="19">
                  <c:v>3.9847787923669822</c:v>
                </c:pt>
                <c:pt idx="20">
                  <c:v>3.9392310120488321</c:v>
                </c:pt>
                <c:pt idx="21">
                  <c:v>3.8637033051562732</c:v>
                </c:pt>
                <c:pt idx="22">
                  <c:v>3.7587704831436337</c:v>
                </c:pt>
                <c:pt idx="23">
                  <c:v>3.6252311481466002</c:v>
                </c:pt>
                <c:pt idx="24">
                  <c:v>3.4641016151377548</c:v>
                </c:pt>
                <c:pt idx="25">
                  <c:v>3.2766081771559668</c:v>
                </c:pt>
                <c:pt idx="26">
                  <c:v>3.0641777724759121</c:v>
                </c:pt>
                <c:pt idx="27">
                  <c:v>2.8284271247461903</c:v>
                </c:pt>
                <c:pt idx="28">
                  <c:v>2.5711504387461579</c:v>
                </c:pt>
                <c:pt idx="29">
                  <c:v>2.2943057454041837</c:v>
                </c:pt>
                <c:pt idx="30">
                  <c:v>2.0000000000000013</c:v>
                </c:pt>
                <c:pt idx="31">
                  <c:v>1.690473046962798</c:v>
                </c:pt>
                <c:pt idx="32">
                  <c:v>1.3680805733026755</c:v>
                </c:pt>
                <c:pt idx="33">
                  <c:v>1.0352761804100823</c:v>
                </c:pt>
                <c:pt idx="34">
                  <c:v>0.6945927106677211</c:v>
                </c:pt>
                <c:pt idx="35">
                  <c:v>0.34862297099063277</c:v>
                </c:pt>
                <c:pt idx="36">
                  <c:v>4.90059381963448E-16</c:v>
                </c:pt>
                <c:pt idx="37">
                  <c:v>-0.34862297099063178</c:v>
                </c:pt>
                <c:pt idx="38">
                  <c:v>-0.6945927106677201</c:v>
                </c:pt>
                <c:pt idx="39">
                  <c:v>-1.0352761804100814</c:v>
                </c:pt>
                <c:pt idx="40">
                  <c:v>-1.3680805733026746</c:v>
                </c:pt>
                <c:pt idx="41">
                  <c:v>-1.6904730469627955</c:v>
                </c:pt>
                <c:pt idx="42">
                  <c:v>-2.0000000000000004</c:v>
                </c:pt>
                <c:pt idx="43">
                  <c:v>-2.2943057454041833</c:v>
                </c:pt>
                <c:pt idx="44">
                  <c:v>-2.5711504387461557</c:v>
                </c:pt>
                <c:pt idx="45">
                  <c:v>-2.8284271247461898</c:v>
                </c:pt>
                <c:pt idx="46">
                  <c:v>-3.0641777724759116</c:v>
                </c:pt>
                <c:pt idx="47">
                  <c:v>-3.2766081771559685</c:v>
                </c:pt>
                <c:pt idx="48">
                  <c:v>-3.4641016151377535</c:v>
                </c:pt>
                <c:pt idx="49">
                  <c:v>-3.6252311481465989</c:v>
                </c:pt>
                <c:pt idx="50">
                  <c:v>-3.7587704831436337</c:v>
                </c:pt>
                <c:pt idx="51">
                  <c:v>-3.8637033051562732</c:v>
                </c:pt>
                <c:pt idx="52">
                  <c:v>-3.9392310120488321</c:v>
                </c:pt>
                <c:pt idx="53">
                  <c:v>-3.9847787923669822</c:v>
                </c:pt>
                <c:pt idx="54">
                  <c:v>-4</c:v>
                </c:pt>
                <c:pt idx="55">
                  <c:v>-3.9847787923669822</c:v>
                </c:pt>
                <c:pt idx="56">
                  <c:v>-3.9392310120488325</c:v>
                </c:pt>
                <c:pt idx="57">
                  <c:v>-3.8637033051562737</c:v>
                </c:pt>
                <c:pt idx="58">
                  <c:v>-3.7587704831436333</c:v>
                </c:pt>
                <c:pt idx="59">
                  <c:v>-3.6252311481466011</c:v>
                </c:pt>
                <c:pt idx="60">
                  <c:v>-3.4641016151377562</c:v>
                </c:pt>
                <c:pt idx="61">
                  <c:v>-3.2766081771559672</c:v>
                </c:pt>
                <c:pt idx="62">
                  <c:v>-3.0641777724759125</c:v>
                </c:pt>
                <c:pt idx="63">
                  <c:v>-2.8284271247461907</c:v>
                </c:pt>
                <c:pt idx="64">
                  <c:v>-2.5711504387461583</c:v>
                </c:pt>
                <c:pt idx="65">
                  <c:v>-2.294305745404186</c:v>
                </c:pt>
                <c:pt idx="66">
                  <c:v>-1.9999999999999987</c:v>
                </c:pt>
                <c:pt idx="67">
                  <c:v>-1.6904730469628</c:v>
                </c:pt>
                <c:pt idx="68">
                  <c:v>-1.3680805733026744</c:v>
                </c:pt>
                <c:pt idx="69">
                  <c:v>-1.0352761804100827</c:v>
                </c:pt>
                <c:pt idx="70">
                  <c:v>-0.69459271066772155</c:v>
                </c:pt>
                <c:pt idx="71">
                  <c:v>-0.34862297099063327</c:v>
                </c:pt>
                <c:pt idx="72">
                  <c:v>-9.8011876392689601E-16</c:v>
                </c:pt>
              </c:numCache>
            </c:numRef>
          </c:xVal>
          <c:yVal>
            <c:numRef>
              <c:f>Radar_Mosca!$AA$5:$AA$77</c:f>
              <c:numCache>
                <c:formatCode>General</c:formatCode>
                <c:ptCount val="73"/>
                <c:pt idx="0">
                  <c:v>4</c:v>
                </c:pt>
                <c:pt idx="1">
                  <c:v>3.9847787923669822</c:v>
                </c:pt>
                <c:pt idx="2">
                  <c:v>3.9392310120488321</c:v>
                </c:pt>
                <c:pt idx="3">
                  <c:v>3.8637033051562732</c:v>
                </c:pt>
                <c:pt idx="4">
                  <c:v>3.7587704831436337</c:v>
                </c:pt>
                <c:pt idx="5">
                  <c:v>3.6252311481465997</c:v>
                </c:pt>
                <c:pt idx="6">
                  <c:v>3.4641016151377548</c:v>
                </c:pt>
                <c:pt idx="7">
                  <c:v>3.2766081771559672</c:v>
                </c:pt>
                <c:pt idx="8">
                  <c:v>3.0641777724759121</c:v>
                </c:pt>
                <c:pt idx="9">
                  <c:v>2.8284271247461903</c:v>
                </c:pt>
                <c:pt idx="10">
                  <c:v>2.5711504387461575</c:v>
                </c:pt>
                <c:pt idx="11">
                  <c:v>2.2943057454041846</c:v>
                </c:pt>
                <c:pt idx="12">
                  <c:v>2.0000000000000004</c:v>
                </c:pt>
                <c:pt idx="13">
                  <c:v>1.6904730469627978</c:v>
                </c:pt>
                <c:pt idx="14">
                  <c:v>1.3680805733026753</c:v>
                </c:pt>
                <c:pt idx="15">
                  <c:v>1.0352761804100838</c:v>
                </c:pt>
                <c:pt idx="16">
                  <c:v>0.69459271066772166</c:v>
                </c:pt>
                <c:pt idx="17">
                  <c:v>0.34862297099063255</c:v>
                </c:pt>
                <c:pt idx="18">
                  <c:v>2.45029690981724E-16</c:v>
                </c:pt>
                <c:pt idx="19">
                  <c:v>-0.34862297099063205</c:v>
                </c:pt>
                <c:pt idx="20">
                  <c:v>-0.69459271066772121</c:v>
                </c:pt>
                <c:pt idx="21">
                  <c:v>-1.0352761804100834</c:v>
                </c:pt>
                <c:pt idx="22">
                  <c:v>-1.368080573302674</c:v>
                </c:pt>
                <c:pt idx="23">
                  <c:v>-1.6904730469627973</c:v>
                </c:pt>
                <c:pt idx="24">
                  <c:v>-1.9999999999999991</c:v>
                </c:pt>
                <c:pt idx="25">
                  <c:v>-2.2943057454041846</c:v>
                </c:pt>
                <c:pt idx="26">
                  <c:v>-2.5711504387461575</c:v>
                </c:pt>
                <c:pt idx="27">
                  <c:v>-2.8284271247461898</c:v>
                </c:pt>
                <c:pt idx="28">
                  <c:v>-3.0641777724759116</c:v>
                </c:pt>
                <c:pt idx="29">
                  <c:v>-3.2766081771559676</c:v>
                </c:pt>
                <c:pt idx="30">
                  <c:v>-3.4641016151377539</c:v>
                </c:pt>
                <c:pt idx="31">
                  <c:v>-3.6252311481465997</c:v>
                </c:pt>
                <c:pt idx="32">
                  <c:v>-3.7587704831436333</c:v>
                </c:pt>
                <c:pt idx="33">
                  <c:v>-3.8637033051562732</c:v>
                </c:pt>
                <c:pt idx="34">
                  <c:v>-3.9392310120488321</c:v>
                </c:pt>
                <c:pt idx="35">
                  <c:v>-3.9847787923669822</c:v>
                </c:pt>
                <c:pt idx="36">
                  <c:v>-4</c:v>
                </c:pt>
                <c:pt idx="37">
                  <c:v>-3.9847787923669822</c:v>
                </c:pt>
                <c:pt idx="38">
                  <c:v>-3.9392310120488325</c:v>
                </c:pt>
                <c:pt idx="39">
                  <c:v>-3.8637033051562737</c:v>
                </c:pt>
                <c:pt idx="40">
                  <c:v>-3.7587704831436337</c:v>
                </c:pt>
                <c:pt idx="41">
                  <c:v>-3.6252311481466011</c:v>
                </c:pt>
                <c:pt idx="42">
                  <c:v>-3.4641016151377544</c:v>
                </c:pt>
                <c:pt idx="43">
                  <c:v>-3.2766081771559681</c:v>
                </c:pt>
                <c:pt idx="44">
                  <c:v>-3.0641777724759134</c:v>
                </c:pt>
                <c:pt idx="45">
                  <c:v>-2.8284271247461907</c:v>
                </c:pt>
                <c:pt idx="46">
                  <c:v>-2.5711504387461579</c:v>
                </c:pt>
                <c:pt idx="47">
                  <c:v>-2.2943057454041829</c:v>
                </c:pt>
                <c:pt idx="48">
                  <c:v>-2.0000000000000018</c:v>
                </c:pt>
                <c:pt idx="49">
                  <c:v>-1.6904730469627998</c:v>
                </c:pt>
                <c:pt idx="50">
                  <c:v>-1.3680805733026742</c:v>
                </c:pt>
                <c:pt idx="51">
                  <c:v>-1.0352761804100825</c:v>
                </c:pt>
                <c:pt idx="52">
                  <c:v>-0.69459271066772132</c:v>
                </c:pt>
                <c:pt idx="53">
                  <c:v>-0.348622970990633</c:v>
                </c:pt>
                <c:pt idx="54">
                  <c:v>-7.3508907294517201E-16</c:v>
                </c:pt>
                <c:pt idx="55">
                  <c:v>0.34862297099063155</c:v>
                </c:pt>
                <c:pt idx="56">
                  <c:v>0.69459271066771988</c:v>
                </c:pt>
                <c:pt idx="57">
                  <c:v>1.0352761804100812</c:v>
                </c:pt>
                <c:pt idx="58">
                  <c:v>1.368080573302676</c:v>
                </c:pt>
                <c:pt idx="59">
                  <c:v>1.6904730469627953</c:v>
                </c:pt>
                <c:pt idx="60">
                  <c:v>1.9999999999999973</c:v>
                </c:pt>
                <c:pt idx="61">
                  <c:v>2.2943057454041842</c:v>
                </c:pt>
                <c:pt idx="62">
                  <c:v>2.571150438746157</c:v>
                </c:pt>
                <c:pt idx="63">
                  <c:v>2.8284271247461894</c:v>
                </c:pt>
                <c:pt idx="64">
                  <c:v>3.0641777724759112</c:v>
                </c:pt>
                <c:pt idx="65">
                  <c:v>3.2766081771559663</c:v>
                </c:pt>
                <c:pt idx="66">
                  <c:v>3.4641016151377553</c:v>
                </c:pt>
                <c:pt idx="67">
                  <c:v>3.6252311481465989</c:v>
                </c:pt>
                <c:pt idx="68">
                  <c:v>3.7587704831436337</c:v>
                </c:pt>
                <c:pt idx="69">
                  <c:v>3.8637033051562732</c:v>
                </c:pt>
                <c:pt idx="70">
                  <c:v>3.9392310120488321</c:v>
                </c:pt>
                <c:pt idx="71">
                  <c:v>3.9847787923669822</c:v>
                </c:pt>
                <c:pt idx="7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D0-43DD-8DE0-A9E405604AD1}"/>
            </c:ext>
          </c:extLst>
        </c:ser>
        <c:ser>
          <c:idx val="3"/>
          <c:order val="3"/>
          <c:tx>
            <c:v>3 anni</c:v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dLbls>
            <c:dLbl>
              <c:idx val="2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D0-43DD-8DE0-A9E405604A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Radar_Mosca!$AB$5:$AB$77</c:f>
              <c:numCache>
                <c:formatCode>General</c:formatCode>
                <c:ptCount val="73"/>
                <c:pt idx="0">
                  <c:v>0</c:v>
                </c:pt>
                <c:pt idx="1">
                  <c:v>0.4357787137382908</c:v>
                </c:pt>
                <c:pt idx="2">
                  <c:v>0.86824088833465163</c:v>
                </c:pt>
                <c:pt idx="3">
                  <c:v>1.2940952255126037</c:v>
                </c:pt>
                <c:pt idx="4">
                  <c:v>1.7101007166283435</c:v>
                </c:pt>
                <c:pt idx="5">
                  <c:v>2.1130913087034973</c:v>
                </c:pt>
                <c:pt idx="6">
                  <c:v>2.4999999999999996</c:v>
                </c:pt>
                <c:pt idx="7">
                  <c:v>2.8678821817552302</c:v>
                </c:pt>
                <c:pt idx="8">
                  <c:v>3.2139380484326963</c:v>
                </c:pt>
                <c:pt idx="9">
                  <c:v>3.5355339059327373</c:v>
                </c:pt>
                <c:pt idx="10">
                  <c:v>3.83022221559489</c:v>
                </c:pt>
                <c:pt idx="11">
                  <c:v>4.0957602214449587</c:v>
                </c:pt>
                <c:pt idx="12">
                  <c:v>4.3301270189221928</c:v>
                </c:pt>
                <c:pt idx="13">
                  <c:v>4.5315389351832494</c:v>
                </c:pt>
                <c:pt idx="14">
                  <c:v>4.6984631039295417</c:v>
                </c:pt>
                <c:pt idx="15">
                  <c:v>4.8296291314453406</c:v>
                </c:pt>
                <c:pt idx="16">
                  <c:v>4.9240387650610398</c:v>
                </c:pt>
                <c:pt idx="17">
                  <c:v>4.9809734904587275</c:v>
                </c:pt>
                <c:pt idx="18">
                  <c:v>5</c:v>
                </c:pt>
                <c:pt idx="19">
                  <c:v>4.9809734904587275</c:v>
                </c:pt>
                <c:pt idx="20">
                  <c:v>4.9240387650610398</c:v>
                </c:pt>
                <c:pt idx="21">
                  <c:v>4.8296291314453415</c:v>
                </c:pt>
                <c:pt idx="22">
                  <c:v>4.6984631039295426</c:v>
                </c:pt>
                <c:pt idx="23">
                  <c:v>4.5315389351832502</c:v>
                </c:pt>
                <c:pt idx="24">
                  <c:v>4.3301270189221936</c:v>
                </c:pt>
                <c:pt idx="25">
                  <c:v>4.0957602214449587</c:v>
                </c:pt>
                <c:pt idx="26">
                  <c:v>3.83022221559489</c:v>
                </c:pt>
                <c:pt idx="27">
                  <c:v>3.5355339059327378</c:v>
                </c:pt>
                <c:pt idx="28">
                  <c:v>3.2139380484326976</c:v>
                </c:pt>
                <c:pt idx="29">
                  <c:v>2.8678821817552298</c:v>
                </c:pt>
                <c:pt idx="30">
                  <c:v>2.5000000000000018</c:v>
                </c:pt>
                <c:pt idx="31">
                  <c:v>2.1130913087034973</c:v>
                </c:pt>
                <c:pt idx="32">
                  <c:v>1.7101007166283444</c:v>
                </c:pt>
                <c:pt idx="33">
                  <c:v>1.2940952255126028</c:v>
                </c:pt>
                <c:pt idx="34">
                  <c:v>0.86824088833465141</c:v>
                </c:pt>
                <c:pt idx="35">
                  <c:v>0.43577871373829097</c:v>
                </c:pt>
                <c:pt idx="36">
                  <c:v>6.1257422745431001E-16</c:v>
                </c:pt>
                <c:pt idx="37">
                  <c:v>-0.43577871373828969</c:v>
                </c:pt>
                <c:pt idx="38">
                  <c:v>-0.86824088833465018</c:v>
                </c:pt>
                <c:pt idx="39">
                  <c:v>-1.2940952255126017</c:v>
                </c:pt>
                <c:pt idx="40">
                  <c:v>-1.7101007166283433</c:v>
                </c:pt>
                <c:pt idx="41">
                  <c:v>-2.1130913087034946</c:v>
                </c:pt>
                <c:pt idx="42">
                  <c:v>-2.5000000000000004</c:v>
                </c:pt>
                <c:pt idx="43">
                  <c:v>-2.8678821817552294</c:v>
                </c:pt>
                <c:pt idx="44">
                  <c:v>-3.2139380484326945</c:v>
                </c:pt>
                <c:pt idx="45">
                  <c:v>-3.5355339059327373</c:v>
                </c:pt>
                <c:pt idx="46">
                  <c:v>-3.8302222155948895</c:v>
                </c:pt>
                <c:pt idx="47">
                  <c:v>-4.0957602214449604</c:v>
                </c:pt>
                <c:pt idx="48">
                  <c:v>-4.3301270189221919</c:v>
                </c:pt>
                <c:pt idx="49">
                  <c:v>-4.5315389351832485</c:v>
                </c:pt>
                <c:pt idx="50">
                  <c:v>-4.6984631039295426</c:v>
                </c:pt>
                <c:pt idx="51">
                  <c:v>-4.8296291314453415</c:v>
                </c:pt>
                <c:pt idx="52">
                  <c:v>-4.9240387650610398</c:v>
                </c:pt>
                <c:pt idx="53">
                  <c:v>-4.9809734904587275</c:v>
                </c:pt>
                <c:pt idx="54">
                  <c:v>-5</c:v>
                </c:pt>
                <c:pt idx="55">
                  <c:v>-4.9809734904587275</c:v>
                </c:pt>
                <c:pt idx="56">
                  <c:v>-4.9240387650610407</c:v>
                </c:pt>
                <c:pt idx="57">
                  <c:v>-4.8296291314453423</c:v>
                </c:pt>
                <c:pt idx="58">
                  <c:v>-4.6984631039295417</c:v>
                </c:pt>
                <c:pt idx="59">
                  <c:v>-4.5315389351832511</c:v>
                </c:pt>
                <c:pt idx="60">
                  <c:v>-4.3301270189221954</c:v>
                </c:pt>
                <c:pt idx="61">
                  <c:v>-4.0957602214449587</c:v>
                </c:pt>
                <c:pt idx="62">
                  <c:v>-3.8302222155948904</c:v>
                </c:pt>
                <c:pt idx="63">
                  <c:v>-3.5355339059327386</c:v>
                </c:pt>
                <c:pt idx="64">
                  <c:v>-3.213938048432698</c:v>
                </c:pt>
                <c:pt idx="65">
                  <c:v>-2.8678821817552325</c:v>
                </c:pt>
                <c:pt idx="66">
                  <c:v>-2.4999999999999982</c:v>
                </c:pt>
                <c:pt idx="67">
                  <c:v>-2.1130913087034999</c:v>
                </c:pt>
                <c:pt idx="68">
                  <c:v>-1.7101007166283431</c:v>
                </c:pt>
                <c:pt idx="69">
                  <c:v>-1.2940952255126035</c:v>
                </c:pt>
                <c:pt idx="70">
                  <c:v>-0.86824088833465196</c:v>
                </c:pt>
                <c:pt idx="71">
                  <c:v>-0.43577871373829158</c:v>
                </c:pt>
                <c:pt idx="72">
                  <c:v>-1.22514845490862E-15</c:v>
                </c:pt>
              </c:numCache>
            </c:numRef>
          </c:xVal>
          <c:yVal>
            <c:numRef>
              <c:f>Radar_Mosca!$AC$5:$AC$77</c:f>
              <c:numCache>
                <c:formatCode>General</c:formatCode>
                <c:ptCount val="73"/>
                <c:pt idx="0">
                  <c:v>5</c:v>
                </c:pt>
                <c:pt idx="1">
                  <c:v>4.9809734904587275</c:v>
                </c:pt>
                <c:pt idx="2">
                  <c:v>4.9240387650610398</c:v>
                </c:pt>
                <c:pt idx="3">
                  <c:v>4.8296291314453415</c:v>
                </c:pt>
                <c:pt idx="4">
                  <c:v>4.6984631039295426</c:v>
                </c:pt>
                <c:pt idx="5">
                  <c:v>4.5315389351832494</c:v>
                </c:pt>
                <c:pt idx="6">
                  <c:v>4.3301270189221936</c:v>
                </c:pt>
                <c:pt idx="7">
                  <c:v>4.0957602214449587</c:v>
                </c:pt>
                <c:pt idx="8">
                  <c:v>3.83022221559489</c:v>
                </c:pt>
                <c:pt idx="9">
                  <c:v>3.5355339059327378</c:v>
                </c:pt>
                <c:pt idx="10">
                  <c:v>3.2139380484326967</c:v>
                </c:pt>
                <c:pt idx="11">
                  <c:v>2.8678821817552307</c:v>
                </c:pt>
                <c:pt idx="12">
                  <c:v>2.5000000000000004</c:v>
                </c:pt>
                <c:pt idx="13">
                  <c:v>2.1130913087034973</c:v>
                </c:pt>
                <c:pt idx="14">
                  <c:v>1.7101007166283442</c:v>
                </c:pt>
                <c:pt idx="15">
                  <c:v>1.2940952255126048</c:v>
                </c:pt>
                <c:pt idx="16">
                  <c:v>0.86824088833465207</c:v>
                </c:pt>
                <c:pt idx="17">
                  <c:v>0.43577871373829069</c:v>
                </c:pt>
                <c:pt idx="18">
                  <c:v>3.06287113727155E-16</c:v>
                </c:pt>
                <c:pt idx="19">
                  <c:v>-0.43577871373829008</c:v>
                </c:pt>
                <c:pt idx="20">
                  <c:v>-0.86824088833465152</c:v>
                </c:pt>
                <c:pt idx="21">
                  <c:v>-1.2940952255126041</c:v>
                </c:pt>
                <c:pt idx="22">
                  <c:v>-1.7101007166283424</c:v>
                </c:pt>
                <c:pt idx="23">
                  <c:v>-2.1130913087034968</c:v>
                </c:pt>
                <c:pt idx="24">
                  <c:v>-2.4999999999999991</c:v>
                </c:pt>
                <c:pt idx="25">
                  <c:v>-2.8678821817552307</c:v>
                </c:pt>
                <c:pt idx="26">
                  <c:v>-3.2139380484326967</c:v>
                </c:pt>
                <c:pt idx="27">
                  <c:v>-3.5355339059327373</c:v>
                </c:pt>
                <c:pt idx="28">
                  <c:v>-3.8302222155948895</c:v>
                </c:pt>
                <c:pt idx="29">
                  <c:v>-4.0957602214449595</c:v>
                </c:pt>
                <c:pt idx="30">
                  <c:v>-4.3301270189221928</c:v>
                </c:pt>
                <c:pt idx="31">
                  <c:v>-4.5315389351832494</c:v>
                </c:pt>
                <c:pt idx="32">
                  <c:v>-4.6984631039295417</c:v>
                </c:pt>
                <c:pt idx="33">
                  <c:v>-4.8296291314453415</c:v>
                </c:pt>
                <c:pt idx="34">
                  <c:v>-4.9240387650610398</c:v>
                </c:pt>
                <c:pt idx="35">
                  <c:v>-4.9809734904587275</c:v>
                </c:pt>
                <c:pt idx="36">
                  <c:v>-5</c:v>
                </c:pt>
                <c:pt idx="37">
                  <c:v>-4.9809734904587275</c:v>
                </c:pt>
                <c:pt idx="38">
                  <c:v>-4.9240387650610407</c:v>
                </c:pt>
                <c:pt idx="39">
                  <c:v>-4.8296291314453423</c:v>
                </c:pt>
                <c:pt idx="40">
                  <c:v>-4.6984631039295426</c:v>
                </c:pt>
                <c:pt idx="41">
                  <c:v>-4.5315389351832511</c:v>
                </c:pt>
                <c:pt idx="42">
                  <c:v>-4.3301270189221928</c:v>
                </c:pt>
                <c:pt idx="43">
                  <c:v>-4.0957602214449604</c:v>
                </c:pt>
                <c:pt idx="44">
                  <c:v>-3.8302222155948917</c:v>
                </c:pt>
                <c:pt idx="45">
                  <c:v>-3.5355339059327386</c:v>
                </c:pt>
                <c:pt idx="46">
                  <c:v>-3.2139380484326976</c:v>
                </c:pt>
                <c:pt idx="47">
                  <c:v>-2.8678821817552285</c:v>
                </c:pt>
                <c:pt idx="48">
                  <c:v>-2.5000000000000022</c:v>
                </c:pt>
                <c:pt idx="49">
                  <c:v>-2.1130913087034999</c:v>
                </c:pt>
                <c:pt idx="50">
                  <c:v>-1.7101007166283426</c:v>
                </c:pt>
                <c:pt idx="51">
                  <c:v>-1.2940952255126033</c:v>
                </c:pt>
                <c:pt idx="52">
                  <c:v>-0.86824088833465163</c:v>
                </c:pt>
                <c:pt idx="53">
                  <c:v>-0.43577871373829125</c:v>
                </c:pt>
                <c:pt idx="54">
                  <c:v>-9.1886134118146501E-16</c:v>
                </c:pt>
                <c:pt idx="55">
                  <c:v>0.43577871373828947</c:v>
                </c:pt>
                <c:pt idx="56">
                  <c:v>0.86824088833464985</c:v>
                </c:pt>
                <c:pt idx="57">
                  <c:v>1.2940952255126015</c:v>
                </c:pt>
                <c:pt idx="58">
                  <c:v>1.7101007166283448</c:v>
                </c:pt>
                <c:pt idx="59">
                  <c:v>2.1130913087034942</c:v>
                </c:pt>
                <c:pt idx="60">
                  <c:v>2.4999999999999964</c:v>
                </c:pt>
                <c:pt idx="61">
                  <c:v>2.8678821817552302</c:v>
                </c:pt>
                <c:pt idx="62">
                  <c:v>3.2139380484326963</c:v>
                </c:pt>
                <c:pt idx="63">
                  <c:v>3.5355339059327369</c:v>
                </c:pt>
                <c:pt idx="64">
                  <c:v>3.8302222155948891</c:v>
                </c:pt>
                <c:pt idx="65">
                  <c:v>4.0957602214449578</c:v>
                </c:pt>
                <c:pt idx="66">
                  <c:v>4.3301270189221945</c:v>
                </c:pt>
                <c:pt idx="67">
                  <c:v>4.5315389351832485</c:v>
                </c:pt>
                <c:pt idx="68">
                  <c:v>4.6984631039295426</c:v>
                </c:pt>
                <c:pt idx="69">
                  <c:v>4.8296291314453415</c:v>
                </c:pt>
                <c:pt idx="70">
                  <c:v>4.9240387650610398</c:v>
                </c:pt>
                <c:pt idx="71">
                  <c:v>4.9809734904587275</c:v>
                </c:pt>
                <c:pt idx="7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D0-43DD-8DE0-A9E405604AD1}"/>
            </c:ext>
          </c:extLst>
        </c:ser>
        <c:ser>
          <c:idx val="4"/>
          <c:order val="4"/>
          <c:tx>
            <c:v>Settore 1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Radar_Mosca!$AE$5:$AE$6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Radar_Mosca!$AF$5:$AF$6</c:f>
              <c:numCache>
                <c:formatCode>General</c:formatCode>
                <c:ptCount val="2"/>
                <c:pt idx="0">
                  <c:v>0</c:v>
                </c:pt>
                <c:pt idx="1">
                  <c:v>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4D0-43DD-8DE0-A9E405604AD1}"/>
            </c:ext>
          </c:extLst>
        </c:ser>
        <c:ser>
          <c:idx val="5"/>
          <c:order val="5"/>
          <c:tx>
            <c:v>Settore 2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Radar_Mosca!$AE$7:$AE$8</c:f>
              <c:numCache>
                <c:formatCode>General</c:formatCode>
                <c:ptCount val="2"/>
                <c:pt idx="0">
                  <c:v>0</c:v>
                </c:pt>
                <c:pt idx="1">
                  <c:v>4.9255383395485879</c:v>
                </c:pt>
              </c:numCache>
            </c:numRef>
          </c:xVal>
          <c:yVal>
            <c:numRef>
              <c:f>Radar_Mosca!$AF$7:$AF$8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D0-43DD-8DE0-A9E405604AD1}"/>
            </c:ext>
          </c:extLst>
        </c:ser>
        <c:ser>
          <c:idx val="6"/>
          <c:order val="6"/>
          <c:tx>
            <c:v>Settore 3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Radar_Mosca!$AE$9:$AE$10</c:f>
              <c:numCache>
                <c:formatCode>General</c:formatCode>
                <c:ptCount val="2"/>
                <c:pt idx="0">
                  <c:v>0</c:v>
                </c:pt>
                <c:pt idx="1">
                  <c:v>6.1420458467454884</c:v>
                </c:pt>
              </c:numCache>
            </c:numRef>
          </c:xVal>
          <c:yVal>
            <c:numRef>
              <c:f>Radar_Mosca!$AF$9:$AF$10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D0-43DD-8DE0-A9E405604AD1}"/>
            </c:ext>
          </c:extLst>
        </c:ser>
        <c:ser>
          <c:idx val="7"/>
          <c:order val="7"/>
          <c:tx>
            <c:v>Settore 4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Radar_Mosca!$AE$11:$AE$12</c:f>
              <c:numCache>
                <c:formatCode>General</c:formatCode>
                <c:ptCount val="2"/>
                <c:pt idx="0">
                  <c:v>0</c:v>
                </c:pt>
                <c:pt idx="1">
                  <c:v>2.7334675564406168</c:v>
                </c:pt>
              </c:numCache>
            </c:numRef>
          </c:xVal>
          <c:yVal>
            <c:numRef>
              <c:f>Radar_Mosca!$AF$11:$AF$12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D0-43DD-8DE0-A9E405604AD1}"/>
            </c:ext>
          </c:extLst>
        </c:ser>
        <c:ser>
          <c:idx val="8"/>
          <c:order val="8"/>
          <c:tx>
            <c:v>Settore 5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Radar_Mosca!$AE$13:$AE$14</c:f>
              <c:numCache>
                <c:formatCode>General</c:formatCode>
                <c:ptCount val="2"/>
                <c:pt idx="0">
                  <c:v>0</c:v>
                </c:pt>
                <c:pt idx="1">
                  <c:v>-2.7334675564406155</c:v>
                </c:pt>
              </c:numCache>
            </c:numRef>
          </c:xVal>
          <c:yVal>
            <c:numRef>
              <c:f>Radar_Mosca!$AF$13:$AF$14</c:f>
              <c:numCache>
                <c:formatCode>General</c:formatCode>
                <c:ptCount val="2"/>
                <c:pt idx="0">
                  <c:v>0</c:v>
                </c:pt>
                <c:pt idx="1">
                  <c:v>-5.6761038677852405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4D0-43DD-8DE0-A9E405604AD1}"/>
            </c:ext>
          </c:extLst>
        </c:ser>
        <c:ser>
          <c:idx val="9"/>
          <c:order val="9"/>
          <c:tx>
            <c:v>Settore 6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Radar_Mosca!$AE$15:$AE$16</c:f>
              <c:numCache>
                <c:formatCode>General</c:formatCode>
                <c:ptCount val="2"/>
                <c:pt idx="0">
                  <c:v>0</c:v>
                </c:pt>
                <c:pt idx="1">
                  <c:v>-6.1420458467454884</c:v>
                </c:pt>
              </c:numCache>
            </c:numRef>
          </c:xVal>
          <c:yVal>
            <c:numRef>
              <c:f>Radar_Mosca!$AF$15:$AF$16</c:f>
              <c:numCache>
                <c:formatCode>General</c:formatCode>
                <c:ptCount val="2"/>
                <c:pt idx="0">
                  <c:v>0</c:v>
                </c:pt>
                <c:pt idx="1">
                  <c:v>-1.401881883924782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D0-43DD-8DE0-A9E405604AD1}"/>
            </c:ext>
          </c:extLst>
        </c:ser>
        <c:ser>
          <c:idx val="10"/>
          <c:order val="10"/>
          <c:tx>
            <c:v>Settore 7</c:v>
          </c:tx>
          <c:spPr>
            <a:ln w="9525"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Radar_Mosca!$AE$17:$AE$18</c:f>
              <c:numCache>
                <c:formatCode>General</c:formatCode>
                <c:ptCount val="2"/>
                <c:pt idx="0">
                  <c:v>0</c:v>
                </c:pt>
                <c:pt idx="1">
                  <c:v>-4.9255383395485879</c:v>
                </c:pt>
              </c:numCache>
            </c:numRef>
          </c:xVal>
          <c:yVal>
            <c:numRef>
              <c:f>Radar_Mosca!$AF$17:$AF$18</c:f>
              <c:numCache>
                <c:formatCode>General</c:formatCode>
                <c:ptCount val="2"/>
                <c:pt idx="0">
                  <c:v>0</c:v>
                </c:pt>
                <c:pt idx="1">
                  <c:v>3.9279857517100201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4D0-43DD-8DE0-A9E405604AD1}"/>
            </c:ext>
          </c:extLst>
        </c:ser>
        <c:ser>
          <c:idx val="11"/>
          <c:order val="11"/>
          <c:tx>
            <c:strRef>
              <c:f>Radar_Mosca!$AH$5</c:f>
              <c:strCache>
                <c:ptCount val="1"/>
                <c:pt idx="0">
                  <c:v>L1-01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Radar_Mosca!$AI$5</c:f>
              <c:numCache>
                <c:formatCode>General</c:formatCode>
                <c:ptCount val="1"/>
                <c:pt idx="0">
                  <c:v>2.9287152390435174</c:v>
                </c:pt>
              </c:numCache>
            </c:numRef>
          </c:xVal>
          <c:yVal>
            <c:numRef>
              <c:f>Radar_Mosca!$AJ$5</c:f>
              <c:numCache>
                <c:formatCode>General</c:formatCode>
                <c:ptCount val="1"/>
                <c:pt idx="0">
                  <c:v>6.0815398583413289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4D0-43DD-8DE0-A9E405604AD1}"/>
            </c:ext>
          </c:extLst>
        </c:ser>
        <c:ser>
          <c:idx val="12"/>
          <c:order val="12"/>
          <c:tx>
            <c:strRef>
              <c:f>Radar_Mosca!$AH$6</c:f>
              <c:strCache>
                <c:ptCount val="1"/>
                <c:pt idx="0">
                  <c:v>L1-02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Radar_Mosca!$AI$6</c:f>
              <c:numCache>
                <c:formatCode>General</c:formatCode>
                <c:ptCount val="1"/>
                <c:pt idx="0">
                  <c:v>6.5807634072273098</c:v>
                </c:pt>
              </c:numCache>
            </c:numRef>
          </c:xVal>
          <c:yVal>
            <c:numRef>
              <c:f>Radar_Mosca!$AJ$6</c:f>
              <c:numCache>
                <c:formatCode>General</c:formatCode>
                <c:ptCount val="1"/>
                <c:pt idx="0">
                  <c:v>1.5020163042051224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D0-43DD-8DE0-A9E405604AD1}"/>
            </c:ext>
          </c:extLst>
        </c:ser>
        <c:ser>
          <c:idx val="13"/>
          <c:order val="13"/>
          <c:tx>
            <c:strRef>
              <c:f>Radar_Mosca!$AH$7</c:f>
              <c:strCache>
                <c:ptCount val="1"/>
                <c:pt idx="0">
                  <c:v>L1-03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Radar_Mosca!$AI$7</c:f>
              <c:numCache>
                <c:formatCode>General</c:formatCode>
                <c:ptCount val="1"/>
                <c:pt idx="0">
                  <c:v>5.2773625066592018</c:v>
                </c:pt>
              </c:numCache>
            </c:numRef>
          </c:xVal>
          <c:yVal>
            <c:numRef>
              <c:f>Radar_Mosca!$AJ$7</c:f>
              <c:numCache>
                <c:formatCode>General</c:formatCode>
                <c:ptCount val="1"/>
                <c:pt idx="0">
                  <c:v>-4.2085561625464507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4D0-43DD-8DE0-A9E405604AD1}"/>
            </c:ext>
          </c:extLst>
        </c:ser>
        <c:ser>
          <c:idx val="14"/>
          <c:order val="14"/>
          <c:tx>
            <c:strRef>
              <c:f>Radar_Mosca!$AH$8</c:f>
              <c:strCache>
                <c:ptCount val="1"/>
                <c:pt idx="0">
                  <c:v>L1-04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Radar_Mosca!$AI$8</c:f>
              <c:numCache>
                <c:formatCode>General</c:formatCode>
                <c:ptCount val="1"/>
                <c:pt idx="0">
                  <c:v>8.2697520706331851E-16</c:v>
                </c:pt>
              </c:numCache>
            </c:numRef>
          </c:xVal>
          <c:yVal>
            <c:numRef>
              <c:f>Radar_Mosca!$AJ$8</c:f>
              <c:numCache>
                <c:formatCode>General</c:formatCode>
                <c:ptCount val="1"/>
                <c:pt idx="0">
                  <c:v>-6.75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4D0-43DD-8DE0-A9E405604AD1}"/>
            </c:ext>
          </c:extLst>
        </c:ser>
        <c:ser>
          <c:idx val="15"/>
          <c:order val="15"/>
          <c:tx>
            <c:strRef>
              <c:f>Radar_Mosca!$AH$9</c:f>
              <c:strCache>
                <c:ptCount val="1"/>
                <c:pt idx="0">
                  <c:v>L1-05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Radar_Mosca!$AI$9</c:f>
              <c:numCache>
                <c:formatCode>General</c:formatCode>
                <c:ptCount val="1"/>
                <c:pt idx="0">
                  <c:v>-5.2773625066592</c:v>
                </c:pt>
              </c:numCache>
            </c:numRef>
          </c:xVal>
          <c:yVal>
            <c:numRef>
              <c:f>Radar_Mosca!$AJ$9</c:f>
              <c:numCache>
                <c:formatCode>General</c:formatCode>
                <c:ptCount val="1"/>
                <c:pt idx="0">
                  <c:v>-4.2085561625464525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D0-43DD-8DE0-A9E405604AD1}"/>
            </c:ext>
          </c:extLst>
        </c:ser>
        <c:ser>
          <c:idx val="16"/>
          <c:order val="16"/>
          <c:tx>
            <c:strRef>
              <c:f>Radar_Mosca!$AH$10</c:f>
              <c:strCache>
                <c:ptCount val="1"/>
                <c:pt idx="0">
                  <c:v>L1-06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Radar_Mosca!$AI$10</c:f>
              <c:numCache>
                <c:formatCode>General</c:formatCode>
                <c:ptCount val="1"/>
                <c:pt idx="0">
                  <c:v>-6.5807634072273107</c:v>
                </c:pt>
              </c:numCache>
            </c:numRef>
          </c:xVal>
          <c:yVal>
            <c:numRef>
              <c:f>Radar_Mosca!$AJ$10</c:f>
              <c:numCache>
                <c:formatCode>General</c:formatCode>
                <c:ptCount val="1"/>
                <c:pt idx="0">
                  <c:v>1.5020163042051151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4D0-43DD-8DE0-A9E405604AD1}"/>
            </c:ext>
          </c:extLst>
        </c:ser>
        <c:ser>
          <c:idx val="17"/>
          <c:order val="17"/>
          <c:tx>
            <c:strRef>
              <c:f>Radar_Mosca!$AH$11</c:f>
              <c:strCache>
                <c:ptCount val="1"/>
                <c:pt idx="0">
                  <c:v>L1-07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Radar_Mosca!$AI$11</c:f>
              <c:numCache>
                <c:formatCode>General</c:formatCode>
                <c:ptCount val="1"/>
                <c:pt idx="0">
                  <c:v>-2.9287152390435134</c:v>
                </c:pt>
              </c:numCache>
            </c:numRef>
          </c:xVal>
          <c:yVal>
            <c:numRef>
              <c:f>Radar_Mosca!$AJ$11</c:f>
              <c:numCache>
                <c:formatCode>General</c:formatCode>
                <c:ptCount val="1"/>
                <c:pt idx="0">
                  <c:v>6.0815398583413307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4D0-43DD-8DE0-A9E405604AD1}"/>
            </c:ext>
          </c:extLst>
        </c:ser>
        <c:ser>
          <c:idx val="18"/>
          <c:order val="18"/>
          <c:tx>
            <c:v>P x I = 1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Radar_Mosca!$AL$5:$AL$19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D0-43DD-8DE0-A9E405604AD1}"/>
            </c:ext>
          </c:extLst>
        </c:ser>
        <c:ser>
          <c:idx val="19"/>
          <c:order val="19"/>
          <c:tx>
            <c:v>P x I = 2</c:v>
          </c:tx>
          <c:spPr>
            <a:ln>
              <a:noFill/>
              <a:prstDash val="solid"/>
            </a:ln>
          </c:spPr>
          <c:marker>
            <c:symbol val="circle"/>
            <c:size val="14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Radar_Mosca!$AM$5:$AM$19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4D0-43DD-8DE0-A9E405604AD1}"/>
            </c:ext>
          </c:extLst>
        </c:ser>
        <c:ser>
          <c:idx val="20"/>
          <c:order val="20"/>
          <c:tx>
            <c:v>P x I = 3</c:v>
          </c:tx>
          <c:spPr>
            <a:ln>
              <a:noFill/>
              <a:prstDash val="solid"/>
            </a:ln>
          </c:spPr>
          <c:marker>
            <c:symbol val="circle"/>
            <c:size val="17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Radar_Mosca!$AN$5:$AN$19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4D0-43DD-8DE0-A9E405604AD1}"/>
            </c:ext>
          </c:extLst>
        </c:ser>
        <c:ser>
          <c:idx val="21"/>
          <c:order val="21"/>
          <c:tx>
            <c:v>P x I = 4</c:v>
          </c:tx>
          <c:spPr>
            <a:ln>
              <a:noFill/>
              <a:prstDash val="solid"/>
            </a:ln>
          </c:spPr>
          <c:marker>
            <c:symbol val="circle"/>
            <c:size val="20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Radar_Mosca!$AO$5:$AO$19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64D0-43DD-8DE0-A9E405604AD1}"/>
            </c:ext>
          </c:extLst>
        </c:ser>
        <c:ser>
          <c:idx val="22"/>
          <c:order val="22"/>
          <c:tx>
            <c:v>P x I = 5</c:v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Radar_Mosca!$AP$5:$AP$19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64D0-43DD-8DE0-A9E405604AD1}"/>
            </c:ext>
          </c:extLst>
        </c:ser>
        <c:ser>
          <c:idx val="23"/>
          <c:order val="23"/>
          <c:tx>
            <c:v>P x I = 6</c:v>
          </c:tx>
          <c:spPr>
            <a:ln>
              <a:noFill/>
              <a:prstDash val="solid"/>
            </a:ln>
          </c:spPr>
          <c:marker>
            <c:symbol val="circle"/>
            <c:size val="24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Radar_Mosca!$AQ$5:$AQ$19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-1.9111456115722811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2.3454944474040893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64D0-43DD-8DE0-A9E405604AD1}"/>
            </c:ext>
          </c:extLst>
        </c:ser>
        <c:ser>
          <c:idx val="24"/>
          <c:order val="24"/>
          <c:tx>
            <c:v>P x I = 8</c:v>
          </c:tx>
          <c:spPr>
            <a:ln>
              <a:noFill/>
              <a:prstDash val="solid"/>
            </a:ln>
          </c:spPr>
          <c:marker>
            <c:symbol val="circle"/>
            <c:size val="28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Radar_Mosca!$AR$5:$AR$19</c:f>
              <c:numCache>
                <c:formatCode>General</c:formatCode>
                <c:ptCount val="15"/>
                <c:pt idx="0">
                  <c:v>#N/A</c:v>
                </c:pt>
                <c:pt idx="1">
                  <c:v>-0.16814271056945562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-3.25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64D0-43DD-8DE0-A9E405604AD1}"/>
            </c:ext>
          </c:extLst>
        </c:ser>
        <c:ser>
          <c:idx val="25"/>
          <c:order val="25"/>
          <c:tx>
            <c:v>P x I = 9</c:v>
          </c:tx>
          <c:spPr>
            <a:ln>
              <a:noFill/>
              <a:prstDash val="solid"/>
            </a:ln>
          </c:spPr>
          <c:marker>
            <c:symbol val="circle"/>
            <c:size val="30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Radar_Mosca!$AS$5:$AS$19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-1.7145969551115177</c:v>
                </c:pt>
                <c:pt idx="4">
                  <c:v>2.3454944474040893</c:v>
                </c:pt>
                <c:pt idx="5">
                  <c:v>2.6810517585000149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-2.8667184173584221</c:v>
                </c:pt>
                <c:pt idx="10">
                  <c:v>1.1250000000000002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64D0-43DD-8DE0-A9E405604AD1}"/>
            </c:ext>
          </c:extLst>
        </c:ser>
        <c:ser>
          <c:idx val="26"/>
          <c:order val="26"/>
          <c:tx>
            <c:v>P x I = 10</c:v>
          </c:tx>
          <c:spPr>
            <a:ln>
              <a:noFill/>
              <a:prstDash val="solid"/>
            </a:ln>
          </c:spPr>
          <c:marker>
            <c:symbol val="circle"/>
            <c:size val="32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Radar_Mosca!$AT$5:$AT$19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64D0-43DD-8DE0-A9E405604AD1}"/>
            </c:ext>
          </c:extLst>
        </c:ser>
        <c:ser>
          <c:idx val="27"/>
          <c:order val="27"/>
          <c:tx>
            <c:v>P x I = 12</c:v>
          </c:tx>
          <c:spPr>
            <a:ln>
              <a:noFill/>
              <a:prstDash val="solid"/>
            </a:ln>
          </c:spPr>
          <c:marker>
            <c:symbol val="circle"/>
            <c:size val="35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Radar_Mosca!$AU$5:$AU$19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0.61193256837986165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1.949855824363647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64D0-43DD-8DE0-A9E405604AD1}"/>
            </c:ext>
          </c:extLst>
        </c:ser>
        <c:ser>
          <c:idx val="28"/>
          <c:order val="28"/>
          <c:tx>
            <c:v>P x I = 15</c:v>
          </c:tx>
          <c:spPr>
            <a:ln>
              <a:noFill/>
              <a:prstDash val="solid"/>
            </a:ln>
          </c:spPr>
          <c:marker>
            <c:symbol val="circle"/>
            <c:size val="39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Radar_Mosca!$AV$5:$AV$19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64D0-43DD-8DE0-A9E405604AD1}"/>
            </c:ext>
          </c:extLst>
        </c:ser>
        <c:ser>
          <c:idx val="29"/>
          <c:order val="29"/>
          <c:tx>
            <c:v>P x I = 16</c:v>
          </c:tx>
          <c:spPr>
            <a:ln>
              <a:noFill/>
              <a:prstDash val="solid"/>
            </a:ln>
          </c:spPr>
          <c:marker>
            <c:symbol val="circle"/>
            <c:size val="40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Radar_Mosca!$AW$5:$AW$19</c:f>
              <c:numCache>
                <c:formatCode>General</c:formatCode>
                <c:ptCount val="15"/>
                <c:pt idx="0">
                  <c:v>0.38941163442355031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64D0-43DD-8DE0-A9E405604AD1}"/>
            </c:ext>
          </c:extLst>
        </c:ser>
        <c:ser>
          <c:idx val="30"/>
          <c:order val="30"/>
          <c:tx>
            <c:v>P x I = 20</c:v>
          </c:tx>
          <c:spPr>
            <a:ln>
              <a:noFill/>
              <a:prstDash val="solid"/>
            </a:ln>
          </c:spPr>
          <c:marker>
            <c:symbol val="circle"/>
            <c:size val="45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Radar_Mosca!$AX$5:$AX$19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64D0-43DD-8DE0-A9E405604AD1}"/>
            </c:ext>
          </c:extLst>
        </c:ser>
        <c:ser>
          <c:idx val="31"/>
          <c:order val="31"/>
          <c:tx>
            <c:v>P x I = 25</c:v>
          </c:tx>
          <c:spPr>
            <a:ln>
              <a:noFill/>
              <a:prstDash val="solid"/>
            </a:ln>
          </c:spPr>
          <c:marker>
            <c:symbol val="circle"/>
            <c:size val="50"/>
            <c:spPr>
              <a:solidFill>
                <a:srgbClr val="9DC3E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Radar_Mosca!$R$5:$R$19</c:f>
              <c:numCache>
                <c:formatCode>0.00</c:formatCode>
                <c:ptCount val="15"/>
                <c:pt idx="0">
                  <c:v>1.7061238463181914</c:v>
                </c:pt>
                <c:pt idx="1">
                  <c:v>-2.2437085436576552</c:v>
                </c:pt>
                <c:pt idx="2">
                  <c:v>0.58951034882180919</c:v>
                </c:pt>
                <c:pt idx="3">
                  <c:v>-2.1500365767870817</c:v>
                </c:pt>
                <c:pt idx="4">
                  <c:v>-1.870469405576201</c:v>
                </c:pt>
                <c:pt idx="5">
                  <c:v>0.61193256837986454</c:v>
                </c:pt>
                <c:pt idx="6">
                  <c:v>-2.6810517585000158</c:v>
                </c:pt>
                <c:pt idx="7">
                  <c:v>1.8704694055762006</c:v>
                </c:pt>
                <c:pt idx="8">
                  <c:v>3.981732478453015E-16</c:v>
                </c:pt>
                <c:pt idx="9">
                  <c:v>-0.88426552323271312</c:v>
                </c:pt>
                <c:pt idx="10">
                  <c:v>-1.9485571585149868</c:v>
                </c:pt>
                <c:pt idx="11">
                  <c:v>-0.44504186791262929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Radar_Mosca!$AY$5:$AY$19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64D0-43DD-8DE0-A9E405604AD1}"/>
            </c:ext>
          </c:extLst>
        </c:ser>
        <c:ser>
          <c:idx val="32"/>
          <c:order val="32"/>
          <c:tx>
            <c:strRef>
              <c:f>Radar_Mosca!$A$5</c:f>
              <c:strCache>
                <c:ptCount val="1"/>
                <c:pt idx="0">
                  <c:v>NFR-01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Radar_Mosca!$R$5</c:f>
              <c:numCache>
                <c:formatCode>0.00</c:formatCode>
                <c:ptCount val="1"/>
                <c:pt idx="0">
                  <c:v>1.7061238463181914</c:v>
                </c:pt>
              </c:numCache>
            </c:numRef>
          </c:xVal>
          <c:yVal>
            <c:numRef>
              <c:f>Radar_Mosca!$S$5</c:f>
              <c:numCache>
                <c:formatCode>0.00</c:formatCode>
                <c:ptCount val="1"/>
                <c:pt idx="0">
                  <c:v>0.38941163442355031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64D0-43DD-8DE0-A9E405604AD1}"/>
            </c:ext>
          </c:extLst>
        </c:ser>
        <c:ser>
          <c:idx val="33"/>
          <c:order val="33"/>
          <c:tx>
            <c:strRef>
              <c:f>Radar_Mosca!$A$6</c:f>
              <c:strCache>
                <c:ptCount val="1"/>
                <c:pt idx="0">
                  <c:v>NFR-02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Radar_Mosca!$R$6</c:f>
              <c:numCache>
                <c:formatCode>0.00</c:formatCode>
                <c:ptCount val="1"/>
                <c:pt idx="0">
                  <c:v>-2.2437085436576552</c:v>
                </c:pt>
              </c:numCache>
            </c:numRef>
          </c:xVal>
          <c:yVal>
            <c:numRef>
              <c:f>Radar_Mosca!$S$6</c:f>
              <c:numCache>
                <c:formatCode>0.00</c:formatCode>
                <c:ptCount val="1"/>
                <c:pt idx="0">
                  <c:v>-0.16814271056945562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64D0-43DD-8DE0-A9E405604AD1}"/>
            </c:ext>
          </c:extLst>
        </c:ser>
        <c:ser>
          <c:idx val="34"/>
          <c:order val="34"/>
          <c:tx>
            <c:strRef>
              <c:f>Radar_Mosca!$A$7</c:f>
              <c:strCache>
                <c:ptCount val="1"/>
                <c:pt idx="0">
                  <c:v>NFR-03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Radar_Mosca!$R$7</c:f>
              <c:numCache>
                <c:formatCode>0.00</c:formatCode>
                <c:ptCount val="1"/>
                <c:pt idx="0">
                  <c:v>0.58951034882180919</c:v>
                </c:pt>
              </c:numCache>
            </c:numRef>
          </c:xVal>
          <c:yVal>
            <c:numRef>
              <c:f>Radar_Mosca!$S$7</c:f>
              <c:numCache>
                <c:formatCode>0.00</c:formatCode>
                <c:ptCount val="1"/>
                <c:pt idx="0">
                  <c:v>-1.9111456115722811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64D0-43DD-8DE0-A9E405604AD1}"/>
            </c:ext>
          </c:extLst>
        </c:ser>
        <c:ser>
          <c:idx val="35"/>
          <c:order val="35"/>
          <c:tx>
            <c:strRef>
              <c:f>Radar_Mosca!$A$8</c:f>
              <c:strCache>
                <c:ptCount val="1"/>
                <c:pt idx="0">
                  <c:v>NFR-04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Radar_Mosca!$R$8</c:f>
              <c:numCache>
                <c:formatCode>0.00</c:formatCode>
                <c:ptCount val="1"/>
                <c:pt idx="0">
                  <c:v>-2.1500365767870817</c:v>
                </c:pt>
              </c:numCache>
            </c:numRef>
          </c:xVal>
          <c:yVal>
            <c:numRef>
              <c:f>Radar_Mosca!$S$8</c:f>
              <c:numCache>
                <c:formatCode>0.00</c:formatCode>
                <c:ptCount val="1"/>
                <c:pt idx="0">
                  <c:v>-1.7145969551115177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64D0-43DD-8DE0-A9E405604AD1}"/>
            </c:ext>
          </c:extLst>
        </c:ser>
        <c:ser>
          <c:idx val="36"/>
          <c:order val="36"/>
          <c:tx>
            <c:strRef>
              <c:f>Radar_Mosca!$A$9</c:f>
              <c:strCache>
                <c:ptCount val="1"/>
                <c:pt idx="0">
                  <c:v>NFR-05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Radar_Mosca!$R$9</c:f>
              <c:numCache>
                <c:formatCode>0.00</c:formatCode>
                <c:ptCount val="1"/>
                <c:pt idx="0">
                  <c:v>-1.870469405576201</c:v>
                </c:pt>
              </c:numCache>
            </c:numRef>
          </c:xVal>
          <c:yVal>
            <c:numRef>
              <c:f>Radar_Mosca!$S$9</c:f>
              <c:numCache>
                <c:formatCode>0.00</c:formatCode>
                <c:ptCount val="1"/>
                <c:pt idx="0">
                  <c:v>2.3454944474040893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64D0-43DD-8DE0-A9E405604AD1}"/>
            </c:ext>
          </c:extLst>
        </c:ser>
        <c:ser>
          <c:idx val="37"/>
          <c:order val="37"/>
          <c:tx>
            <c:strRef>
              <c:f>Radar_Mosca!$A$10</c:f>
              <c:strCache>
                <c:ptCount val="1"/>
                <c:pt idx="0">
                  <c:v>NFR-06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Radar_Mosca!$R$10</c:f>
              <c:numCache>
                <c:formatCode>0.00</c:formatCode>
                <c:ptCount val="1"/>
                <c:pt idx="0">
                  <c:v>0.61193256837986454</c:v>
                </c:pt>
              </c:numCache>
            </c:numRef>
          </c:xVal>
          <c:yVal>
            <c:numRef>
              <c:f>Radar_Mosca!$S$10</c:f>
              <c:numCache>
                <c:formatCode>0.00</c:formatCode>
                <c:ptCount val="1"/>
                <c:pt idx="0">
                  <c:v>2.6810517585000149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64D0-43DD-8DE0-A9E405604AD1}"/>
            </c:ext>
          </c:extLst>
        </c:ser>
        <c:ser>
          <c:idx val="38"/>
          <c:order val="38"/>
          <c:tx>
            <c:strRef>
              <c:f>Radar_Mosca!$A$11</c:f>
              <c:strCache>
                <c:ptCount val="1"/>
                <c:pt idx="0">
                  <c:v>NFR-07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Radar_Mosca!$R$11</c:f>
              <c:numCache>
                <c:formatCode>0.00</c:formatCode>
                <c:ptCount val="1"/>
                <c:pt idx="0">
                  <c:v>-2.6810517585000158</c:v>
                </c:pt>
              </c:numCache>
            </c:numRef>
          </c:xVal>
          <c:yVal>
            <c:numRef>
              <c:f>Radar_Mosca!$S$11</c:f>
              <c:numCache>
                <c:formatCode>0.00</c:formatCode>
                <c:ptCount val="1"/>
                <c:pt idx="0">
                  <c:v>0.61193256837986165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64D0-43DD-8DE0-A9E405604AD1}"/>
            </c:ext>
          </c:extLst>
        </c:ser>
        <c:ser>
          <c:idx val="39"/>
          <c:order val="39"/>
          <c:tx>
            <c:strRef>
              <c:f>Radar_Mosca!$A$12</c:f>
              <c:strCache>
                <c:ptCount val="1"/>
                <c:pt idx="0">
                  <c:v>NFR-08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Radar_Mosca!$R$12</c:f>
              <c:numCache>
                <c:formatCode>0.00</c:formatCode>
                <c:ptCount val="1"/>
                <c:pt idx="0">
                  <c:v>1.8704694055762006</c:v>
                </c:pt>
              </c:numCache>
            </c:numRef>
          </c:xVal>
          <c:yVal>
            <c:numRef>
              <c:f>Radar_Mosca!$S$12</c:f>
              <c:numCache>
                <c:formatCode>0.00</c:formatCode>
                <c:ptCount val="1"/>
                <c:pt idx="0">
                  <c:v>2.3454944474040893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64D0-43DD-8DE0-A9E405604AD1}"/>
            </c:ext>
          </c:extLst>
        </c:ser>
        <c:ser>
          <c:idx val="40"/>
          <c:order val="40"/>
          <c:tx>
            <c:strRef>
              <c:f>Radar_Mosca!$A$13</c:f>
              <c:strCache>
                <c:ptCount val="1"/>
                <c:pt idx="0">
                  <c:v>NFR-09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Radar_Mosca!$R$13</c:f>
              <c:numCache>
                <c:formatCode>0.00</c:formatCode>
                <c:ptCount val="1"/>
                <c:pt idx="0">
                  <c:v>3.981732478453015E-16</c:v>
                </c:pt>
              </c:numCache>
            </c:numRef>
          </c:xVal>
          <c:yVal>
            <c:numRef>
              <c:f>Radar_Mosca!$S$13</c:f>
              <c:numCache>
                <c:formatCode>0.00</c:formatCode>
                <c:ptCount val="1"/>
                <c:pt idx="0">
                  <c:v>-3.25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64D0-43DD-8DE0-A9E405604AD1}"/>
            </c:ext>
          </c:extLst>
        </c:ser>
        <c:ser>
          <c:idx val="41"/>
          <c:order val="41"/>
          <c:tx>
            <c:strRef>
              <c:f>Radar_Mosca!$A$14</c:f>
              <c:strCache>
                <c:ptCount val="1"/>
                <c:pt idx="0">
                  <c:v>NFR-10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Radar_Mosca!$R$14</c:f>
              <c:numCache>
                <c:formatCode>0.00</c:formatCode>
                <c:ptCount val="1"/>
                <c:pt idx="0">
                  <c:v>-0.88426552323271312</c:v>
                </c:pt>
              </c:numCache>
            </c:numRef>
          </c:xVal>
          <c:yVal>
            <c:numRef>
              <c:f>Radar_Mosca!$S$14</c:f>
              <c:numCache>
                <c:formatCode>0.00</c:formatCode>
                <c:ptCount val="1"/>
                <c:pt idx="0">
                  <c:v>-2.8667184173584221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64D0-43DD-8DE0-A9E405604AD1}"/>
            </c:ext>
          </c:extLst>
        </c:ser>
        <c:ser>
          <c:idx val="42"/>
          <c:order val="42"/>
          <c:tx>
            <c:strRef>
              <c:f>Radar_Mosca!$A$15</c:f>
              <c:strCache>
                <c:ptCount val="1"/>
                <c:pt idx="0">
                  <c:v>NFR-11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Radar_Mosca!$R$15</c:f>
              <c:numCache>
                <c:formatCode>0.00</c:formatCode>
                <c:ptCount val="1"/>
                <c:pt idx="0">
                  <c:v>-1.9485571585149868</c:v>
                </c:pt>
              </c:numCache>
            </c:numRef>
          </c:xVal>
          <c:yVal>
            <c:numRef>
              <c:f>Radar_Mosca!$S$15</c:f>
              <c:numCache>
                <c:formatCode>0.00</c:formatCode>
                <c:ptCount val="1"/>
                <c:pt idx="0">
                  <c:v>1.1250000000000002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64D0-43DD-8DE0-A9E405604AD1}"/>
            </c:ext>
          </c:extLst>
        </c:ser>
        <c:ser>
          <c:idx val="43"/>
          <c:order val="43"/>
          <c:tx>
            <c:strRef>
              <c:f>Radar_Mosca!$A$16</c:f>
              <c:strCache>
                <c:ptCount val="1"/>
                <c:pt idx="0">
                  <c:v>NFR-12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Radar_Mosca!$R$16</c:f>
              <c:numCache>
                <c:formatCode>0.00</c:formatCode>
                <c:ptCount val="1"/>
                <c:pt idx="0">
                  <c:v>-0.44504186791262929</c:v>
                </c:pt>
              </c:numCache>
            </c:numRef>
          </c:xVal>
          <c:yVal>
            <c:numRef>
              <c:f>Radar_Mosca!$S$16</c:f>
              <c:numCache>
                <c:formatCode>0.00</c:formatCode>
                <c:ptCount val="1"/>
                <c:pt idx="0">
                  <c:v>1.949855824363647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64D0-43DD-8DE0-A9E405604AD1}"/>
            </c:ext>
          </c:extLst>
        </c:ser>
        <c:ser>
          <c:idx val="44"/>
          <c:order val="44"/>
          <c:tx>
            <c:strRef>
              <c:f>Radar_Mosca!$A$17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Radar_Mosca!$R$17</c:f>
              <c:numCache>
                <c:formatCode>0.00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Radar_Mosca!$S$17</c:f>
              <c:numCache>
                <c:formatCode>0.00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64D0-43DD-8DE0-A9E405604AD1}"/>
            </c:ext>
          </c:extLst>
        </c:ser>
        <c:ser>
          <c:idx val="45"/>
          <c:order val="45"/>
          <c:tx>
            <c:strRef>
              <c:f>Radar_Mosca!$A$18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Radar_Mosca!$R$18</c:f>
              <c:numCache>
                <c:formatCode>0.00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Radar_Mosca!$S$18</c:f>
              <c:numCache>
                <c:formatCode>0.00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64D0-43DD-8DE0-A9E405604AD1}"/>
            </c:ext>
          </c:extLst>
        </c:ser>
        <c:ser>
          <c:idx val="46"/>
          <c:order val="46"/>
          <c:tx>
            <c:strRef>
              <c:f>Radar_Mosca!$A$19</c:f>
              <c:strCache>
                <c:ptCount val="1"/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Radar_Mosca!$R$19</c:f>
              <c:numCache>
                <c:formatCode>0.00</c:formatCode>
                <c:ptCount val="1"/>
                <c:pt idx="0">
                  <c:v>#N/A</c:v>
                </c:pt>
              </c:numCache>
            </c:numRef>
          </c:xVal>
          <c:yVal>
            <c:numRef>
              <c:f>Radar_Mosca!$S$19</c:f>
              <c:numCache>
                <c:formatCode>0.00</c:formatCode>
                <c:ptCount val="1"/>
                <c:pt idx="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2-64D0-43DD-8DE0-A9E405604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.3"/>
          <c:min val="-7.3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7.3"/>
          <c:min val="-7.3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composito per rischio (scala fissa 0-5)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Trend!$B$4</c:f>
              <c:strCache>
                <c:ptCount val="1"/>
                <c:pt idx="0">
                  <c:v>Frodi su pagamenti istantanei abilitate da AI generativa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Trend!$C$4:$J$4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B-4472-BB75-168893840798}"/>
            </c:ext>
          </c:extLst>
        </c:ser>
        <c:ser>
          <c:idx val="1"/>
          <c:order val="1"/>
          <c:tx>
            <c:strRef>
              <c:f>Trend!$B$5</c:f>
              <c:strCache>
                <c:ptCount val="1"/>
                <c:pt idx="0">
                  <c:v>Concentrazione su un fornitore cloud critico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Trend!$C$5:$J$5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3B-4472-BB75-168893840798}"/>
            </c:ext>
          </c:extLst>
        </c:ser>
        <c:ser>
          <c:idx val="2"/>
          <c:order val="2"/>
          <c:tx>
            <c:strRef>
              <c:f>Trend!$B$6</c:f>
              <c:strCache>
                <c:ptCount val="1"/>
                <c:pt idx="0">
                  <c:v>Greenwashing nella commercializzazione di prodotti ESG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Trend!$C$6:$J$6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3B-4472-BB75-168893840798}"/>
            </c:ext>
          </c:extLst>
        </c:ser>
        <c:ser>
          <c:idx val="3"/>
          <c:order val="3"/>
          <c:tx>
            <c:strRef>
              <c:f>Trend!$B$7</c:f>
              <c:strCache>
                <c:ptCount val="1"/>
                <c:pt idx="0">
                  <c:v>Eventi climatici estremi su sedi e data center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Trend!$C$7:$J$7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3B-4472-BB75-168893840798}"/>
            </c:ext>
          </c:extLst>
        </c:ser>
        <c:ser>
          <c:idx val="4"/>
          <c:order val="4"/>
          <c:tx>
            <c:strRef>
              <c:f>Trend!$B$8</c:f>
              <c:strCache>
                <c:ptCount val="1"/>
                <c:pt idx="0">
                  <c:v>Errori di processo nella migrazione del core banking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Trend!$C$8:$J$8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3B-4472-BB75-168893840798}"/>
            </c:ext>
          </c:extLst>
        </c:ser>
        <c:ser>
          <c:idx val="5"/>
          <c:order val="5"/>
          <c:tx>
            <c:strRef>
              <c:f>Trend!$B$9</c:f>
              <c:strCache>
                <c:ptCount val="1"/>
                <c:pt idx="0">
                  <c:v>Esfiltrazione di dati tramite strumenti di AI non autorizzati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Trend!$C$9:$J$9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3B-4472-BB75-168893840798}"/>
            </c:ext>
          </c:extLst>
        </c:ser>
        <c:ser>
          <c:idx val="6"/>
          <c:order val="6"/>
          <c:tx>
            <c:strRef>
              <c:f>Trend!$B$10</c:f>
              <c:strCache>
                <c:ptCount val="1"/>
                <c:pt idx="0">
                  <c:v>Ransomware presso un fornitore di servizi di pagamento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Trend!$C$10:$J$10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3B-4472-BB75-168893840798}"/>
            </c:ext>
          </c:extLst>
        </c:ser>
        <c:ser>
          <c:idx val="7"/>
          <c:order val="7"/>
          <c:tx>
            <c:strRef>
              <c:f>Trend!$B$11</c:f>
              <c:strCache>
                <c:ptCount val="1"/>
                <c:pt idx="0">
                  <c:v>Accessi impropri di dipendenti ai dati dei clienti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Trend!$C$11:$J$11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3B-4472-BB75-168893840798}"/>
            </c:ext>
          </c:extLst>
        </c:ser>
        <c:ser>
          <c:idx val="8"/>
          <c:order val="8"/>
          <c:tx>
            <c:strRef>
              <c:f>Trend!$B$12</c:f>
              <c:strCache>
                <c:ptCount val="1"/>
                <c:pt idx="0">
                  <c:v>Violazione di sanzioni internazionali tramite triangolazioni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Trend!$C$12:$J$12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3B-4472-BB75-168893840798}"/>
            </c:ext>
          </c:extLst>
        </c:ser>
        <c:ser>
          <c:idx val="9"/>
          <c:order val="9"/>
          <c:tx>
            <c:strRef>
              <c:f>Trend!$B$13</c:f>
              <c:strCache>
                <c:ptCount val="1"/>
                <c:pt idx="0">
                  <c:v>Informazioni errate ai clienti da assistenti di AI generativa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Trend!$C$13:$J$13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3B-4472-BB75-168893840798}"/>
            </c:ext>
          </c:extLst>
        </c:ser>
        <c:ser>
          <c:idx val="10"/>
          <c:order val="10"/>
          <c:tx>
            <c:strRef>
              <c:f>Trend!$B$14</c:f>
              <c:strCache>
                <c:ptCount val="1"/>
                <c:pt idx="0">
                  <c:v>Fine del supporto dei sistemi di pagamento legacy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Trend!$C$14:$J$14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3B-4472-BB75-168893840798}"/>
            </c:ext>
          </c:extLst>
        </c:ser>
        <c:ser>
          <c:idx val="11"/>
          <c:order val="11"/>
          <c:tx>
            <c:strRef>
              <c:f>Trend!$B$15</c:f>
              <c:strCache>
                <c:ptCount val="1"/>
                <c:pt idx="0">
                  <c:v>Errori operativi nei pagamenti istantanei obbligatori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Trend!$C$15:$J$15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3B-4472-BB75-168893840798}"/>
            </c:ext>
          </c:extLst>
        </c:ser>
        <c:ser>
          <c:idx val="12"/>
          <c:order val="12"/>
          <c:tx>
            <c:strRef>
              <c:f>Trend!$B$16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Trend!$C$16:$J$16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3B-4472-BB75-168893840798}"/>
            </c:ext>
          </c:extLst>
        </c:ser>
        <c:ser>
          <c:idx val="13"/>
          <c:order val="13"/>
          <c:tx>
            <c:strRef>
              <c:f>Trend!$B$17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Trend!$C$17:$J$17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3B-4472-BB75-168893840798}"/>
            </c:ext>
          </c:extLst>
        </c:ser>
        <c:ser>
          <c:idx val="14"/>
          <c:order val="14"/>
          <c:tx>
            <c:strRef>
              <c:f>Trend!$B$18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Trend!$C$3:$J$3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Trend!$C$18:$J$18</c:f>
              <c:numCache>
                <c:formatCode>0.00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3B-4472-BB75-168893840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Δ score composito (scala fissa -1 / +1)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Delta!$I$3</c:f>
              <c:strCache>
                <c:ptCount val="1"/>
                <c:pt idx="0">
                  <c:v>Δ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Delta!$A$4:$A$18</c:f>
              <c:strCache>
                <c:ptCount val="12"/>
                <c:pt idx="0">
                  <c:v>NFR-01</c:v>
                </c:pt>
                <c:pt idx="1">
                  <c:v>NFR-02</c:v>
                </c:pt>
                <c:pt idx="2">
                  <c:v>NFR-03</c:v>
                </c:pt>
                <c:pt idx="3">
                  <c:v>NFR-04</c:v>
                </c:pt>
                <c:pt idx="4">
                  <c:v>NFR-05</c:v>
                </c:pt>
                <c:pt idx="5">
                  <c:v>NFR-06</c:v>
                </c:pt>
                <c:pt idx="6">
                  <c:v>NFR-07</c:v>
                </c:pt>
                <c:pt idx="7">
                  <c:v>NFR-08</c:v>
                </c:pt>
                <c:pt idx="8">
                  <c:v>NFR-09</c:v>
                </c:pt>
                <c:pt idx="9">
                  <c:v>NFR-10</c:v>
                </c:pt>
                <c:pt idx="10">
                  <c:v>NFR-11</c:v>
                </c:pt>
                <c:pt idx="11">
                  <c:v>NFR-12</c:v>
                </c:pt>
              </c:strCache>
            </c:strRef>
          </c:cat>
          <c:val>
            <c:numRef>
              <c:f>Delta!$I$4:$I$18</c:f>
              <c:numCache>
                <c:formatCode>\+0.00;\-0.00;0.00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7-4FB9-8AF2-0135A3CD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-1"/>
        </c:scaling>
        <c:delete val="0"/>
        <c:axPos val="b"/>
        <c:majorGridlines/>
        <c:numFmt formatCode="\+0.00;\-0.00;0.00" sourceLinked="1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Dimensioni del rischio sugli ultimi otto cicli (scala fissa 0-5)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Approfondimento!$B$8</c:f>
              <c:strCache>
                <c:ptCount val="1"/>
                <c:pt idx="0">
                  <c:v>Severity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Approfondimento!$A$9:$A$16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Approfondimento!$B$9:$B$16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D-45F0-8EE9-DF59EA60F775}"/>
            </c:ext>
          </c:extLst>
        </c:ser>
        <c:ser>
          <c:idx val="1"/>
          <c:order val="1"/>
          <c:tx>
            <c:strRef>
              <c:f>Approfondimento!$C$8</c:f>
              <c:strCache>
                <c:ptCount val="1"/>
                <c:pt idx="0">
                  <c:v>Velocity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Approfondimento!$A$9:$A$16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Approfondimento!$C$9:$C$16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D-45F0-8EE9-DF59EA60F775}"/>
            </c:ext>
          </c:extLst>
        </c:ser>
        <c:ser>
          <c:idx val="2"/>
          <c:order val="2"/>
          <c:tx>
            <c:strRef>
              <c:f>Approfondimento!$D$8</c:f>
              <c:strCache>
                <c:ptCount val="1"/>
                <c:pt idx="0">
                  <c:v>Prossimita'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Approfondimento!$A$9:$A$16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Approfondimento!$D$9:$D$16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ED-45F0-8EE9-DF59EA60F775}"/>
            </c:ext>
          </c:extLst>
        </c:ser>
        <c:ser>
          <c:idx val="3"/>
          <c:order val="3"/>
          <c:tx>
            <c:strRef>
              <c:f>Approfondimento!$E$8</c:f>
              <c:strCache>
                <c:ptCount val="1"/>
                <c:pt idx="0">
                  <c:v>Gap_Controlli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Approfondimento!$A$9:$A$16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Approfondimento!$E$9:$E$16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ED-45F0-8EE9-DF59EA60F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Valore rilevato e soglie, ultimi otto cicli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Andamento_KRI!$B$11</c:f>
              <c:strCache>
                <c:ptCount val="1"/>
                <c:pt idx="0">
                  <c:v>Valore</c:v>
                </c:pt>
              </c:strCache>
            </c:strRef>
          </c:tx>
          <c:spPr>
            <a:ln>
              <a:solidFill>
                <a:srgbClr val="1F386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Andamento_KRI!$A$12:$A$19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Andamento_KRI!$B$12:$B$19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E-4376-8678-3E970437B602}"/>
            </c:ext>
          </c:extLst>
        </c:ser>
        <c:ser>
          <c:idx val="1"/>
          <c:order val="1"/>
          <c:tx>
            <c:strRef>
              <c:f>Andamento_KRI!$C$11</c:f>
              <c:strCache>
                <c:ptCount val="1"/>
                <c:pt idx="0">
                  <c:v>Soglia attenzione</c:v>
                </c:pt>
              </c:strCache>
            </c:strRef>
          </c:tx>
          <c:spPr>
            <a:ln>
              <a:solidFill>
                <a:srgbClr val="BF9000"/>
              </a:solidFill>
              <a:prstDash val="dash"/>
            </a:ln>
          </c:spPr>
          <c:marker>
            <c:symbol val="none"/>
          </c:marker>
          <c:cat>
            <c:strRef>
              <c:f>Andamento_KRI!$A$12:$A$19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Andamento_KRI!$C$12:$C$19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E-4376-8678-3E970437B602}"/>
            </c:ext>
          </c:extLst>
        </c:ser>
        <c:ser>
          <c:idx val="2"/>
          <c:order val="2"/>
          <c:tx>
            <c:strRef>
              <c:f>Andamento_KRI!$D$11</c:f>
              <c:strCache>
                <c:ptCount val="1"/>
                <c:pt idx="0">
                  <c:v>Soglia allerta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Andamento_KRI!$A$12:$A$19</c:f>
              <c:strCache>
                <c:ptCount val="8"/>
                <c:pt idx="0">
                  <c:v>2024Q4</c:v>
                </c:pt>
                <c:pt idx="1">
                  <c:v>2025Q1</c:v>
                </c:pt>
                <c:pt idx="2">
                  <c:v>2025Q2</c:v>
                </c:pt>
                <c:pt idx="3">
                  <c:v>2025Q3</c:v>
                </c:pt>
                <c:pt idx="4">
                  <c:v>2025Q4</c:v>
                </c:pt>
                <c:pt idx="5">
                  <c:v>2026Q1</c:v>
                </c:pt>
                <c:pt idx="6">
                  <c:v>2026Q2</c:v>
                </c:pt>
                <c:pt idx="7">
                  <c:v>2026Q3</c:v>
                </c:pt>
              </c:strCache>
            </c:strRef>
          </c:cat>
          <c:val>
            <c:numRef>
              <c:f>Andamento_KRI!$D$12:$D$19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4E-4376-8678-3E970437B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Notizie delle ultime 4 settimane per event type, per intensita'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Analisi_News!$G$4</c:f>
              <c:strCache>
                <c:ptCount val="1"/>
                <c:pt idx="0">
                  <c:v>Intensita' 1: nesso indiretto</c:v>
                </c:pt>
              </c:strCache>
            </c:strRef>
          </c:tx>
          <c:spPr>
            <a:solidFill>
              <a:srgbClr val="FCE4D6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Analisi_News!$J$5:$J$11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NON PRESIDIATA ► 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Analisi_News!$G$5:$G$11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B6-4CAA-BFAC-F7E61BF7C416}"/>
            </c:ext>
          </c:extLst>
        </c:ser>
        <c:ser>
          <c:idx val="1"/>
          <c:order val="1"/>
          <c:tx>
            <c:strRef>
              <c:f>Analisi_News!$H$4</c:f>
              <c:strCache>
                <c:ptCount val="1"/>
                <c:pt idx="0">
                  <c:v>Intensita' 2: nesso diretto</c:v>
                </c:pt>
              </c:strCache>
            </c:strRef>
          </c:tx>
          <c:spPr>
            <a:solidFill>
              <a:srgbClr val="F4B183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Analisi_News!$J$5:$J$11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NON PRESIDIATA ► 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Analisi_News!$H$5:$H$11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6B6-4CAA-BFAC-F7E61BF7C416}"/>
            </c:ext>
          </c:extLst>
        </c:ser>
        <c:ser>
          <c:idx val="2"/>
          <c:order val="2"/>
          <c:tx>
            <c:strRef>
              <c:f>Analisi_News!$I$4</c:f>
              <c:strCache>
                <c:ptCount val="1"/>
                <c:pt idx="0">
                  <c:v>Intensita' 3: diretto e immediato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7F7F7F"/>
              </a:solidFill>
              <a:prstDash val="solid"/>
            </a:ln>
          </c:spPr>
          <c:invertIfNegative val="1"/>
          <c:cat>
            <c:strRef>
              <c:f>Analisi_News!$J$5:$J$11</c:f>
              <c:strCache>
                <c:ptCount val="7"/>
                <c:pt idx="0">
                  <c:v>L1-01 Frode interna</c:v>
                </c:pt>
                <c:pt idx="1">
                  <c:v>L1-02 Frode esterna</c:v>
                </c:pt>
                <c:pt idx="2">
                  <c:v>NON PRESIDIATA ► L1-03 Rapporti di impiego e sicurezza sul lavoro</c:v>
                </c:pt>
                <c:pt idx="3">
                  <c:v>L1-04 Clientela, prodotti e prassi professionali</c:v>
                </c:pt>
                <c:pt idx="4">
                  <c:v>L1-05 Danni a beni materiali</c:v>
                </c:pt>
                <c:pt idx="5">
                  <c:v>L1-06 Interruzione dell'operativita' e disfunzione dei sistemi</c:v>
                </c:pt>
                <c:pt idx="6">
                  <c:v>L1-07 Esecuzione, consegna e gestione dei processi</c:v>
                </c:pt>
              </c:strCache>
            </c:strRef>
          </c:cat>
          <c:val>
            <c:numRef>
              <c:f>Analisi_News!$I$5:$I$11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F7F7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B6-4CAA-BFAC-F7E61BF7C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Segnali per settimana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Analisi_News!$C$16</c:f>
              <c:strCache>
                <c:ptCount val="1"/>
                <c:pt idx="0">
                  <c:v>Peggiorativi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Analisi_News!$A$17:$A$28</c:f>
              <c:numCache>
                <c:formatCode>m/d/yyyy</c:formatCode>
                <c:ptCount val="12"/>
                <c:pt idx="0">
                  <c:v>46230</c:v>
                </c:pt>
                <c:pt idx="1">
                  <c:v>46237</c:v>
                </c:pt>
                <c:pt idx="2">
                  <c:v>46244</c:v>
                </c:pt>
                <c:pt idx="3">
                  <c:v>46251</c:v>
                </c:pt>
                <c:pt idx="4">
                  <c:v>46258</c:v>
                </c:pt>
                <c:pt idx="5">
                  <c:v>46265</c:v>
                </c:pt>
                <c:pt idx="6">
                  <c:v>46272</c:v>
                </c:pt>
                <c:pt idx="7">
                  <c:v>46279</c:v>
                </c:pt>
                <c:pt idx="8">
                  <c:v>46286</c:v>
                </c:pt>
                <c:pt idx="9">
                  <c:v>46293</c:v>
                </c:pt>
                <c:pt idx="10">
                  <c:v>46300</c:v>
                </c:pt>
                <c:pt idx="11">
                  <c:v>46307</c:v>
                </c:pt>
              </c:numCache>
            </c:numRef>
          </c:cat>
          <c:val>
            <c:numRef>
              <c:f>Analisi_News!$C$17:$C$28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8-4047-B868-8DB26271DA1F}"/>
            </c:ext>
          </c:extLst>
        </c:ser>
        <c:ser>
          <c:idx val="1"/>
          <c:order val="1"/>
          <c:tx>
            <c:strRef>
              <c:f>Analisi_News!$D$16</c:f>
              <c:strCache>
                <c:ptCount val="1"/>
                <c:pt idx="0">
                  <c:v>Migliorativi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Analisi_News!$A$17:$A$28</c:f>
              <c:numCache>
                <c:formatCode>m/d/yyyy</c:formatCode>
                <c:ptCount val="12"/>
                <c:pt idx="0">
                  <c:v>46230</c:v>
                </c:pt>
                <c:pt idx="1">
                  <c:v>46237</c:v>
                </c:pt>
                <c:pt idx="2">
                  <c:v>46244</c:v>
                </c:pt>
                <c:pt idx="3">
                  <c:v>46251</c:v>
                </c:pt>
                <c:pt idx="4">
                  <c:v>46258</c:v>
                </c:pt>
                <c:pt idx="5">
                  <c:v>46265</c:v>
                </c:pt>
                <c:pt idx="6">
                  <c:v>46272</c:v>
                </c:pt>
                <c:pt idx="7">
                  <c:v>46279</c:v>
                </c:pt>
                <c:pt idx="8">
                  <c:v>46286</c:v>
                </c:pt>
                <c:pt idx="9">
                  <c:v>46293</c:v>
                </c:pt>
                <c:pt idx="10">
                  <c:v>46300</c:v>
                </c:pt>
                <c:pt idx="11">
                  <c:v>46307</c:v>
                </c:pt>
              </c:numCache>
            </c:numRef>
          </c:cat>
          <c:val>
            <c:numRef>
              <c:f>Analisi_News!$D$17:$D$28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8-4047-B868-8DB26271D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48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lidazione" displayName="tblValidazione" ref="A1:L221" dataDxfId="123">
  <autoFilter ref="A1:L221" xr:uid="{00000000-0009-0000-0100-000001000000}"/>
  <tableColumns count="12">
    <tableColumn id="1" xr3:uid="{00000000-0010-0000-0000-000001000000}" name="Periodo" dataDxfId="122"/>
    <tableColumn id="2" xr3:uid="{00000000-0010-0000-0000-000002000000}" name="Oggetto" dataDxfId="121"/>
    <tableColumn id="3" xr3:uid="{00000000-0010-0000-0000-000003000000}" name="ID" dataDxfId="120"/>
    <tableColumn id="4" xr3:uid="{00000000-0010-0000-0000-000004000000}" name="Nome" dataDxfId="119"/>
    <tableColumn id="5" xr3:uid="{00000000-0010-0000-0000-000005000000}" name="Campo" dataDxfId="118"/>
    <tableColumn id="6" xr3:uid="{00000000-0010-0000-0000-000006000000}" name="Proposta_Agente" dataDxfId="117"/>
    <tableColumn id="7" xr3:uid="{00000000-0010-0000-0000-000007000000}" name="Decisione" dataDxfId="116"/>
    <tableColumn id="8" xr3:uid="{00000000-0010-0000-0000-000008000000}" name="Valore_Validato" dataDxfId="115"/>
    <tableColumn id="9" xr3:uid="{00000000-0010-0000-0000-000009000000}" name="Motivazione" dataDxfId="114"/>
    <tableColumn id="10" xr3:uid="{00000000-0010-0000-0000-00000A000000}" name="Validato_Da" dataDxfId="113"/>
    <tableColumn id="11" xr3:uid="{00000000-0010-0000-0000-00000B000000}" name="Data_Validazione" dataDxfId="112"/>
    <tableColumn id="12" xr3:uid="{00000000-0010-0000-0000-00000C000000}" name="Stato" dataDxfId="1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gister" displayName="tblRegister" ref="A1:X13" dataDxfId="110">
  <autoFilter ref="A1:X13" xr:uid="{00000000-0009-0000-0100-000002000000}"/>
  <tableColumns count="24">
    <tableColumn id="1" xr3:uid="{00000000-0010-0000-0100-000001000000}" name="Ciclo" dataDxfId="109"/>
    <tableColumn id="2" xr3:uid="{00000000-0010-0000-0100-000002000000}" name="Data_Riferimento" dataDxfId="108"/>
    <tableColumn id="3" xr3:uid="{00000000-0010-0000-0100-000003000000}" name="ID_Rischio" dataDxfId="107"/>
    <tableColumn id="4" xr3:uid="{00000000-0010-0000-0100-000004000000}" name="Nome" dataDxfId="106"/>
    <tableColumn id="5" xr3:uid="{00000000-0010-0000-0100-000005000000}" name="Event_Type" dataDxfId="105"/>
    <tableColumn id="6" xr3:uid="{00000000-0010-0000-0100-000006000000}" name="Driver" dataDxfId="104"/>
    <tableColumn id="7" xr3:uid="{00000000-0010-0000-0100-000007000000}" name="Severity" dataDxfId="103"/>
    <tableColumn id="8" xr3:uid="{00000000-0010-0000-0100-000008000000}" name="Velocity" dataDxfId="102"/>
    <tableColumn id="9" xr3:uid="{00000000-0010-0000-0100-000009000000}" name="Prossimita" dataDxfId="101"/>
    <tableColumn id="10" xr3:uid="{00000000-0010-0000-0100-00000A000000}" name="Gap_Controlli" dataDxfId="100"/>
    <tableColumn id="11" xr3:uid="{00000000-0010-0000-0100-00000B000000}" name="Score_Composito" dataDxfId="99">
      <calculatedColumnFormula>IF(COUNT(G2,H2,I2,J2)&lt;4,"",ROUND(pesoSeverity*G2+pesoVelocity*H2+pesoProssimita*I2+pesoGap*J2,2))</calculatedColumnFormula>
    </tableColumn>
    <tableColumn id="12" xr3:uid="{00000000-0010-0000-0100-00000C000000}" name="Confidence" dataDxfId="98"/>
    <tableColumn id="13" xr3:uid="{00000000-0010-0000-0100-00000D000000}" name="Probabilita" dataDxfId="97"/>
    <tableColumn id="14" xr3:uid="{00000000-0010-0000-0100-00000E000000}" name="Esito" dataDxfId="96"/>
    <tableColumn id="15" xr3:uid="{00000000-0010-0000-0100-00000F000000}" name="Descrizione" dataDxfId="95"/>
    <tableColumn id="16" xr3:uid="{00000000-0010-0000-0100-000010000000}" name="Razionale" dataDxfId="94"/>
    <tableColumn id="17" xr3:uid="{00000000-0010-0000-0100-000011000000}" name="Variazioni" dataDxfId="93"/>
    <tableColumn id="18" xr3:uid="{00000000-0010-0000-0100-000012000000}" name="Fonti" dataDxfId="92"/>
    <tableColumn id="19" xr3:uid="{00000000-0010-0000-0100-000013000000}" name="Owner" dataDxfId="91"/>
    <tableColumn id="20" xr3:uid="{00000000-0010-0000-0100-000014000000}" name="Chiave" dataDxfId="90">
      <calculatedColumnFormula>A2&amp;"|"&amp;C2</calculatedColumnFormula>
    </tableColumn>
    <tableColumn id="21" xr3:uid="{00000000-0010-0000-0100-000015000000}" name="Data_Scrittura" dataDxfId="89"/>
    <tableColumn id="22" xr3:uid="{00000000-0010-0000-0100-000016000000}" name="Approvato_Da" dataDxfId="88"/>
    <tableColumn id="23" xr3:uid="{00000000-0010-0000-0100-000017000000}" name="Validazione" dataDxfId="87"/>
    <tableColumn id="24" xr3:uid="{00000000-0010-0000-0100-000018000000}" name="Data_Validazione" dataDxfId="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ews" displayName="tblNews" ref="A1:Q6" dataDxfId="85">
  <autoFilter ref="A1:Q6" xr:uid="{00000000-0009-0000-0100-000003000000}"/>
  <tableColumns count="17">
    <tableColumn id="1" xr3:uid="{00000000-0010-0000-0200-000001000000}" name="Data" dataDxfId="84"/>
    <tableColumn id="2" xr3:uid="{00000000-0010-0000-0200-000002000000}" name="Settimana" dataDxfId="83">
      <calculatedColumnFormula>A2-WEEKDAY(A2,2)+1</calculatedColumnFormula>
    </tableColumn>
    <tableColumn id="3" xr3:uid="{00000000-0010-0000-0200-000003000000}" name="ID_Notizia" dataDxfId="82"/>
    <tableColumn id="4" xr3:uid="{00000000-0010-0000-0200-000004000000}" name="Titolo" dataDxfId="81"/>
    <tableColumn id="5" xr3:uid="{00000000-0010-0000-0200-000005000000}" name="Fonte" dataDxfId="80"/>
    <tableColumn id="6" xr3:uid="{00000000-0010-0000-0200-000006000000}" name="Codice_Fonte" dataDxfId="79"/>
    <tableColumn id="7" xr3:uid="{00000000-0010-0000-0200-000007000000}" name="Rischio_ID" dataDxfId="78"/>
    <tableColumn id="8" xr3:uid="{00000000-0010-0000-0200-000008000000}" name="Segnale" dataDxfId="77"/>
    <tableColumn id="9" xr3:uid="{00000000-0010-0000-0200-000009000000}" name="Imp_L1_01" dataDxfId="76"/>
    <tableColumn id="10" xr3:uid="{00000000-0010-0000-0200-00000A000000}" name="Imp_L1_02" dataDxfId="75"/>
    <tableColumn id="11" xr3:uid="{00000000-0010-0000-0200-00000B000000}" name="Imp_L1_03" dataDxfId="74"/>
    <tableColumn id="12" xr3:uid="{00000000-0010-0000-0200-00000C000000}" name="Imp_L1_04" dataDxfId="73"/>
    <tableColumn id="13" xr3:uid="{00000000-0010-0000-0200-00000D000000}" name="Imp_L1_05" dataDxfId="72"/>
    <tableColumn id="14" xr3:uid="{00000000-0010-0000-0200-00000E000000}" name="Imp_L1_06" dataDxfId="71"/>
    <tableColumn id="15" xr3:uid="{00000000-0010-0000-0200-00000F000000}" name="Imp_L1_07" dataDxfId="70"/>
    <tableColumn id="16" xr3:uid="{00000000-0010-0000-0200-000010000000}" name="Sintesi" dataDxfId="69"/>
    <tableColumn id="17" xr3:uid="{00000000-0010-0000-0200-000011000000}" name="Validazione" dataDxfId="6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zioni" displayName="tblAzioni" ref="A1:M16" dataDxfId="67">
  <autoFilter ref="A1:M16" xr:uid="{00000000-0009-0000-0100-000004000000}"/>
  <tableColumns count="13">
    <tableColumn id="1" xr3:uid="{00000000-0010-0000-0300-000001000000}" name="Ciclo" dataDxfId="66"/>
    <tableColumn id="2" xr3:uid="{00000000-0010-0000-0300-000002000000}" name="ID_Rischio" dataDxfId="65"/>
    <tableColumn id="3" xr3:uid="{00000000-0010-0000-0300-000003000000}" name="ID_Azione" dataDxfId="64"/>
    <tableColumn id="4" xr3:uid="{00000000-0010-0000-0300-000004000000}" name="Descrizione" dataDxfId="63"/>
    <tableColumn id="5" xr3:uid="{00000000-0010-0000-0300-000005000000}" name="Owner" dataDxfId="62"/>
    <tableColumn id="6" xr3:uid="{00000000-0010-0000-0300-000006000000}" name="Dimensione" dataDxfId="61"/>
    <tableColumn id="7" xr3:uid="{00000000-0010-0000-0300-000007000000}" name="Orizzonte" dataDxfId="60"/>
    <tableColumn id="8" xr3:uid="{00000000-0010-0000-0300-000008000000}" name="Mesi_Orizzonte" dataDxfId="59">
      <calculatedColumnFormula>IFERROR(VALUE(LEFT(G2,FIND(" ",G2)-1)),"")</calculatedColumnFormula>
    </tableColumn>
    <tableColumn id="9" xr3:uid="{00000000-0010-0000-0300-000009000000}" name="Razionale" dataDxfId="58"/>
    <tableColumn id="10" xr3:uid="{00000000-0010-0000-0300-00000A000000}" name="Stato" dataDxfId="57"/>
    <tableColumn id="11" xr3:uid="{00000000-0010-0000-0300-00000B000000}" name="Data_Decisione" dataDxfId="56"/>
    <tableColumn id="12" xr3:uid="{00000000-0010-0000-0300-00000C000000}" name="Decisa_Da" dataDxfId="55"/>
    <tableColumn id="13" xr3:uid="{00000000-0010-0000-0300-00000D000000}" name="Validazion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KRI" displayName="tblKRI" ref="A1:S37" dataDxfId="53">
  <autoFilter ref="A1:S37" xr:uid="{00000000-0009-0000-0100-000005000000}"/>
  <tableColumns count="19">
    <tableColumn id="1" xr3:uid="{00000000-0010-0000-0400-000001000000}" name="Ciclo" dataDxfId="52"/>
    <tableColumn id="2" xr3:uid="{00000000-0010-0000-0400-000002000000}" name="KRI_ID" dataDxfId="51"/>
    <tableColumn id="3" xr3:uid="{00000000-0010-0000-0400-000003000000}" name="ID_Rischio" dataDxfId="50"/>
    <tableColumn id="4" xr3:uid="{00000000-0010-0000-0400-000004000000}" name="Nome" dataDxfId="49"/>
    <tableColumn id="5" xr3:uid="{00000000-0010-0000-0400-000005000000}" name="Unita" dataDxfId="48"/>
    <tableColumn id="6" xr3:uid="{00000000-0010-0000-0400-000006000000}" name="Fonte_Dati" dataDxfId="47"/>
    <tableColumn id="7" xr3:uid="{00000000-0010-0000-0400-000007000000}" name="Soglia_Attenzione" dataDxfId="46"/>
    <tableColumn id="8" xr3:uid="{00000000-0010-0000-0400-000008000000}" name="Soglia_Allerta" dataDxfId="45"/>
    <tableColumn id="9" xr3:uid="{00000000-0010-0000-0400-000009000000}" name="Valore_Corrente" dataDxfId="44"/>
    <tableColumn id="10" xr3:uid="{00000000-0010-0000-0400-00000A000000}" name="Data_Rilevazione" dataDxfId="43"/>
    <tableColumn id="11" xr3:uid="{00000000-0010-0000-0400-00000B000000}" name="Fonte_Rilevazione" dataDxfId="42"/>
    <tableColumn id="12" xr3:uid="{00000000-0010-0000-0400-00000C000000}" name="Nota_Rilevazione" dataDxfId="41"/>
    <tableColumn id="13" xr3:uid="{00000000-0010-0000-0400-00000D000000}" name="Stato" dataDxfId="40">
      <calculatedColumnFormula>IF(H2&lt;G2,"SOGLIE INVERTITE — correggere",IF(I2="","Non rilevato",IF(I2&gt;=H2,"Rosso",IF(I2&gt;=G2,"Ambra","Verde"))))</calculatedColumnFormula>
    </tableColumn>
    <tableColumn id="14" xr3:uid="{00000000-0010-0000-0400-00000E000000}" name="In_Vigore" dataDxfId="39"/>
    <tableColumn id="15" xr3:uid="{00000000-0010-0000-0400-00000F000000}" name="Ciclo_Definizione" dataDxfId="38"/>
    <tableColumn id="16" xr3:uid="{00000000-0010-0000-0400-000010000000}" name="Ciclo_Aggiornamento" dataDxfId="37"/>
    <tableColumn id="17" xr3:uid="{00000000-0010-0000-0400-000011000000}" name="Razionale" dataDxfId="36"/>
    <tableColumn id="18" xr3:uid="{00000000-0010-0000-0400-000012000000}" name="Chiave" dataDxfId="35">
      <calculatedColumnFormula>A2&amp;"|"&amp;B2</calculatedColumnFormula>
    </tableColumn>
    <tableColumn id="19" xr3:uid="{00000000-0010-0000-0400-000013000000}" name="Validazione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/>
  </sheetViews>
  <sheetFormatPr defaultRowHeight="14.6" x14ac:dyDescent="0.4"/>
  <cols>
    <col min="1" max="1" width="120" customWidth="1"/>
  </cols>
  <sheetData>
    <row r="1" spans="1:1" ht="18.45" x14ac:dyDescent="0.5">
      <c r="A1" s="1" t="s">
        <v>25</v>
      </c>
    </row>
    <row r="4" spans="1:1" x14ac:dyDescent="0.4">
      <c r="A4" s="2" t="s">
        <v>26</v>
      </c>
    </row>
    <row r="5" spans="1:1" x14ac:dyDescent="0.4">
      <c r="A5" t="s">
        <v>27</v>
      </c>
    </row>
    <row r="6" spans="1:1" x14ac:dyDescent="0.4">
      <c r="A6" t="s">
        <v>28</v>
      </c>
    </row>
    <row r="7" spans="1:1" x14ac:dyDescent="0.4">
      <c r="A7" t="s">
        <v>29</v>
      </c>
    </row>
    <row r="8" spans="1:1" x14ac:dyDescent="0.4">
      <c r="A8" t="s">
        <v>30</v>
      </c>
    </row>
    <row r="9" spans="1:1" x14ac:dyDescent="0.4">
      <c r="A9" t="s">
        <v>31</v>
      </c>
    </row>
    <row r="10" spans="1:1" x14ac:dyDescent="0.4">
      <c r="A10" t="s">
        <v>32</v>
      </c>
    </row>
    <row r="12" spans="1:1" x14ac:dyDescent="0.4">
      <c r="A12" s="2" t="s">
        <v>33</v>
      </c>
    </row>
    <row r="13" spans="1:1" x14ac:dyDescent="0.4">
      <c r="A13" t="s">
        <v>34</v>
      </c>
    </row>
    <row r="14" spans="1:1" x14ac:dyDescent="0.4">
      <c r="A14" t="s">
        <v>35</v>
      </c>
    </row>
    <row r="15" spans="1:1" x14ac:dyDescent="0.4">
      <c r="A15" t="s">
        <v>36</v>
      </c>
    </row>
    <row r="16" spans="1:1" x14ac:dyDescent="0.4">
      <c r="A16" t="s">
        <v>37</v>
      </c>
    </row>
    <row r="18" spans="1:1" x14ac:dyDescent="0.4">
      <c r="A18" s="2" t="s">
        <v>38</v>
      </c>
    </row>
    <row r="19" spans="1:1" x14ac:dyDescent="0.4">
      <c r="A19" t="s">
        <v>39</v>
      </c>
    </row>
    <row r="20" spans="1:1" x14ac:dyDescent="0.4">
      <c r="A20" t="s">
        <v>40</v>
      </c>
    </row>
    <row r="21" spans="1:1" x14ac:dyDescent="0.4">
      <c r="A21" t="s">
        <v>41</v>
      </c>
    </row>
    <row r="22" spans="1:1" x14ac:dyDescent="0.4">
      <c r="A22" t="s">
        <v>42</v>
      </c>
    </row>
    <row r="23" spans="1:1" x14ac:dyDescent="0.4">
      <c r="A23" t="s">
        <v>43</v>
      </c>
    </row>
    <row r="24" spans="1:1" x14ac:dyDescent="0.4">
      <c r="A24" t="s">
        <v>44</v>
      </c>
    </row>
    <row r="25" spans="1:1" x14ac:dyDescent="0.4">
      <c r="A25" t="s">
        <v>45</v>
      </c>
    </row>
    <row r="27" spans="1:1" x14ac:dyDescent="0.4">
      <c r="A27" t="s">
        <v>46</v>
      </c>
    </row>
    <row r="29" spans="1:1" x14ac:dyDescent="0.4">
      <c r="A29" s="2" t="s">
        <v>47</v>
      </c>
    </row>
    <row r="30" spans="1:1" x14ac:dyDescent="0.4">
      <c r="A30" t="s">
        <v>48</v>
      </c>
    </row>
    <row r="31" spans="1:1" x14ac:dyDescent="0.4">
      <c r="A31" t="s">
        <v>49</v>
      </c>
    </row>
    <row r="32" spans="1:1" x14ac:dyDescent="0.4">
      <c r="A32" t="s">
        <v>50</v>
      </c>
    </row>
    <row r="34" spans="1:1" x14ac:dyDescent="0.4">
      <c r="A34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workbookViewId="0"/>
  </sheetViews>
  <sheetFormatPr defaultRowHeight="14.6" x14ac:dyDescent="0.4"/>
  <cols>
    <col min="1" max="1" width="24" customWidth="1"/>
    <col min="2" max="2" width="48" customWidth="1"/>
    <col min="3" max="11" width="13" customWidth="1"/>
    <col min="12" max="12" width="22" customWidth="1"/>
  </cols>
  <sheetData>
    <row r="1" spans="1:12" ht="18.45" x14ac:dyDescent="0.5">
      <c r="A1" s="1" t="s">
        <v>0</v>
      </c>
    </row>
    <row r="2" spans="1:12" x14ac:dyDescent="0.4">
      <c r="A2" s="3" t="s">
        <v>1</v>
      </c>
    </row>
    <row r="3" spans="1:12" x14ac:dyDescent="0.4">
      <c r="A3" t="s">
        <v>2</v>
      </c>
      <c r="B3" t="str">
        <f>cicloCorrente</f>
        <v>2026Q3</v>
      </c>
      <c r="C3" t="s">
        <v>3</v>
      </c>
      <c r="D3" t="str">
        <f>cicloPrecedente</f>
        <v>2026Q2</v>
      </c>
      <c r="E3" t="s">
        <v>4</v>
      </c>
      <c r="F3" t="str">
        <f>cicloMeno2</f>
        <v>2026Q1</v>
      </c>
    </row>
    <row r="5" spans="1:12" x14ac:dyDescent="0.4">
      <c r="A5" s="3" t="s">
        <v>5</v>
      </c>
    </row>
    <row r="6" spans="1:12" x14ac:dyDescent="0.4">
      <c r="A6" s="3" t="s">
        <v>6</v>
      </c>
    </row>
    <row r="8" spans="1:12" x14ac:dyDescent="0.4">
      <c r="A8" s="2" t="s">
        <v>7</v>
      </c>
      <c r="B8" t="s">
        <v>8</v>
      </c>
      <c r="C8">
        <f>COUNTIFS(VAL_Periodo,cicloCorrente,VAL_Stato,"Da decidere")</f>
        <v>0</v>
      </c>
      <c r="D8" t="s">
        <v>9</v>
      </c>
      <c r="E8">
        <f>COUNTIFS(VAL_Periodo,cicloCorrente,VAL_Decisione,"Rettificato",VAL_Stato,"Applicata")</f>
        <v>2</v>
      </c>
      <c r="F8" s="2" t="str">
        <f>IF(C8&gt;0,"CICLO NON ANCORA VALIDATO — vedi foglio Validazione","Ciclo validato")</f>
        <v>Ciclo validato</v>
      </c>
    </row>
    <row r="10" spans="1:12" x14ac:dyDescent="0.4">
      <c r="A10" s="2" t="s">
        <v>10</v>
      </c>
      <c r="B10" t="s">
        <v>11</v>
      </c>
      <c r="C10">
        <f>COUNTIF(ANA_ID,"NFR-*")</f>
        <v>12</v>
      </c>
      <c r="D10" t="s">
        <v>12</v>
      </c>
      <c r="E10">
        <f>SUMPRODUCT((ANA_ID&lt;&gt;"")*(COUNTIFS(RR_ID_Rischio,ANA_ID,RR_Ciclo,cicloCorrente)&gt;0))</f>
        <v>12</v>
      </c>
      <c r="F10" s="2" t="str">
        <f>IF(C10=E10,"Ciclo completo","CICLO INCOMPLETO — i rischi mancanti non sono valutazioni")</f>
        <v>Ciclo completo</v>
      </c>
    </row>
    <row r="12" spans="1:12" x14ac:dyDescent="0.4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22</v>
      </c>
      <c r="K12" s="2" t="s">
        <v>23</v>
      </c>
      <c r="L12" s="2" t="s">
        <v>24</v>
      </c>
    </row>
    <row r="13" spans="1:12" x14ac:dyDescent="0.4">
      <c r="A13" t="str">
        <f>IF(Parametri!$H4="","",Parametri!$H4)</f>
        <v>NFR-01</v>
      </c>
      <c r="B13" t="str">
        <f>IF($A13="","",Parametri!$I4)</f>
        <v>Frodi su pagamenti istantanei abilitate da AI generativa</v>
      </c>
      <c r="C13">
        <f t="shared" ref="C13:C27" si="0">IF($A13="",NA(),IF(COUNTIFS(RR_ID_Rischio,$A13,RR_Ciclo,cicloCorrente)=0,NA(),SUMIFS(RR_Severity,RR_ID_Rischio,$A13,RR_Ciclo,cicloCorrente)))</f>
        <v>4</v>
      </c>
      <c r="D13">
        <f t="shared" ref="D13:D27" si="1">IF($A13="",NA(),IF(COUNTIFS(RR_ID_Rischio,$A13,RR_Ciclo,cicloCorrente)=0,NA(),SUMIFS(RR_Velocity,RR_ID_Rischio,$A13,RR_Ciclo,cicloCorrente)))</f>
        <v>4</v>
      </c>
      <c r="E13">
        <f t="shared" ref="E13:E27" si="2">IF($A13="",NA(),IF(COUNTIFS(RR_ID_Rischio,$A13,RR_Ciclo,cicloCorrente)=0,NA(),SUMIFS(RR_Prossimita,RR_ID_Rischio,$A13,RR_Ciclo,cicloCorrente)))</f>
        <v>4</v>
      </c>
      <c r="F13">
        <f t="shared" ref="F13:F27" si="3">IF($A13="",NA(),IF(COUNTIFS(RR_ID_Rischio,$A13,RR_Ciclo,cicloCorrente)=0,NA(),SUMIFS(RR_Gap_Controlli,RR_ID_Rischio,$A13,RR_Ciclo,cicloCorrente)))</f>
        <v>3</v>
      </c>
      <c r="G13" s="4">
        <f t="shared" ref="G13:G27" si="4">IF($A13="",NA(),IF(COUNTIFS(RR_ID_Rischio,$A13,RR_Ciclo,cicloCorrente)=0,NA(),SUMIFS(RR_Score_Composito,RR_ID_Rischio,$A13,RR_Ciclo,cicloCorrente)))</f>
        <v>3.8</v>
      </c>
      <c r="H13" s="4" t="e">
        <f t="shared" ref="H13:H27" si="5">IF($A13="",NA(),IF(COUNTIFS(RR_ID_Rischio,$A13,RR_Ciclo,cicloPrecedente)=0,NA(),SUMIFS(RR_Score_Composito,RR_ID_Rischio,$A13,RR_Ciclo,cicloPrecedente)))</f>
        <v>#N/A</v>
      </c>
      <c r="I13" s="4" t="e">
        <f t="shared" ref="I13:I27" si="6">IF($A13="",NA(),IF(COUNTIFS(RR_ID_Rischio,$A13,RR_Ciclo,cicloMeno2)=0,NA(),SUMIFS(RR_Score_Composito,RR_ID_Rischio,$A13,RR_Ciclo,cicloMeno2)))</f>
        <v>#N/A</v>
      </c>
      <c r="J13">
        <f t="shared" ref="J13:J27" si="7">IF($A13="",NA(),IF(COUNTIFS(RR_ID_Rischio,$A13,RR_Ciclo,cicloCorrente)=0,NA(),SUMIFS(RR_Confidence,RR_ID_Rischio,$A13,RR_Ciclo,cicloCorrente)))</f>
        <v>4</v>
      </c>
      <c r="K13">
        <f t="shared" ref="K13:K27" si="8">IF($A13="","",COUNTIFS(NW_Rischio_ID,$A13,NW_Segnale,"Peggiorativo",NW_Settimana,"&gt;="&amp;inizioFinestra4,NW_Settimana,"&lt;="&amp;settimanaCorrente)-COUNTIFS(NW_Rischio_ID,$A13,NW_Segnale,"Migliorativo",NW_Settimana,"&gt;="&amp;inizioFinestra4,NW_Settimana,"&lt;="&amp;settimanaCorrente))</f>
        <v>0</v>
      </c>
      <c r="L13" t="str">
        <f t="shared" ref="L13:L27" si="9">IF($A13="","",IF(K13&gt;=sogliaDirezione,"▲ In peggioramento",IF(K13&lt;=-sogliaDirezione,"▼ In miglioramento","● Stabile")))</f>
        <v>● Stabile</v>
      </c>
    </row>
    <row r="14" spans="1:12" x14ac:dyDescent="0.4">
      <c r="A14" t="str">
        <f>IF(Parametri!$H5="","",Parametri!$H5)</f>
        <v>NFR-02</v>
      </c>
      <c r="B14" t="str">
        <f>IF($A14="","",Parametri!$I5)</f>
        <v>Concentrazione su un fornitore cloud critico</v>
      </c>
      <c r="C14">
        <f t="shared" si="0"/>
        <v>4</v>
      </c>
      <c r="D14">
        <f t="shared" si="1"/>
        <v>4</v>
      </c>
      <c r="E14">
        <f t="shared" si="2"/>
        <v>3</v>
      </c>
      <c r="F14">
        <f t="shared" si="3"/>
        <v>3</v>
      </c>
      <c r="G14" s="4">
        <f t="shared" si="4"/>
        <v>3.6</v>
      </c>
      <c r="H14" s="4" t="e">
        <f t="shared" si="5"/>
        <v>#N/A</v>
      </c>
      <c r="I14" s="4" t="e">
        <f t="shared" si="6"/>
        <v>#N/A</v>
      </c>
      <c r="J14">
        <f t="shared" si="7"/>
        <v>4</v>
      </c>
      <c r="K14">
        <f t="shared" si="8"/>
        <v>0</v>
      </c>
      <c r="L14" t="str">
        <f t="shared" si="9"/>
        <v>● Stabile</v>
      </c>
    </row>
    <row r="15" spans="1:12" x14ac:dyDescent="0.4">
      <c r="A15" t="str">
        <f>IF(Parametri!$H6="","",Parametri!$H6)</f>
        <v>NFR-03</v>
      </c>
      <c r="B15" t="str">
        <f>IF($A15="","",Parametri!$I6)</f>
        <v>Greenwashing nella commercializzazione di prodotti ESG</v>
      </c>
      <c r="C15">
        <f t="shared" si="0"/>
        <v>3</v>
      </c>
      <c r="D15">
        <f t="shared" si="1"/>
        <v>2</v>
      </c>
      <c r="E15">
        <f t="shared" si="2"/>
        <v>4</v>
      </c>
      <c r="F15">
        <f t="shared" si="3"/>
        <v>3</v>
      </c>
      <c r="G15" s="4">
        <f t="shared" si="4"/>
        <v>3</v>
      </c>
      <c r="H15" s="4" t="e">
        <f t="shared" si="5"/>
        <v>#N/A</v>
      </c>
      <c r="I15" s="4" t="e">
        <f t="shared" si="6"/>
        <v>#N/A</v>
      </c>
      <c r="J15">
        <f t="shared" si="7"/>
        <v>3</v>
      </c>
      <c r="K15">
        <f t="shared" si="8"/>
        <v>0</v>
      </c>
      <c r="L15" t="str">
        <f t="shared" si="9"/>
        <v>● Stabile</v>
      </c>
    </row>
    <row r="16" spans="1:12" x14ac:dyDescent="0.4">
      <c r="A16" t="str">
        <f>IF(Parametri!$H7="","",Parametri!$H7)</f>
        <v>NFR-04</v>
      </c>
      <c r="B16" t="str">
        <f>IF($A16="","",Parametri!$I7)</f>
        <v>Eventi climatici estremi su sedi e data center</v>
      </c>
      <c r="C16">
        <f t="shared" si="0"/>
        <v>3</v>
      </c>
      <c r="D16">
        <f t="shared" si="1"/>
        <v>2</v>
      </c>
      <c r="E16">
        <f t="shared" si="2"/>
        <v>3</v>
      </c>
      <c r="F16">
        <f t="shared" si="3"/>
        <v>3</v>
      </c>
      <c r="G16" s="4">
        <f t="shared" si="4"/>
        <v>2.8</v>
      </c>
      <c r="H16" s="4" t="e">
        <f t="shared" si="5"/>
        <v>#N/A</v>
      </c>
      <c r="I16" s="4" t="e">
        <f t="shared" si="6"/>
        <v>#N/A</v>
      </c>
      <c r="J16">
        <f t="shared" si="7"/>
        <v>3</v>
      </c>
      <c r="K16">
        <f t="shared" si="8"/>
        <v>0</v>
      </c>
      <c r="L16" t="str">
        <f t="shared" si="9"/>
        <v>● Stabile</v>
      </c>
    </row>
    <row r="17" spans="1:12" x14ac:dyDescent="0.4">
      <c r="A17" t="str">
        <f>IF(Parametri!$H8="","",Parametri!$H8)</f>
        <v>NFR-05</v>
      </c>
      <c r="B17" t="str">
        <f>IF($A17="","",Parametri!$I8)</f>
        <v>Errori di processo nella migrazione del core banking</v>
      </c>
      <c r="C17">
        <f t="shared" si="0"/>
        <v>3</v>
      </c>
      <c r="D17">
        <f t="shared" si="1"/>
        <v>3</v>
      </c>
      <c r="E17">
        <f t="shared" si="2"/>
        <v>3</v>
      </c>
      <c r="F17">
        <f t="shared" si="3"/>
        <v>3</v>
      </c>
      <c r="G17" s="4">
        <f t="shared" si="4"/>
        <v>3</v>
      </c>
      <c r="H17" s="4" t="e">
        <f t="shared" si="5"/>
        <v>#N/A</v>
      </c>
      <c r="I17" s="4" t="e">
        <f t="shared" si="6"/>
        <v>#N/A</v>
      </c>
      <c r="J17">
        <f t="shared" si="7"/>
        <v>4</v>
      </c>
      <c r="K17">
        <f t="shared" si="8"/>
        <v>0</v>
      </c>
      <c r="L17" t="str">
        <f t="shared" si="9"/>
        <v>● Stabile</v>
      </c>
    </row>
    <row r="18" spans="1:12" x14ac:dyDescent="0.4">
      <c r="A18" t="str">
        <f>IF(Parametri!$H9="","",Parametri!$H9)</f>
        <v>NFR-06</v>
      </c>
      <c r="B18" t="str">
        <f>IF($A18="","",Parametri!$I9)</f>
        <v>Esfiltrazione di dati tramite strumenti di AI non autorizzati</v>
      </c>
      <c r="C18">
        <f t="shared" si="0"/>
        <v>3</v>
      </c>
      <c r="D18">
        <f t="shared" si="1"/>
        <v>3</v>
      </c>
      <c r="E18">
        <f t="shared" si="2"/>
        <v>3</v>
      </c>
      <c r="F18">
        <f t="shared" si="3"/>
        <v>3</v>
      </c>
      <c r="G18" s="4">
        <f t="shared" si="4"/>
        <v>3</v>
      </c>
      <c r="H18" s="4" t="e">
        <f t="shared" si="5"/>
        <v>#N/A</v>
      </c>
      <c r="I18" s="4" t="e">
        <f t="shared" si="6"/>
        <v>#N/A</v>
      </c>
      <c r="J18">
        <f t="shared" si="7"/>
        <v>3</v>
      </c>
      <c r="K18">
        <f t="shared" si="8"/>
        <v>0</v>
      </c>
      <c r="L18" t="str">
        <f t="shared" si="9"/>
        <v>● Stabile</v>
      </c>
    </row>
    <row r="19" spans="1:12" x14ac:dyDescent="0.4">
      <c r="A19" t="str">
        <f>IF(Parametri!$H10="","",Parametri!$H10)</f>
        <v>NFR-07</v>
      </c>
      <c r="B19" t="str">
        <f>IF($A19="","",Parametri!$I10)</f>
        <v>Ransomware presso un fornitore di servizi di pagamento</v>
      </c>
      <c r="C19">
        <f t="shared" si="0"/>
        <v>4</v>
      </c>
      <c r="D19">
        <f t="shared" si="1"/>
        <v>5</v>
      </c>
      <c r="E19">
        <f t="shared" si="2"/>
        <v>3</v>
      </c>
      <c r="F19">
        <f t="shared" si="3"/>
        <v>3</v>
      </c>
      <c r="G19" s="4">
        <f t="shared" si="4"/>
        <v>3.8</v>
      </c>
      <c r="H19" s="4" t="e">
        <f t="shared" si="5"/>
        <v>#N/A</v>
      </c>
      <c r="I19" s="4" t="e">
        <f t="shared" si="6"/>
        <v>#N/A</v>
      </c>
      <c r="J19">
        <f t="shared" si="7"/>
        <v>3</v>
      </c>
      <c r="K19">
        <f t="shared" si="8"/>
        <v>0</v>
      </c>
      <c r="L19" t="str">
        <f t="shared" si="9"/>
        <v>● Stabile</v>
      </c>
    </row>
    <row r="20" spans="1:12" x14ac:dyDescent="0.4">
      <c r="A20" t="str">
        <f>IF(Parametri!$H11="","",Parametri!$H11)</f>
        <v>NFR-08</v>
      </c>
      <c r="B20" t="str">
        <f>IF($A20="","",Parametri!$I11)</f>
        <v>Accessi impropri di dipendenti ai dati dei clienti</v>
      </c>
      <c r="C20">
        <f t="shared" si="0"/>
        <v>3</v>
      </c>
      <c r="D20">
        <f t="shared" si="1"/>
        <v>3</v>
      </c>
      <c r="E20">
        <f t="shared" si="2"/>
        <v>3</v>
      </c>
      <c r="F20">
        <f t="shared" si="3"/>
        <v>3</v>
      </c>
      <c r="G20" s="4">
        <f t="shared" si="4"/>
        <v>3</v>
      </c>
      <c r="H20" s="4" t="e">
        <f t="shared" si="5"/>
        <v>#N/A</v>
      </c>
      <c r="I20" s="4" t="e">
        <f t="shared" si="6"/>
        <v>#N/A</v>
      </c>
      <c r="J20">
        <f t="shared" si="7"/>
        <v>3</v>
      </c>
      <c r="K20">
        <f t="shared" si="8"/>
        <v>0</v>
      </c>
      <c r="L20" t="str">
        <f t="shared" si="9"/>
        <v>● Stabile</v>
      </c>
    </row>
    <row r="21" spans="1:12" x14ac:dyDescent="0.4">
      <c r="A21" t="str">
        <f>IF(Parametri!$H12="","",Parametri!$H12)</f>
        <v>NFR-09</v>
      </c>
      <c r="B21" t="str">
        <f>IF($A21="","",Parametri!$I12)</f>
        <v>Violazione di sanzioni internazionali tramite triangolazioni</v>
      </c>
      <c r="C21">
        <f t="shared" si="0"/>
        <v>4</v>
      </c>
      <c r="D21">
        <f t="shared" si="1"/>
        <v>3</v>
      </c>
      <c r="E21">
        <f t="shared" si="2"/>
        <v>2</v>
      </c>
      <c r="F21">
        <f t="shared" si="3"/>
        <v>3</v>
      </c>
      <c r="G21" s="4">
        <f t="shared" si="4"/>
        <v>3.2</v>
      </c>
      <c r="H21" s="4" t="e">
        <f t="shared" si="5"/>
        <v>#N/A</v>
      </c>
      <c r="I21" s="4" t="e">
        <f t="shared" si="6"/>
        <v>#N/A</v>
      </c>
      <c r="J21">
        <f t="shared" si="7"/>
        <v>2</v>
      </c>
      <c r="K21">
        <f t="shared" si="8"/>
        <v>0</v>
      </c>
      <c r="L21" t="str">
        <f t="shared" si="9"/>
        <v>● Stabile</v>
      </c>
    </row>
    <row r="22" spans="1:12" x14ac:dyDescent="0.4">
      <c r="A22" t="str">
        <f>IF(Parametri!$H13="","",Parametri!$H13)</f>
        <v>NFR-10</v>
      </c>
      <c r="B22" t="str">
        <f>IF($A22="","",Parametri!$I13)</f>
        <v>Informazioni errate ai clienti da assistenti di AI generativa</v>
      </c>
      <c r="C22">
        <f t="shared" si="0"/>
        <v>3</v>
      </c>
      <c r="D22">
        <f t="shared" si="1"/>
        <v>3</v>
      </c>
      <c r="E22">
        <f t="shared" si="2"/>
        <v>3</v>
      </c>
      <c r="F22">
        <f t="shared" si="3"/>
        <v>4</v>
      </c>
      <c r="G22" s="4">
        <f t="shared" si="4"/>
        <v>3.2</v>
      </c>
      <c r="H22" s="4" t="e">
        <f t="shared" si="5"/>
        <v>#N/A</v>
      </c>
      <c r="I22" s="4" t="e">
        <f t="shared" si="6"/>
        <v>#N/A</v>
      </c>
      <c r="J22">
        <f t="shared" si="7"/>
        <v>2</v>
      </c>
      <c r="K22">
        <f t="shared" si="8"/>
        <v>0</v>
      </c>
      <c r="L22" t="str">
        <f t="shared" si="9"/>
        <v>● Stabile</v>
      </c>
    </row>
    <row r="23" spans="1:12" x14ac:dyDescent="0.4">
      <c r="A23" t="str">
        <f>IF(Parametri!$H14="","",Parametri!$H14)</f>
        <v>NFR-11</v>
      </c>
      <c r="B23" t="str">
        <f>IF($A23="","",Parametri!$I14)</f>
        <v>Fine del supporto dei sistemi di pagamento legacy</v>
      </c>
      <c r="C23">
        <f t="shared" si="0"/>
        <v>3</v>
      </c>
      <c r="D23">
        <f t="shared" si="1"/>
        <v>2</v>
      </c>
      <c r="E23">
        <f t="shared" si="2"/>
        <v>3</v>
      </c>
      <c r="F23">
        <f t="shared" si="3"/>
        <v>4</v>
      </c>
      <c r="G23" s="4">
        <f t="shared" si="4"/>
        <v>3</v>
      </c>
      <c r="H23" s="4" t="e">
        <f t="shared" si="5"/>
        <v>#N/A</v>
      </c>
      <c r="I23" s="4" t="e">
        <f t="shared" si="6"/>
        <v>#N/A</v>
      </c>
      <c r="J23">
        <f t="shared" si="7"/>
        <v>3</v>
      </c>
      <c r="K23">
        <f t="shared" si="8"/>
        <v>0</v>
      </c>
      <c r="L23" t="str">
        <f t="shared" si="9"/>
        <v>● Stabile</v>
      </c>
    </row>
    <row r="24" spans="1:12" x14ac:dyDescent="0.4">
      <c r="A24" t="str">
        <f>IF(Parametri!$H15="","",Parametri!$H15)</f>
        <v>NFR-12</v>
      </c>
      <c r="B24" t="str">
        <f>IF($A24="","",Parametri!$I15)</f>
        <v>Errori operativi nei pagamenti istantanei obbligatori</v>
      </c>
      <c r="C24">
        <f t="shared" si="0"/>
        <v>3</v>
      </c>
      <c r="D24">
        <f t="shared" si="1"/>
        <v>4</v>
      </c>
      <c r="E24">
        <f t="shared" si="2"/>
        <v>4</v>
      </c>
      <c r="F24">
        <f t="shared" si="3"/>
        <v>3</v>
      </c>
      <c r="G24" s="4">
        <f t="shared" si="4"/>
        <v>3.4</v>
      </c>
      <c r="H24" s="4" t="e">
        <f t="shared" si="5"/>
        <v>#N/A</v>
      </c>
      <c r="I24" s="4" t="e">
        <f t="shared" si="6"/>
        <v>#N/A</v>
      </c>
      <c r="J24">
        <f t="shared" si="7"/>
        <v>3</v>
      </c>
      <c r="K24">
        <f t="shared" si="8"/>
        <v>0</v>
      </c>
      <c r="L24" t="str">
        <f t="shared" si="9"/>
        <v>● Stabile</v>
      </c>
    </row>
    <row r="25" spans="1:12" x14ac:dyDescent="0.4">
      <c r="A25" t="str">
        <f>IF(Parametri!$H16="","",Parametri!$H16)</f>
        <v/>
      </c>
      <c r="B25" t="str">
        <f>IF($A25="","",Parametri!$I16)</f>
        <v/>
      </c>
      <c r="C25" t="e">
        <f t="shared" si="0"/>
        <v>#N/A</v>
      </c>
      <c r="D25" t="e">
        <f t="shared" si="1"/>
        <v>#N/A</v>
      </c>
      <c r="E25" t="e">
        <f t="shared" si="2"/>
        <v>#N/A</v>
      </c>
      <c r="F25" t="e">
        <f t="shared" si="3"/>
        <v>#N/A</v>
      </c>
      <c r="G25" s="4" t="e">
        <f t="shared" si="4"/>
        <v>#N/A</v>
      </c>
      <c r="H25" s="4" t="e">
        <f t="shared" si="5"/>
        <v>#N/A</v>
      </c>
      <c r="I25" s="4" t="e">
        <f t="shared" si="6"/>
        <v>#N/A</v>
      </c>
      <c r="J25" t="e">
        <f t="shared" si="7"/>
        <v>#N/A</v>
      </c>
      <c r="K25" t="str">
        <f t="shared" si="8"/>
        <v/>
      </c>
      <c r="L25" t="str">
        <f t="shared" si="9"/>
        <v/>
      </c>
    </row>
    <row r="26" spans="1:12" x14ac:dyDescent="0.4">
      <c r="A26" t="str">
        <f>IF(Parametri!$H17="","",Parametri!$H17)</f>
        <v/>
      </c>
      <c r="B26" t="str">
        <f>IF($A26="","",Parametri!$I17)</f>
        <v/>
      </c>
      <c r="C26" t="e">
        <f t="shared" si="0"/>
        <v>#N/A</v>
      </c>
      <c r="D26" t="e">
        <f t="shared" si="1"/>
        <v>#N/A</v>
      </c>
      <c r="E26" t="e">
        <f t="shared" si="2"/>
        <v>#N/A</v>
      </c>
      <c r="F26" t="e">
        <f t="shared" si="3"/>
        <v>#N/A</v>
      </c>
      <c r="G26" s="4" t="e">
        <f t="shared" si="4"/>
        <v>#N/A</v>
      </c>
      <c r="H26" s="4" t="e">
        <f t="shared" si="5"/>
        <v>#N/A</v>
      </c>
      <c r="I26" s="4" t="e">
        <f t="shared" si="6"/>
        <v>#N/A</v>
      </c>
      <c r="J26" t="e">
        <f t="shared" si="7"/>
        <v>#N/A</v>
      </c>
      <c r="K26" t="str">
        <f t="shared" si="8"/>
        <v/>
      </c>
      <c r="L26" t="str">
        <f t="shared" si="9"/>
        <v/>
      </c>
    </row>
    <row r="27" spans="1:12" x14ac:dyDescent="0.4">
      <c r="A27" t="str">
        <f>IF(Parametri!$H18="","",Parametri!$H18)</f>
        <v/>
      </c>
      <c r="B27" t="str">
        <f>IF($A27="","",Parametri!$I18)</f>
        <v/>
      </c>
      <c r="C27" t="e">
        <f t="shared" si="0"/>
        <v>#N/A</v>
      </c>
      <c r="D27" t="e">
        <f t="shared" si="1"/>
        <v>#N/A</v>
      </c>
      <c r="E27" t="e">
        <f t="shared" si="2"/>
        <v>#N/A</v>
      </c>
      <c r="F27" t="e">
        <f t="shared" si="3"/>
        <v>#N/A</v>
      </c>
      <c r="G27" s="4" t="e">
        <f t="shared" si="4"/>
        <v>#N/A</v>
      </c>
      <c r="H27" s="4" t="e">
        <f t="shared" si="5"/>
        <v>#N/A</v>
      </c>
      <c r="I27" s="4" t="e">
        <f t="shared" si="6"/>
        <v>#N/A</v>
      </c>
      <c r="J27" t="e">
        <f t="shared" si="7"/>
        <v>#N/A</v>
      </c>
      <c r="K27" t="str">
        <f t="shared" si="8"/>
        <v/>
      </c>
      <c r="L27" t="str">
        <f t="shared" si="9"/>
        <v/>
      </c>
    </row>
  </sheetData>
  <conditionalFormatting sqref="C13:J27">
    <cfRule type="expression" dxfId="33" priority="5">
      <formula>ISNA(C13)</formula>
    </cfRule>
  </conditionalFormatting>
  <conditionalFormatting sqref="F8">
    <cfRule type="expression" dxfId="32" priority="1">
      <formula>$C$8&gt;0</formula>
    </cfRule>
    <cfRule type="expression" dxfId="31" priority="2">
      <formula>$C$8=0</formula>
    </cfRule>
  </conditionalFormatting>
  <conditionalFormatting sqref="F10">
    <cfRule type="expression" dxfId="30" priority="3">
      <formula>$C$10&lt;&gt;$E$10</formula>
    </cfRule>
    <cfRule type="expression" dxfId="29" priority="4">
      <formula>$C$10=$E$10</formula>
    </cfRule>
  </conditionalFormatting>
  <conditionalFormatting sqref="L13:L27">
    <cfRule type="expression" dxfId="28" priority="6">
      <formula>LEFT(L13,1)="▲"</formula>
    </cfRule>
    <cfRule type="expression" dxfId="27" priority="7">
      <formula>LEFT(L13,1)="▼"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77"/>
  <sheetViews>
    <sheetView workbookViewId="0"/>
  </sheetViews>
  <sheetFormatPr defaultRowHeight="14.6" x14ac:dyDescent="0.4"/>
  <cols>
    <col min="1" max="1" width="9" customWidth="1"/>
    <col min="2" max="2" width="40" customWidth="1"/>
    <col min="3" max="3" width="9" customWidth="1"/>
    <col min="4" max="4" width="10" customWidth="1"/>
    <col min="5" max="5" width="11" customWidth="1"/>
    <col min="6" max="6" width="7" customWidth="1"/>
    <col min="7" max="7" width="11" customWidth="1"/>
    <col min="8" max="8" width="13" customWidth="1"/>
    <col min="9" max="11" width="11" customWidth="1"/>
    <col min="12" max="12" width="22" customWidth="1"/>
    <col min="21" max="51" width="13" hidden="1" customWidth="1"/>
  </cols>
  <sheetData>
    <row r="1" spans="1:51" ht="18.45" x14ac:dyDescent="0.5">
      <c r="A1" s="1" t="s">
        <v>52</v>
      </c>
    </row>
    <row r="2" spans="1:51" x14ac:dyDescent="0.4">
      <c r="A2" s="3" t="s">
        <v>53</v>
      </c>
    </row>
    <row r="3" spans="1:51" x14ac:dyDescent="0.4">
      <c r="U3" t="s">
        <v>54</v>
      </c>
    </row>
    <row r="4" spans="1:51" ht="45" customHeight="1" x14ac:dyDescent="0.4">
      <c r="A4" s="5" t="s">
        <v>13</v>
      </c>
      <c r="B4" s="5" t="s">
        <v>14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5" t="s">
        <v>67</v>
      </c>
      <c r="P4" s="5" t="s">
        <v>68</v>
      </c>
      <c r="Q4" s="5" t="s">
        <v>69</v>
      </c>
      <c r="R4" s="5" t="s">
        <v>70</v>
      </c>
      <c r="S4" s="5" t="s">
        <v>71</v>
      </c>
      <c r="V4" t="s">
        <v>72</v>
      </c>
      <c r="X4" t="s">
        <v>73</v>
      </c>
      <c r="Z4" t="s">
        <v>74</v>
      </c>
      <c r="AB4" t="s">
        <v>75</v>
      </c>
      <c r="AL4">
        <v>1</v>
      </c>
      <c r="AM4">
        <v>2</v>
      </c>
      <c r="AN4">
        <v>3</v>
      </c>
      <c r="AO4">
        <v>4</v>
      </c>
      <c r="AP4">
        <v>5</v>
      </c>
      <c r="AQ4">
        <v>6</v>
      </c>
      <c r="AR4">
        <v>8</v>
      </c>
      <c r="AS4">
        <v>9</v>
      </c>
      <c r="AT4">
        <v>10</v>
      </c>
      <c r="AU4">
        <v>12</v>
      </c>
      <c r="AV4">
        <v>15</v>
      </c>
      <c r="AW4">
        <v>16</v>
      </c>
      <c r="AX4">
        <v>20</v>
      </c>
      <c r="AY4">
        <v>25</v>
      </c>
    </row>
    <row r="5" spans="1:51" x14ac:dyDescent="0.4">
      <c r="A5" t="str">
        <f>IF(Parametri!$H4="","",Parametri!$H4)</f>
        <v>NFR-01</v>
      </c>
      <c r="B5" t="str">
        <f>IF($A5="","",Parametri!$I4)</f>
        <v>Frodi su pagamenti istantanei abilitate da AI generativa</v>
      </c>
      <c r="C5" t="str">
        <f>IF($A5="","",Parametri!$J4)</f>
        <v>L1-02</v>
      </c>
      <c r="D5">
        <f t="shared" ref="D5:D19" si="0">IF($A5="",NA(),IF(COUNTIFS(RR_ID_Rischio,$A5,RR_Ciclo,cicloCorrente)=0,NA(),SUMIFS(RR_Severity,RR_ID_Rischio,$A5,RR_Ciclo,cicloCorrente)))</f>
        <v>4</v>
      </c>
      <c r="E5">
        <f t="shared" ref="E5:E19" si="1">IF($A5="",NA(),IF(COUNTIFS(RR_ID_Rischio,$A5,RR_Ciclo,cicloCorrente)=0,NA(),SUMIFS(RR_Probabilita,RR_ID_Rischio,$A5,RR_Ciclo,cicloCorrente)))</f>
        <v>4</v>
      </c>
      <c r="F5">
        <f t="shared" ref="F5:F19" si="2">IF(AND(ISNUMBER(D5),ISNUMBER(E5)),D5*E5,NA())</f>
        <v>16</v>
      </c>
      <c r="G5">
        <f t="shared" ref="G5:G19" si="3">IF($A5="",NA(),IF(COUNTIFS(RR_ID_Rischio,$A5,RR_Ciclo,cicloCorrente)=0,NA(),SUMIFS(RR_Prossimita,RR_ID_Rischio,$A5,RR_Ciclo,cicloCorrente)))</f>
        <v>4</v>
      </c>
      <c r="H5" s="4">
        <f t="shared" ref="H5:H19" si="4">IF(ISNUMBER(G5),INDEX(anniProssimita,G5),NA())</f>
        <v>0.5</v>
      </c>
      <c r="I5" s="4">
        <f t="shared" ref="I5:I19" si="5">IF($A5="",NA(),moscaX)</f>
        <v>0.25</v>
      </c>
      <c r="J5" s="4">
        <f t="shared" ref="J5:J19" si="6">IF($A5="",NA(),IF(COUNTIFS(AZ_ID_Rischio,$A5,AZ_Ciclo,cicloCorrente,AZ_Stato,"&lt;&gt;Respinta",AZ_Mesi_Orizzonte,"&gt;0")=0,moscaYDefault,_xlfn.MAXIFS(AZ_Mesi_Orizzonte,AZ_ID_Rischio,$A5,AZ_Ciclo,cicloCorrente,AZ_Stato,"&lt;&gt;Respinta")/12))</f>
        <v>0.5</v>
      </c>
      <c r="K5" s="4">
        <f t="shared" ref="K5:K19" si="7">IF(AND(ISNUMBER(H5),ISNUMBER(J5)),H5-(I5+J5),NA())</f>
        <v>-0.25</v>
      </c>
      <c r="L5" t="str">
        <f t="shared" ref="L5:L19" si="8">IF(NOT(ISNUMBER(K5)),"",IF(K5&lt;0,"AGIRE ORA: X+Y &gt; Z",IF(K5&lt;1,"Agire entro l'anno","Margine "&amp;ROUND(K5,1)&amp;IF(ROUND(K5,1)=1," anno"," anni"))))</f>
        <v>AGIRE ORA: X+Y &gt; Z</v>
      </c>
      <c r="M5">
        <f t="shared" ref="M5:M19" si="9">IF($A5="",NA(),MATCH(C5,codiciL1,0)-1)</f>
        <v>1</v>
      </c>
      <c r="N5">
        <f>IF($A5="",NA(),COUNTIF($C$4:C4,C5))</f>
        <v>0</v>
      </c>
      <c r="O5">
        <f t="shared" ref="O5:O19" si="10">IF($A5="",NA(),COUNTIF(ANA_Event_Type,C5))</f>
        <v>1</v>
      </c>
      <c r="P5" s="4">
        <f t="shared" ref="P5:P19" si="11">IF($A5="",NA(),2*PI()*(M5+(N5+0.5)/O5)/ROWS(codiciL1))</f>
        <v>1.3463968515384828</v>
      </c>
      <c r="Q5" s="4">
        <f t="shared" ref="Q5:Q19" si="12">IF(ISNUMBER(K5),MAX(0.6,MIN(6,K5+2)),NA())</f>
        <v>1.75</v>
      </c>
      <c r="R5" s="4">
        <f t="shared" ref="R5:R19" si="13">IF(AND(ISNUMBER(Q5),ISNUMBER(P5)),Q5*SIN(P5),NA())</f>
        <v>1.7061238463181914</v>
      </c>
      <c r="S5" s="4">
        <f t="shared" ref="S5:S19" si="14">IF(AND(ISNUMBER(Q5),ISNUMBER(P5)),Q5*COS(P5),NA())</f>
        <v>0.38941163442355031</v>
      </c>
      <c r="U5">
        <f>2*PI()*0/72</f>
        <v>0</v>
      </c>
      <c r="V5">
        <f t="shared" ref="V5:V36" si="15">2*SIN($U5)</f>
        <v>0</v>
      </c>
      <c r="W5">
        <f t="shared" ref="W5:W36" si="16">2*COS($U5)</f>
        <v>2</v>
      </c>
      <c r="X5">
        <f t="shared" ref="X5:X36" si="17">3*SIN($U5)</f>
        <v>0</v>
      </c>
      <c r="Y5">
        <f t="shared" ref="Y5:Y36" si="18">3*COS($U5)</f>
        <v>3</v>
      </c>
      <c r="Z5">
        <f t="shared" ref="Z5:Z36" si="19">4*SIN($U5)</f>
        <v>0</v>
      </c>
      <c r="AA5">
        <f t="shared" ref="AA5:AA36" si="20">4*COS($U5)</f>
        <v>4</v>
      </c>
      <c r="AB5">
        <f t="shared" ref="AB5:AB36" si="21">5*SIN($U5)</f>
        <v>0</v>
      </c>
      <c r="AC5">
        <f t="shared" ref="AC5:AC36" si="22">5*COS($U5)</f>
        <v>5</v>
      </c>
      <c r="AE5">
        <v>0</v>
      </c>
      <c r="AF5">
        <v>0</v>
      </c>
      <c r="AH5" t="s">
        <v>76</v>
      </c>
      <c r="AI5">
        <f>6.75*SIN(2*PI()*(0+0.5)/ROWS(codiciL1))</f>
        <v>2.9287152390435174</v>
      </c>
      <c r="AJ5">
        <f>6.75*COS(2*PI()*(0+0.5)/ROWS(codiciL1))</f>
        <v>6.0815398583413289</v>
      </c>
      <c r="AL5" t="e">
        <f t="shared" ref="AL5:AY19" si="23">IF(AND(ISNUMBER($F5),ISNUMBER($S5)),IF($F5=AL$4,$S5,NA()),NA())</f>
        <v>#N/A</v>
      </c>
      <c r="AM5" t="e">
        <f t="shared" si="23"/>
        <v>#N/A</v>
      </c>
      <c r="AN5" t="e">
        <f t="shared" si="23"/>
        <v>#N/A</v>
      </c>
      <c r="AO5" t="e">
        <f t="shared" si="23"/>
        <v>#N/A</v>
      </c>
      <c r="AP5" t="e">
        <f t="shared" si="23"/>
        <v>#N/A</v>
      </c>
      <c r="AQ5" t="e">
        <f t="shared" si="23"/>
        <v>#N/A</v>
      </c>
      <c r="AR5" t="e">
        <f t="shared" si="23"/>
        <v>#N/A</v>
      </c>
      <c r="AS5" t="e">
        <f t="shared" si="23"/>
        <v>#N/A</v>
      </c>
      <c r="AT5" t="e">
        <f t="shared" si="23"/>
        <v>#N/A</v>
      </c>
      <c r="AU5" t="e">
        <f t="shared" si="23"/>
        <v>#N/A</v>
      </c>
      <c r="AV5" t="e">
        <f t="shared" si="23"/>
        <v>#N/A</v>
      </c>
      <c r="AW5">
        <f t="shared" si="23"/>
        <v>0.38941163442355031</v>
      </c>
      <c r="AX5" t="e">
        <f t="shared" si="23"/>
        <v>#N/A</v>
      </c>
      <c r="AY5" t="e">
        <f t="shared" si="23"/>
        <v>#N/A</v>
      </c>
    </row>
    <row r="6" spans="1:51" x14ac:dyDescent="0.4">
      <c r="A6" t="str">
        <f>IF(Parametri!$H5="","",Parametri!$H5)</f>
        <v>NFR-02</v>
      </c>
      <c r="B6" t="str">
        <f>IF($A6="","",Parametri!$I5)</f>
        <v>Concentrazione su un fornitore cloud critico</v>
      </c>
      <c r="C6" t="str">
        <f>IF($A6="","",Parametri!$J5)</f>
        <v>L1-06</v>
      </c>
      <c r="D6">
        <f t="shared" si="0"/>
        <v>4</v>
      </c>
      <c r="E6">
        <f t="shared" si="1"/>
        <v>2</v>
      </c>
      <c r="F6">
        <f t="shared" si="2"/>
        <v>8</v>
      </c>
      <c r="G6">
        <f t="shared" si="3"/>
        <v>3</v>
      </c>
      <c r="H6" s="4">
        <f t="shared" si="4"/>
        <v>1.5</v>
      </c>
      <c r="I6" s="4">
        <f t="shared" si="5"/>
        <v>0.25</v>
      </c>
      <c r="J6" s="4">
        <f t="shared" si="6"/>
        <v>1</v>
      </c>
      <c r="K6" s="4">
        <f t="shared" si="7"/>
        <v>0.25</v>
      </c>
      <c r="L6" t="str">
        <f t="shared" si="8"/>
        <v>Agire entro l'anno</v>
      </c>
      <c r="M6">
        <f t="shared" si="9"/>
        <v>5</v>
      </c>
      <c r="N6">
        <f>IF($A6="",NA(),COUNTIF($C$4:C5,C6))</f>
        <v>0</v>
      </c>
      <c r="O6">
        <f t="shared" si="10"/>
        <v>3</v>
      </c>
      <c r="P6" s="4">
        <f t="shared" si="11"/>
        <v>4.6375891552992181</v>
      </c>
      <c r="Q6" s="4">
        <f t="shared" si="12"/>
        <v>2.25</v>
      </c>
      <c r="R6" s="4">
        <f t="shared" si="13"/>
        <v>-2.2437085436576552</v>
      </c>
      <c r="S6" s="4">
        <f t="shared" si="14"/>
        <v>-0.16814271056945562</v>
      </c>
      <c r="U6">
        <f>2*PI()*1/72</f>
        <v>8.7266462599716474E-2</v>
      </c>
      <c r="V6">
        <f t="shared" si="15"/>
        <v>0.17431148549531633</v>
      </c>
      <c r="W6">
        <f t="shared" si="16"/>
        <v>1.9923893961834911</v>
      </c>
      <c r="X6">
        <f t="shared" si="17"/>
        <v>0.26146722824297453</v>
      </c>
      <c r="Y6">
        <f t="shared" si="18"/>
        <v>2.9885840942752369</v>
      </c>
      <c r="Z6">
        <f t="shared" si="19"/>
        <v>0.34862297099063266</v>
      </c>
      <c r="AA6">
        <f t="shared" si="20"/>
        <v>3.9847787923669822</v>
      </c>
      <c r="AB6">
        <f t="shared" si="21"/>
        <v>0.4357787137382908</v>
      </c>
      <c r="AC6">
        <f t="shared" si="22"/>
        <v>4.9809734904587275</v>
      </c>
      <c r="AE6">
        <f>6.3*SIN(2*PI()*0/ROWS(codiciL1))</f>
        <v>0</v>
      </c>
      <c r="AF6">
        <f>6.3*COS(2*PI()*0/ROWS(codiciL1))</f>
        <v>6.3</v>
      </c>
      <c r="AH6" t="s">
        <v>77</v>
      </c>
      <c r="AI6">
        <f>6.75*SIN(2*PI()*(1+0.5)/ROWS(codiciL1))</f>
        <v>6.5807634072273098</v>
      </c>
      <c r="AJ6">
        <f>6.75*COS(2*PI()*(1+0.5)/ROWS(codiciL1))</f>
        <v>1.5020163042051224</v>
      </c>
      <c r="AL6" t="e">
        <f t="shared" si="23"/>
        <v>#N/A</v>
      </c>
      <c r="AM6" t="e">
        <f t="shared" si="23"/>
        <v>#N/A</v>
      </c>
      <c r="AN6" t="e">
        <f t="shared" si="23"/>
        <v>#N/A</v>
      </c>
      <c r="AO6" t="e">
        <f t="shared" si="23"/>
        <v>#N/A</v>
      </c>
      <c r="AP6" t="e">
        <f t="shared" si="23"/>
        <v>#N/A</v>
      </c>
      <c r="AQ6" t="e">
        <f t="shared" si="23"/>
        <v>#N/A</v>
      </c>
      <c r="AR6">
        <f t="shared" si="23"/>
        <v>-0.16814271056945562</v>
      </c>
      <c r="AS6" t="e">
        <f t="shared" si="23"/>
        <v>#N/A</v>
      </c>
      <c r="AT6" t="e">
        <f t="shared" si="23"/>
        <v>#N/A</v>
      </c>
      <c r="AU6" t="e">
        <f t="shared" si="23"/>
        <v>#N/A</v>
      </c>
      <c r="AV6" t="e">
        <f t="shared" si="23"/>
        <v>#N/A</v>
      </c>
      <c r="AW6" t="e">
        <f t="shared" si="23"/>
        <v>#N/A</v>
      </c>
      <c r="AX6" t="e">
        <f t="shared" si="23"/>
        <v>#N/A</v>
      </c>
      <c r="AY6" t="e">
        <f t="shared" si="23"/>
        <v>#N/A</v>
      </c>
    </row>
    <row r="7" spans="1:51" x14ac:dyDescent="0.4">
      <c r="A7" t="str">
        <f>IF(Parametri!$H6="","",Parametri!$H6)</f>
        <v>NFR-03</v>
      </c>
      <c r="B7" t="str">
        <f>IF($A7="","",Parametri!$I6)</f>
        <v>Greenwashing nella commercializzazione di prodotti ESG</v>
      </c>
      <c r="C7" t="str">
        <f>IF($A7="","",Parametri!$J6)</f>
        <v>L1-04</v>
      </c>
      <c r="D7">
        <f t="shared" si="0"/>
        <v>3</v>
      </c>
      <c r="E7">
        <f t="shared" si="1"/>
        <v>2</v>
      </c>
      <c r="F7">
        <f t="shared" si="2"/>
        <v>6</v>
      </c>
      <c r="G7">
        <f t="shared" si="3"/>
        <v>4</v>
      </c>
      <c r="H7" s="4">
        <f t="shared" si="4"/>
        <v>0.5</v>
      </c>
      <c r="I7" s="4">
        <f t="shared" si="5"/>
        <v>0.25</v>
      </c>
      <c r="J7" s="4">
        <f t="shared" si="6"/>
        <v>0.25</v>
      </c>
      <c r="K7" s="4">
        <f t="shared" si="7"/>
        <v>0</v>
      </c>
      <c r="L7" t="str">
        <f t="shared" si="8"/>
        <v>Agire entro l'anno</v>
      </c>
      <c r="M7">
        <f t="shared" si="9"/>
        <v>3</v>
      </c>
      <c r="N7">
        <f>IF($A7="",NA(),COUNTIF($C$4:C6,C7))</f>
        <v>0</v>
      </c>
      <c r="O7">
        <f t="shared" si="10"/>
        <v>3</v>
      </c>
      <c r="P7" s="4">
        <f t="shared" si="11"/>
        <v>2.8423933532479078</v>
      </c>
      <c r="Q7" s="4">
        <f t="shared" si="12"/>
        <v>2</v>
      </c>
      <c r="R7" s="4">
        <f t="shared" si="13"/>
        <v>0.58951034882180919</v>
      </c>
      <c r="S7" s="4">
        <f t="shared" si="14"/>
        <v>-1.9111456115722811</v>
      </c>
      <c r="U7">
        <f>2*PI()*2/72</f>
        <v>0.17453292519943295</v>
      </c>
      <c r="V7">
        <f t="shared" si="15"/>
        <v>0.34729635533386066</v>
      </c>
      <c r="W7">
        <f t="shared" si="16"/>
        <v>1.969615506024416</v>
      </c>
      <c r="X7">
        <f t="shared" si="17"/>
        <v>0.52094453300079102</v>
      </c>
      <c r="Y7">
        <f t="shared" si="18"/>
        <v>2.9544232590366239</v>
      </c>
      <c r="Z7">
        <f t="shared" si="19"/>
        <v>0.69459271066772132</v>
      </c>
      <c r="AA7">
        <f t="shared" si="20"/>
        <v>3.9392310120488321</v>
      </c>
      <c r="AB7">
        <f t="shared" si="21"/>
        <v>0.86824088833465163</v>
      </c>
      <c r="AC7">
        <f t="shared" si="22"/>
        <v>4.9240387650610398</v>
      </c>
      <c r="AE7">
        <v>0</v>
      </c>
      <c r="AF7">
        <v>0</v>
      </c>
      <c r="AH7" t="s">
        <v>78</v>
      </c>
      <c r="AI7">
        <f>6.75*SIN(2*PI()*(2+0.5)/ROWS(codiciL1))</f>
        <v>5.2773625066592018</v>
      </c>
      <c r="AJ7">
        <f>6.75*COS(2*PI()*(2+0.5)/ROWS(codiciL1))</f>
        <v>-4.2085561625464507</v>
      </c>
      <c r="AL7" t="e">
        <f t="shared" si="23"/>
        <v>#N/A</v>
      </c>
      <c r="AM7" t="e">
        <f t="shared" si="23"/>
        <v>#N/A</v>
      </c>
      <c r="AN7" t="e">
        <f t="shared" si="23"/>
        <v>#N/A</v>
      </c>
      <c r="AO7" t="e">
        <f t="shared" si="23"/>
        <v>#N/A</v>
      </c>
      <c r="AP7" t="e">
        <f t="shared" si="23"/>
        <v>#N/A</v>
      </c>
      <c r="AQ7">
        <f t="shared" si="23"/>
        <v>-1.9111456115722811</v>
      </c>
      <c r="AR7" t="e">
        <f t="shared" si="23"/>
        <v>#N/A</v>
      </c>
      <c r="AS7" t="e">
        <f t="shared" si="23"/>
        <v>#N/A</v>
      </c>
      <c r="AT7" t="e">
        <f t="shared" si="23"/>
        <v>#N/A</v>
      </c>
      <c r="AU7" t="e">
        <f t="shared" si="23"/>
        <v>#N/A</v>
      </c>
      <c r="AV7" t="e">
        <f t="shared" si="23"/>
        <v>#N/A</v>
      </c>
      <c r="AW7" t="e">
        <f t="shared" si="23"/>
        <v>#N/A</v>
      </c>
      <c r="AX7" t="e">
        <f t="shared" si="23"/>
        <v>#N/A</v>
      </c>
      <c r="AY7" t="e">
        <f t="shared" si="23"/>
        <v>#N/A</v>
      </c>
    </row>
    <row r="8" spans="1:51" x14ac:dyDescent="0.4">
      <c r="A8" t="str">
        <f>IF(Parametri!$H7="","",Parametri!$H7)</f>
        <v>NFR-04</v>
      </c>
      <c r="B8" t="str">
        <f>IF($A8="","",Parametri!$I7)</f>
        <v>Eventi climatici estremi su sedi e data center</v>
      </c>
      <c r="C8" t="str">
        <f>IF($A8="","",Parametri!$J7)</f>
        <v>L1-05</v>
      </c>
      <c r="D8">
        <f t="shared" si="0"/>
        <v>3</v>
      </c>
      <c r="E8">
        <f t="shared" si="1"/>
        <v>3</v>
      </c>
      <c r="F8">
        <f t="shared" si="2"/>
        <v>9</v>
      </c>
      <c r="G8">
        <f t="shared" si="3"/>
        <v>3</v>
      </c>
      <c r="H8" s="4">
        <f t="shared" si="4"/>
        <v>1.5</v>
      </c>
      <c r="I8" s="4">
        <f t="shared" si="5"/>
        <v>0.25</v>
      </c>
      <c r="J8" s="4">
        <f t="shared" si="6"/>
        <v>0.5</v>
      </c>
      <c r="K8" s="4">
        <f t="shared" si="7"/>
        <v>0.75</v>
      </c>
      <c r="L8" t="str">
        <f t="shared" si="8"/>
        <v>Agire entro l'anno</v>
      </c>
      <c r="M8">
        <f t="shared" si="9"/>
        <v>4</v>
      </c>
      <c r="N8">
        <f>IF($A8="",NA(),COUNTIF($C$4:C7,C8))</f>
        <v>0</v>
      </c>
      <c r="O8">
        <f t="shared" si="10"/>
        <v>1</v>
      </c>
      <c r="P8" s="4">
        <f t="shared" si="11"/>
        <v>4.0391905546154483</v>
      </c>
      <c r="Q8" s="4">
        <f t="shared" si="12"/>
        <v>2.75</v>
      </c>
      <c r="R8" s="4">
        <f t="shared" si="13"/>
        <v>-2.1500365767870817</v>
      </c>
      <c r="S8" s="4">
        <f t="shared" si="14"/>
        <v>-1.7145969551115177</v>
      </c>
      <c r="U8">
        <f>2*PI()*3/72</f>
        <v>0.26179938779914941</v>
      </c>
      <c r="V8">
        <f t="shared" si="15"/>
        <v>0.51763809020504148</v>
      </c>
      <c r="W8">
        <f t="shared" si="16"/>
        <v>1.9318516525781366</v>
      </c>
      <c r="X8">
        <f t="shared" si="17"/>
        <v>0.77645713530756222</v>
      </c>
      <c r="Y8">
        <f t="shared" si="18"/>
        <v>2.897777478867205</v>
      </c>
      <c r="Z8">
        <f t="shared" si="19"/>
        <v>1.035276180410083</v>
      </c>
      <c r="AA8">
        <f t="shared" si="20"/>
        <v>3.8637033051562732</v>
      </c>
      <c r="AB8">
        <f t="shared" si="21"/>
        <v>1.2940952255126037</v>
      </c>
      <c r="AC8">
        <f t="shared" si="22"/>
        <v>4.8296291314453415</v>
      </c>
      <c r="AE8">
        <f>6.3*SIN(2*PI()*1/ROWS(codiciL1))</f>
        <v>4.9255383395485879</v>
      </c>
      <c r="AF8">
        <f>6.3*COS(2*PI()*1/ROWS(codiciL1))</f>
        <v>3.9279857517100214</v>
      </c>
      <c r="AH8" t="s">
        <v>79</v>
      </c>
      <c r="AI8">
        <f>6.75*SIN(2*PI()*(3+0.5)/ROWS(codiciL1))</f>
        <v>8.2697520706331851E-16</v>
      </c>
      <c r="AJ8">
        <f>6.75*COS(2*PI()*(3+0.5)/ROWS(codiciL1))</f>
        <v>-6.75</v>
      </c>
      <c r="AL8" t="e">
        <f t="shared" si="23"/>
        <v>#N/A</v>
      </c>
      <c r="AM8" t="e">
        <f t="shared" si="23"/>
        <v>#N/A</v>
      </c>
      <c r="AN8" t="e">
        <f t="shared" si="23"/>
        <v>#N/A</v>
      </c>
      <c r="AO8" t="e">
        <f t="shared" si="23"/>
        <v>#N/A</v>
      </c>
      <c r="AP8" t="e">
        <f t="shared" si="23"/>
        <v>#N/A</v>
      </c>
      <c r="AQ8" t="e">
        <f t="shared" si="23"/>
        <v>#N/A</v>
      </c>
      <c r="AR8" t="e">
        <f t="shared" si="23"/>
        <v>#N/A</v>
      </c>
      <c r="AS8">
        <f t="shared" si="23"/>
        <v>-1.7145969551115177</v>
      </c>
      <c r="AT8" t="e">
        <f t="shared" si="23"/>
        <v>#N/A</v>
      </c>
      <c r="AU8" t="e">
        <f t="shared" si="23"/>
        <v>#N/A</v>
      </c>
      <c r="AV8" t="e">
        <f t="shared" si="23"/>
        <v>#N/A</v>
      </c>
      <c r="AW8" t="e">
        <f t="shared" si="23"/>
        <v>#N/A</v>
      </c>
      <c r="AX8" t="e">
        <f t="shared" si="23"/>
        <v>#N/A</v>
      </c>
      <c r="AY8" t="e">
        <f t="shared" si="23"/>
        <v>#N/A</v>
      </c>
    </row>
    <row r="9" spans="1:51" x14ac:dyDescent="0.4">
      <c r="A9" t="str">
        <f>IF(Parametri!$H8="","",Parametri!$H8)</f>
        <v>NFR-05</v>
      </c>
      <c r="B9" t="str">
        <f>IF($A9="","",Parametri!$I8)</f>
        <v>Errori di processo nella migrazione del core banking</v>
      </c>
      <c r="C9" t="str">
        <f>IF($A9="","",Parametri!$J8)</f>
        <v>L1-07</v>
      </c>
      <c r="D9">
        <f t="shared" si="0"/>
        <v>3</v>
      </c>
      <c r="E9">
        <f t="shared" si="1"/>
        <v>3</v>
      </c>
      <c r="F9">
        <f t="shared" si="2"/>
        <v>9</v>
      </c>
      <c r="G9">
        <f t="shared" si="3"/>
        <v>3</v>
      </c>
      <c r="H9" s="4">
        <f t="shared" si="4"/>
        <v>1.5</v>
      </c>
      <c r="I9" s="4">
        <f t="shared" si="5"/>
        <v>0.25</v>
      </c>
      <c r="J9" s="4">
        <f t="shared" si="6"/>
        <v>0.25</v>
      </c>
      <c r="K9" s="4">
        <f t="shared" si="7"/>
        <v>1</v>
      </c>
      <c r="L9" t="str">
        <f t="shared" si="8"/>
        <v>Margine 1 anno</v>
      </c>
      <c r="M9">
        <f t="shared" si="9"/>
        <v>6</v>
      </c>
      <c r="N9">
        <f>IF($A9="",NA(),COUNTIF($C$4:C8,C9))</f>
        <v>0</v>
      </c>
      <c r="O9">
        <f t="shared" si="10"/>
        <v>2</v>
      </c>
      <c r="P9" s="4">
        <f t="shared" si="11"/>
        <v>5.6099868814103448</v>
      </c>
      <c r="Q9" s="4">
        <f t="shared" si="12"/>
        <v>3</v>
      </c>
      <c r="R9" s="4">
        <f t="shared" si="13"/>
        <v>-1.870469405576201</v>
      </c>
      <c r="S9" s="4">
        <f t="shared" si="14"/>
        <v>2.3454944474040893</v>
      </c>
      <c r="U9">
        <f>2*PI()*4/72</f>
        <v>0.3490658503988659</v>
      </c>
      <c r="V9">
        <f t="shared" si="15"/>
        <v>0.68404028665133743</v>
      </c>
      <c r="W9">
        <f t="shared" si="16"/>
        <v>1.8793852415718169</v>
      </c>
      <c r="X9">
        <f t="shared" si="17"/>
        <v>1.0260604299770062</v>
      </c>
      <c r="Y9">
        <f t="shared" si="18"/>
        <v>2.8190778623577253</v>
      </c>
      <c r="Z9">
        <f t="shared" si="19"/>
        <v>1.3680805733026749</v>
      </c>
      <c r="AA9">
        <f t="shared" si="20"/>
        <v>3.7587704831436337</v>
      </c>
      <c r="AB9">
        <f t="shared" si="21"/>
        <v>1.7101007166283435</v>
      </c>
      <c r="AC9">
        <f t="shared" si="22"/>
        <v>4.6984631039295426</v>
      </c>
      <c r="AE9">
        <v>0</v>
      </c>
      <c r="AF9">
        <v>0</v>
      </c>
      <c r="AH9" t="s">
        <v>80</v>
      </c>
      <c r="AI9">
        <f>6.75*SIN(2*PI()*(4+0.5)/ROWS(codiciL1))</f>
        <v>-5.2773625066592</v>
      </c>
      <c r="AJ9">
        <f>6.75*COS(2*PI()*(4+0.5)/ROWS(codiciL1))</f>
        <v>-4.2085561625464525</v>
      </c>
      <c r="AL9" t="e">
        <f t="shared" si="23"/>
        <v>#N/A</v>
      </c>
      <c r="AM9" t="e">
        <f t="shared" si="23"/>
        <v>#N/A</v>
      </c>
      <c r="AN9" t="e">
        <f t="shared" si="23"/>
        <v>#N/A</v>
      </c>
      <c r="AO9" t="e">
        <f t="shared" si="23"/>
        <v>#N/A</v>
      </c>
      <c r="AP9" t="e">
        <f t="shared" si="23"/>
        <v>#N/A</v>
      </c>
      <c r="AQ9" t="e">
        <f t="shared" si="23"/>
        <v>#N/A</v>
      </c>
      <c r="AR9" t="e">
        <f t="shared" si="23"/>
        <v>#N/A</v>
      </c>
      <c r="AS9">
        <f t="shared" si="23"/>
        <v>2.3454944474040893</v>
      </c>
      <c r="AT9" t="e">
        <f t="shared" si="23"/>
        <v>#N/A</v>
      </c>
      <c r="AU9" t="e">
        <f t="shared" si="23"/>
        <v>#N/A</v>
      </c>
      <c r="AV9" t="e">
        <f t="shared" si="23"/>
        <v>#N/A</v>
      </c>
      <c r="AW9" t="e">
        <f t="shared" si="23"/>
        <v>#N/A</v>
      </c>
      <c r="AX9" t="e">
        <f t="shared" si="23"/>
        <v>#N/A</v>
      </c>
      <c r="AY9" t="e">
        <f t="shared" si="23"/>
        <v>#N/A</v>
      </c>
    </row>
    <row r="10" spans="1:51" x14ac:dyDescent="0.4">
      <c r="A10" t="str">
        <f>IF(Parametri!$H9="","",Parametri!$H9)</f>
        <v>NFR-06</v>
      </c>
      <c r="B10" t="str">
        <f>IF($A10="","",Parametri!$I9)</f>
        <v>Esfiltrazione di dati tramite strumenti di AI non autorizzati</v>
      </c>
      <c r="C10" t="str">
        <f>IF($A10="","",Parametri!$J9)</f>
        <v>L1-01</v>
      </c>
      <c r="D10">
        <f t="shared" si="0"/>
        <v>3</v>
      </c>
      <c r="E10">
        <f t="shared" si="1"/>
        <v>3</v>
      </c>
      <c r="F10">
        <f t="shared" si="2"/>
        <v>9</v>
      </c>
      <c r="G10">
        <f t="shared" si="3"/>
        <v>3</v>
      </c>
      <c r="H10" s="4">
        <f t="shared" si="4"/>
        <v>1.5</v>
      </c>
      <c r="I10" s="4">
        <f t="shared" si="5"/>
        <v>0.25</v>
      </c>
      <c r="J10" s="4">
        <f t="shared" si="6"/>
        <v>0.5</v>
      </c>
      <c r="K10" s="4">
        <f t="shared" si="7"/>
        <v>0.75</v>
      </c>
      <c r="L10" t="str">
        <f t="shared" si="8"/>
        <v>Agire entro l'anno</v>
      </c>
      <c r="M10">
        <f t="shared" si="9"/>
        <v>0</v>
      </c>
      <c r="N10">
        <f>IF($A10="",NA(),COUNTIF($C$4:C9,C10))</f>
        <v>0</v>
      </c>
      <c r="O10">
        <f t="shared" si="10"/>
        <v>2</v>
      </c>
      <c r="P10" s="4">
        <f t="shared" si="11"/>
        <v>0.22439947525641379</v>
      </c>
      <c r="Q10" s="4">
        <f t="shared" si="12"/>
        <v>2.75</v>
      </c>
      <c r="R10" s="4">
        <f t="shared" si="13"/>
        <v>0.61193256837986454</v>
      </c>
      <c r="S10" s="4">
        <f t="shared" si="14"/>
        <v>2.6810517585000149</v>
      </c>
      <c r="U10">
        <f>2*PI()*5/72</f>
        <v>0.43633231299858238</v>
      </c>
      <c r="V10">
        <f t="shared" si="15"/>
        <v>0.84523652348139888</v>
      </c>
      <c r="W10">
        <f t="shared" si="16"/>
        <v>1.8126155740732999</v>
      </c>
      <c r="X10">
        <f t="shared" si="17"/>
        <v>1.2678547852220983</v>
      </c>
      <c r="Y10">
        <f t="shared" si="18"/>
        <v>2.7189233611099497</v>
      </c>
      <c r="Z10">
        <f t="shared" si="19"/>
        <v>1.6904730469627978</v>
      </c>
      <c r="AA10">
        <f t="shared" si="20"/>
        <v>3.6252311481465997</v>
      </c>
      <c r="AB10">
        <f t="shared" si="21"/>
        <v>2.1130913087034973</v>
      </c>
      <c r="AC10">
        <f t="shared" si="22"/>
        <v>4.5315389351832494</v>
      </c>
      <c r="AE10">
        <f>6.3*SIN(2*PI()*2/ROWS(codiciL1))</f>
        <v>6.1420458467454884</v>
      </c>
      <c r="AF10">
        <f>6.3*COS(2*PI()*2/ROWS(codiciL1))</f>
        <v>-1.4018818839247802</v>
      </c>
      <c r="AH10" t="s">
        <v>81</v>
      </c>
      <c r="AI10">
        <f>6.75*SIN(2*PI()*(5+0.5)/ROWS(codiciL1))</f>
        <v>-6.5807634072273107</v>
      </c>
      <c r="AJ10">
        <f>6.75*COS(2*PI()*(5+0.5)/ROWS(codiciL1))</f>
        <v>1.5020163042051151</v>
      </c>
      <c r="AL10" t="e">
        <f t="shared" si="23"/>
        <v>#N/A</v>
      </c>
      <c r="AM10" t="e">
        <f t="shared" si="23"/>
        <v>#N/A</v>
      </c>
      <c r="AN10" t="e">
        <f t="shared" si="23"/>
        <v>#N/A</v>
      </c>
      <c r="AO10" t="e">
        <f t="shared" si="23"/>
        <v>#N/A</v>
      </c>
      <c r="AP10" t="e">
        <f t="shared" si="23"/>
        <v>#N/A</v>
      </c>
      <c r="AQ10" t="e">
        <f t="shared" si="23"/>
        <v>#N/A</v>
      </c>
      <c r="AR10" t="e">
        <f t="shared" si="23"/>
        <v>#N/A</v>
      </c>
      <c r="AS10">
        <f t="shared" si="23"/>
        <v>2.6810517585000149</v>
      </c>
      <c r="AT10" t="e">
        <f t="shared" si="23"/>
        <v>#N/A</v>
      </c>
      <c r="AU10" t="e">
        <f t="shared" si="23"/>
        <v>#N/A</v>
      </c>
      <c r="AV10" t="e">
        <f t="shared" si="23"/>
        <v>#N/A</v>
      </c>
      <c r="AW10" t="e">
        <f t="shared" si="23"/>
        <v>#N/A</v>
      </c>
      <c r="AX10" t="e">
        <f t="shared" si="23"/>
        <v>#N/A</v>
      </c>
      <c r="AY10" t="e">
        <f t="shared" si="23"/>
        <v>#N/A</v>
      </c>
    </row>
    <row r="11" spans="1:51" x14ac:dyDescent="0.4">
      <c r="A11" t="str">
        <f>IF(Parametri!$H10="","",Parametri!$H10)</f>
        <v>NFR-07</v>
      </c>
      <c r="B11" t="str">
        <f>IF($A11="","",Parametri!$I10)</f>
        <v>Ransomware presso un fornitore di servizi di pagamento</v>
      </c>
      <c r="C11" t="str">
        <f>IF($A11="","",Parametri!$J10)</f>
        <v>L1-06</v>
      </c>
      <c r="D11">
        <f t="shared" si="0"/>
        <v>4</v>
      </c>
      <c r="E11">
        <f t="shared" si="1"/>
        <v>3</v>
      </c>
      <c r="F11">
        <f t="shared" si="2"/>
        <v>12</v>
      </c>
      <c r="G11">
        <f t="shared" si="3"/>
        <v>3</v>
      </c>
      <c r="H11" s="4">
        <f t="shared" si="4"/>
        <v>1.5</v>
      </c>
      <c r="I11" s="4">
        <f t="shared" si="5"/>
        <v>0.25</v>
      </c>
      <c r="J11" s="4">
        <f t="shared" si="6"/>
        <v>0.5</v>
      </c>
      <c r="K11" s="4">
        <f t="shared" si="7"/>
        <v>0.75</v>
      </c>
      <c r="L11" t="str">
        <f t="shared" si="8"/>
        <v>Agire entro l'anno</v>
      </c>
      <c r="M11">
        <f t="shared" si="9"/>
        <v>5</v>
      </c>
      <c r="N11">
        <f>IF($A11="",NA(),COUNTIF($C$4:C10,C11))</f>
        <v>1</v>
      </c>
      <c r="O11">
        <f t="shared" si="10"/>
        <v>3</v>
      </c>
      <c r="P11" s="4">
        <f t="shared" si="11"/>
        <v>4.9367884556411026</v>
      </c>
      <c r="Q11" s="4">
        <f t="shared" si="12"/>
        <v>2.75</v>
      </c>
      <c r="R11" s="4">
        <f t="shared" si="13"/>
        <v>-2.6810517585000158</v>
      </c>
      <c r="S11" s="4">
        <f t="shared" si="14"/>
        <v>0.61193256837986165</v>
      </c>
      <c r="U11">
        <f>2*PI()*6/72</f>
        <v>0.52359877559829882</v>
      </c>
      <c r="V11">
        <f t="shared" si="15"/>
        <v>0.99999999999999989</v>
      </c>
      <c r="W11">
        <f t="shared" si="16"/>
        <v>1.7320508075688774</v>
      </c>
      <c r="X11">
        <f t="shared" si="17"/>
        <v>1.4999999999999998</v>
      </c>
      <c r="Y11">
        <f t="shared" si="18"/>
        <v>2.598076211353316</v>
      </c>
      <c r="Z11">
        <f t="shared" si="19"/>
        <v>1.9999999999999998</v>
      </c>
      <c r="AA11">
        <f t="shared" si="20"/>
        <v>3.4641016151377548</v>
      </c>
      <c r="AB11">
        <f t="shared" si="21"/>
        <v>2.4999999999999996</v>
      </c>
      <c r="AC11">
        <f t="shared" si="22"/>
        <v>4.3301270189221936</v>
      </c>
      <c r="AE11">
        <v>0</v>
      </c>
      <c r="AF11">
        <v>0</v>
      </c>
      <c r="AH11" t="s">
        <v>82</v>
      </c>
      <c r="AI11">
        <f>6.75*SIN(2*PI()*(6+0.5)/ROWS(codiciL1))</f>
        <v>-2.9287152390435134</v>
      </c>
      <c r="AJ11">
        <f>6.75*COS(2*PI()*(6+0.5)/ROWS(codiciL1))</f>
        <v>6.0815398583413307</v>
      </c>
      <c r="AL11" t="e">
        <f t="shared" si="23"/>
        <v>#N/A</v>
      </c>
      <c r="AM11" t="e">
        <f t="shared" si="23"/>
        <v>#N/A</v>
      </c>
      <c r="AN11" t="e">
        <f t="shared" si="23"/>
        <v>#N/A</v>
      </c>
      <c r="AO11" t="e">
        <f t="shared" si="23"/>
        <v>#N/A</v>
      </c>
      <c r="AP11" t="e">
        <f t="shared" si="23"/>
        <v>#N/A</v>
      </c>
      <c r="AQ11" t="e">
        <f t="shared" si="23"/>
        <v>#N/A</v>
      </c>
      <c r="AR11" t="e">
        <f t="shared" si="23"/>
        <v>#N/A</v>
      </c>
      <c r="AS11" t="e">
        <f t="shared" si="23"/>
        <v>#N/A</v>
      </c>
      <c r="AT11" t="e">
        <f t="shared" si="23"/>
        <v>#N/A</v>
      </c>
      <c r="AU11">
        <f t="shared" si="23"/>
        <v>0.61193256837986165</v>
      </c>
      <c r="AV11" t="e">
        <f t="shared" si="23"/>
        <v>#N/A</v>
      </c>
      <c r="AW11" t="e">
        <f t="shared" si="23"/>
        <v>#N/A</v>
      </c>
      <c r="AX11" t="e">
        <f t="shared" si="23"/>
        <v>#N/A</v>
      </c>
      <c r="AY11" t="e">
        <f t="shared" si="23"/>
        <v>#N/A</v>
      </c>
    </row>
    <row r="12" spans="1:51" x14ac:dyDescent="0.4">
      <c r="A12" t="str">
        <f>IF(Parametri!$H11="","",Parametri!$H11)</f>
        <v>NFR-08</v>
      </c>
      <c r="B12" t="str">
        <f>IF($A12="","",Parametri!$I11)</f>
        <v>Accessi impropri di dipendenti ai dati dei clienti</v>
      </c>
      <c r="C12" t="str">
        <f>IF($A12="","",Parametri!$J11)</f>
        <v>L1-01</v>
      </c>
      <c r="D12">
        <f t="shared" si="0"/>
        <v>3</v>
      </c>
      <c r="E12">
        <f t="shared" si="1"/>
        <v>2</v>
      </c>
      <c r="F12">
        <f t="shared" si="2"/>
        <v>6</v>
      </c>
      <c r="G12">
        <f t="shared" si="3"/>
        <v>3</v>
      </c>
      <c r="H12" s="4">
        <f t="shared" si="4"/>
        <v>1.5</v>
      </c>
      <c r="I12" s="4">
        <f t="shared" si="5"/>
        <v>0.25</v>
      </c>
      <c r="J12" s="4">
        <f t="shared" si="6"/>
        <v>0.25</v>
      </c>
      <c r="K12" s="4">
        <f t="shared" si="7"/>
        <v>1</v>
      </c>
      <c r="L12" t="str">
        <f t="shared" si="8"/>
        <v>Margine 1 anno</v>
      </c>
      <c r="M12">
        <f t="shared" si="9"/>
        <v>0</v>
      </c>
      <c r="N12">
        <f>IF($A12="",NA(),COUNTIF($C$4:C11,C12))</f>
        <v>1</v>
      </c>
      <c r="O12">
        <f t="shared" si="10"/>
        <v>2</v>
      </c>
      <c r="P12" s="4">
        <f t="shared" si="11"/>
        <v>0.67319842576924138</v>
      </c>
      <c r="Q12" s="4">
        <f t="shared" si="12"/>
        <v>3</v>
      </c>
      <c r="R12" s="4">
        <f t="shared" si="13"/>
        <v>1.8704694055762006</v>
      </c>
      <c r="S12" s="4">
        <f t="shared" si="14"/>
        <v>2.3454944474040893</v>
      </c>
      <c r="U12">
        <f>2*PI()*7/72</f>
        <v>0.6108652381980153</v>
      </c>
      <c r="V12">
        <f t="shared" si="15"/>
        <v>1.1471528727020921</v>
      </c>
      <c r="W12">
        <f t="shared" si="16"/>
        <v>1.6383040885779836</v>
      </c>
      <c r="X12">
        <f t="shared" si="17"/>
        <v>1.7207293090531381</v>
      </c>
      <c r="Y12">
        <f t="shared" si="18"/>
        <v>2.4574561328669753</v>
      </c>
      <c r="Z12">
        <f t="shared" si="19"/>
        <v>2.2943057454041842</v>
      </c>
      <c r="AA12">
        <f t="shared" si="20"/>
        <v>3.2766081771559672</v>
      </c>
      <c r="AB12">
        <f t="shared" si="21"/>
        <v>2.8678821817552302</v>
      </c>
      <c r="AC12">
        <f t="shared" si="22"/>
        <v>4.0957602214449587</v>
      </c>
      <c r="AE12">
        <f>6.3*SIN(2*PI()*3/ROWS(codiciL1))</f>
        <v>2.7334675564406168</v>
      </c>
      <c r="AF12">
        <f>6.3*COS(2*PI()*3/ROWS(codiciL1))</f>
        <v>-5.6761038677852396</v>
      </c>
      <c r="AL12" t="e">
        <f t="shared" si="23"/>
        <v>#N/A</v>
      </c>
      <c r="AM12" t="e">
        <f t="shared" si="23"/>
        <v>#N/A</v>
      </c>
      <c r="AN12" t="e">
        <f t="shared" si="23"/>
        <v>#N/A</v>
      </c>
      <c r="AO12" t="e">
        <f t="shared" si="23"/>
        <v>#N/A</v>
      </c>
      <c r="AP12" t="e">
        <f t="shared" si="23"/>
        <v>#N/A</v>
      </c>
      <c r="AQ12">
        <f t="shared" si="23"/>
        <v>2.3454944474040893</v>
      </c>
      <c r="AR12" t="e">
        <f t="shared" si="23"/>
        <v>#N/A</v>
      </c>
      <c r="AS12" t="e">
        <f t="shared" si="23"/>
        <v>#N/A</v>
      </c>
      <c r="AT12" t="e">
        <f t="shared" si="23"/>
        <v>#N/A</v>
      </c>
      <c r="AU12" t="e">
        <f t="shared" si="23"/>
        <v>#N/A</v>
      </c>
      <c r="AV12" t="e">
        <f t="shared" si="23"/>
        <v>#N/A</v>
      </c>
      <c r="AW12" t="e">
        <f t="shared" si="23"/>
        <v>#N/A</v>
      </c>
      <c r="AX12" t="e">
        <f t="shared" si="23"/>
        <v>#N/A</v>
      </c>
      <c r="AY12" t="e">
        <f t="shared" si="23"/>
        <v>#N/A</v>
      </c>
    </row>
    <row r="13" spans="1:51" x14ac:dyDescent="0.4">
      <c r="A13" t="str">
        <f>IF(Parametri!$H12="","",Parametri!$H12)</f>
        <v>NFR-09</v>
      </c>
      <c r="B13" t="str">
        <f>IF($A13="","",Parametri!$I12)</f>
        <v>Violazione di sanzioni internazionali tramite triangolazioni</v>
      </c>
      <c r="C13" t="str">
        <f>IF($A13="","",Parametri!$J12)</f>
        <v>L1-04</v>
      </c>
      <c r="D13">
        <f t="shared" si="0"/>
        <v>4</v>
      </c>
      <c r="E13">
        <f t="shared" si="1"/>
        <v>2</v>
      </c>
      <c r="F13">
        <f t="shared" si="2"/>
        <v>8</v>
      </c>
      <c r="G13">
        <f t="shared" si="3"/>
        <v>2</v>
      </c>
      <c r="H13" s="4">
        <f t="shared" si="4"/>
        <v>2.5</v>
      </c>
      <c r="I13" s="4">
        <f t="shared" si="5"/>
        <v>0.25</v>
      </c>
      <c r="J13" s="4">
        <f t="shared" si="6"/>
        <v>1</v>
      </c>
      <c r="K13" s="4">
        <f t="shared" si="7"/>
        <v>1.25</v>
      </c>
      <c r="L13" t="str">
        <f t="shared" si="8"/>
        <v>Margine 1,3 anni</v>
      </c>
      <c r="M13">
        <f t="shared" si="9"/>
        <v>3</v>
      </c>
      <c r="N13">
        <f>IF($A13="",NA(),COUNTIF($C$4:C12,C13))</f>
        <v>1</v>
      </c>
      <c r="O13">
        <f t="shared" si="10"/>
        <v>3</v>
      </c>
      <c r="P13" s="4">
        <f t="shared" si="11"/>
        <v>3.1415926535897931</v>
      </c>
      <c r="Q13" s="4">
        <f t="shared" si="12"/>
        <v>3.25</v>
      </c>
      <c r="R13" s="4">
        <f t="shared" si="13"/>
        <v>3.981732478453015E-16</v>
      </c>
      <c r="S13" s="4">
        <f t="shared" si="14"/>
        <v>-3.25</v>
      </c>
      <c r="U13">
        <f>2*PI()*8/72</f>
        <v>0.69813170079773179</v>
      </c>
      <c r="V13">
        <f t="shared" si="15"/>
        <v>1.2855752193730785</v>
      </c>
      <c r="W13">
        <f t="shared" si="16"/>
        <v>1.532088886237956</v>
      </c>
      <c r="X13">
        <f t="shared" si="17"/>
        <v>1.9283628290596178</v>
      </c>
      <c r="Y13">
        <f t="shared" si="18"/>
        <v>2.2981333293569342</v>
      </c>
      <c r="Z13">
        <f t="shared" si="19"/>
        <v>2.571150438746157</v>
      </c>
      <c r="AA13">
        <f t="shared" si="20"/>
        <v>3.0641777724759121</v>
      </c>
      <c r="AB13">
        <f t="shared" si="21"/>
        <v>3.2139380484326963</v>
      </c>
      <c r="AC13">
        <f t="shared" si="22"/>
        <v>3.83022221559489</v>
      </c>
      <c r="AE13">
        <v>0</v>
      </c>
      <c r="AF13">
        <v>0</v>
      </c>
      <c r="AL13" t="e">
        <f t="shared" si="23"/>
        <v>#N/A</v>
      </c>
      <c r="AM13" t="e">
        <f t="shared" si="23"/>
        <v>#N/A</v>
      </c>
      <c r="AN13" t="e">
        <f t="shared" si="23"/>
        <v>#N/A</v>
      </c>
      <c r="AO13" t="e">
        <f t="shared" si="23"/>
        <v>#N/A</v>
      </c>
      <c r="AP13" t="e">
        <f t="shared" si="23"/>
        <v>#N/A</v>
      </c>
      <c r="AQ13" t="e">
        <f t="shared" si="23"/>
        <v>#N/A</v>
      </c>
      <c r="AR13">
        <f t="shared" si="23"/>
        <v>-3.25</v>
      </c>
      <c r="AS13" t="e">
        <f t="shared" si="23"/>
        <v>#N/A</v>
      </c>
      <c r="AT13" t="e">
        <f t="shared" si="23"/>
        <v>#N/A</v>
      </c>
      <c r="AU13" t="e">
        <f t="shared" si="23"/>
        <v>#N/A</v>
      </c>
      <c r="AV13" t="e">
        <f t="shared" si="23"/>
        <v>#N/A</v>
      </c>
      <c r="AW13" t="e">
        <f t="shared" si="23"/>
        <v>#N/A</v>
      </c>
      <c r="AX13" t="e">
        <f t="shared" si="23"/>
        <v>#N/A</v>
      </c>
      <c r="AY13" t="e">
        <f t="shared" si="23"/>
        <v>#N/A</v>
      </c>
    </row>
    <row r="14" spans="1:51" x14ac:dyDescent="0.4">
      <c r="A14" t="str">
        <f>IF(Parametri!$H13="","",Parametri!$H13)</f>
        <v>NFR-10</v>
      </c>
      <c r="B14" t="str">
        <f>IF($A14="","",Parametri!$I13)</f>
        <v>Informazioni errate ai clienti da assistenti di AI generativa</v>
      </c>
      <c r="C14" t="str">
        <f>IF($A14="","",Parametri!$J13)</f>
        <v>L1-04</v>
      </c>
      <c r="D14">
        <f t="shared" si="0"/>
        <v>3</v>
      </c>
      <c r="E14">
        <f t="shared" si="1"/>
        <v>3</v>
      </c>
      <c r="F14">
        <f t="shared" si="2"/>
        <v>9</v>
      </c>
      <c r="G14">
        <f t="shared" si="3"/>
        <v>3</v>
      </c>
      <c r="H14" s="4">
        <f t="shared" si="4"/>
        <v>1.5</v>
      </c>
      <c r="I14" s="4">
        <f t="shared" si="5"/>
        <v>0.25</v>
      </c>
      <c r="J14" s="4">
        <f t="shared" si="6"/>
        <v>0.25</v>
      </c>
      <c r="K14" s="4">
        <f t="shared" si="7"/>
        <v>1</v>
      </c>
      <c r="L14" t="str">
        <f t="shared" si="8"/>
        <v>Margine 1 anno</v>
      </c>
      <c r="M14">
        <f t="shared" si="9"/>
        <v>3</v>
      </c>
      <c r="N14">
        <f>IF($A14="",NA(),COUNTIF($C$4:C13,C14))</f>
        <v>2</v>
      </c>
      <c r="O14">
        <f t="shared" si="10"/>
        <v>3</v>
      </c>
      <c r="P14" s="4">
        <f t="shared" si="11"/>
        <v>3.4407919539316785</v>
      </c>
      <c r="Q14" s="4">
        <f t="shared" si="12"/>
        <v>3</v>
      </c>
      <c r="R14" s="4">
        <f t="shared" si="13"/>
        <v>-0.88426552323271312</v>
      </c>
      <c r="S14" s="4">
        <f t="shared" si="14"/>
        <v>-2.8667184173584221</v>
      </c>
      <c r="U14">
        <f>2*PI()*9/72</f>
        <v>0.78539816339744828</v>
      </c>
      <c r="V14">
        <f t="shared" si="15"/>
        <v>1.4142135623730949</v>
      </c>
      <c r="W14">
        <f t="shared" si="16"/>
        <v>1.4142135623730951</v>
      </c>
      <c r="X14">
        <f t="shared" si="17"/>
        <v>2.1213203435596424</v>
      </c>
      <c r="Y14">
        <f t="shared" si="18"/>
        <v>2.1213203435596428</v>
      </c>
      <c r="Z14">
        <f t="shared" si="19"/>
        <v>2.8284271247461898</v>
      </c>
      <c r="AA14">
        <f t="shared" si="20"/>
        <v>2.8284271247461903</v>
      </c>
      <c r="AB14">
        <f t="shared" si="21"/>
        <v>3.5355339059327373</v>
      </c>
      <c r="AC14">
        <f t="shared" si="22"/>
        <v>3.5355339059327378</v>
      </c>
      <c r="AE14">
        <f>6.3*SIN(2*PI()*4/ROWS(codiciL1))</f>
        <v>-2.7334675564406155</v>
      </c>
      <c r="AF14">
        <f>6.3*COS(2*PI()*4/ROWS(codiciL1))</f>
        <v>-5.6761038677852405</v>
      </c>
      <c r="AL14" t="e">
        <f t="shared" si="23"/>
        <v>#N/A</v>
      </c>
      <c r="AM14" t="e">
        <f t="shared" si="23"/>
        <v>#N/A</v>
      </c>
      <c r="AN14" t="e">
        <f t="shared" si="23"/>
        <v>#N/A</v>
      </c>
      <c r="AO14" t="e">
        <f t="shared" si="23"/>
        <v>#N/A</v>
      </c>
      <c r="AP14" t="e">
        <f t="shared" si="23"/>
        <v>#N/A</v>
      </c>
      <c r="AQ14" t="e">
        <f t="shared" si="23"/>
        <v>#N/A</v>
      </c>
      <c r="AR14" t="e">
        <f t="shared" si="23"/>
        <v>#N/A</v>
      </c>
      <c r="AS14">
        <f t="shared" si="23"/>
        <v>-2.8667184173584221</v>
      </c>
      <c r="AT14" t="e">
        <f t="shared" si="23"/>
        <v>#N/A</v>
      </c>
      <c r="AU14" t="e">
        <f t="shared" si="23"/>
        <v>#N/A</v>
      </c>
      <c r="AV14" t="e">
        <f t="shared" si="23"/>
        <v>#N/A</v>
      </c>
      <c r="AW14" t="e">
        <f t="shared" si="23"/>
        <v>#N/A</v>
      </c>
      <c r="AX14" t="e">
        <f t="shared" si="23"/>
        <v>#N/A</v>
      </c>
      <c r="AY14" t="e">
        <f t="shared" si="23"/>
        <v>#N/A</v>
      </c>
    </row>
    <row r="15" spans="1:51" x14ac:dyDescent="0.4">
      <c r="A15" t="str">
        <f>IF(Parametri!$H14="","",Parametri!$H14)</f>
        <v>NFR-11</v>
      </c>
      <c r="B15" t="str">
        <f>IF($A15="","",Parametri!$I14)</f>
        <v>Fine del supporto dei sistemi di pagamento legacy</v>
      </c>
      <c r="C15" t="str">
        <f>IF($A15="","",Parametri!$J14)</f>
        <v>L1-06</v>
      </c>
      <c r="D15">
        <f t="shared" si="0"/>
        <v>3</v>
      </c>
      <c r="E15">
        <f t="shared" si="1"/>
        <v>3</v>
      </c>
      <c r="F15">
        <f t="shared" si="2"/>
        <v>9</v>
      </c>
      <c r="G15">
        <f t="shared" si="3"/>
        <v>3</v>
      </c>
      <c r="H15" s="4">
        <f t="shared" si="4"/>
        <v>1.5</v>
      </c>
      <c r="I15" s="4">
        <f t="shared" si="5"/>
        <v>0.25</v>
      </c>
      <c r="J15" s="4">
        <f t="shared" si="6"/>
        <v>1</v>
      </c>
      <c r="K15" s="4">
        <f t="shared" si="7"/>
        <v>0.25</v>
      </c>
      <c r="L15" t="str">
        <f t="shared" si="8"/>
        <v>Agire entro l'anno</v>
      </c>
      <c r="M15">
        <f t="shared" si="9"/>
        <v>5</v>
      </c>
      <c r="N15">
        <f>IF($A15="",NA(),COUNTIF($C$4:C14,C15))</f>
        <v>2</v>
      </c>
      <c r="O15">
        <f t="shared" si="10"/>
        <v>3</v>
      </c>
      <c r="P15" s="4">
        <f t="shared" si="11"/>
        <v>5.2359877559829888</v>
      </c>
      <c r="Q15" s="4">
        <f t="shared" si="12"/>
        <v>2.25</v>
      </c>
      <c r="R15" s="4">
        <f t="shared" si="13"/>
        <v>-1.9485571585149868</v>
      </c>
      <c r="S15" s="4">
        <f t="shared" si="14"/>
        <v>1.1250000000000002</v>
      </c>
      <c r="U15">
        <f>2*PI()*10/72</f>
        <v>0.87266462599716477</v>
      </c>
      <c r="V15">
        <f t="shared" si="15"/>
        <v>1.532088886237956</v>
      </c>
      <c r="W15">
        <f t="shared" si="16"/>
        <v>1.2855752193730787</v>
      </c>
      <c r="X15">
        <f t="shared" si="17"/>
        <v>2.2981333293569342</v>
      </c>
      <c r="Y15">
        <f t="shared" si="18"/>
        <v>1.9283628290596182</v>
      </c>
      <c r="Z15">
        <f t="shared" si="19"/>
        <v>3.0641777724759121</v>
      </c>
      <c r="AA15">
        <f t="shared" si="20"/>
        <v>2.5711504387461575</v>
      </c>
      <c r="AB15">
        <f t="shared" si="21"/>
        <v>3.83022221559489</v>
      </c>
      <c r="AC15">
        <f t="shared" si="22"/>
        <v>3.2139380484326967</v>
      </c>
      <c r="AE15">
        <v>0</v>
      </c>
      <c r="AF15">
        <v>0</v>
      </c>
      <c r="AL15" t="e">
        <f t="shared" si="23"/>
        <v>#N/A</v>
      </c>
      <c r="AM15" t="e">
        <f t="shared" si="23"/>
        <v>#N/A</v>
      </c>
      <c r="AN15" t="e">
        <f t="shared" si="23"/>
        <v>#N/A</v>
      </c>
      <c r="AO15" t="e">
        <f t="shared" si="23"/>
        <v>#N/A</v>
      </c>
      <c r="AP15" t="e">
        <f t="shared" si="23"/>
        <v>#N/A</v>
      </c>
      <c r="AQ15" t="e">
        <f t="shared" si="23"/>
        <v>#N/A</v>
      </c>
      <c r="AR15" t="e">
        <f t="shared" si="23"/>
        <v>#N/A</v>
      </c>
      <c r="AS15">
        <f t="shared" si="23"/>
        <v>1.1250000000000002</v>
      </c>
      <c r="AT15" t="e">
        <f t="shared" si="23"/>
        <v>#N/A</v>
      </c>
      <c r="AU15" t="e">
        <f t="shared" si="23"/>
        <v>#N/A</v>
      </c>
      <c r="AV15" t="e">
        <f t="shared" si="23"/>
        <v>#N/A</v>
      </c>
      <c r="AW15" t="e">
        <f t="shared" si="23"/>
        <v>#N/A</v>
      </c>
      <c r="AX15" t="e">
        <f t="shared" si="23"/>
        <v>#N/A</v>
      </c>
      <c r="AY15" t="e">
        <f t="shared" si="23"/>
        <v>#N/A</v>
      </c>
    </row>
    <row r="16" spans="1:51" x14ac:dyDescent="0.4">
      <c r="A16" t="str">
        <f>IF(Parametri!$H15="","",Parametri!$H15)</f>
        <v>NFR-12</v>
      </c>
      <c r="B16" t="str">
        <f>IF($A16="","",Parametri!$I15)</f>
        <v>Errori operativi nei pagamenti istantanei obbligatori</v>
      </c>
      <c r="C16" t="str">
        <f>IF($A16="","",Parametri!$J15)</f>
        <v>L1-07</v>
      </c>
      <c r="D16">
        <f t="shared" si="0"/>
        <v>3</v>
      </c>
      <c r="E16">
        <f t="shared" si="1"/>
        <v>4</v>
      </c>
      <c r="F16">
        <f t="shared" si="2"/>
        <v>12</v>
      </c>
      <c r="G16">
        <f t="shared" si="3"/>
        <v>4</v>
      </c>
      <c r="H16" s="4">
        <f t="shared" si="4"/>
        <v>0.5</v>
      </c>
      <c r="I16" s="4">
        <f t="shared" si="5"/>
        <v>0.25</v>
      </c>
      <c r="J16" s="4">
        <f t="shared" si="6"/>
        <v>0.25</v>
      </c>
      <c r="K16" s="4">
        <f t="shared" si="7"/>
        <v>0</v>
      </c>
      <c r="L16" t="str">
        <f t="shared" si="8"/>
        <v>Agire entro l'anno</v>
      </c>
      <c r="M16">
        <f t="shared" si="9"/>
        <v>6</v>
      </c>
      <c r="N16">
        <f>IF($A16="",NA(),COUNTIF($C$4:C15,C16))</f>
        <v>1</v>
      </c>
      <c r="O16">
        <f t="shared" si="10"/>
        <v>2</v>
      </c>
      <c r="P16" s="4">
        <f t="shared" si="11"/>
        <v>6.0587858319231724</v>
      </c>
      <c r="Q16" s="4">
        <f t="shared" si="12"/>
        <v>2</v>
      </c>
      <c r="R16" s="4">
        <f t="shared" si="13"/>
        <v>-0.44504186791262929</v>
      </c>
      <c r="S16" s="4">
        <f t="shared" si="14"/>
        <v>1.949855824363647</v>
      </c>
      <c r="U16">
        <f>2*PI()*11/72</f>
        <v>0.95993108859688114</v>
      </c>
      <c r="V16">
        <f t="shared" si="15"/>
        <v>1.6383040885779834</v>
      </c>
      <c r="W16">
        <f t="shared" si="16"/>
        <v>1.1471528727020923</v>
      </c>
      <c r="X16">
        <f t="shared" si="17"/>
        <v>2.4574561328669748</v>
      </c>
      <c r="Y16">
        <f t="shared" si="18"/>
        <v>1.7207293090531386</v>
      </c>
      <c r="Z16">
        <f t="shared" si="19"/>
        <v>3.2766081771559668</v>
      </c>
      <c r="AA16">
        <f t="shared" si="20"/>
        <v>2.2943057454041846</v>
      </c>
      <c r="AB16">
        <f t="shared" si="21"/>
        <v>4.0957602214449587</v>
      </c>
      <c r="AC16">
        <f t="shared" si="22"/>
        <v>2.8678821817552307</v>
      </c>
      <c r="AE16">
        <f>6.3*SIN(2*PI()*5/ROWS(codiciL1))</f>
        <v>-6.1420458467454884</v>
      </c>
      <c r="AF16">
        <f>6.3*COS(2*PI()*5/ROWS(codiciL1))</f>
        <v>-1.401881883924782</v>
      </c>
      <c r="AL16" t="e">
        <f t="shared" si="23"/>
        <v>#N/A</v>
      </c>
      <c r="AM16" t="e">
        <f t="shared" si="23"/>
        <v>#N/A</v>
      </c>
      <c r="AN16" t="e">
        <f t="shared" si="23"/>
        <v>#N/A</v>
      </c>
      <c r="AO16" t="e">
        <f t="shared" si="23"/>
        <v>#N/A</v>
      </c>
      <c r="AP16" t="e">
        <f t="shared" si="23"/>
        <v>#N/A</v>
      </c>
      <c r="AQ16" t="e">
        <f t="shared" si="23"/>
        <v>#N/A</v>
      </c>
      <c r="AR16" t="e">
        <f t="shared" si="23"/>
        <v>#N/A</v>
      </c>
      <c r="AS16" t="e">
        <f t="shared" si="23"/>
        <v>#N/A</v>
      </c>
      <c r="AT16" t="e">
        <f t="shared" si="23"/>
        <v>#N/A</v>
      </c>
      <c r="AU16">
        <f t="shared" si="23"/>
        <v>1.949855824363647</v>
      </c>
      <c r="AV16" t="e">
        <f t="shared" si="23"/>
        <v>#N/A</v>
      </c>
      <c r="AW16" t="e">
        <f t="shared" si="23"/>
        <v>#N/A</v>
      </c>
      <c r="AX16" t="e">
        <f t="shared" si="23"/>
        <v>#N/A</v>
      </c>
      <c r="AY16" t="e">
        <f t="shared" si="23"/>
        <v>#N/A</v>
      </c>
    </row>
    <row r="17" spans="1:51" x14ac:dyDescent="0.4">
      <c r="A17" t="str">
        <f>IF(Parametri!$H16="","",Parametri!$H16)</f>
        <v/>
      </c>
      <c r="B17" t="str">
        <f>IF($A17="","",Parametri!$I16)</f>
        <v/>
      </c>
      <c r="C17" t="str">
        <f>IF($A17="","",Parametri!$J16)</f>
        <v/>
      </c>
      <c r="D17" t="e">
        <f t="shared" si="0"/>
        <v>#N/A</v>
      </c>
      <c r="E17" t="e">
        <f t="shared" si="1"/>
        <v>#N/A</v>
      </c>
      <c r="F17" t="e">
        <f t="shared" si="2"/>
        <v>#N/A</v>
      </c>
      <c r="G17" t="e">
        <f t="shared" si="3"/>
        <v>#N/A</v>
      </c>
      <c r="H17" s="4" t="e">
        <f t="shared" si="4"/>
        <v>#N/A</v>
      </c>
      <c r="I17" s="4" t="e">
        <f t="shared" si="5"/>
        <v>#N/A</v>
      </c>
      <c r="J17" s="4" t="e">
        <f t="shared" si="6"/>
        <v>#N/A</v>
      </c>
      <c r="K17" s="4" t="e">
        <f t="shared" si="7"/>
        <v>#N/A</v>
      </c>
      <c r="L17" t="str">
        <f t="shared" si="8"/>
        <v/>
      </c>
      <c r="M17" t="e">
        <f t="shared" si="9"/>
        <v>#N/A</v>
      </c>
      <c r="N17" t="e">
        <f>IF($A17="",NA(),COUNTIF($C$4:C16,C17))</f>
        <v>#N/A</v>
      </c>
      <c r="O17" t="e">
        <f t="shared" si="10"/>
        <v>#N/A</v>
      </c>
      <c r="P17" s="4" t="e">
        <f t="shared" si="11"/>
        <v>#N/A</v>
      </c>
      <c r="Q17" s="4" t="e">
        <f t="shared" si="12"/>
        <v>#N/A</v>
      </c>
      <c r="R17" s="4" t="e">
        <f t="shared" si="13"/>
        <v>#N/A</v>
      </c>
      <c r="S17" s="4" t="e">
        <f t="shared" si="14"/>
        <v>#N/A</v>
      </c>
      <c r="U17">
        <f>2*PI()*12/72</f>
        <v>1.0471975511965976</v>
      </c>
      <c r="V17">
        <f t="shared" si="15"/>
        <v>1.7320508075688772</v>
      </c>
      <c r="W17">
        <f t="shared" si="16"/>
        <v>1.0000000000000002</v>
      </c>
      <c r="X17">
        <f t="shared" si="17"/>
        <v>2.598076211353316</v>
      </c>
      <c r="Y17">
        <f t="shared" si="18"/>
        <v>1.5000000000000004</v>
      </c>
      <c r="Z17">
        <f t="shared" si="19"/>
        <v>3.4641016151377544</v>
      </c>
      <c r="AA17">
        <f t="shared" si="20"/>
        <v>2.0000000000000004</v>
      </c>
      <c r="AB17">
        <f t="shared" si="21"/>
        <v>4.3301270189221928</v>
      </c>
      <c r="AC17">
        <f t="shared" si="22"/>
        <v>2.5000000000000004</v>
      </c>
      <c r="AE17">
        <v>0</v>
      </c>
      <c r="AF17">
        <v>0</v>
      </c>
      <c r="AL17" t="e">
        <f t="shared" si="23"/>
        <v>#N/A</v>
      </c>
      <c r="AM17" t="e">
        <f t="shared" si="23"/>
        <v>#N/A</v>
      </c>
      <c r="AN17" t="e">
        <f t="shared" si="23"/>
        <v>#N/A</v>
      </c>
      <c r="AO17" t="e">
        <f t="shared" si="23"/>
        <v>#N/A</v>
      </c>
      <c r="AP17" t="e">
        <f t="shared" si="23"/>
        <v>#N/A</v>
      </c>
      <c r="AQ17" t="e">
        <f t="shared" si="23"/>
        <v>#N/A</v>
      </c>
      <c r="AR17" t="e">
        <f t="shared" si="23"/>
        <v>#N/A</v>
      </c>
      <c r="AS17" t="e">
        <f t="shared" si="23"/>
        <v>#N/A</v>
      </c>
      <c r="AT17" t="e">
        <f t="shared" si="23"/>
        <v>#N/A</v>
      </c>
      <c r="AU17" t="e">
        <f t="shared" si="23"/>
        <v>#N/A</v>
      </c>
      <c r="AV17" t="e">
        <f t="shared" si="23"/>
        <v>#N/A</v>
      </c>
      <c r="AW17" t="e">
        <f t="shared" si="23"/>
        <v>#N/A</v>
      </c>
      <c r="AX17" t="e">
        <f t="shared" si="23"/>
        <v>#N/A</v>
      </c>
      <c r="AY17" t="e">
        <f t="shared" si="23"/>
        <v>#N/A</v>
      </c>
    </row>
    <row r="18" spans="1:51" x14ac:dyDescent="0.4">
      <c r="A18" t="str">
        <f>IF(Parametri!$H17="","",Parametri!$H17)</f>
        <v/>
      </c>
      <c r="B18" t="str">
        <f>IF($A18="","",Parametri!$I17)</f>
        <v/>
      </c>
      <c r="C18" t="str">
        <f>IF($A18="","",Parametri!$J17)</f>
        <v/>
      </c>
      <c r="D18" t="e">
        <f t="shared" si="0"/>
        <v>#N/A</v>
      </c>
      <c r="E18" t="e">
        <f t="shared" si="1"/>
        <v>#N/A</v>
      </c>
      <c r="F18" t="e">
        <f t="shared" si="2"/>
        <v>#N/A</v>
      </c>
      <c r="G18" t="e">
        <f t="shared" si="3"/>
        <v>#N/A</v>
      </c>
      <c r="H18" s="4" t="e">
        <f t="shared" si="4"/>
        <v>#N/A</v>
      </c>
      <c r="I18" s="4" t="e">
        <f t="shared" si="5"/>
        <v>#N/A</v>
      </c>
      <c r="J18" s="4" t="e">
        <f t="shared" si="6"/>
        <v>#N/A</v>
      </c>
      <c r="K18" s="4" t="e">
        <f t="shared" si="7"/>
        <v>#N/A</v>
      </c>
      <c r="L18" t="str">
        <f t="shared" si="8"/>
        <v/>
      </c>
      <c r="M18" t="e">
        <f t="shared" si="9"/>
        <v>#N/A</v>
      </c>
      <c r="N18" t="e">
        <f>IF($A18="",NA(),COUNTIF($C$4:C17,C18))</f>
        <v>#N/A</v>
      </c>
      <c r="O18" t="e">
        <f t="shared" si="10"/>
        <v>#N/A</v>
      </c>
      <c r="P18" s="4" t="e">
        <f t="shared" si="11"/>
        <v>#N/A</v>
      </c>
      <c r="Q18" s="4" t="e">
        <f t="shared" si="12"/>
        <v>#N/A</v>
      </c>
      <c r="R18" s="4" t="e">
        <f t="shared" si="13"/>
        <v>#N/A</v>
      </c>
      <c r="S18" s="4" t="e">
        <f t="shared" si="14"/>
        <v>#N/A</v>
      </c>
      <c r="U18">
        <f>2*PI()*13/72</f>
        <v>1.1344640137963142</v>
      </c>
      <c r="V18">
        <f t="shared" si="15"/>
        <v>1.8126155740732999</v>
      </c>
      <c r="W18">
        <f t="shared" si="16"/>
        <v>0.84523652348139888</v>
      </c>
      <c r="X18">
        <f t="shared" si="17"/>
        <v>2.7189233611099497</v>
      </c>
      <c r="Y18">
        <f t="shared" si="18"/>
        <v>1.2678547852220983</v>
      </c>
      <c r="Z18">
        <f t="shared" si="19"/>
        <v>3.6252311481465997</v>
      </c>
      <c r="AA18">
        <f t="shared" si="20"/>
        <v>1.6904730469627978</v>
      </c>
      <c r="AB18">
        <f t="shared" si="21"/>
        <v>4.5315389351832494</v>
      </c>
      <c r="AC18">
        <f t="shared" si="22"/>
        <v>2.1130913087034973</v>
      </c>
      <c r="AE18">
        <f>6.3*SIN(2*PI()*6/ROWS(codiciL1))</f>
        <v>-4.9255383395485879</v>
      </c>
      <c r="AF18">
        <f>6.3*COS(2*PI()*6/ROWS(codiciL1))</f>
        <v>3.9279857517100201</v>
      </c>
      <c r="AL18" t="e">
        <f t="shared" si="23"/>
        <v>#N/A</v>
      </c>
      <c r="AM18" t="e">
        <f t="shared" si="23"/>
        <v>#N/A</v>
      </c>
      <c r="AN18" t="e">
        <f t="shared" si="23"/>
        <v>#N/A</v>
      </c>
      <c r="AO18" t="e">
        <f t="shared" si="23"/>
        <v>#N/A</v>
      </c>
      <c r="AP18" t="e">
        <f t="shared" si="23"/>
        <v>#N/A</v>
      </c>
      <c r="AQ18" t="e">
        <f t="shared" si="23"/>
        <v>#N/A</v>
      </c>
      <c r="AR18" t="e">
        <f t="shared" si="23"/>
        <v>#N/A</v>
      </c>
      <c r="AS18" t="e">
        <f t="shared" si="23"/>
        <v>#N/A</v>
      </c>
      <c r="AT18" t="e">
        <f t="shared" si="23"/>
        <v>#N/A</v>
      </c>
      <c r="AU18" t="e">
        <f t="shared" si="23"/>
        <v>#N/A</v>
      </c>
      <c r="AV18" t="e">
        <f t="shared" si="23"/>
        <v>#N/A</v>
      </c>
      <c r="AW18" t="e">
        <f t="shared" si="23"/>
        <v>#N/A</v>
      </c>
      <c r="AX18" t="e">
        <f t="shared" si="23"/>
        <v>#N/A</v>
      </c>
      <c r="AY18" t="e">
        <f t="shared" si="23"/>
        <v>#N/A</v>
      </c>
    </row>
    <row r="19" spans="1:51" x14ac:dyDescent="0.4">
      <c r="A19" t="str">
        <f>IF(Parametri!$H18="","",Parametri!$H18)</f>
        <v/>
      </c>
      <c r="B19" t="str">
        <f>IF($A19="","",Parametri!$I18)</f>
        <v/>
      </c>
      <c r="C19" t="str">
        <f>IF($A19="","",Parametri!$J18)</f>
        <v/>
      </c>
      <c r="D19" t="e">
        <f t="shared" si="0"/>
        <v>#N/A</v>
      </c>
      <c r="E19" t="e">
        <f t="shared" si="1"/>
        <v>#N/A</v>
      </c>
      <c r="F19" t="e">
        <f t="shared" si="2"/>
        <v>#N/A</v>
      </c>
      <c r="G19" t="e">
        <f t="shared" si="3"/>
        <v>#N/A</v>
      </c>
      <c r="H19" s="4" t="e">
        <f t="shared" si="4"/>
        <v>#N/A</v>
      </c>
      <c r="I19" s="4" t="e">
        <f t="shared" si="5"/>
        <v>#N/A</v>
      </c>
      <c r="J19" s="4" t="e">
        <f t="shared" si="6"/>
        <v>#N/A</v>
      </c>
      <c r="K19" s="4" t="e">
        <f t="shared" si="7"/>
        <v>#N/A</v>
      </c>
      <c r="L19" t="str">
        <f t="shared" si="8"/>
        <v/>
      </c>
      <c r="M19" t="e">
        <f t="shared" si="9"/>
        <v>#N/A</v>
      </c>
      <c r="N19" t="e">
        <f>IF($A19="",NA(),COUNTIF($C$4:C18,C19))</f>
        <v>#N/A</v>
      </c>
      <c r="O19" t="e">
        <f t="shared" si="10"/>
        <v>#N/A</v>
      </c>
      <c r="P19" s="4" t="e">
        <f t="shared" si="11"/>
        <v>#N/A</v>
      </c>
      <c r="Q19" s="4" t="e">
        <f t="shared" si="12"/>
        <v>#N/A</v>
      </c>
      <c r="R19" s="4" t="e">
        <f t="shared" si="13"/>
        <v>#N/A</v>
      </c>
      <c r="S19" s="4" t="e">
        <f t="shared" si="14"/>
        <v>#N/A</v>
      </c>
      <c r="U19">
        <f>2*PI()*14/72</f>
        <v>1.2217304763960306</v>
      </c>
      <c r="V19">
        <f t="shared" si="15"/>
        <v>1.8793852415718166</v>
      </c>
      <c r="W19">
        <f t="shared" si="16"/>
        <v>0.68404028665133765</v>
      </c>
      <c r="X19">
        <f t="shared" si="17"/>
        <v>2.8190778623577248</v>
      </c>
      <c r="Y19">
        <f t="shared" si="18"/>
        <v>1.0260604299770064</v>
      </c>
      <c r="Z19">
        <f t="shared" si="19"/>
        <v>3.7587704831436333</v>
      </c>
      <c r="AA19">
        <f t="shared" si="20"/>
        <v>1.3680805733026753</v>
      </c>
      <c r="AB19">
        <f t="shared" si="21"/>
        <v>4.6984631039295417</v>
      </c>
      <c r="AC19">
        <f t="shared" si="22"/>
        <v>1.7101007166283442</v>
      </c>
      <c r="AL19" t="e">
        <f t="shared" si="23"/>
        <v>#N/A</v>
      </c>
      <c r="AM19" t="e">
        <f t="shared" si="23"/>
        <v>#N/A</v>
      </c>
      <c r="AN19" t="e">
        <f t="shared" si="23"/>
        <v>#N/A</v>
      </c>
      <c r="AO19" t="e">
        <f t="shared" si="23"/>
        <v>#N/A</v>
      </c>
      <c r="AP19" t="e">
        <f t="shared" si="23"/>
        <v>#N/A</v>
      </c>
      <c r="AQ19" t="e">
        <f t="shared" si="23"/>
        <v>#N/A</v>
      </c>
      <c r="AR19" t="e">
        <f t="shared" si="23"/>
        <v>#N/A</v>
      </c>
      <c r="AS19" t="e">
        <f t="shared" si="23"/>
        <v>#N/A</v>
      </c>
      <c r="AT19" t="e">
        <f t="shared" si="23"/>
        <v>#N/A</v>
      </c>
      <c r="AU19" t="e">
        <f t="shared" si="23"/>
        <v>#N/A</v>
      </c>
      <c r="AV19" t="e">
        <f t="shared" si="23"/>
        <v>#N/A</v>
      </c>
      <c r="AW19" t="e">
        <f t="shared" si="23"/>
        <v>#N/A</v>
      </c>
      <c r="AX19" t="e">
        <f t="shared" si="23"/>
        <v>#N/A</v>
      </c>
      <c r="AY19" t="e">
        <f t="shared" si="23"/>
        <v>#N/A</v>
      </c>
    </row>
    <row r="20" spans="1:51" x14ac:dyDescent="0.4">
      <c r="U20">
        <f>2*PI()*15/72</f>
        <v>1.308996938995747</v>
      </c>
      <c r="V20">
        <f t="shared" si="15"/>
        <v>1.9318516525781364</v>
      </c>
      <c r="W20">
        <f t="shared" si="16"/>
        <v>0.51763809020504192</v>
      </c>
      <c r="X20">
        <f t="shared" si="17"/>
        <v>2.8977774788672046</v>
      </c>
      <c r="Y20">
        <f t="shared" si="18"/>
        <v>0.77645713530756288</v>
      </c>
      <c r="Z20">
        <f t="shared" si="19"/>
        <v>3.8637033051562728</v>
      </c>
      <c r="AA20">
        <f t="shared" si="20"/>
        <v>1.0352761804100838</v>
      </c>
      <c r="AB20">
        <f t="shared" si="21"/>
        <v>4.8296291314453406</v>
      </c>
      <c r="AC20">
        <f t="shared" si="22"/>
        <v>1.2940952255126048</v>
      </c>
    </row>
    <row r="21" spans="1:51" x14ac:dyDescent="0.4">
      <c r="A21" s="3" t="s">
        <v>83</v>
      </c>
      <c r="U21">
        <f>2*PI()*16/72</f>
        <v>1.3962634015954636</v>
      </c>
      <c r="V21">
        <f t="shared" si="15"/>
        <v>1.969615506024416</v>
      </c>
      <c r="W21">
        <f t="shared" si="16"/>
        <v>0.34729635533386083</v>
      </c>
      <c r="X21">
        <f t="shared" si="17"/>
        <v>2.9544232590366239</v>
      </c>
      <c r="Y21">
        <f t="shared" si="18"/>
        <v>0.52094453300079124</v>
      </c>
      <c r="Z21">
        <f t="shared" si="19"/>
        <v>3.9392310120488321</v>
      </c>
      <c r="AA21">
        <f t="shared" si="20"/>
        <v>0.69459271066772166</v>
      </c>
      <c r="AB21">
        <f t="shared" si="21"/>
        <v>4.9240387650610398</v>
      </c>
      <c r="AC21">
        <f t="shared" si="22"/>
        <v>0.86824088833465207</v>
      </c>
    </row>
    <row r="22" spans="1:51" x14ac:dyDescent="0.4">
      <c r="U22">
        <f>2*PI()*17/72</f>
        <v>1.4835298641951802</v>
      </c>
      <c r="V22">
        <f t="shared" si="15"/>
        <v>1.9923893961834911</v>
      </c>
      <c r="W22">
        <f t="shared" si="16"/>
        <v>0.17431148549531628</v>
      </c>
      <c r="X22">
        <f t="shared" si="17"/>
        <v>2.9885840942752369</v>
      </c>
      <c r="Y22">
        <f t="shared" si="18"/>
        <v>0.26146722824297441</v>
      </c>
      <c r="Z22">
        <f t="shared" si="19"/>
        <v>3.9847787923669822</v>
      </c>
      <c r="AA22">
        <f t="shared" si="20"/>
        <v>0.34862297099063255</v>
      </c>
      <c r="AB22">
        <f t="shared" si="21"/>
        <v>4.9809734904587275</v>
      </c>
      <c r="AC22">
        <f t="shared" si="22"/>
        <v>0.43577871373829069</v>
      </c>
    </row>
    <row r="23" spans="1:51" x14ac:dyDescent="0.4">
      <c r="U23">
        <f>2*PI()*18/72</f>
        <v>1.5707963267948966</v>
      </c>
      <c r="V23">
        <f t="shared" si="15"/>
        <v>2</v>
      </c>
      <c r="W23">
        <f t="shared" si="16"/>
        <v>1.22514845490862E-16</v>
      </c>
      <c r="X23">
        <f t="shared" si="17"/>
        <v>3</v>
      </c>
      <c r="Y23">
        <f t="shared" si="18"/>
        <v>1.83772268236293E-16</v>
      </c>
      <c r="Z23">
        <f t="shared" si="19"/>
        <v>4</v>
      </c>
      <c r="AA23">
        <f t="shared" si="20"/>
        <v>2.45029690981724E-16</v>
      </c>
      <c r="AB23">
        <f t="shared" si="21"/>
        <v>5</v>
      </c>
      <c r="AC23">
        <f t="shared" si="22"/>
        <v>3.06287113727155E-16</v>
      </c>
    </row>
    <row r="24" spans="1:51" x14ac:dyDescent="0.4">
      <c r="U24">
        <f>2*PI()*19/72</f>
        <v>1.6580627893946129</v>
      </c>
      <c r="V24">
        <f t="shared" si="15"/>
        <v>1.9923893961834911</v>
      </c>
      <c r="W24">
        <f t="shared" si="16"/>
        <v>-0.17431148549531603</v>
      </c>
      <c r="X24">
        <f t="shared" si="17"/>
        <v>2.9885840942752369</v>
      </c>
      <c r="Y24">
        <f t="shared" si="18"/>
        <v>-0.26146722824297403</v>
      </c>
      <c r="Z24">
        <f t="shared" si="19"/>
        <v>3.9847787923669822</v>
      </c>
      <c r="AA24">
        <f t="shared" si="20"/>
        <v>-0.34862297099063205</v>
      </c>
      <c r="AB24">
        <f t="shared" si="21"/>
        <v>4.9809734904587275</v>
      </c>
      <c r="AC24">
        <f t="shared" si="22"/>
        <v>-0.43577871373829008</v>
      </c>
    </row>
    <row r="25" spans="1:51" x14ac:dyDescent="0.4">
      <c r="U25">
        <f>2*PI()*20/72</f>
        <v>1.7453292519943295</v>
      </c>
      <c r="V25">
        <f t="shared" si="15"/>
        <v>1.969615506024416</v>
      </c>
      <c r="W25">
        <f t="shared" si="16"/>
        <v>-0.34729635533386061</v>
      </c>
      <c r="X25">
        <f t="shared" si="17"/>
        <v>2.9544232590366239</v>
      </c>
      <c r="Y25">
        <f t="shared" si="18"/>
        <v>-0.52094453300079091</v>
      </c>
      <c r="Z25">
        <f t="shared" si="19"/>
        <v>3.9392310120488321</v>
      </c>
      <c r="AA25">
        <f t="shared" si="20"/>
        <v>-0.69459271066772121</v>
      </c>
      <c r="AB25">
        <f t="shared" si="21"/>
        <v>4.9240387650610398</v>
      </c>
      <c r="AC25">
        <f t="shared" si="22"/>
        <v>-0.86824088833465152</v>
      </c>
    </row>
    <row r="26" spans="1:51" x14ac:dyDescent="0.4">
      <c r="U26">
        <f>2*PI()*21/72</f>
        <v>1.8325957145940461</v>
      </c>
      <c r="V26">
        <f t="shared" si="15"/>
        <v>1.9318516525781366</v>
      </c>
      <c r="W26">
        <f t="shared" si="16"/>
        <v>-0.5176380902050417</v>
      </c>
      <c r="X26">
        <f t="shared" si="17"/>
        <v>2.897777478867205</v>
      </c>
      <c r="Y26">
        <f t="shared" si="18"/>
        <v>-0.77645713530756255</v>
      </c>
      <c r="Z26">
        <f t="shared" si="19"/>
        <v>3.8637033051562732</v>
      </c>
      <c r="AA26">
        <f t="shared" si="20"/>
        <v>-1.0352761804100834</v>
      </c>
      <c r="AB26">
        <f t="shared" si="21"/>
        <v>4.8296291314453415</v>
      </c>
      <c r="AC26">
        <f t="shared" si="22"/>
        <v>-1.2940952255126041</v>
      </c>
    </row>
    <row r="27" spans="1:51" x14ac:dyDescent="0.4">
      <c r="U27">
        <f>2*PI()*22/72</f>
        <v>1.9198621771937623</v>
      </c>
      <c r="V27">
        <f t="shared" si="15"/>
        <v>1.8793852415718169</v>
      </c>
      <c r="W27">
        <f t="shared" si="16"/>
        <v>-0.68404028665133698</v>
      </c>
      <c r="X27">
        <f t="shared" si="17"/>
        <v>2.8190778623577253</v>
      </c>
      <c r="Y27">
        <f t="shared" si="18"/>
        <v>-1.0260604299770055</v>
      </c>
      <c r="Z27">
        <f t="shared" si="19"/>
        <v>3.7587704831436337</v>
      </c>
      <c r="AA27">
        <f t="shared" si="20"/>
        <v>-1.368080573302674</v>
      </c>
      <c r="AB27">
        <f t="shared" si="21"/>
        <v>4.6984631039295426</v>
      </c>
      <c r="AC27">
        <f t="shared" si="22"/>
        <v>-1.7101007166283424</v>
      </c>
    </row>
    <row r="28" spans="1:51" x14ac:dyDescent="0.4">
      <c r="U28">
        <f>2*PI()*23/72</f>
        <v>2.0071286397934789</v>
      </c>
      <c r="V28">
        <f t="shared" si="15"/>
        <v>1.8126155740733001</v>
      </c>
      <c r="W28">
        <f t="shared" si="16"/>
        <v>-0.84523652348139866</v>
      </c>
      <c r="X28">
        <f t="shared" si="17"/>
        <v>2.7189233611099501</v>
      </c>
      <c r="Y28">
        <f t="shared" si="18"/>
        <v>-1.267854785222098</v>
      </c>
      <c r="Z28">
        <f t="shared" si="19"/>
        <v>3.6252311481466002</v>
      </c>
      <c r="AA28">
        <f t="shared" si="20"/>
        <v>-1.6904730469627973</v>
      </c>
      <c r="AB28">
        <f t="shared" si="21"/>
        <v>4.5315389351832502</v>
      </c>
      <c r="AC28">
        <f t="shared" si="22"/>
        <v>-2.1130913087034968</v>
      </c>
    </row>
    <row r="29" spans="1:51" x14ac:dyDescent="0.4">
      <c r="U29">
        <f>2*PI()*24/72</f>
        <v>2.0943951023931953</v>
      </c>
      <c r="V29">
        <f t="shared" si="15"/>
        <v>1.7320508075688774</v>
      </c>
      <c r="W29">
        <f t="shared" si="16"/>
        <v>-0.99999999999999956</v>
      </c>
      <c r="X29">
        <f t="shared" si="17"/>
        <v>2.598076211353316</v>
      </c>
      <c r="Y29">
        <f t="shared" si="18"/>
        <v>-1.4999999999999993</v>
      </c>
      <c r="Z29">
        <f t="shared" si="19"/>
        <v>3.4641016151377548</v>
      </c>
      <c r="AA29">
        <f t="shared" si="20"/>
        <v>-1.9999999999999991</v>
      </c>
      <c r="AB29">
        <f t="shared" si="21"/>
        <v>4.3301270189221936</v>
      </c>
      <c r="AC29">
        <f t="shared" si="22"/>
        <v>-2.4999999999999991</v>
      </c>
    </row>
    <row r="30" spans="1:51" x14ac:dyDescent="0.4">
      <c r="U30">
        <f>2*PI()*25/72</f>
        <v>2.1816615649929121</v>
      </c>
      <c r="V30">
        <f t="shared" si="15"/>
        <v>1.6383040885779834</v>
      </c>
      <c r="W30">
        <f t="shared" si="16"/>
        <v>-1.1471528727020923</v>
      </c>
      <c r="X30">
        <f t="shared" si="17"/>
        <v>2.4574561328669748</v>
      </c>
      <c r="Y30">
        <f t="shared" si="18"/>
        <v>-1.7207293090531386</v>
      </c>
      <c r="Z30">
        <f t="shared" si="19"/>
        <v>3.2766081771559668</v>
      </c>
      <c r="AA30">
        <f t="shared" si="20"/>
        <v>-2.2943057454041846</v>
      </c>
      <c r="AB30">
        <f t="shared" si="21"/>
        <v>4.0957602214449587</v>
      </c>
      <c r="AC30">
        <f t="shared" si="22"/>
        <v>-2.8678821817552307</v>
      </c>
    </row>
    <row r="31" spans="1:51" x14ac:dyDescent="0.4">
      <c r="U31">
        <f>2*PI()*26/72</f>
        <v>2.2689280275926285</v>
      </c>
      <c r="V31">
        <f t="shared" si="15"/>
        <v>1.532088886237956</v>
      </c>
      <c r="W31">
        <f t="shared" si="16"/>
        <v>-1.2855752193730787</v>
      </c>
      <c r="X31">
        <f t="shared" si="17"/>
        <v>2.2981333293569342</v>
      </c>
      <c r="Y31">
        <f t="shared" si="18"/>
        <v>-1.9283628290596182</v>
      </c>
      <c r="Z31">
        <f t="shared" si="19"/>
        <v>3.0641777724759121</v>
      </c>
      <c r="AA31">
        <f t="shared" si="20"/>
        <v>-2.5711504387461575</v>
      </c>
      <c r="AB31">
        <f t="shared" si="21"/>
        <v>3.83022221559489</v>
      </c>
      <c r="AC31">
        <f t="shared" si="22"/>
        <v>-3.2139380484326967</v>
      </c>
    </row>
    <row r="32" spans="1:51" x14ac:dyDescent="0.4">
      <c r="U32">
        <f>2*PI()*27/72</f>
        <v>2.3561944901923448</v>
      </c>
      <c r="V32">
        <f t="shared" si="15"/>
        <v>1.4142135623730951</v>
      </c>
      <c r="W32">
        <f t="shared" si="16"/>
        <v>-1.4142135623730949</v>
      </c>
      <c r="X32">
        <f t="shared" si="17"/>
        <v>2.1213203435596428</v>
      </c>
      <c r="Y32">
        <f t="shared" si="18"/>
        <v>-2.1213203435596424</v>
      </c>
      <c r="Z32">
        <f t="shared" si="19"/>
        <v>2.8284271247461903</v>
      </c>
      <c r="AA32">
        <f t="shared" si="20"/>
        <v>-2.8284271247461898</v>
      </c>
      <c r="AB32">
        <f t="shared" si="21"/>
        <v>3.5355339059327378</v>
      </c>
      <c r="AC32">
        <f t="shared" si="22"/>
        <v>-3.5355339059327373</v>
      </c>
    </row>
    <row r="33" spans="21:29" x14ac:dyDescent="0.4">
      <c r="U33">
        <f>2*PI()*28/72</f>
        <v>2.4434609527920612</v>
      </c>
      <c r="V33">
        <f t="shared" si="15"/>
        <v>1.2855752193730789</v>
      </c>
      <c r="W33">
        <f t="shared" si="16"/>
        <v>-1.5320888862379558</v>
      </c>
      <c r="X33">
        <f t="shared" si="17"/>
        <v>1.9283628290596184</v>
      </c>
      <c r="Y33">
        <f t="shared" si="18"/>
        <v>-2.2981333293569337</v>
      </c>
      <c r="Z33">
        <f t="shared" si="19"/>
        <v>2.5711504387461579</v>
      </c>
      <c r="AA33">
        <f t="shared" si="20"/>
        <v>-3.0641777724759116</v>
      </c>
      <c r="AB33">
        <f t="shared" si="21"/>
        <v>3.2139380484326976</v>
      </c>
      <c r="AC33">
        <f t="shared" si="22"/>
        <v>-3.8302222155948895</v>
      </c>
    </row>
    <row r="34" spans="21:29" x14ac:dyDescent="0.4">
      <c r="U34">
        <f>2*PI()*29/72</f>
        <v>2.530727415391778</v>
      </c>
      <c r="V34">
        <f t="shared" si="15"/>
        <v>1.1471528727020919</v>
      </c>
      <c r="W34">
        <f t="shared" si="16"/>
        <v>-1.6383040885779838</v>
      </c>
      <c r="X34">
        <f t="shared" si="17"/>
        <v>1.7207293090531377</v>
      </c>
      <c r="Y34">
        <f t="shared" si="18"/>
        <v>-2.4574561328669757</v>
      </c>
      <c r="Z34">
        <f t="shared" si="19"/>
        <v>2.2943057454041837</v>
      </c>
      <c r="AA34">
        <f t="shared" si="20"/>
        <v>-3.2766081771559676</v>
      </c>
      <c r="AB34">
        <f t="shared" si="21"/>
        <v>2.8678821817552298</v>
      </c>
      <c r="AC34">
        <f t="shared" si="22"/>
        <v>-4.0957602214449595</v>
      </c>
    </row>
    <row r="35" spans="21:29" x14ac:dyDescent="0.4">
      <c r="U35">
        <f>2*PI()*30/72</f>
        <v>2.617993877991494</v>
      </c>
      <c r="V35">
        <f t="shared" si="15"/>
        <v>1.0000000000000007</v>
      </c>
      <c r="W35">
        <f t="shared" si="16"/>
        <v>-1.732050807568877</v>
      </c>
      <c r="X35">
        <f t="shared" si="17"/>
        <v>1.5000000000000009</v>
      </c>
      <c r="Y35">
        <f t="shared" si="18"/>
        <v>-2.5980762113533156</v>
      </c>
      <c r="Z35">
        <f t="shared" si="19"/>
        <v>2.0000000000000013</v>
      </c>
      <c r="AA35">
        <f t="shared" si="20"/>
        <v>-3.4641016151377539</v>
      </c>
      <c r="AB35">
        <f t="shared" si="21"/>
        <v>2.5000000000000018</v>
      </c>
      <c r="AC35">
        <f t="shared" si="22"/>
        <v>-4.3301270189221928</v>
      </c>
    </row>
    <row r="36" spans="21:29" x14ac:dyDescent="0.4">
      <c r="U36">
        <f>2*PI()*31/72</f>
        <v>2.7052603405912108</v>
      </c>
      <c r="V36">
        <f t="shared" si="15"/>
        <v>0.84523652348139899</v>
      </c>
      <c r="W36">
        <f t="shared" si="16"/>
        <v>-1.8126155740732999</v>
      </c>
      <c r="X36">
        <f t="shared" si="17"/>
        <v>1.2678547852220985</v>
      </c>
      <c r="Y36">
        <f t="shared" si="18"/>
        <v>-2.7189233611099497</v>
      </c>
      <c r="Z36">
        <f t="shared" si="19"/>
        <v>1.690473046962798</v>
      </c>
      <c r="AA36">
        <f t="shared" si="20"/>
        <v>-3.6252311481465997</v>
      </c>
      <c r="AB36">
        <f t="shared" si="21"/>
        <v>2.1130913087034973</v>
      </c>
      <c r="AC36">
        <f t="shared" si="22"/>
        <v>-4.5315389351832494</v>
      </c>
    </row>
    <row r="37" spans="21:29" x14ac:dyDescent="0.4">
      <c r="U37">
        <f>2*PI()*32/72</f>
        <v>2.7925268031909272</v>
      </c>
      <c r="V37">
        <f t="shared" ref="V37:V68" si="24">2*SIN($U37)</f>
        <v>0.68404028665133776</v>
      </c>
      <c r="W37">
        <f t="shared" ref="W37:W68" si="25">2*COS($U37)</f>
        <v>-1.8793852415718166</v>
      </c>
      <c r="X37">
        <f t="shared" ref="X37:X68" si="26">3*SIN($U37)</f>
        <v>1.0260604299770066</v>
      </c>
      <c r="Y37">
        <f t="shared" ref="Y37:Y68" si="27">3*COS($U37)</f>
        <v>-2.8190778623577248</v>
      </c>
      <c r="Z37">
        <f t="shared" ref="Z37:Z68" si="28">4*SIN($U37)</f>
        <v>1.3680805733026755</v>
      </c>
      <c r="AA37">
        <f t="shared" ref="AA37:AA68" si="29">4*COS($U37)</f>
        <v>-3.7587704831436333</v>
      </c>
      <c r="AB37">
        <f t="shared" ref="AB37:AB68" si="30">5*SIN($U37)</f>
        <v>1.7101007166283444</v>
      </c>
      <c r="AC37">
        <f t="shared" ref="AC37:AC68" si="31">5*COS($U37)</f>
        <v>-4.6984631039295417</v>
      </c>
    </row>
    <row r="38" spans="21:29" x14ac:dyDescent="0.4">
      <c r="U38">
        <f>2*PI()*33/72</f>
        <v>2.879793265790644</v>
      </c>
      <c r="V38">
        <f t="shared" si="24"/>
        <v>0.51763809020504115</v>
      </c>
      <c r="W38">
        <f t="shared" si="25"/>
        <v>-1.9318516525781366</v>
      </c>
      <c r="X38">
        <f t="shared" si="26"/>
        <v>0.77645713530756177</v>
      </c>
      <c r="Y38">
        <f t="shared" si="27"/>
        <v>-2.897777478867205</v>
      </c>
      <c r="Z38">
        <f t="shared" si="28"/>
        <v>1.0352761804100823</v>
      </c>
      <c r="AA38">
        <f t="shared" si="29"/>
        <v>-3.8637033051562732</v>
      </c>
      <c r="AB38">
        <f t="shared" si="30"/>
        <v>1.2940952255126028</v>
      </c>
      <c r="AC38">
        <f t="shared" si="31"/>
        <v>-4.8296291314453415</v>
      </c>
    </row>
    <row r="39" spans="21:29" x14ac:dyDescent="0.4">
      <c r="U39">
        <f>2*PI()*34/72</f>
        <v>2.9670597283903604</v>
      </c>
      <c r="V39">
        <f t="shared" si="24"/>
        <v>0.34729635533386055</v>
      </c>
      <c r="W39">
        <f t="shared" si="25"/>
        <v>-1.969615506024416</v>
      </c>
      <c r="X39">
        <f t="shared" si="26"/>
        <v>0.5209445330007908</v>
      </c>
      <c r="Y39">
        <f t="shared" si="27"/>
        <v>-2.9544232590366239</v>
      </c>
      <c r="Z39">
        <f t="shared" si="28"/>
        <v>0.6945927106677211</v>
      </c>
      <c r="AA39">
        <f t="shared" si="29"/>
        <v>-3.9392310120488321</v>
      </c>
      <c r="AB39">
        <f t="shared" si="30"/>
        <v>0.86824088833465141</v>
      </c>
      <c r="AC39">
        <f t="shared" si="31"/>
        <v>-4.9240387650610398</v>
      </c>
    </row>
    <row r="40" spans="21:29" x14ac:dyDescent="0.4">
      <c r="U40">
        <f>2*PI()*35/72</f>
        <v>3.0543261909900767</v>
      </c>
      <c r="V40">
        <f t="shared" si="24"/>
        <v>0.17431148549531639</v>
      </c>
      <c r="W40">
        <f t="shared" si="25"/>
        <v>-1.9923893961834911</v>
      </c>
      <c r="X40">
        <f t="shared" si="26"/>
        <v>0.26146722824297458</v>
      </c>
      <c r="Y40">
        <f t="shared" si="27"/>
        <v>-2.9885840942752369</v>
      </c>
      <c r="Z40">
        <f t="shared" si="28"/>
        <v>0.34862297099063277</v>
      </c>
      <c r="AA40">
        <f t="shared" si="29"/>
        <v>-3.9847787923669822</v>
      </c>
      <c r="AB40">
        <f t="shared" si="30"/>
        <v>0.43577871373829097</v>
      </c>
      <c r="AC40">
        <f t="shared" si="31"/>
        <v>-4.9809734904587275</v>
      </c>
    </row>
    <row r="41" spans="21:29" x14ac:dyDescent="0.4">
      <c r="U41">
        <f>2*PI()*36/72</f>
        <v>3.1415926535897931</v>
      </c>
      <c r="V41">
        <f t="shared" si="24"/>
        <v>2.45029690981724E-16</v>
      </c>
      <c r="W41">
        <f t="shared" si="25"/>
        <v>-2</v>
      </c>
      <c r="X41">
        <f t="shared" si="26"/>
        <v>3.67544536472586E-16</v>
      </c>
      <c r="Y41">
        <f t="shared" si="27"/>
        <v>-3</v>
      </c>
      <c r="Z41">
        <f t="shared" si="28"/>
        <v>4.90059381963448E-16</v>
      </c>
      <c r="AA41">
        <f t="shared" si="29"/>
        <v>-4</v>
      </c>
      <c r="AB41">
        <f t="shared" si="30"/>
        <v>6.1257422745431001E-16</v>
      </c>
      <c r="AC41">
        <f t="shared" si="31"/>
        <v>-5</v>
      </c>
    </row>
    <row r="42" spans="21:29" x14ac:dyDescent="0.4">
      <c r="U42">
        <f>2*PI()*37/72</f>
        <v>3.2288591161895095</v>
      </c>
      <c r="V42">
        <f t="shared" si="24"/>
        <v>-0.17431148549531589</v>
      </c>
      <c r="W42">
        <f t="shared" si="25"/>
        <v>-1.9923893961834911</v>
      </c>
      <c r="X42">
        <f t="shared" si="26"/>
        <v>-0.26146722824297386</v>
      </c>
      <c r="Y42">
        <f t="shared" si="27"/>
        <v>-2.9885840942752369</v>
      </c>
      <c r="Z42">
        <f t="shared" si="28"/>
        <v>-0.34862297099063178</v>
      </c>
      <c r="AA42">
        <f t="shared" si="29"/>
        <v>-3.9847787923669822</v>
      </c>
      <c r="AB42">
        <f t="shared" si="30"/>
        <v>-0.43577871373828969</v>
      </c>
      <c r="AC42">
        <f t="shared" si="31"/>
        <v>-4.9809734904587275</v>
      </c>
    </row>
    <row r="43" spans="21:29" x14ac:dyDescent="0.4">
      <c r="U43">
        <f>2*PI()*38/72</f>
        <v>3.3161255787892259</v>
      </c>
      <c r="V43">
        <f t="shared" si="24"/>
        <v>-0.34729635533386005</v>
      </c>
      <c r="W43">
        <f t="shared" si="25"/>
        <v>-1.9696155060244163</v>
      </c>
      <c r="X43">
        <f t="shared" si="26"/>
        <v>-0.52094453300079002</v>
      </c>
      <c r="Y43">
        <f t="shared" si="27"/>
        <v>-2.9544232590366244</v>
      </c>
      <c r="Z43">
        <f t="shared" si="28"/>
        <v>-0.6945927106677201</v>
      </c>
      <c r="AA43">
        <f t="shared" si="29"/>
        <v>-3.9392310120488325</v>
      </c>
      <c r="AB43">
        <f t="shared" si="30"/>
        <v>-0.86824088833465018</v>
      </c>
      <c r="AC43">
        <f t="shared" si="31"/>
        <v>-4.9240387650610407</v>
      </c>
    </row>
    <row r="44" spans="21:29" x14ac:dyDescent="0.4">
      <c r="U44">
        <f>2*PI()*39/72</f>
        <v>3.4033920413889422</v>
      </c>
      <c r="V44">
        <f t="shared" si="24"/>
        <v>-0.5176380902050407</v>
      </c>
      <c r="W44">
        <f t="shared" si="25"/>
        <v>-1.9318516525781368</v>
      </c>
      <c r="X44">
        <f t="shared" si="26"/>
        <v>-0.77645713530756111</v>
      </c>
      <c r="Y44">
        <f t="shared" si="27"/>
        <v>-2.897777478867205</v>
      </c>
      <c r="Z44">
        <f t="shared" si="28"/>
        <v>-1.0352761804100814</v>
      </c>
      <c r="AA44">
        <f t="shared" si="29"/>
        <v>-3.8637033051562737</v>
      </c>
      <c r="AB44">
        <f t="shared" si="30"/>
        <v>-1.2940952255126017</v>
      </c>
      <c r="AC44">
        <f t="shared" si="31"/>
        <v>-4.8296291314453423</v>
      </c>
    </row>
    <row r="45" spans="21:29" x14ac:dyDescent="0.4">
      <c r="U45">
        <f>2*PI()*40/72</f>
        <v>3.4906585039886591</v>
      </c>
      <c r="V45">
        <f t="shared" si="24"/>
        <v>-0.68404028665133731</v>
      </c>
      <c r="W45">
        <f t="shared" si="25"/>
        <v>-1.8793852415718169</v>
      </c>
      <c r="X45">
        <f t="shared" si="26"/>
        <v>-1.026060429977006</v>
      </c>
      <c r="Y45">
        <f t="shared" si="27"/>
        <v>-2.8190778623577253</v>
      </c>
      <c r="Z45">
        <f t="shared" si="28"/>
        <v>-1.3680805733026746</v>
      </c>
      <c r="AA45">
        <f t="shared" si="29"/>
        <v>-3.7587704831436337</v>
      </c>
      <c r="AB45">
        <f t="shared" si="30"/>
        <v>-1.7101007166283433</v>
      </c>
      <c r="AC45">
        <f t="shared" si="31"/>
        <v>-4.6984631039295426</v>
      </c>
    </row>
    <row r="46" spans="21:29" x14ac:dyDescent="0.4">
      <c r="U46">
        <f>2*PI()*41/72</f>
        <v>3.577924966588375</v>
      </c>
      <c r="V46">
        <f t="shared" si="24"/>
        <v>-0.84523652348139777</v>
      </c>
      <c r="W46">
        <f t="shared" si="25"/>
        <v>-1.8126155740733005</v>
      </c>
      <c r="X46">
        <f t="shared" si="26"/>
        <v>-1.2678547852220967</v>
      </c>
      <c r="Y46">
        <f t="shared" si="27"/>
        <v>-2.718923361109951</v>
      </c>
      <c r="Z46">
        <f t="shared" si="28"/>
        <v>-1.6904730469627955</v>
      </c>
      <c r="AA46">
        <f t="shared" si="29"/>
        <v>-3.6252311481466011</v>
      </c>
      <c r="AB46">
        <f t="shared" si="30"/>
        <v>-2.1130913087034946</v>
      </c>
      <c r="AC46">
        <f t="shared" si="31"/>
        <v>-4.5315389351832511</v>
      </c>
    </row>
    <row r="47" spans="21:29" x14ac:dyDescent="0.4">
      <c r="U47">
        <f>2*PI()*42/72</f>
        <v>3.6651914291880923</v>
      </c>
      <c r="V47">
        <f t="shared" si="24"/>
        <v>-1.0000000000000002</v>
      </c>
      <c r="W47">
        <f t="shared" si="25"/>
        <v>-1.7320508075688772</v>
      </c>
      <c r="X47">
        <f t="shared" si="26"/>
        <v>-1.5000000000000004</v>
      </c>
      <c r="Y47">
        <f t="shared" si="27"/>
        <v>-2.598076211353316</v>
      </c>
      <c r="Z47">
        <f t="shared" si="28"/>
        <v>-2.0000000000000004</v>
      </c>
      <c r="AA47">
        <f t="shared" si="29"/>
        <v>-3.4641016151377544</v>
      </c>
      <c r="AB47">
        <f t="shared" si="30"/>
        <v>-2.5000000000000004</v>
      </c>
      <c r="AC47">
        <f t="shared" si="31"/>
        <v>-4.3301270189221928</v>
      </c>
    </row>
    <row r="48" spans="21:29" x14ac:dyDescent="0.4">
      <c r="U48">
        <f>2*PI()*43/72</f>
        <v>3.7524578917878082</v>
      </c>
      <c r="V48">
        <f t="shared" si="24"/>
        <v>-1.1471528727020917</v>
      </c>
      <c r="W48">
        <f t="shared" si="25"/>
        <v>-1.638304088577984</v>
      </c>
      <c r="X48">
        <f t="shared" si="26"/>
        <v>-1.7207293090531375</v>
      </c>
      <c r="Y48">
        <f t="shared" si="27"/>
        <v>-2.4574561328669762</v>
      </c>
      <c r="Z48">
        <f t="shared" si="28"/>
        <v>-2.2943057454041833</v>
      </c>
      <c r="AA48">
        <f t="shared" si="29"/>
        <v>-3.2766081771559681</v>
      </c>
      <c r="AB48">
        <f t="shared" si="30"/>
        <v>-2.8678821817552294</v>
      </c>
      <c r="AC48">
        <f t="shared" si="31"/>
        <v>-4.0957602214449604</v>
      </c>
    </row>
    <row r="49" spans="21:29" x14ac:dyDescent="0.4">
      <c r="U49">
        <f>2*PI()*44/72</f>
        <v>3.8397243543875246</v>
      </c>
      <c r="V49">
        <f t="shared" si="24"/>
        <v>-1.2855752193730778</v>
      </c>
      <c r="W49">
        <f t="shared" si="25"/>
        <v>-1.5320888862379567</v>
      </c>
      <c r="X49">
        <f t="shared" si="26"/>
        <v>-1.9283628290596169</v>
      </c>
      <c r="Y49">
        <f t="shared" si="27"/>
        <v>-2.298133329356935</v>
      </c>
      <c r="Z49">
        <f t="shared" si="28"/>
        <v>-2.5711504387461557</v>
      </c>
      <c r="AA49">
        <f t="shared" si="29"/>
        <v>-3.0641777724759134</v>
      </c>
      <c r="AB49">
        <f t="shared" si="30"/>
        <v>-3.2139380484326945</v>
      </c>
      <c r="AC49">
        <f t="shared" si="31"/>
        <v>-3.8302222155948917</v>
      </c>
    </row>
    <row r="50" spans="21:29" x14ac:dyDescent="0.4">
      <c r="U50">
        <f>2*PI()*45/72</f>
        <v>3.9269908169872414</v>
      </c>
      <c r="V50">
        <f t="shared" si="24"/>
        <v>-1.4142135623730949</v>
      </c>
      <c r="W50">
        <f t="shared" si="25"/>
        <v>-1.4142135623730954</v>
      </c>
      <c r="X50">
        <f t="shared" si="26"/>
        <v>-2.1213203435596424</v>
      </c>
      <c r="Y50">
        <f t="shared" si="27"/>
        <v>-2.1213203435596428</v>
      </c>
      <c r="Z50">
        <f t="shared" si="28"/>
        <v>-2.8284271247461898</v>
      </c>
      <c r="AA50">
        <f t="shared" si="29"/>
        <v>-2.8284271247461907</v>
      </c>
      <c r="AB50">
        <f t="shared" si="30"/>
        <v>-3.5355339059327373</v>
      </c>
      <c r="AC50">
        <f t="shared" si="31"/>
        <v>-3.5355339059327386</v>
      </c>
    </row>
    <row r="51" spans="21:29" x14ac:dyDescent="0.4">
      <c r="U51">
        <f>2*PI()*46/72</f>
        <v>4.0142572795869578</v>
      </c>
      <c r="V51">
        <f t="shared" si="24"/>
        <v>-1.5320888862379558</v>
      </c>
      <c r="W51">
        <f t="shared" si="25"/>
        <v>-1.2855752193730789</v>
      </c>
      <c r="X51">
        <f t="shared" si="26"/>
        <v>-2.2981333293569337</v>
      </c>
      <c r="Y51">
        <f t="shared" si="27"/>
        <v>-1.9283628290596184</v>
      </c>
      <c r="Z51">
        <f t="shared" si="28"/>
        <v>-3.0641777724759116</v>
      </c>
      <c r="AA51">
        <f t="shared" si="29"/>
        <v>-2.5711504387461579</v>
      </c>
      <c r="AB51">
        <f t="shared" si="30"/>
        <v>-3.8302222155948895</v>
      </c>
      <c r="AC51">
        <f t="shared" si="31"/>
        <v>-3.2139380484326976</v>
      </c>
    </row>
    <row r="52" spans="21:29" x14ac:dyDescent="0.4">
      <c r="U52">
        <f>2*PI()*47/72</f>
        <v>4.101523742186675</v>
      </c>
      <c r="V52">
        <f t="shared" si="24"/>
        <v>-1.6383040885779843</v>
      </c>
      <c r="W52">
        <f t="shared" si="25"/>
        <v>-1.1471528727020914</v>
      </c>
      <c r="X52">
        <f t="shared" si="26"/>
        <v>-2.4574561328669766</v>
      </c>
      <c r="Y52">
        <f t="shared" si="27"/>
        <v>-1.7207293090531373</v>
      </c>
      <c r="Z52">
        <f t="shared" si="28"/>
        <v>-3.2766081771559685</v>
      </c>
      <c r="AA52">
        <f t="shared" si="29"/>
        <v>-2.2943057454041829</v>
      </c>
      <c r="AB52">
        <f t="shared" si="30"/>
        <v>-4.0957602214449604</v>
      </c>
      <c r="AC52">
        <f t="shared" si="31"/>
        <v>-2.8678821817552285</v>
      </c>
    </row>
    <row r="53" spans="21:29" x14ac:dyDescent="0.4">
      <c r="U53">
        <f>2*PI()*48/72</f>
        <v>4.1887902047863905</v>
      </c>
      <c r="V53">
        <f t="shared" si="24"/>
        <v>-1.7320508075688767</v>
      </c>
      <c r="W53">
        <f t="shared" si="25"/>
        <v>-1.0000000000000009</v>
      </c>
      <c r="X53">
        <f t="shared" si="26"/>
        <v>-2.5980762113533151</v>
      </c>
      <c r="Y53">
        <f t="shared" si="27"/>
        <v>-1.5000000000000013</v>
      </c>
      <c r="Z53">
        <f t="shared" si="28"/>
        <v>-3.4641016151377535</v>
      </c>
      <c r="AA53">
        <f t="shared" si="29"/>
        <v>-2.0000000000000018</v>
      </c>
      <c r="AB53">
        <f t="shared" si="30"/>
        <v>-4.3301270189221919</v>
      </c>
      <c r="AC53">
        <f t="shared" si="31"/>
        <v>-2.5000000000000022</v>
      </c>
    </row>
    <row r="54" spans="21:29" x14ac:dyDescent="0.4">
      <c r="U54">
        <f>2*PI()*49/72</f>
        <v>4.2760566673861069</v>
      </c>
      <c r="V54">
        <f t="shared" si="24"/>
        <v>-1.8126155740732994</v>
      </c>
      <c r="W54">
        <f t="shared" si="25"/>
        <v>-0.84523652348139988</v>
      </c>
      <c r="X54">
        <f t="shared" si="26"/>
        <v>-2.7189233611099493</v>
      </c>
      <c r="Y54">
        <f t="shared" si="27"/>
        <v>-1.2678547852220998</v>
      </c>
      <c r="Z54">
        <f t="shared" si="28"/>
        <v>-3.6252311481465989</v>
      </c>
      <c r="AA54">
        <f t="shared" si="29"/>
        <v>-1.6904730469627998</v>
      </c>
      <c r="AB54">
        <f t="shared" si="30"/>
        <v>-4.5315389351832485</v>
      </c>
      <c r="AC54">
        <f t="shared" si="31"/>
        <v>-2.1130913087034999</v>
      </c>
    </row>
    <row r="55" spans="21:29" x14ac:dyDescent="0.4">
      <c r="U55">
        <f>2*PI()*50/72</f>
        <v>4.3633231299858242</v>
      </c>
      <c r="V55">
        <f t="shared" si="24"/>
        <v>-1.8793852415718169</v>
      </c>
      <c r="W55">
        <f t="shared" si="25"/>
        <v>-0.68404028665133709</v>
      </c>
      <c r="X55">
        <f t="shared" si="26"/>
        <v>-2.8190778623577253</v>
      </c>
      <c r="Y55">
        <f t="shared" si="27"/>
        <v>-1.0260604299770058</v>
      </c>
      <c r="Z55">
        <f t="shared" si="28"/>
        <v>-3.7587704831436337</v>
      </c>
      <c r="AA55">
        <f t="shared" si="29"/>
        <v>-1.3680805733026742</v>
      </c>
      <c r="AB55">
        <f t="shared" si="30"/>
        <v>-4.6984631039295426</v>
      </c>
      <c r="AC55">
        <f t="shared" si="31"/>
        <v>-1.7101007166283426</v>
      </c>
    </row>
    <row r="56" spans="21:29" x14ac:dyDescent="0.4">
      <c r="U56">
        <f>2*PI()*51/72</f>
        <v>4.4505895925855405</v>
      </c>
      <c r="V56">
        <f t="shared" si="24"/>
        <v>-1.9318516525781366</v>
      </c>
      <c r="W56">
        <f t="shared" si="25"/>
        <v>-0.51763809020504126</v>
      </c>
      <c r="X56">
        <f t="shared" si="26"/>
        <v>-2.897777478867205</v>
      </c>
      <c r="Y56">
        <f t="shared" si="27"/>
        <v>-0.77645713530756189</v>
      </c>
      <c r="Z56">
        <f t="shared" si="28"/>
        <v>-3.8637033051562732</v>
      </c>
      <c r="AA56">
        <f t="shared" si="29"/>
        <v>-1.0352761804100825</v>
      </c>
      <c r="AB56">
        <f t="shared" si="30"/>
        <v>-4.8296291314453415</v>
      </c>
      <c r="AC56">
        <f t="shared" si="31"/>
        <v>-1.2940952255126033</v>
      </c>
    </row>
    <row r="57" spans="21:29" x14ac:dyDescent="0.4">
      <c r="U57">
        <f>2*PI()*52/72</f>
        <v>4.5378560551852569</v>
      </c>
      <c r="V57">
        <f t="shared" si="24"/>
        <v>-1.969615506024416</v>
      </c>
      <c r="W57">
        <f t="shared" si="25"/>
        <v>-0.34729635533386066</v>
      </c>
      <c r="X57">
        <f t="shared" si="26"/>
        <v>-2.9544232590366239</v>
      </c>
      <c r="Y57">
        <f t="shared" si="27"/>
        <v>-0.52094453300079102</v>
      </c>
      <c r="Z57">
        <f t="shared" si="28"/>
        <v>-3.9392310120488321</v>
      </c>
      <c r="AA57">
        <f t="shared" si="29"/>
        <v>-0.69459271066772132</v>
      </c>
      <c r="AB57">
        <f t="shared" si="30"/>
        <v>-4.9240387650610398</v>
      </c>
      <c r="AC57">
        <f t="shared" si="31"/>
        <v>-0.86824088833465163</v>
      </c>
    </row>
    <row r="58" spans="21:29" x14ac:dyDescent="0.4">
      <c r="U58">
        <f>2*PI()*53/72</f>
        <v>4.6251225177849733</v>
      </c>
      <c r="V58">
        <f t="shared" si="24"/>
        <v>-1.9923893961834911</v>
      </c>
      <c r="W58">
        <f t="shared" si="25"/>
        <v>-0.1743114854953165</v>
      </c>
      <c r="X58">
        <f t="shared" si="26"/>
        <v>-2.9885840942752369</v>
      </c>
      <c r="Y58">
        <f t="shared" si="27"/>
        <v>-0.26146722824297475</v>
      </c>
      <c r="Z58">
        <f t="shared" si="28"/>
        <v>-3.9847787923669822</v>
      </c>
      <c r="AA58">
        <f t="shared" si="29"/>
        <v>-0.348622970990633</v>
      </c>
      <c r="AB58">
        <f t="shared" si="30"/>
        <v>-4.9809734904587275</v>
      </c>
      <c r="AC58">
        <f t="shared" si="31"/>
        <v>-0.43577871373829125</v>
      </c>
    </row>
    <row r="59" spans="21:29" x14ac:dyDescent="0.4">
      <c r="U59">
        <f>2*PI()*54/72</f>
        <v>4.7123889803846897</v>
      </c>
      <c r="V59">
        <f t="shared" si="24"/>
        <v>-2</v>
      </c>
      <c r="W59">
        <f t="shared" si="25"/>
        <v>-3.67544536472586E-16</v>
      </c>
      <c r="X59">
        <f t="shared" si="26"/>
        <v>-3</v>
      </c>
      <c r="Y59">
        <f t="shared" si="27"/>
        <v>-5.51316804708879E-16</v>
      </c>
      <c r="Z59">
        <f t="shared" si="28"/>
        <v>-4</v>
      </c>
      <c r="AA59">
        <f t="shared" si="29"/>
        <v>-7.3508907294517201E-16</v>
      </c>
      <c r="AB59">
        <f t="shared" si="30"/>
        <v>-5</v>
      </c>
      <c r="AC59">
        <f t="shared" si="31"/>
        <v>-9.1886134118146501E-16</v>
      </c>
    </row>
    <row r="60" spans="21:29" x14ac:dyDescent="0.4">
      <c r="U60">
        <f>2*PI()*55/72</f>
        <v>4.7996554429844061</v>
      </c>
      <c r="V60">
        <f t="shared" si="24"/>
        <v>-1.9923893961834911</v>
      </c>
      <c r="W60">
        <f t="shared" si="25"/>
        <v>0.17431148549531578</v>
      </c>
      <c r="X60">
        <f t="shared" si="26"/>
        <v>-2.9885840942752369</v>
      </c>
      <c r="Y60">
        <f t="shared" si="27"/>
        <v>0.26146722824297364</v>
      </c>
      <c r="Z60">
        <f t="shared" si="28"/>
        <v>-3.9847787923669822</v>
      </c>
      <c r="AA60">
        <f t="shared" si="29"/>
        <v>0.34862297099063155</v>
      </c>
      <c r="AB60">
        <f t="shared" si="30"/>
        <v>-4.9809734904587275</v>
      </c>
      <c r="AC60">
        <f t="shared" si="31"/>
        <v>0.43577871373828947</v>
      </c>
    </row>
    <row r="61" spans="21:29" x14ac:dyDescent="0.4">
      <c r="U61">
        <f>2*PI()*56/72</f>
        <v>4.8869219055841224</v>
      </c>
      <c r="V61">
        <f t="shared" si="24"/>
        <v>-1.9696155060244163</v>
      </c>
      <c r="W61">
        <f t="shared" si="25"/>
        <v>0.34729635533385994</v>
      </c>
      <c r="X61">
        <f t="shared" si="26"/>
        <v>-2.9544232590366244</v>
      </c>
      <c r="Y61">
        <f t="shared" si="27"/>
        <v>0.52094453300078991</v>
      </c>
      <c r="Z61">
        <f t="shared" si="28"/>
        <v>-3.9392310120488325</v>
      </c>
      <c r="AA61">
        <f t="shared" si="29"/>
        <v>0.69459271066771988</v>
      </c>
      <c r="AB61">
        <f t="shared" si="30"/>
        <v>-4.9240387650610407</v>
      </c>
      <c r="AC61">
        <f t="shared" si="31"/>
        <v>0.86824088833464985</v>
      </c>
    </row>
    <row r="62" spans="21:29" x14ac:dyDescent="0.4">
      <c r="U62">
        <f>2*PI()*57/72</f>
        <v>4.9741883681838388</v>
      </c>
      <c r="V62">
        <f t="shared" si="24"/>
        <v>-1.9318516525781368</v>
      </c>
      <c r="W62">
        <f t="shared" si="25"/>
        <v>0.51763809020504059</v>
      </c>
      <c r="X62">
        <f t="shared" si="26"/>
        <v>-2.897777478867205</v>
      </c>
      <c r="Y62">
        <f t="shared" si="27"/>
        <v>0.77645713530756089</v>
      </c>
      <c r="Z62">
        <f t="shared" si="28"/>
        <v>-3.8637033051562737</v>
      </c>
      <c r="AA62">
        <f t="shared" si="29"/>
        <v>1.0352761804100812</v>
      </c>
      <c r="AB62">
        <f t="shared" si="30"/>
        <v>-4.8296291314453423</v>
      </c>
      <c r="AC62">
        <f t="shared" si="31"/>
        <v>1.2940952255126015</v>
      </c>
    </row>
    <row r="63" spans="21:29" x14ac:dyDescent="0.4">
      <c r="U63">
        <f>2*PI()*58/72</f>
        <v>5.0614548307835561</v>
      </c>
      <c r="V63">
        <f t="shared" si="24"/>
        <v>-1.8793852415718166</v>
      </c>
      <c r="W63">
        <f t="shared" si="25"/>
        <v>0.68404028665133798</v>
      </c>
      <c r="X63">
        <f t="shared" si="26"/>
        <v>-2.8190778623577248</v>
      </c>
      <c r="Y63">
        <f t="shared" si="27"/>
        <v>1.0260604299770071</v>
      </c>
      <c r="Z63">
        <f t="shared" si="28"/>
        <v>-3.7587704831436333</v>
      </c>
      <c r="AA63">
        <f t="shared" si="29"/>
        <v>1.368080573302676</v>
      </c>
      <c r="AB63">
        <f t="shared" si="30"/>
        <v>-4.6984631039295417</v>
      </c>
      <c r="AC63">
        <f t="shared" si="31"/>
        <v>1.7101007166283448</v>
      </c>
    </row>
    <row r="64" spans="21:29" x14ac:dyDescent="0.4">
      <c r="U64">
        <f>2*PI()*59/72</f>
        <v>5.1487212933832716</v>
      </c>
      <c r="V64">
        <f t="shared" si="24"/>
        <v>-1.8126155740733005</v>
      </c>
      <c r="W64">
        <f t="shared" si="25"/>
        <v>0.84523652348139766</v>
      </c>
      <c r="X64">
        <f t="shared" si="26"/>
        <v>-2.718923361109951</v>
      </c>
      <c r="Y64">
        <f t="shared" si="27"/>
        <v>1.2678547852220965</v>
      </c>
      <c r="Z64">
        <f t="shared" si="28"/>
        <v>-3.6252311481466011</v>
      </c>
      <c r="AA64">
        <f t="shared" si="29"/>
        <v>1.6904730469627953</v>
      </c>
      <c r="AB64">
        <f t="shared" si="30"/>
        <v>-4.5315389351832511</v>
      </c>
      <c r="AC64">
        <f t="shared" si="31"/>
        <v>2.1130913087034942</v>
      </c>
    </row>
    <row r="65" spans="21:29" x14ac:dyDescent="0.4">
      <c r="U65">
        <f>2*PI()*60/72</f>
        <v>5.2359877559829879</v>
      </c>
      <c r="V65">
        <f t="shared" si="24"/>
        <v>-1.7320508075688781</v>
      </c>
      <c r="W65">
        <f t="shared" si="25"/>
        <v>0.99999999999999867</v>
      </c>
      <c r="X65">
        <f t="shared" si="26"/>
        <v>-2.5980762113533169</v>
      </c>
      <c r="Y65">
        <f t="shared" si="27"/>
        <v>1.499999999999998</v>
      </c>
      <c r="Z65">
        <f t="shared" si="28"/>
        <v>-3.4641016151377562</v>
      </c>
      <c r="AA65">
        <f t="shared" si="29"/>
        <v>1.9999999999999973</v>
      </c>
      <c r="AB65">
        <f t="shared" si="30"/>
        <v>-4.3301270189221954</v>
      </c>
      <c r="AC65">
        <f t="shared" si="31"/>
        <v>2.4999999999999964</v>
      </c>
    </row>
    <row r="66" spans="21:29" x14ac:dyDescent="0.4">
      <c r="U66">
        <f>2*PI()*61/72</f>
        <v>5.3232542185827052</v>
      </c>
      <c r="V66">
        <f t="shared" si="24"/>
        <v>-1.6383040885779836</v>
      </c>
      <c r="W66">
        <f t="shared" si="25"/>
        <v>1.1471528727020921</v>
      </c>
      <c r="X66">
        <f t="shared" si="26"/>
        <v>-2.4574561328669753</v>
      </c>
      <c r="Y66">
        <f t="shared" si="27"/>
        <v>1.7207293090531381</v>
      </c>
      <c r="Z66">
        <f t="shared" si="28"/>
        <v>-3.2766081771559672</v>
      </c>
      <c r="AA66">
        <f t="shared" si="29"/>
        <v>2.2943057454041842</v>
      </c>
      <c r="AB66">
        <f t="shared" si="30"/>
        <v>-4.0957602214449587</v>
      </c>
      <c r="AC66">
        <f t="shared" si="31"/>
        <v>2.8678821817552302</v>
      </c>
    </row>
    <row r="67" spans="21:29" x14ac:dyDescent="0.4">
      <c r="U67">
        <f>2*PI()*62/72</f>
        <v>5.4105206811824216</v>
      </c>
      <c r="V67">
        <f t="shared" si="24"/>
        <v>-1.5320888862379562</v>
      </c>
      <c r="W67">
        <f t="shared" si="25"/>
        <v>1.2855752193730785</v>
      </c>
      <c r="X67">
        <f t="shared" si="26"/>
        <v>-2.2981333293569346</v>
      </c>
      <c r="Y67">
        <f t="shared" si="27"/>
        <v>1.9283628290596178</v>
      </c>
      <c r="Z67">
        <f t="shared" si="28"/>
        <v>-3.0641777724759125</v>
      </c>
      <c r="AA67">
        <f t="shared" si="29"/>
        <v>2.571150438746157</v>
      </c>
      <c r="AB67">
        <f t="shared" si="30"/>
        <v>-3.8302222155948904</v>
      </c>
      <c r="AC67">
        <f t="shared" si="31"/>
        <v>3.2139380484326963</v>
      </c>
    </row>
    <row r="68" spans="21:29" x14ac:dyDescent="0.4">
      <c r="U68">
        <f>2*PI()*63/72</f>
        <v>5.497787143782138</v>
      </c>
      <c r="V68">
        <f t="shared" si="24"/>
        <v>-1.4142135623730954</v>
      </c>
      <c r="W68">
        <f t="shared" si="25"/>
        <v>1.4142135623730947</v>
      </c>
      <c r="X68">
        <f t="shared" si="26"/>
        <v>-2.1213203435596428</v>
      </c>
      <c r="Y68">
        <f t="shared" si="27"/>
        <v>2.1213203435596419</v>
      </c>
      <c r="Z68">
        <f t="shared" si="28"/>
        <v>-2.8284271247461907</v>
      </c>
      <c r="AA68">
        <f t="shared" si="29"/>
        <v>2.8284271247461894</v>
      </c>
      <c r="AB68">
        <f t="shared" si="30"/>
        <v>-3.5355339059327386</v>
      </c>
      <c r="AC68">
        <f t="shared" si="31"/>
        <v>3.5355339059327369</v>
      </c>
    </row>
    <row r="69" spans="21:29" x14ac:dyDescent="0.4">
      <c r="U69">
        <f>2*PI()*64/72</f>
        <v>5.5850536063818543</v>
      </c>
      <c r="V69">
        <f t="shared" ref="V69:V77" si="32">2*SIN($U69)</f>
        <v>-1.2855752193730792</v>
      </c>
      <c r="W69">
        <f t="shared" ref="W69:W77" si="33">2*COS($U69)</f>
        <v>1.5320888862379556</v>
      </c>
      <c r="X69">
        <f t="shared" ref="X69:X77" si="34">3*SIN($U69)</f>
        <v>-1.9283628290596186</v>
      </c>
      <c r="Y69">
        <f t="shared" ref="Y69:Y77" si="35">3*COS($U69)</f>
        <v>2.2981333293569333</v>
      </c>
      <c r="Z69">
        <f t="shared" ref="Z69:Z77" si="36">4*SIN($U69)</f>
        <v>-2.5711504387461583</v>
      </c>
      <c r="AA69">
        <f t="shared" ref="AA69:AA77" si="37">4*COS($U69)</f>
        <v>3.0641777724759112</v>
      </c>
      <c r="AB69">
        <f t="shared" ref="AB69:AB77" si="38">5*SIN($U69)</f>
        <v>-3.213938048432698</v>
      </c>
      <c r="AC69">
        <f t="shared" ref="AC69:AC77" si="39">5*COS($U69)</f>
        <v>3.8302222155948891</v>
      </c>
    </row>
    <row r="70" spans="21:29" x14ac:dyDescent="0.4">
      <c r="U70">
        <f>2*PI()*65/72</f>
        <v>5.6723200689815707</v>
      </c>
      <c r="V70">
        <f t="shared" si="32"/>
        <v>-1.147152872702093</v>
      </c>
      <c r="W70">
        <f t="shared" si="33"/>
        <v>1.6383040885779832</v>
      </c>
      <c r="X70">
        <f t="shared" si="34"/>
        <v>-1.7207293090531395</v>
      </c>
      <c r="Y70">
        <f t="shared" si="35"/>
        <v>2.4574561328669748</v>
      </c>
      <c r="Z70">
        <f t="shared" si="36"/>
        <v>-2.294305745404186</v>
      </c>
      <c r="AA70">
        <f t="shared" si="37"/>
        <v>3.2766081771559663</v>
      </c>
      <c r="AB70">
        <f t="shared" si="38"/>
        <v>-2.8678821817552325</v>
      </c>
      <c r="AC70">
        <f t="shared" si="39"/>
        <v>4.0957602214449578</v>
      </c>
    </row>
    <row r="71" spans="21:29" x14ac:dyDescent="0.4">
      <c r="U71">
        <f>2*PI()*66/72</f>
        <v>5.759586531581288</v>
      </c>
      <c r="V71">
        <f t="shared" si="32"/>
        <v>-0.99999999999999933</v>
      </c>
      <c r="W71">
        <f t="shared" si="33"/>
        <v>1.7320508075688776</v>
      </c>
      <c r="X71">
        <f t="shared" si="34"/>
        <v>-1.4999999999999991</v>
      </c>
      <c r="Y71">
        <f t="shared" si="35"/>
        <v>2.5980762113533165</v>
      </c>
      <c r="Z71">
        <f t="shared" si="36"/>
        <v>-1.9999999999999987</v>
      </c>
      <c r="AA71">
        <f t="shared" si="37"/>
        <v>3.4641016151377553</v>
      </c>
      <c r="AB71">
        <f t="shared" si="38"/>
        <v>-2.4999999999999982</v>
      </c>
      <c r="AC71">
        <f t="shared" si="39"/>
        <v>4.3301270189221945</v>
      </c>
    </row>
    <row r="72" spans="21:29" x14ac:dyDescent="0.4">
      <c r="U72">
        <f>2*PI()*67/72</f>
        <v>5.8468529941810035</v>
      </c>
      <c r="V72">
        <f t="shared" si="32"/>
        <v>-0.84523652348139999</v>
      </c>
      <c r="W72">
        <f t="shared" si="33"/>
        <v>1.8126155740732994</v>
      </c>
      <c r="X72">
        <f t="shared" si="34"/>
        <v>-1.2678547852221</v>
      </c>
      <c r="Y72">
        <f t="shared" si="35"/>
        <v>2.7189233611099493</v>
      </c>
      <c r="Z72">
        <f t="shared" si="36"/>
        <v>-1.6904730469628</v>
      </c>
      <c r="AA72">
        <f t="shared" si="37"/>
        <v>3.6252311481465989</v>
      </c>
      <c r="AB72">
        <f t="shared" si="38"/>
        <v>-2.1130913087034999</v>
      </c>
      <c r="AC72">
        <f t="shared" si="39"/>
        <v>4.5315389351832485</v>
      </c>
    </row>
    <row r="73" spans="21:29" x14ac:dyDescent="0.4">
      <c r="U73">
        <f>2*PI()*68/72</f>
        <v>5.9341194567807207</v>
      </c>
      <c r="V73">
        <f t="shared" si="32"/>
        <v>-0.6840402866513372</v>
      </c>
      <c r="W73">
        <f t="shared" si="33"/>
        <v>1.8793852415718169</v>
      </c>
      <c r="X73">
        <f t="shared" si="34"/>
        <v>-1.0260604299770058</v>
      </c>
      <c r="Y73">
        <f t="shared" si="35"/>
        <v>2.8190778623577253</v>
      </c>
      <c r="Z73">
        <f t="shared" si="36"/>
        <v>-1.3680805733026744</v>
      </c>
      <c r="AA73">
        <f t="shared" si="37"/>
        <v>3.7587704831436337</v>
      </c>
      <c r="AB73">
        <f t="shared" si="38"/>
        <v>-1.7101007166283431</v>
      </c>
      <c r="AC73">
        <f t="shared" si="39"/>
        <v>4.6984631039295426</v>
      </c>
    </row>
    <row r="74" spans="21:29" x14ac:dyDescent="0.4">
      <c r="U74">
        <f>2*PI()*69/72</f>
        <v>6.0213859193804371</v>
      </c>
      <c r="V74">
        <f t="shared" si="32"/>
        <v>-0.51763809020504137</v>
      </c>
      <c r="W74">
        <f t="shared" si="33"/>
        <v>1.9318516525781366</v>
      </c>
      <c r="X74">
        <f t="shared" si="34"/>
        <v>-0.776457135307562</v>
      </c>
      <c r="Y74">
        <f t="shared" si="35"/>
        <v>2.897777478867205</v>
      </c>
      <c r="Z74">
        <f t="shared" si="36"/>
        <v>-1.0352761804100827</v>
      </c>
      <c r="AA74">
        <f t="shared" si="37"/>
        <v>3.8637033051562732</v>
      </c>
      <c r="AB74">
        <f t="shared" si="38"/>
        <v>-1.2940952255126035</v>
      </c>
      <c r="AC74">
        <f t="shared" si="39"/>
        <v>4.8296291314453415</v>
      </c>
    </row>
    <row r="75" spans="21:29" x14ac:dyDescent="0.4">
      <c r="U75">
        <f>2*PI()*70/72</f>
        <v>6.1086523819801535</v>
      </c>
      <c r="V75">
        <f t="shared" si="32"/>
        <v>-0.34729635533386077</v>
      </c>
      <c r="W75">
        <f t="shared" si="33"/>
        <v>1.969615506024416</v>
      </c>
      <c r="X75">
        <f t="shared" si="34"/>
        <v>-0.52094453300079113</v>
      </c>
      <c r="Y75">
        <f t="shared" si="35"/>
        <v>2.9544232590366239</v>
      </c>
      <c r="Z75">
        <f t="shared" si="36"/>
        <v>-0.69459271066772155</v>
      </c>
      <c r="AA75">
        <f t="shared" si="37"/>
        <v>3.9392310120488321</v>
      </c>
      <c r="AB75">
        <f t="shared" si="38"/>
        <v>-0.86824088833465196</v>
      </c>
      <c r="AC75">
        <f t="shared" si="39"/>
        <v>4.9240387650610398</v>
      </c>
    </row>
    <row r="76" spans="21:29" x14ac:dyDescent="0.4">
      <c r="U76">
        <f>2*PI()*71/72</f>
        <v>6.1959188445798699</v>
      </c>
      <c r="V76">
        <f t="shared" si="32"/>
        <v>-0.17431148549531664</v>
      </c>
      <c r="W76">
        <f t="shared" si="33"/>
        <v>1.9923893961834911</v>
      </c>
      <c r="X76">
        <f t="shared" si="34"/>
        <v>-0.26146722824297497</v>
      </c>
      <c r="Y76">
        <f t="shared" si="35"/>
        <v>2.9885840942752369</v>
      </c>
      <c r="Z76">
        <f t="shared" si="36"/>
        <v>-0.34862297099063327</v>
      </c>
      <c r="AA76">
        <f t="shared" si="37"/>
        <v>3.9847787923669822</v>
      </c>
      <c r="AB76">
        <f t="shared" si="38"/>
        <v>-0.43577871373829158</v>
      </c>
      <c r="AC76">
        <f t="shared" si="39"/>
        <v>4.9809734904587275</v>
      </c>
    </row>
    <row r="77" spans="21:29" x14ac:dyDescent="0.4">
      <c r="U77">
        <f>2*PI()*72/72</f>
        <v>6.2831853071795862</v>
      </c>
      <c r="V77">
        <f t="shared" si="32"/>
        <v>-4.90059381963448E-16</v>
      </c>
      <c r="W77">
        <f t="shared" si="33"/>
        <v>2</v>
      </c>
      <c r="X77">
        <f t="shared" si="34"/>
        <v>-7.3508907294517201E-16</v>
      </c>
      <c r="Y77">
        <f t="shared" si="35"/>
        <v>3</v>
      </c>
      <c r="Z77">
        <f t="shared" si="36"/>
        <v>-9.8011876392689601E-16</v>
      </c>
      <c r="AA77">
        <f t="shared" si="37"/>
        <v>4</v>
      </c>
      <c r="AB77">
        <f t="shared" si="38"/>
        <v>-1.22514845490862E-15</v>
      </c>
      <c r="AC77">
        <f t="shared" si="39"/>
        <v>5</v>
      </c>
    </row>
  </sheetData>
  <conditionalFormatting sqref="D5:S19">
    <cfRule type="expression" dxfId="26" priority="3">
      <formula>ISNA(D5)</formula>
    </cfRule>
  </conditionalFormatting>
  <conditionalFormatting sqref="L5:L19">
    <cfRule type="expression" dxfId="25" priority="1">
      <formula>LEFT(L5,5)="AGIRE"</formula>
    </cfRule>
    <cfRule type="expression" dxfId="24" priority="2">
      <formula>LEFT(L5,5)="Agire"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3" width="15" customWidth="1"/>
    <col min="4" max="4" width="44" customWidth="1"/>
    <col min="5" max="8" width="15" customWidth="1"/>
    <col min="9" max="9" width="50" customWidth="1"/>
    <col min="10" max="10" width="20" customWidth="1"/>
    <col min="11" max="12" width="15" customWidth="1"/>
    <col min="14" max="14" width="70" customWidth="1"/>
  </cols>
  <sheetData>
    <row r="1" spans="1:14" x14ac:dyDescent="0.4">
      <c r="A1" s="2" t="s">
        <v>84</v>
      </c>
      <c r="B1" s="2" t="s">
        <v>85</v>
      </c>
      <c r="C1" s="2" t="s">
        <v>13</v>
      </c>
      <c r="D1" s="2" t="s">
        <v>14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N1" s="3" t="s">
        <v>94</v>
      </c>
    </row>
    <row r="2" spans="1:14" ht="29.15" x14ac:dyDescent="0.4">
      <c r="A2" s="13" t="s">
        <v>325</v>
      </c>
      <c r="B2" s="13" t="s">
        <v>326</v>
      </c>
      <c r="C2" s="13" t="s">
        <v>297</v>
      </c>
      <c r="D2" s="14" t="s">
        <v>298</v>
      </c>
      <c r="E2" s="13" t="s">
        <v>116</v>
      </c>
      <c r="F2" s="13" t="s">
        <v>301</v>
      </c>
      <c r="G2" s="13" t="s">
        <v>327</v>
      </c>
      <c r="H2" s="13" t="s">
        <v>301</v>
      </c>
      <c r="I2" s="14" t="s">
        <v>328</v>
      </c>
      <c r="J2" s="13" t="s">
        <v>329</v>
      </c>
      <c r="K2" s="9">
        <v>46290</v>
      </c>
      <c r="L2" s="13" t="s">
        <v>330</v>
      </c>
      <c r="N2" s="3" t="s">
        <v>97</v>
      </c>
    </row>
    <row r="3" spans="1:14" ht="29.15" x14ac:dyDescent="0.4">
      <c r="A3" s="13" t="s">
        <v>325</v>
      </c>
      <c r="B3" s="13" t="s">
        <v>326</v>
      </c>
      <c r="C3" s="13" t="s">
        <v>297</v>
      </c>
      <c r="D3" s="14" t="s">
        <v>298</v>
      </c>
      <c r="E3" s="13" t="s">
        <v>117</v>
      </c>
      <c r="F3" s="13" t="s">
        <v>302</v>
      </c>
      <c r="G3" s="13" t="s">
        <v>327</v>
      </c>
      <c r="H3" s="13" t="s">
        <v>302</v>
      </c>
      <c r="I3" s="14" t="s">
        <v>328</v>
      </c>
      <c r="J3" s="13" t="s">
        <v>329</v>
      </c>
      <c r="K3" s="9">
        <v>46290</v>
      </c>
      <c r="L3" s="13" t="s">
        <v>330</v>
      </c>
      <c r="N3" s="3" t="s">
        <v>98</v>
      </c>
    </row>
    <row r="4" spans="1:14" ht="29.15" x14ac:dyDescent="0.4">
      <c r="A4" s="13" t="s">
        <v>325</v>
      </c>
      <c r="B4" s="13" t="s">
        <v>326</v>
      </c>
      <c r="C4" s="13" t="s">
        <v>304</v>
      </c>
      <c r="D4" s="14" t="s">
        <v>305</v>
      </c>
      <c r="E4" s="13" t="s">
        <v>116</v>
      </c>
      <c r="F4" s="13" t="s">
        <v>301</v>
      </c>
      <c r="G4" s="13" t="s">
        <v>327</v>
      </c>
      <c r="H4" s="13" t="s">
        <v>301</v>
      </c>
      <c r="I4" s="14" t="s">
        <v>328</v>
      </c>
      <c r="J4" s="13" t="s">
        <v>329</v>
      </c>
      <c r="K4" s="9">
        <v>46290</v>
      </c>
      <c r="L4" s="13" t="s">
        <v>330</v>
      </c>
      <c r="N4" s="3" t="s">
        <v>99</v>
      </c>
    </row>
    <row r="5" spans="1:14" ht="29.15" x14ac:dyDescent="0.4">
      <c r="A5" s="13" t="s">
        <v>325</v>
      </c>
      <c r="B5" s="13" t="s">
        <v>326</v>
      </c>
      <c r="C5" s="13" t="s">
        <v>304</v>
      </c>
      <c r="D5" s="14" t="s">
        <v>305</v>
      </c>
      <c r="E5" s="13" t="s">
        <v>117</v>
      </c>
      <c r="F5" s="13" t="s">
        <v>302</v>
      </c>
      <c r="G5" s="13" t="s">
        <v>327</v>
      </c>
      <c r="H5" s="13" t="s">
        <v>302</v>
      </c>
      <c r="I5" s="14" t="s">
        <v>328</v>
      </c>
      <c r="J5" s="13" t="s">
        <v>329</v>
      </c>
      <c r="K5" s="9">
        <v>46290</v>
      </c>
      <c r="L5" s="13" t="s">
        <v>330</v>
      </c>
      <c r="N5" s="3" t="s">
        <v>100</v>
      </c>
    </row>
    <row r="6" spans="1:14" ht="29.15" x14ac:dyDescent="0.4">
      <c r="A6" s="13" t="s">
        <v>325</v>
      </c>
      <c r="B6" s="13" t="s">
        <v>326</v>
      </c>
      <c r="C6" s="13" t="s">
        <v>309</v>
      </c>
      <c r="D6" s="14" t="s">
        <v>310</v>
      </c>
      <c r="E6" s="13" t="s">
        <v>116</v>
      </c>
      <c r="F6" s="13" t="s">
        <v>301</v>
      </c>
      <c r="G6" s="13" t="s">
        <v>327</v>
      </c>
      <c r="H6" s="13" t="s">
        <v>301</v>
      </c>
      <c r="I6" s="14" t="s">
        <v>328</v>
      </c>
      <c r="J6" s="13" t="s">
        <v>329</v>
      </c>
      <c r="K6" s="9">
        <v>46290</v>
      </c>
      <c r="L6" s="13" t="s">
        <v>330</v>
      </c>
      <c r="N6" s="3" t="s">
        <v>101</v>
      </c>
    </row>
    <row r="7" spans="1:14" ht="29.15" x14ac:dyDescent="0.4">
      <c r="A7" s="13" t="s">
        <v>325</v>
      </c>
      <c r="B7" s="13" t="s">
        <v>326</v>
      </c>
      <c r="C7" s="13" t="s">
        <v>309</v>
      </c>
      <c r="D7" s="14" t="s">
        <v>310</v>
      </c>
      <c r="E7" s="13" t="s">
        <v>117</v>
      </c>
      <c r="F7" s="13" t="s">
        <v>302</v>
      </c>
      <c r="G7" s="13" t="s">
        <v>327</v>
      </c>
      <c r="H7" s="13" t="s">
        <v>302</v>
      </c>
      <c r="I7" s="14" t="s">
        <v>328</v>
      </c>
      <c r="J7" s="13" t="s">
        <v>329</v>
      </c>
      <c r="K7" s="9">
        <v>46290</v>
      </c>
      <c r="L7" s="13" t="s">
        <v>330</v>
      </c>
      <c r="N7" s="3" t="s">
        <v>102</v>
      </c>
    </row>
    <row r="8" spans="1:14" x14ac:dyDescent="0.4">
      <c r="A8" s="13" t="s">
        <v>325</v>
      </c>
      <c r="B8" s="13" t="s">
        <v>326</v>
      </c>
      <c r="C8" s="13" t="s">
        <v>314</v>
      </c>
      <c r="D8" s="14" t="s">
        <v>315</v>
      </c>
      <c r="E8" s="13" t="s">
        <v>116</v>
      </c>
      <c r="F8" s="13" t="s">
        <v>301</v>
      </c>
      <c r="G8" s="13" t="s">
        <v>327</v>
      </c>
      <c r="H8" s="13" t="s">
        <v>301</v>
      </c>
      <c r="I8" s="14" t="s">
        <v>328</v>
      </c>
      <c r="J8" s="13" t="s">
        <v>329</v>
      </c>
      <c r="K8" s="9">
        <v>46290</v>
      </c>
      <c r="L8" s="13" t="s">
        <v>330</v>
      </c>
      <c r="N8" s="3" t="s">
        <v>103</v>
      </c>
    </row>
    <row r="9" spans="1:14" x14ac:dyDescent="0.4">
      <c r="A9" s="13" t="s">
        <v>325</v>
      </c>
      <c r="B9" s="13" t="s">
        <v>326</v>
      </c>
      <c r="C9" s="13" t="s">
        <v>314</v>
      </c>
      <c r="D9" s="14" t="s">
        <v>315</v>
      </c>
      <c r="E9" s="13" t="s">
        <v>117</v>
      </c>
      <c r="F9" s="13" t="s">
        <v>318</v>
      </c>
      <c r="G9" s="13" t="s">
        <v>327</v>
      </c>
      <c r="H9" s="13" t="s">
        <v>318</v>
      </c>
      <c r="I9" s="14" t="s">
        <v>328</v>
      </c>
      <c r="J9" s="13" t="s">
        <v>329</v>
      </c>
      <c r="K9" s="9">
        <v>46290</v>
      </c>
      <c r="L9" s="13" t="s">
        <v>330</v>
      </c>
      <c r="N9" s="3" t="s">
        <v>104</v>
      </c>
    </row>
    <row r="10" spans="1:14" ht="29.15" x14ac:dyDescent="0.4">
      <c r="A10" s="13" t="s">
        <v>325</v>
      </c>
      <c r="B10" s="13" t="s">
        <v>326</v>
      </c>
      <c r="C10" s="13" t="s">
        <v>320</v>
      </c>
      <c r="D10" s="14" t="s">
        <v>321</v>
      </c>
      <c r="E10" s="13" t="s">
        <v>116</v>
      </c>
      <c r="F10" s="13" t="s">
        <v>301</v>
      </c>
      <c r="G10" s="13" t="s">
        <v>327</v>
      </c>
      <c r="H10" s="13" t="s">
        <v>301</v>
      </c>
      <c r="I10" s="14" t="s">
        <v>328</v>
      </c>
      <c r="J10" s="13" t="s">
        <v>329</v>
      </c>
      <c r="K10" s="9">
        <v>46290</v>
      </c>
      <c r="L10" s="13" t="s">
        <v>330</v>
      </c>
      <c r="N10" s="3" t="s">
        <v>105</v>
      </c>
    </row>
    <row r="11" spans="1:14" ht="29.15" x14ac:dyDescent="0.4">
      <c r="A11" s="13" t="s">
        <v>325</v>
      </c>
      <c r="B11" s="13" t="s">
        <v>326</v>
      </c>
      <c r="C11" s="13" t="s">
        <v>320</v>
      </c>
      <c r="D11" s="14" t="s">
        <v>321</v>
      </c>
      <c r="E11" s="13" t="s">
        <v>117</v>
      </c>
      <c r="F11" s="13" t="s">
        <v>302</v>
      </c>
      <c r="G11" s="13" t="s">
        <v>327</v>
      </c>
      <c r="H11" s="13" t="s">
        <v>302</v>
      </c>
      <c r="I11" s="14" t="s">
        <v>328</v>
      </c>
      <c r="J11" s="13" t="s">
        <v>329</v>
      </c>
      <c r="K11" s="9">
        <v>46290</v>
      </c>
      <c r="L11" s="13" t="s">
        <v>330</v>
      </c>
      <c r="N11" s="3" t="s">
        <v>106</v>
      </c>
    </row>
    <row r="12" spans="1:14" ht="29.15" x14ac:dyDescent="0.4">
      <c r="A12" s="13" t="s">
        <v>331</v>
      </c>
      <c r="B12" s="13" t="s">
        <v>95</v>
      </c>
      <c r="C12" s="13" t="s">
        <v>96</v>
      </c>
      <c r="D12" s="14" t="s">
        <v>478</v>
      </c>
      <c r="E12" s="13" t="s">
        <v>15</v>
      </c>
      <c r="F12" s="13">
        <v>4</v>
      </c>
      <c r="G12" s="13" t="s">
        <v>327</v>
      </c>
      <c r="H12" s="13">
        <v>4</v>
      </c>
      <c r="I12" s="14" t="s">
        <v>328</v>
      </c>
      <c r="J12" s="13" t="s">
        <v>329</v>
      </c>
      <c r="K12" s="9">
        <v>46290</v>
      </c>
      <c r="L12" s="13" t="s">
        <v>330</v>
      </c>
      <c r="N12" s="3" t="s">
        <v>107</v>
      </c>
    </row>
    <row r="13" spans="1:14" ht="29.15" x14ac:dyDescent="0.4">
      <c r="A13" s="13" t="s">
        <v>331</v>
      </c>
      <c r="B13" s="13" t="s">
        <v>95</v>
      </c>
      <c r="C13" s="13" t="s">
        <v>96</v>
      </c>
      <c r="D13" s="14" t="s">
        <v>478</v>
      </c>
      <c r="E13" s="13" t="s">
        <v>16</v>
      </c>
      <c r="F13" s="13">
        <v>4</v>
      </c>
      <c r="G13" s="13" t="s">
        <v>327</v>
      </c>
      <c r="H13" s="13">
        <v>4</v>
      </c>
      <c r="I13" s="14" t="s">
        <v>328</v>
      </c>
      <c r="J13" s="13" t="s">
        <v>329</v>
      </c>
      <c r="K13" s="9">
        <v>46290</v>
      </c>
      <c r="L13" s="13" t="s">
        <v>330</v>
      </c>
      <c r="N13" s="3" t="s">
        <v>108</v>
      </c>
    </row>
    <row r="14" spans="1:14" ht="29.15" x14ac:dyDescent="0.4">
      <c r="A14" s="13" t="s">
        <v>331</v>
      </c>
      <c r="B14" s="13" t="s">
        <v>95</v>
      </c>
      <c r="C14" s="13" t="s">
        <v>96</v>
      </c>
      <c r="D14" s="14" t="s">
        <v>478</v>
      </c>
      <c r="E14" s="13" t="s">
        <v>59</v>
      </c>
      <c r="F14" s="13">
        <v>4</v>
      </c>
      <c r="G14" s="13" t="s">
        <v>327</v>
      </c>
      <c r="H14" s="13">
        <v>4</v>
      </c>
      <c r="I14" s="14" t="s">
        <v>328</v>
      </c>
      <c r="J14" s="13" t="s">
        <v>329</v>
      </c>
      <c r="K14" s="9">
        <v>46290</v>
      </c>
      <c r="L14" s="13" t="s">
        <v>330</v>
      </c>
    </row>
    <row r="15" spans="1:14" ht="29.15" x14ac:dyDescent="0.4">
      <c r="A15" s="13" t="s">
        <v>331</v>
      </c>
      <c r="B15" s="13" t="s">
        <v>95</v>
      </c>
      <c r="C15" s="13" t="s">
        <v>96</v>
      </c>
      <c r="D15" s="14" t="s">
        <v>478</v>
      </c>
      <c r="E15" s="13" t="s">
        <v>18</v>
      </c>
      <c r="F15" s="13">
        <v>3</v>
      </c>
      <c r="G15" s="13" t="s">
        <v>327</v>
      </c>
      <c r="H15" s="13">
        <v>3</v>
      </c>
      <c r="I15" s="14" t="s">
        <v>328</v>
      </c>
      <c r="J15" s="13" t="s">
        <v>329</v>
      </c>
      <c r="K15" s="9">
        <v>46290</v>
      </c>
      <c r="L15" s="13" t="s">
        <v>330</v>
      </c>
    </row>
    <row r="16" spans="1:14" ht="29.15" x14ac:dyDescent="0.4">
      <c r="A16" s="13" t="s">
        <v>331</v>
      </c>
      <c r="B16" s="13" t="s">
        <v>95</v>
      </c>
      <c r="C16" s="13" t="s">
        <v>96</v>
      </c>
      <c r="D16" s="14" t="s">
        <v>478</v>
      </c>
      <c r="E16" s="13" t="s">
        <v>57</v>
      </c>
      <c r="F16" s="13">
        <v>4</v>
      </c>
      <c r="G16" s="13" t="s">
        <v>327</v>
      </c>
      <c r="H16" s="13">
        <v>4</v>
      </c>
      <c r="I16" s="14" t="s">
        <v>328</v>
      </c>
      <c r="J16" s="13" t="s">
        <v>329</v>
      </c>
      <c r="K16" s="9">
        <v>46290</v>
      </c>
      <c r="L16" s="13" t="s">
        <v>330</v>
      </c>
    </row>
    <row r="17" spans="1:12" ht="29.15" x14ac:dyDescent="0.4">
      <c r="A17" s="13" t="s">
        <v>331</v>
      </c>
      <c r="B17" s="13" t="s">
        <v>95</v>
      </c>
      <c r="C17" s="13" t="s">
        <v>96</v>
      </c>
      <c r="D17" s="14" t="s">
        <v>478</v>
      </c>
      <c r="E17" s="13" t="s">
        <v>22</v>
      </c>
      <c r="F17" s="13">
        <v>4</v>
      </c>
      <c r="G17" s="13" t="s">
        <v>327</v>
      </c>
      <c r="H17" s="13">
        <v>4</v>
      </c>
      <c r="I17" s="14" t="s">
        <v>328</v>
      </c>
      <c r="J17" s="13" t="s">
        <v>329</v>
      </c>
      <c r="K17" s="9">
        <v>46290</v>
      </c>
      <c r="L17" s="13" t="s">
        <v>330</v>
      </c>
    </row>
    <row r="18" spans="1:12" x14ac:dyDescent="0.4">
      <c r="A18" s="13" t="s">
        <v>331</v>
      </c>
      <c r="B18" s="13" t="s">
        <v>95</v>
      </c>
      <c r="C18" s="13" t="s">
        <v>348</v>
      </c>
      <c r="D18" s="14" t="s">
        <v>481</v>
      </c>
      <c r="E18" s="13" t="s">
        <v>15</v>
      </c>
      <c r="F18" s="13">
        <v>4</v>
      </c>
      <c r="G18" s="13" t="s">
        <v>327</v>
      </c>
      <c r="H18" s="13">
        <v>4</v>
      </c>
      <c r="I18" s="14" t="s">
        <v>328</v>
      </c>
      <c r="J18" s="13" t="s">
        <v>329</v>
      </c>
      <c r="K18" s="9">
        <v>46290</v>
      </c>
      <c r="L18" s="13" t="s">
        <v>330</v>
      </c>
    </row>
    <row r="19" spans="1:12" x14ac:dyDescent="0.4">
      <c r="A19" s="13" t="s">
        <v>331</v>
      </c>
      <c r="B19" s="13" t="s">
        <v>95</v>
      </c>
      <c r="C19" s="13" t="s">
        <v>348</v>
      </c>
      <c r="D19" s="14" t="s">
        <v>481</v>
      </c>
      <c r="E19" s="13" t="s">
        <v>16</v>
      </c>
      <c r="F19" s="13">
        <v>4</v>
      </c>
      <c r="G19" s="13" t="s">
        <v>327</v>
      </c>
      <c r="H19" s="13">
        <v>4</v>
      </c>
      <c r="I19" s="14" t="s">
        <v>328</v>
      </c>
      <c r="J19" s="13" t="s">
        <v>329</v>
      </c>
      <c r="K19" s="9">
        <v>46290</v>
      </c>
      <c r="L19" s="13" t="s">
        <v>330</v>
      </c>
    </row>
    <row r="20" spans="1:12" x14ac:dyDescent="0.4">
      <c r="A20" s="13" t="s">
        <v>331</v>
      </c>
      <c r="B20" s="13" t="s">
        <v>95</v>
      </c>
      <c r="C20" s="13" t="s">
        <v>348</v>
      </c>
      <c r="D20" s="14" t="s">
        <v>481</v>
      </c>
      <c r="E20" s="13" t="s">
        <v>59</v>
      </c>
      <c r="F20" s="13">
        <v>3</v>
      </c>
      <c r="G20" s="13" t="s">
        <v>327</v>
      </c>
      <c r="H20" s="13">
        <v>3</v>
      </c>
      <c r="I20" s="14" t="s">
        <v>328</v>
      </c>
      <c r="J20" s="13" t="s">
        <v>329</v>
      </c>
      <c r="K20" s="9">
        <v>46290</v>
      </c>
      <c r="L20" s="13" t="s">
        <v>330</v>
      </c>
    </row>
    <row r="21" spans="1:12" x14ac:dyDescent="0.4">
      <c r="A21" s="13" t="s">
        <v>331</v>
      </c>
      <c r="B21" s="13" t="s">
        <v>95</v>
      </c>
      <c r="C21" s="13" t="s">
        <v>348</v>
      </c>
      <c r="D21" s="14" t="s">
        <v>481</v>
      </c>
      <c r="E21" s="13" t="s">
        <v>18</v>
      </c>
      <c r="F21" s="13">
        <v>3</v>
      </c>
      <c r="G21" s="13" t="s">
        <v>327</v>
      </c>
      <c r="H21" s="13">
        <v>3</v>
      </c>
      <c r="I21" s="14" t="s">
        <v>328</v>
      </c>
      <c r="J21" s="13" t="s">
        <v>329</v>
      </c>
      <c r="K21" s="9">
        <v>46290</v>
      </c>
      <c r="L21" s="13" t="s">
        <v>330</v>
      </c>
    </row>
    <row r="22" spans="1:12" x14ac:dyDescent="0.4">
      <c r="A22" s="13" t="s">
        <v>331</v>
      </c>
      <c r="B22" s="13" t="s">
        <v>95</v>
      </c>
      <c r="C22" s="13" t="s">
        <v>348</v>
      </c>
      <c r="D22" s="14" t="s">
        <v>481</v>
      </c>
      <c r="E22" s="13" t="s">
        <v>57</v>
      </c>
      <c r="F22" s="13">
        <v>2</v>
      </c>
      <c r="G22" s="13" t="s">
        <v>327</v>
      </c>
      <c r="H22" s="13">
        <v>2</v>
      </c>
      <c r="I22" s="14" t="s">
        <v>328</v>
      </c>
      <c r="J22" s="13" t="s">
        <v>329</v>
      </c>
      <c r="K22" s="9">
        <v>46290</v>
      </c>
      <c r="L22" s="13" t="s">
        <v>330</v>
      </c>
    </row>
    <row r="23" spans="1:12" x14ac:dyDescent="0.4">
      <c r="A23" s="13" t="s">
        <v>331</v>
      </c>
      <c r="B23" s="13" t="s">
        <v>95</v>
      </c>
      <c r="C23" s="13" t="s">
        <v>348</v>
      </c>
      <c r="D23" s="14" t="s">
        <v>481</v>
      </c>
      <c r="E23" s="13" t="s">
        <v>22</v>
      </c>
      <c r="F23" s="13">
        <v>4</v>
      </c>
      <c r="G23" s="13" t="s">
        <v>327</v>
      </c>
      <c r="H23" s="13">
        <v>4</v>
      </c>
      <c r="I23" s="14" t="s">
        <v>328</v>
      </c>
      <c r="J23" s="13" t="s">
        <v>329</v>
      </c>
      <c r="K23" s="9">
        <v>46290</v>
      </c>
      <c r="L23" s="13" t="s">
        <v>330</v>
      </c>
    </row>
    <row r="24" spans="1:12" ht="29.15" x14ac:dyDescent="0.4">
      <c r="A24" s="13" t="s">
        <v>331</v>
      </c>
      <c r="B24" s="13" t="s">
        <v>95</v>
      </c>
      <c r="C24" s="13" t="s">
        <v>362</v>
      </c>
      <c r="D24" s="14" t="s">
        <v>483</v>
      </c>
      <c r="E24" s="13" t="s">
        <v>15</v>
      </c>
      <c r="F24" s="13">
        <v>3</v>
      </c>
      <c r="G24" s="13" t="s">
        <v>327</v>
      </c>
      <c r="H24" s="13">
        <v>3</v>
      </c>
      <c r="I24" s="14" t="s">
        <v>328</v>
      </c>
      <c r="J24" s="13" t="s">
        <v>329</v>
      </c>
      <c r="K24" s="9">
        <v>46290</v>
      </c>
      <c r="L24" s="13" t="s">
        <v>330</v>
      </c>
    </row>
    <row r="25" spans="1:12" ht="29.15" x14ac:dyDescent="0.4">
      <c r="A25" s="13" t="s">
        <v>331</v>
      </c>
      <c r="B25" s="13" t="s">
        <v>95</v>
      </c>
      <c r="C25" s="13" t="s">
        <v>362</v>
      </c>
      <c r="D25" s="14" t="s">
        <v>483</v>
      </c>
      <c r="E25" s="13" t="s">
        <v>16</v>
      </c>
      <c r="F25" s="13">
        <v>2</v>
      </c>
      <c r="G25" s="13" t="s">
        <v>327</v>
      </c>
      <c r="H25" s="13">
        <v>2</v>
      </c>
      <c r="I25" s="14" t="s">
        <v>328</v>
      </c>
      <c r="J25" s="13" t="s">
        <v>329</v>
      </c>
      <c r="K25" s="9">
        <v>46290</v>
      </c>
      <c r="L25" s="13" t="s">
        <v>330</v>
      </c>
    </row>
    <row r="26" spans="1:12" ht="29.15" x14ac:dyDescent="0.4">
      <c r="A26" s="13" t="s">
        <v>331</v>
      </c>
      <c r="B26" s="13" t="s">
        <v>95</v>
      </c>
      <c r="C26" s="13" t="s">
        <v>362</v>
      </c>
      <c r="D26" s="14" t="s">
        <v>483</v>
      </c>
      <c r="E26" s="13" t="s">
        <v>59</v>
      </c>
      <c r="F26" s="13">
        <v>4</v>
      </c>
      <c r="G26" s="13" t="s">
        <v>327</v>
      </c>
      <c r="H26" s="13">
        <v>4</v>
      </c>
      <c r="I26" s="14" t="s">
        <v>328</v>
      </c>
      <c r="J26" s="13" t="s">
        <v>329</v>
      </c>
      <c r="K26" s="9">
        <v>46290</v>
      </c>
      <c r="L26" s="13" t="s">
        <v>330</v>
      </c>
    </row>
    <row r="27" spans="1:12" ht="29.15" x14ac:dyDescent="0.4">
      <c r="A27" s="13" t="s">
        <v>331</v>
      </c>
      <c r="B27" s="13" t="s">
        <v>95</v>
      </c>
      <c r="C27" s="13" t="s">
        <v>362</v>
      </c>
      <c r="D27" s="14" t="s">
        <v>483</v>
      </c>
      <c r="E27" s="13" t="s">
        <v>18</v>
      </c>
      <c r="F27" s="13">
        <v>3</v>
      </c>
      <c r="G27" s="13" t="s">
        <v>327</v>
      </c>
      <c r="H27" s="13">
        <v>3</v>
      </c>
      <c r="I27" s="14" t="s">
        <v>328</v>
      </c>
      <c r="J27" s="13" t="s">
        <v>329</v>
      </c>
      <c r="K27" s="9">
        <v>46290</v>
      </c>
      <c r="L27" s="13" t="s">
        <v>330</v>
      </c>
    </row>
    <row r="28" spans="1:12" ht="29.15" x14ac:dyDescent="0.4">
      <c r="A28" s="13" t="s">
        <v>331</v>
      </c>
      <c r="B28" s="13" t="s">
        <v>95</v>
      </c>
      <c r="C28" s="13" t="s">
        <v>362</v>
      </c>
      <c r="D28" s="14" t="s">
        <v>483</v>
      </c>
      <c r="E28" s="13" t="s">
        <v>57</v>
      </c>
      <c r="F28" s="13">
        <v>3</v>
      </c>
      <c r="G28" s="13" t="s">
        <v>601</v>
      </c>
      <c r="H28" s="13">
        <v>2</v>
      </c>
      <c r="I28" s="14" t="s">
        <v>602</v>
      </c>
      <c r="J28" s="13" t="s">
        <v>329</v>
      </c>
      <c r="K28" s="9">
        <v>46290</v>
      </c>
      <c r="L28" s="13" t="s">
        <v>330</v>
      </c>
    </row>
    <row r="29" spans="1:12" ht="29.15" x14ac:dyDescent="0.4">
      <c r="A29" s="13" t="s">
        <v>331</v>
      </c>
      <c r="B29" s="13" t="s">
        <v>95</v>
      </c>
      <c r="C29" s="13" t="s">
        <v>362</v>
      </c>
      <c r="D29" s="14" t="s">
        <v>483</v>
      </c>
      <c r="E29" s="13" t="s">
        <v>22</v>
      </c>
      <c r="F29" s="13">
        <v>3</v>
      </c>
      <c r="G29" s="13" t="s">
        <v>327</v>
      </c>
      <c r="H29" s="13">
        <v>3</v>
      </c>
      <c r="I29" s="14" t="s">
        <v>328</v>
      </c>
      <c r="J29" s="13" t="s">
        <v>329</v>
      </c>
      <c r="K29" s="9">
        <v>46290</v>
      </c>
      <c r="L29" s="13" t="s">
        <v>330</v>
      </c>
    </row>
    <row r="30" spans="1:12" x14ac:dyDescent="0.4">
      <c r="A30" s="13" t="s">
        <v>331</v>
      </c>
      <c r="B30" s="13" t="s">
        <v>95</v>
      </c>
      <c r="C30" s="13" t="s">
        <v>376</v>
      </c>
      <c r="D30" s="14" t="s">
        <v>485</v>
      </c>
      <c r="E30" s="13" t="s">
        <v>15</v>
      </c>
      <c r="F30" s="13">
        <v>3</v>
      </c>
      <c r="G30" s="13" t="s">
        <v>327</v>
      </c>
      <c r="H30" s="13">
        <v>3</v>
      </c>
      <c r="I30" s="14" t="s">
        <v>328</v>
      </c>
      <c r="J30" s="13" t="s">
        <v>329</v>
      </c>
      <c r="K30" s="9">
        <v>46290</v>
      </c>
      <c r="L30" s="13" t="s">
        <v>330</v>
      </c>
    </row>
    <row r="31" spans="1:12" x14ac:dyDescent="0.4">
      <c r="A31" s="13" t="s">
        <v>331</v>
      </c>
      <c r="B31" s="13" t="s">
        <v>95</v>
      </c>
      <c r="C31" s="13" t="s">
        <v>376</v>
      </c>
      <c r="D31" s="14" t="s">
        <v>485</v>
      </c>
      <c r="E31" s="13" t="s">
        <v>16</v>
      </c>
      <c r="F31" s="13">
        <v>2</v>
      </c>
      <c r="G31" s="13" t="s">
        <v>327</v>
      </c>
      <c r="H31" s="13">
        <v>2</v>
      </c>
      <c r="I31" s="14" t="s">
        <v>328</v>
      </c>
      <c r="J31" s="13" t="s">
        <v>329</v>
      </c>
      <c r="K31" s="9">
        <v>46290</v>
      </c>
      <c r="L31" s="13" t="s">
        <v>330</v>
      </c>
    </row>
    <row r="32" spans="1:12" x14ac:dyDescent="0.4">
      <c r="A32" s="13" t="s">
        <v>331</v>
      </c>
      <c r="B32" s="13" t="s">
        <v>95</v>
      </c>
      <c r="C32" s="13" t="s">
        <v>376</v>
      </c>
      <c r="D32" s="14" t="s">
        <v>485</v>
      </c>
      <c r="E32" s="13" t="s">
        <v>59</v>
      </c>
      <c r="F32" s="13">
        <v>3</v>
      </c>
      <c r="G32" s="13" t="s">
        <v>327</v>
      </c>
      <c r="H32" s="13">
        <v>3</v>
      </c>
      <c r="I32" s="14" t="s">
        <v>328</v>
      </c>
      <c r="J32" s="13" t="s">
        <v>329</v>
      </c>
      <c r="K32" s="9">
        <v>46290</v>
      </c>
      <c r="L32" s="13" t="s">
        <v>330</v>
      </c>
    </row>
    <row r="33" spans="1:12" x14ac:dyDescent="0.4">
      <c r="A33" s="13" t="s">
        <v>331</v>
      </c>
      <c r="B33" s="13" t="s">
        <v>95</v>
      </c>
      <c r="C33" s="13" t="s">
        <v>376</v>
      </c>
      <c r="D33" s="14" t="s">
        <v>485</v>
      </c>
      <c r="E33" s="13" t="s">
        <v>18</v>
      </c>
      <c r="F33" s="13">
        <v>3</v>
      </c>
      <c r="G33" s="13" t="s">
        <v>327</v>
      </c>
      <c r="H33" s="13">
        <v>3</v>
      </c>
      <c r="I33" s="14" t="s">
        <v>328</v>
      </c>
      <c r="J33" s="13" t="s">
        <v>329</v>
      </c>
      <c r="K33" s="9">
        <v>46290</v>
      </c>
      <c r="L33" s="13" t="s">
        <v>330</v>
      </c>
    </row>
    <row r="34" spans="1:12" x14ac:dyDescent="0.4">
      <c r="A34" s="13" t="s">
        <v>331</v>
      </c>
      <c r="B34" s="13" t="s">
        <v>95</v>
      </c>
      <c r="C34" s="13" t="s">
        <v>376</v>
      </c>
      <c r="D34" s="14" t="s">
        <v>485</v>
      </c>
      <c r="E34" s="13" t="s">
        <v>57</v>
      </c>
      <c r="F34" s="13">
        <v>3</v>
      </c>
      <c r="G34" s="13" t="s">
        <v>327</v>
      </c>
      <c r="H34" s="13">
        <v>3</v>
      </c>
      <c r="I34" s="14" t="s">
        <v>328</v>
      </c>
      <c r="J34" s="13" t="s">
        <v>329</v>
      </c>
      <c r="K34" s="9">
        <v>46290</v>
      </c>
      <c r="L34" s="13" t="s">
        <v>330</v>
      </c>
    </row>
    <row r="35" spans="1:12" x14ac:dyDescent="0.4">
      <c r="A35" s="13" t="s">
        <v>331</v>
      </c>
      <c r="B35" s="13" t="s">
        <v>95</v>
      </c>
      <c r="C35" s="13" t="s">
        <v>376</v>
      </c>
      <c r="D35" s="14" t="s">
        <v>485</v>
      </c>
      <c r="E35" s="13" t="s">
        <v>22</v>
      </c>
      <c r="F35" s="13">
        <v>3</v>
      </c>
      <c r="G35" s="13" t="s">
        <v>327</v>
      </c>
      <c r="H35" s="13">
        <v>3</v>
      </c>
      <c r="I35" s="14" t="s">
        <v>328</v>
      </c>
      <c r="J35" s="13" t="s">
        <v>329</v>
      </c>
      <c r="K35" s="9">
        <v>46290</v>
      </c>
      <c r="L35" s="13" t="s">
        <v>330</v>
      </c>
    </row>
    <row r="36" spans="1:12" x14ac:dyDescent="0.4">
      <c r="A36" s="13" t="s">
        <v>331</v>
      </c>
      <c r="B36" s="13" t="s">
        <v>95</v>
      </c>
      <c r="C36" s="13" t="s">
        <v>390</v>
      </c>
      <c r="D36" s="14" t="s">
        <v>486</v>
      </c>
      <c r="E36" s="13" t="s">
        <v>15</v>
      </c>
      <c r="F36" s="13">
        <v>3</v>
      </c>
      <c r="G36" s="13" t="s">
        <v>327</v>
      </c>
      <c r="H36" s="13">
        <v>3</v>
      </c>
      <c r="I36" s="14" t="s">
        <v>328</v>
      </c>
      <c r="J36" s="13" t="s">
        <v>329</v>
      </c>
      <c r="K36" s="9">
        <v>46290</v>
      </c>
      <c r="L36" s="13" t="s">
        <v>330</v>
      </c>
    </row>
    <row r="37" spans="1:12" x14ac:dyDescent="0.4">
      <c r="A37" s="13" t="s">
        <v>331</v>
      </c>
      <c r="B37" s="13" t="s">
        <v>95</v>
      </c>
      <c r="C37" s="13" t="s">
        <v>390</v>
      </c>
      <c r="D37" s="14" t="s">
        <v>486</v>
      </c>
      <c r="E37" s="13" t="s">
        <v>16</v>
      </c>
      <c r="F37" s="13">
        <v>3</v>
      </c>
      <c r="G37" s="13" t="s">
        <v>327</v>
      </c>
      <c r="H37" s="13">
        <v>3</v>
      </c>
      <c r="I37" s="14" t="s">
        <v>328</v>
      </c>
      <c r="J37" s="13" t="s">
        <v>329</v>
      </c>
      <c r="K37" s="9">
        <v>46290</v>
      </c>
      <c r="L37" s="13" t="s">
        <v>330</v>
      </c>
    </row>
    <row r="38" spans="1:12" x14ac:dyDescent="0.4">
      <c r="A38" s="13" t="s">
        <v>331</v>
      </c>
      <c r="B38" s="13" t="s">
        <v>95</v>
      </c>
      <c r="C38" s="13" t="s">
        <v>390</v>
      </c>
      <c r="D38" s="14" t="s">
        <v>486</v>
      </c>
      <c r="E38" s="13" t="s">
        <v>59</v>
      </c>
      <c r="F38" s="13">
        <v>3</v>
      </c>
      <c r="G38" s="13" t="s">
        <v>327</v>
      </c>
      <c r="H38" s="13">
        <v>3</v>
      </c>
      <c r="I38" s="14" t="s">
        <v>328</v>
      </c>
      <c r="J38" s="13" t="s">
        <v>329</v>
      </c>
      <c r="K38" s="9">
        <v>46290</v>
      </c>
      <c r="L38" s="13" t="s">
        <v>330</v>
      </c>
    </row>
    <row r="39" spans="1:12" x14ac:dyDescent="0.4">
      <c r="A39" s="13" t="s">
        <v>331</v>
      </c>
      <c r="B39" s="13" t="s">
        <v>95</v>
      </c>
      <c r="C39" s="13" t="s">
        <v>390</v>
      </c>
      <c r="D39" s="14" t="s">
        <v>486</v>
      </c>
      <c r="E39" s="13" t="s">
        <v>18</v>
      </c>
      <c r="F39" s="13">
        <v>3</v>
      </c>
      <c r="G39" s="13" t="s">
        <v>327</v>
      </c>
      <c r="H39" s="13">
        <v>3</v>
      </c>
      <c r="I39" s="14" t="s">
        <v>328</v>
      </c>
      <c r="J39" s="13" t="s">
        <v>329</v>
      </c>
      <c r="K39" s="9">
        <v>46290</v>
      </c>
      <c r="L39" s="13" t="s">
        <v>330</v>
      </c>
    </row>
    <row r="40" spans="1:12" x14ac:dyDescent="0.4">
      <c r="A40" s="13" t="s">
        <v>331</v>
      </c>
      <c r="B40" s="13" t="s">
        <v>95</v>
      </c>
      <c r="C40" s="13" t="s">
        <v>390</v>
      </c>
      <c r="D40" s="14" t="s">
        <v>486</v>
      </c>
      <c r="E40" s="13" t="s">
        <v>57</v>
      </c>
      <c r="F40" s="13">
        <v>3</v>
      </c>
      <c r="G40" s="13" t="s">
        <v>327</v>
      </c>
      <c r="H40" s="13">
        <v>3</v>
      </c>
      <c r="I40" s="14" t="s">
        <v>328</v>
      </c>
      <c r="J40" s="13" t="s">
        <v>329</v>
      </c>
      <c r="K40" s="9">
        <v>46290</v>
      </c>
      <c r="L40" s="13" t="s">
        <v>330</v>
      </c>
    </row>
    <row r="41" spans="1:12" x14ac:dyDescent="0.4">
      <c r="A41" s="13" t="s">
        <v>331</v>
      </c>
      <c r="B41" s="13" t="s">
        <v>95</v>
      </c>
      <c r="C41" s="13" t="s">
        <v>390</v>
      </c>
      <c r="D41" s="14" t="s">
        <v>486</v>
      </c>
      <c r="E41" s="13" t="s">
        <v>22</v>
      </c>
      <c r="F41" s="13">
        <v>4</v>
      </c>
      <c r="G41" s="13" t="s">
        <v>327</v>
      </c>
      <c r="H41" s="13">
        <v>4</v>
      </c>
      <c r="I41" s="14" t="s">
        <v>328</v>
      </c>
      <c r="J41" s="13" t="s">
        <v>329</v>
      </c>
      <c r="K41" s="9">
        <v>46290</v>
      </c>
      <c r="L41" s="13" t="s">
        <v>330</v>
      </c>
    </row>
    <row r="42" spans="1:12" ht="29.15" x14ac:dyDescent="0.4">
      <c r="A42" s="13" t="s">
        <v>331</v>
      </c>
      <c r="B42" s="13" t="s">
        <v>95</v>
      </c>
      <c r="C42" s="13" t="s">
        <v>403</v>
      </c>
      <c r="D42" s="14" t="s">
        <v>487</v>
      </c>
      <c r="E42" s="13" t="s">
        <v>15</v>
      </c>
      <c r="F42" s="13">
        <v>3</v>
      </c>
      <c r="G42" s="13" t="s">
        <v>327</v>
      </c>
      <c r="H42" s="13">
        <v>3</v>
      </c>
      <c r="I42" s="14" t="s">
        <v>328</v>
      </c>
      <c r="J42" s="13" t="s">
        <v>329</v>
      </c>
      <c r="K42" s="9">
        <v>46290</v>
      </c>
      <c r="L42" s="13" t="s">
        <v>330</v>
      </c>
    </row>
    <row r="43" spans="1:12" ht="29.15" x14ac:dyDescent="0.4">
      <c r="A43" s="13" t="s">
        <v>331</v>
      </c>
      <c r="B43" s="13" t="s">
        <v>95</v>
      </c>
      <c r="C43" s="13" t="s">
        <v>403</v>
      </c>
      <c r="D43" s="14" t="s">
        <v>487</v>
      </c>
      <c r="E43" s="13" t="s">
        <v>16</v>
      </c>
      <c r="F43" s="13">
        <v>3</v>
      </c>
      <c r="G43" s="13" t="s">
        <v>327</v>
      </c>
      <c r="H43" s="13">
        <v>3</v>
      </c>
      <c r="I43" s="14" t="s">
        <v>328</v>
      </c>
      <c r="J43" s="13" t="s">
        <v>329</v>
      </c>
      <c r="K43" s="9">
        <v>46290</v>
      </c>
      <c r="L43" s="13" t="s">
        <v>330</v>
      </c>
    </row>
    <row r="44" spans="1:12" ht="29.15" x14ac:dyDescent="0.4">
      <c r="A44" s="13" t="s">
        <v>331</v>
      </c>
      <c r="B44" s="13" t="s">
        <v>95</v>
      </c>
      <c r="C44" s="13" t="s">
        <v>403</v>
      </c>
      <c r="D44" s="14" t="s">
        <v>487</v>
      </c>
      <c r="E44" s="13" t="s">
        <v>59</v>
      </c>
      <c r="F44" s="13">
        <v>3</v>
      </c>
      <c r="G44" s="13" t="s">
        <v>327</v>
      </c>
      <c r="H44" s="13">
        <v>3</v>
      </c>
      <c r="I44" s="14" t="s">
        <v>328</v>
      </c>
      <c r="J44" s="13" t="s">
        <v>329</v>
      </c>
      <c r="K44" s="9">
        <v>46290</v>
      </c>
      <c r="L44" s="13" t="s">
        <v>330</v>
      </c>
    </row>
    <row r="45" spans="1:12" ht="29.15" x14ac:dyDescent="0.4">
      <c r="A45" s="13" t="s">
        <v>331</v>
      </c>
      <c r="B45" s="13" t="s">
        <v>95</v>
      </c>
      <c r="C45" s="13" t="s">
        <v>403</v>
      </c>
      <c r="D45" s="14" t="s">
        <v>487</v>
      </c>
      <c r="E45" s="13" t="s">
        <v>18</v>
      </c>
      <c r="F45" s="13">
        <v>3</v>
      </c>
      <c r="G45" s="13" t="s">
        <v>327</v>
      </c>
      <c r="H45" s="13">
        <v>3</v>
      </c>
      <c r="I45" s="14" t="s">
        <v>328</v>
      </c>
      <c r="J45" s="13" t="s">
        <v>329</v>
      </c>
      <c r="K45" s="9">
        <v>46290</v>
      </c>
      <c r="L45" s="13" t="s">
        <v>330</v>
      </c>
    </row>
    <row r="46" spans="1:12" ht="29.15" x14ac:dyDescent="0.4">
      <c r="A46" s="13" t="s">
        <v>331</v>
      </c>
      <c r="B46" s="13" t="s">
        <v>95</v>
      </c>
      <c r="C46" s="13" t="s">
        <v>403</v>
      </c>
      <c r="D46" s="14" t="s">
        <v>487</v>
      </c>
      <c r="E46" s="13" t="s">
        <v>57</v>
      </c>
      <c r="F46" s="13">
        <v>3</v>
      </c>
      <c r="G46" s="13" t="s">
        <v>327</v>
      </c>
      <c r="H46" s="13">
        <v>3</v>
      </c>
      <c r="I46" s="14" t="s">
        <v>328</v>
      </c>
      <c r="J46" s="13" t="s">
        <v>329</v>
      </c>
      <c r="K46" s="9">
        <v>46290</v>
      </c>
      <c r="L46" s="13" t="s">
        <v>330</v>
      </c>
    </row>
    <row r="47" spans="1:12" ht="29.15" x14ac:dyDescent="0.4">
      <c r="A47" s="13" t="s">
        <v>331</v>
      </c>
      <c r="B47" s="13" t="s">
        <v>95</v>
      </c>
      <c r="C47" s="13" t="s">
        <v>403</v>
      </c>
      <c r="D47" s="14" t="s">
        <v>487</v>
      </c>
      <c r="E47" s="13" t="s">
        <v>22</v>
      </c>
      <c r="F47" s="13">
        <v>3</v>
      </c>
      <c r="G47" s="13" t="s">
        <v>327</v>
      </c>
      <c r="H47" s="13">
        <v>3</v>
      </c>
      <c r="I47" s="14" t="s">
        <v>328</v>
      </c>
      <c r="J47" s="13" t="s">
        <v>329</v>
      </c>
      <c r="K47" s="9">
        <v>46290</v>
      </c>
      <c r="L47" s="13" t="s">
        <v>330</v>
      </c>
    </row>
    <row r="48" spans="1:12" ht="29.15" x14ac:dyDescent="0.4">
      <c r="A48" s="13" t="s">
        <v>331</v>
      </c>
      <c r="B48" s="13" t="s">
        <v>95</v>
      </c>
      <c r="C48" s="13" t="s">
        <v>417</v>
      </c>
      <c r="D48" s="14" t="s">
        <v>489</v>
      </c>
      <c r="E48" s="13" t="s">
        <v>15</v>
      </c>
      <c r="F48" s="13">
        <v>4</v>
      </c>
      <c r="G48" s="13" t="s">
        <v>327</v>
      </c>
      <c r="H48" s="13">
        <v>4</v>
      </c>
      <c r="I48" s="14" t="s">
        <v>328</v>
      </c>
      <c r="J48" s="13" t="s">
        <v>329</v>
      </c>
      <c r="K48" s="9">
        <v>46290</v>
      </c>
      <c r="L48" s="13" t="s">
        <v>330</v>
      </c>
    </row>
    <row r="49" spans="1:12" ht="29.15" x14ac:dyDescent="0.4">
      <c r="A49" s="13" t="s">
        <v>331</v>
      </c>
      <c r="B49" s="13" t="s">
        <v>95</v>
      </c>
      <c r="C49" s="13" t="s">
        <v>417</v>
      </c>
      <c r="D49" s="14" t="s">
        <v>489</v>
      </c>
      <c r="E49" s="13" t="s">
        <v>16</v>
      </c>
      <c r="F49" s="13">
        <v>5</v>
      </c>
      <c r="G49" s="13" t="s">
        <v>327</v>
      </c>
      <c r="H49" s="13">
        <v>5</v>
      </c>
      <c r="I49" s="14" t="s">
        <v>328</v>
      </c>
      <c r="J49" s="13" t="s">
        <v>329</v>
      </c>
      <c r="K49" s="9">
        <v>46290</v>
      </c>
      <c r="L49" s="13" t="s">
        <v>330</v>
      </c>
    </row>
    <row r="50" spans="1:12" ht="29.15" x14ac:dyDescent="0.4">
      <c r="A50" s="13" t="s">
        <v>331</v>
      </c>
      <c r="B50" s="13" t="s">
        <v>95</v>
      </c>
      <c r="C50" s="13" t="s">
        <v>417</v>
      </c>
      <c r="D50" s="14" t="s">
        <v>489</v>
      </c>
      <c r="E50" s="13" t="s">
        <v>59</v>
      </c>
      <c r="F50" s="13">
        <v>3</v>
      </c>
      <c r="G50" s="13" t="s">
        <v>327</v>
      </c>
      <c r="H50" s="13">
        <v>3</v>
      </c>
      <c r="I50" s="14" t="s">
        <v>328</v>
      </c>
      <c r="J50" s="13" t="s">
        <v>329</v>
      </c>
      <c r="K50" s="9">
        <v>46290</v>
      </c>
      <c r="L50" s="13" t="s">
        <v>330</v>
      </c>
    </row>
    <row r="51" spans="1:12" ht="29.15" x14ac:dyDescent="0.4">
      <c r="A51" s="13" t="s">
        <v>331</v>
      </c>
      <c r="B51" s="13" t="s">
        <v>95</v>
      </c>
      <c r="C51" s="13" t="s">
        <v>417</v>
      </c>
      <c r="D51" s="14" t="s">
        <v>489</v>
      </c>
      <c r="E51" s="13" t="s">
        <v>18</v>
      </c>
      <c r="F51" s="13">
        <v>3</v>
      </c>
      <c r="G51" s="13" t="s">
        <v>327</v>
      </c>
      <c r="H51" s="13">
        <v>3</v>
      </c>
      <c r="I51" s="14" t="s">
        <v>328</v>
      </c>
      <c r="J51" s="13" t="s">
        <v>329</v>
      </c>
      <c r="K51" s="9">
        <v>46290</v>
      </c>
      <c r="L51" s="13" t="s">
        <v>330</v>
      </c>
    </row>
    <row r="52" spans="1:12" ht="29.15" x14ac:dyDescent="0.4">
      <c r="A52" s="13" t="s">
        <v>331</v>
      </c>
      <c r="B52" s="13" t="s">
        <v>95</v>
      </c>
      <c r="C52" s="13" t="s">
        <v>417</v>
      </c>
      <c r="D52" s="14" t="s">
        <v>489</v>
      </c>
      <c r="E52" s="13" t="s">
        <v>57</v>
      </c>
      <c r="F52" s="13">
        <v>3</v>
      </c>
      <c r="G52" s="13" t="s">
        <v>327</v>
      </c>
      <c r="H52" s="13">
        <v>3</v>
      </c>
      <c r="I52" s="14" t="s">
        <v>328</v>
      </c>
      <c r="J52" s="13" t="s">
        <v>329</v>
      </c>
      <c r="K52" s="9">
        <v>46290</v>
      </c>
      <c r="L52" s="13" t="s">
        <v>330</v>
      </c>
    </row>
    <row r="53" spans="1:12" ht="29.15" x14ac:dyDescent="0.4">
      <c r="A53" s="13" t="s">
        <v>331</v>
      </c>
      <c r="B53" s="13" t="s">
        <v>95</v>
      </c>
      <c r="C53" s="13" t="s">
        <v>417</v>
      </c>
      <c r="D53" s="14" t="s">
        <v>489</v>
      </c>
      <c r="E53" s="13" t="s">
        <v>22</v>
      </c>
      <c r="F53" s="13">
        <v>3</v>
      </c>
      <c r="G53" s="13" t="s">
        <v>327</v>
      </c>
      <c r="H53" s="13">
        <v>3</v>
      </c>
      <c r="I53" s="14" t="s">
        <v>328</v>
      </c>
      <c r="J53" s="13" t="s">
        <v>329</v>
      </c>
      <c r="K53" s="9">
        <v>46290</v>
      </c>
      <c r="L53" s="13" t="s">
        <v>330</v>
      </c>
    </row>
    <row r="54" spans="1:12" x14ac:dyDescent="0.4">
      <c r="A54" s="13" t="s">
        <v>331</v>
      </c>
      <c r="B54" s="13" t="s">
        <v>95</v>
      </c>
      <c r="C54" s="13" t="s">
        <v>426</v>
      </c>
      <c r="D54" s="14" t="s">
        <v>491</v>
      </c>
      <c r="E54" s="13" t="s">
        <v>15</v>
      </c>
      <c r="F54" s="13">
        <v>3</v>
      </c>
      <c r="G54" s="13" t="s">
        <v>327</v>
      </c>
      <c r="H54" s="13">
        <v>3</v>
      </c>
      <c r="I54" s="14" t="s">
        <v>328</v>
      </c>
      <c r="J54" s="13" t="s">
        <v>329</v>
      </c>
      <c r="K54" s="9">
        <v>46290</v>
      </c>
      <c r="L54" s="13" t="s">
        <v>330</v>
      </c>
    </row>
    <row r="55" spans="1:12" x14ac:dyDescent="0.4">
      <c r="A55" s="13" t="s">
        <v>331</v>
      </c>
      <c r="B55" s="13" t="s">
        <v>95</v>
      </c>
      <c r="C55" s="13" t="s">
        <v>426</v>
      </c>
      <c r="D55" s="14" t="s">
        <v>491</v>
      </c>
      <c r="E55" s="13" t="s">
        <v>16</v>
      </c>
      <c r="F55" s="13">
        <v>3</v>
      </c>
      <c r="G55" s="13" t="s">
        <v>327</v>
      </c>
      <c r="H55" s="13">
        <v>3</v>
      </c>
      <c r="I55" s="14" t="s">
        <v>328</v>
      </c>
      <c r="J55" s="13" t="s">
        <v>329</v>
      </c>
      <c r="K55" s="9">
        <v>46290</v>
      </c>
      <c r="L55" s="13" t="s">
        <v>330</v>
      </c>
    </row>
    <row r="56" spans="1:12" x14ac:dyDescent="0.4">
      <c r="A56" s="13" t="s">
        <v>331</v>
      </c>
      <c r="B56" s="13" t="s">
        <v>95</v>
      </c>
      <c r="C56" s="13" t="s">
        <v>426</v>
      </c>
      <c r="D56" s="14" t="s">
        <v>491</v>
      </c>
      <c r="E56" s="13" t="s">
        <v>59</v>
      </c>
      <c r="F56" s="13">
        <v>3</v>
      </c>
      <c r="G56" s="13" t="s">
        <v>327</v>
      </c>
      <c r="H56" s="13">
        <v>3</v>
      </c>
      <c r="I56" s="14" t="s">
        <v>328</v>
      </c>
      <c r="J56" s="13" t="s">
        <v>329</v>
      </c>
      <c r="K56" s="9">
        <v>46290</v>
      </c>
      <c r="L56" s="13" t="s">
        <v>330</v>
      </c>
    </row>
    <row r="57" spans="1:12" x14ac:dyDescent="0.4">
      <c r="A57" s="13" t="s">
        <v>331</v>
      </c>
      <c r="B57" s="13" t="s">
        <v>95</v>
      </c>
      <c r="C57" s="13" t="s">
        <v>426</v>
      </c>
      <c r="D57" s="14" t="s">
        <v>491</v>
      </c>
      <c r="E57" s="13" t="s">
        <v>18</v>
      </c>
      <c r="F57" s="13">
        <v>3</v>
      </c>
      <c r="G57" s="13" t="s">
        <v>327</v>
      </c>
      <c r="H57" s="13">
        <v>3</v>
      </c>
      <c r="I57" s="14" t="s">
        <v>328</v>
      </c>
      <c r="J57" s="13" t="s">
        <v>329</v>
      </c>
      <c r="K57" s="9">
        <v>46290</v>
      </c>
      <c r="L57" s="13" t="s">
        <v>330</v>
      </c>
    </row>
    <row r="58" spans="1:12" x14ac:dyDescent="0.4">
      <c r="A58" s="13" t="s">
        <v>331</v>
      </c>
      <c r="B58" s="13" t="s">
        <v>95</v>
      </c>
      <c r="C58" s="13" t="s">
        <v>426</v>
      </c>
      <c r="D58" s="14" t="s">
        <v>491</v>
      </c>
      <c r="E58" s="13" t="s">
        <v>57</v>
      </c>
      <c r="F58" s="13">
        <v>2</v>
      </c>
      <c r="G58" s="13" t="s">
        <v>327</v>
      </c>
      <c r="H58" s="13">
        <v>2</v>
      </c>
      <c r="I58" s="14" t="s">
        <v>328</v>
      </c>
      <c r="J58" s="13" t="s">
        <v>329</v>
      </c>
      <c r="K58" s="9">
        <v>46290</v>
      </c>
      <c r="L58" s="13" t="s">
        <v>330</v>
      </c>
    </row>
    <row r="59" spans="1:12" x14ac:dyDescent="0.4">
      <c r="A59" s="13" t="s">
        <v>331</v>
      </c>
      <c r="B59" s="13" t="s">
        <v>95</v>
      </c>
      <c r="C59" s="13" t="s">
        <v>426</v>
      </c>
      <c r="D59" s="14" t="s">
        <v>491</v>
      </c>
      <c r="E59" s="13" t="s">
        <v>22</v>
      </c>
      <c r="F59" s="13">
        <v>3</v>
      </c>
      <c r="G59" s="13" t="s">
        <v>327</v>
      </c>
      <c r="H59" s="13">
        <v>3</v>
      </c>
      <c r="I59" s="14" t="s">
        <v>328</v>
      </c>
      <c r="J59" s="13" t="s">
        <v>329</v>
      </c>
      <c r="K59" s="9">
        <v>46290</v>
      </c>
      <c r="L59" s="13" t="s">
        <v>330</v>
      </c>
    </row>
    <row r="60" spans="1:12" ht="29.15" x14ac:dyDescent="0.4">
      <c r="A60" s="13" t="s">
        <v>331</v>
      </c>
      <c r="B60" s="13" t="s">
        <v>95</v>
      </c>
      <c r="C60" s="13" t="s">
        <v>436</v>
      </c>
      <c r="D60" s="14" t="s">
        <v>493</v>
      </c>
      <c r="E60" s="13" t="s">
        <v>15</v>
      </c>
      <c r="F60" s="13">
        <v>4</v>
      </c>
      <c r="G60" s="13" t="s">
        <v>327</v>
      </c>
      <c r="H60" s="13">
        <v>4</v>
      </c>
      <c r="I60" s="14" t="s">
        <v>328</v>
      </c>
      <c r="J60" s="13" t="s">
        <v>329</v>
      </c>
      <c r="K60" s="9">
        <v>46290</v>
      </c>
      <c r="L60" s="13" t="s">
        <v>330</v>
      </c>
    </row>
    <row r="61" spans="1:12" ht="29.15" x14ac:dyDescent="0.4">
      <c r="A61" s="13" t="s">
        <v>331</v>
      </c>
      <c r="B61" s="13" t="s">
        <v>95</v>
      </c>
      <c r="C61" s="13" t="s">
        <v>436</v>
      </c>
      <c r="D61" s="14" t="s">
        <v>493</v>
      </c>
      <c r="E61" s="13" t="s">
        <v>16</v>
      </c>
      <c r="F61" s="13">
        <v>3</v>
      </c>
      <c r="G61" s="13" t="s">
        <v>327</v>
      </c>
      <c r="H61" s="13">
        <v>3</v>
      </c>
      <c r="I61" s="14" t="s">
        <v>328</v>
      </c>
      <c r="J61" s="13" t="s">
        <v>329</v>
      </c>
      <c r="K61" s="9">
        <v>46290</v>
      </c>
      <c r="L61" s="13" t="s">
        <v>330</v>
      </c>
    </row>
    <row r="62" spans="1:12" ht="29.15" x14ac:dyDescent="0.4">
      <c r="A62" s="13" t="s">
        <v>331</v>
      </c>
      <c r="B62" s="13" t="s">
        <v>95</v>
      </c>
      <c r="C62" s="13" t="s">
        <v>436</v>
      </c>
      <c r="D62" s="14" t="s">
        <v>493</v>
      </c>
      <c r="E62" s="13" t="s">
        <v>59</v>
      </c>
      <c r="F62" s="13">
        <v>2</v>
      </c>
      <c r="G62" s="13" t="s">
        <v>327</v>
      </c>
      <c r="H62" s="13">
        <v>2</v>
      </c>
      <c r="I62" s="14" t="s">
        <v>328</v>
      </c>
      <c r="J62" s="13" t="s">
        <v>329</v>
      </c>
      <c r="K62" s="9">
        <v>46290</v>
      </c>
      <c r="L62" s="13" t="s">
        <v>330</v>
      </c>
    </row>
    <row r="63" spans="1:12" ht="29.15" x14ac:dyDescent="0.4">
      <c r="A63" s="13" t="s">
        <v>331</v>
      </c>
      <c r="B63" s="13" t="s">
        <v>95</v>
      </c>
      <c r="C63" s="13" t="s">
        <v>436</v>
      </c>
      <c r="D63" s="14" t="s">
        <v>493</v>
      </c>
      <c r="E63" s="13" t="s">
        <v>18</v>
      </c>
      <c r="F63" s="13">
        <v>3</v>
      </c>
      <c r="G63" s="13" t="s">
        <v>327</v>
      </c>
      <c r="H63" s="13">
        <v>3</v>
      </c>
      <c r="I63" s="14" t="s">
        <v>328</v>
      </c>
      <c r="J63" s="13" t="s">
        <v>329</v>
      </c>
      <c r="K63" s="9">
        <v>46290</v>
      </c>
      <c r="L63" s="13" t="s">
        <v>330</v>
      </c>
    </row>
    <row r="64" spans="1:12" ht="29.15" x14ac:dyDescent="0.4">
      <c r="A64" s="13" t="s">
        <v>331</v>
      </c>
      <c r="B64" s="13" t="s">
        <v>95</v>
      </c>
      <c r="C64" s="13" t="s">
        <v>436</v>
      </c>
      <c r="D64" s="14" t="s">
        <v>493</v>
      </c>
      <c r="E64" s="13" t="s">
        <v>57</v>
      </c>
      <c r="F64" s="13">
        <v>2</v>
      </c>
      <c r="G64" s="13" t="s">
        <v>327</v>
      </c>
      <c r="H64" s="13">
        <v>2</v>
      </c>
      <c r="I64" s="14" t="s">
        <v>328</v>
      </c>
      <c r="J64" s="13" t="s">
        <v>329</v>
      </c>
      <c r="K64" s="9">
        <v>46290</v>
      </c>
      <c r="L64" s="13" t="s">
        <v>330</v>
      </c>
    </row>
    <row r="65" spans="1:12" ht="29.15" x14ac:dyDescent="0.4">
      <c r="A65" s="13" t="s">
        <v>331</v>
      </c>
      <c r="B65" s="13" t="s">
        <v>95</v>
      </c>
      <c r="C65" s="13" t="s">
        <v>436</v>
      </c>
      <c r="D65" s="14" t="s">
        <v>493</v>
      </c>
      <c r="E65" s="13" t="s">
        <v>22</v>
      </c>
      <c r="F65" s="13">
        <v>2</v>
      </c>
      <c r="G65" s="13" t="s">
        <v>327</v>
      </c>
      <c r="H65" s="13">
        <v>2</v>
      </c>
      <c r="I65" s="14" t="s">
        <v>328</v>
      </c>
      <c r="J65" s="13" t="s">
        <v>329</v>
      </c>
      <c r="K65" s="9">
        <v>46290</v>
      </c>
      <c r="L65" s="13" t="s">
        <v>330</v>
      </c>
    </row>
    <row r="66" spans="1:12" ht="29.15" x14ac:dyDescent="0.4">
      <c r="A66" s="13" t="s">
        <v>331</v>
      </c>
      <c r="B66" s="13" t="s">
        <v>95</v>
      </c>
      <c r="C66" s="13" t="s">
        <v>447</v>
      </c>
      <c r="D66" s="14" t="s">
        <v>494</v>
      </c>
      <c r="E66" s="13" t="s">
        <v>15</v>
      </c>
      <c r="F66" s="13">
        <v>3</v>
      </c>
      <c r="G66" s="13" t="s">
        <v>327</v>
      </c>
      <c r="H66" s="13">
        <v>3</v>
      </c>
      <c r="I66" s="14" t="s">
        <v>328</v>
      </c>
      <c r="J66" s="13" t="s">
        <v>329</v>
      </c>
      <c r="K66" s="9">
        <v>46290</v>
      </c>
      <c r="L66" s="13" t="s">
        <v>330</v>
      </c>
    </row>
    <row r="67" spans="1:12" ht="29.15" x14ac:dyDescent="0.4">
      <c r="A67" s="13" t="s">
        <v>331</v>
      </c>
      <c r="B67" s="13" t="s">
        <v>95</v>
      </c>
      <c r="C67" s="13" t="s">
        <v>447</v>
      </c>
      <c r="D67" s="14" t="s">
        <v>494</v>
      </c>
      <c r="E67" s="13" t="s">
        <v>16</v>
      </c>
      <c r="F67" s="13">
        <v>3</v>
      </c>
      <c r="G67" s="13" t="s">
        <v>327</v>
      </c>
      <c r="H67" s="13">
        <v>3</v>
      </c>
      <c r="I67" s="14" t="s">
        <v>328</v>
      </c>
      <c r="J67" s="13" t="s">
        <v>329</v>
      </c>
      <c r="K67" s="9">
        <v>46290</v>
      </c>
      <c r="L67" s="13" t="s">
        <v>330</v>
      </c>
    </row>
    <row r="68" spans="1:12" ht="29.15" x14ac:dyDescent="0.4">
      <c r="A68" s="13" t="s">
        <v>331</v>
      </c>
      <c r="B68" s="13" t="s">
        <v>95</v>
      </c>
      <c r="C68" s="13" t="s">
        <v>447</v>
      </c>
      <c r="D68" s="14" t="s">
        <v>494</v>
      </c>
      <c r="E68" s="13" t="s">
        <v>59</v>
      </c>
      <c r="F68" s="13">
        <v>3</v>
      </c>
      <c r="G68" s="13" t="s">
        <v>327</v>
      </c>
      <c r="H68" s="13">
        <v>3</v>
      </c>
      <c r="I68" s="14" t="s">
        <v>328</v>
      </c>
      <c r="J68" s="13" t="s">
        <v>329</v>
      </c>
      <c r="K68" s="9">
        <v>46290</v>
      </c>
      <c r="L68" s="13" t="s">
        <v>330</v>
      </c>
    </row>
    <row r="69" spans="1:12" ht="29.15" x14ac:dyDescent="0.4">
      <c r="A69" s="13" t="s">
        <v>331</v>
      </c>
      <c r="B69" s="13" t="s">
        <v>95</v>
      </c>
      <c r="C69" s="13" t="s">
        <v>447</v>
      </c>
      <c r="D69" s="14" t="s">
        <v>494</v>
      </c>
      <c r="E69" s="13" t="s">
        <v>18</v>
      </c>
      <c r="F69" s="13">
        <v>4</v>
      </c>
      <c r="G69" s="13" t="s">
        <v>327</v>
      </c>
      <c r="H69" s="13">
        <v>4</v>
      </c>
      <c r="I69" s="14" t="s">
        <v>328</v>
      </c>
      <c r="J69" s="13" t="s">
        <v>329</v>
      </c>
      <c r="K69" s="9">
        <v>46290</v>
      </c>
      <c r="L69" s="13" t="s">
        <v>330</v>
      </c>
    </row>
    <row r="70" spans="1:12" ht="29.15" x14ac:dyDescent="0.4">
      <c r="A70" s="13" t="s">
        <v>331</v>
      </c>
      <c r="B70" s="13" t="s">
        <v>95</v>
      </c>
      <c r="C70" s="13" t="s">
        <v>447</v>
      </c>
      <c r="D70" s="14" t="s">
        <v>494</v>
      </c>
      <c r="E70" s="13" t="s">
        <v>57</v>
      </c>
      <c r="F70" s="13">
        <v>3</v>
      </c>
      <c r="G70" s="13" t="s">
        <v>327</v>
      </c>
      <c r="H70" s="13">
        <v>3</v>
      </c>
      <c r="I70" s="14" t="s">
        <v>328</v>
      </c>
      <c r="J70" s="13" t="s">
        <v>329</v>
      </c>
      <c r="K70" s="9">
        <v>46290</v>
      </c>
      <c r="L70" s="13" t="s">
        <v>330</v>
      </c>
    </row>
    <row r="71" spans="1:12" ht="29.15" x14ac:dyDescent="0.4">
      <c r="A71" s="13" t="s">
        <v>331</v>
      </c>
      <c r="B71" s="13" t="s">
        <v>95</v>
      </c>
      <c r="C71" s="13" t="s">
        <v>447</v>
      </c>
      <c r="D71" s="14" t="s">
        <v>494</v>
      </c>
      <c r="E71" s="13" t="s">
        <v>22</v>
      </c>
      <c r="F71" s="13">
        <v>2</v>
      </c>
      <c r="G71" s="13" t="s">
        <v>327</v>
      </c>
      <c r="H71" s="13">
        <v>2</v>
      </c>
      <c r="I71" s="14" t="s">
        <v>328</v>
      </c>
      <c r="J71" s="13" t="s">
        <v>329</v>
      </c>
      <c r="K71" s="9">
        <v>46290</v>
      </c>
      <c r="L71" s="13" t="s">
        <v>330</v>
      </c>
    </row>
    <row r="72" spans="1:12" x14ac:dyDescent="0.4">
      <c r="A72" s="13" t="s">
        <v>331</v>
      </c>
      <c r="B72" s="13" t="s">
        <v>95</v>
      </c>
      <c r="C72" s="13" t="s">
        <v>457</v>
      </c>
      <c r="D72" s="14" t="s">
        <v>496</v>
      </c>
      <c r="E72" s="13" t="s">
        <v>15</v>
      </c>
      <c r="F72" s="13">
        <v>3</v>
      </c>
      <c r="G72" s="13" t="s">
        <v>327</v>
      </c>
      <c r="H72" s="13">
        <v>3</v>
      </c>
      <c r="I72" s="14" t="s">
        <v>328</v>
      </c>
      <c r="J72" s="13" t="s">
        <v>329</v>
      </c>
      <c r="K72" s="9">
        <v>46290</v>
      </c>
      <c r="L72" s="13" t="s">
        <v>330</v>
      </c>
    </row>
    <row r="73" spans="1:12" x14ac:dyDescent="0.4">
      <c r="A73" s="13" t="s">
        <v>331</v>
      </c>
      <c r="B73" s="13" t="s">
        <v>95</v>
      </c>
      <c r="C73" s="13" t="s">
        <v>457</v>
      </c>
      <c r="D73" s="14" t="s">
        <v>496</v>
      </c>
      <c r="E73" s="13" t="s">
        <v>16</v>
      </c>
      <c r="F73" s="13">
        <v>2</v>
      </c>
      <c r="G73" s="13" t="s">
        <v>327</v>
      </c>
      <c r="H73" s="13">
        <v>2</v>
      </c>
      <c r="I73" s="14" t="s">
        <v>328</v>
      </c>
      <c r="J73" s="13" t="s">
        <v>329</v>
      </c>
      <c r="K73" s="9">
        <v>46290</v>
      </c>
      <c r="L73" s="13" t="s">
        <v>330</v>
      </c>
    </row>
    <row r="74" spans="1:12" x14ac:dyDescent="0.4">
      <c r="A74" s="13" t="s">
        <v>331</v>
      </c>
      <c r="B74" s="13" t="s">
        <v>95</v>
      </c>
      <c r="C74" s="13" t="s">
        <v>457</v>
      </c>
      <c r="D74" s="14" t="s">
        <v>496</v>
      </c>
      <c r="E74" s="13" t="s">
        <v>59</v>
      </c>
      <c r="F74" s="13">
        <v>3</v>
      </c>
      <c r="G74" s="13" t="s">
        <v>327</v>
      </c>
      <c r="H74" s="13">
        <v>3</v>
      </c>
      <c r="I74" s="14" t="s">
        <v>328</v>
      </c>
      <c r="J74" s="13" t="s">
        <v>329</v>
      </c>
      <c r="K74" s="9">
        <v>46290</v>
      </c>
      <c r="L74" s="13" t="s">
        <v>330</v>
      </c>
    </row>
    <row r="75" spans="1:12" x14ac:dyDescent="0.4">
      <c r="A75" s="13" t="s">
        <v>331</v>
      </c>
      <c r="B75" s="13" t="s">
        <v>95</v>
      </c>
      <c r="C75" s="13" t="s">
        <v>457</v>
      </c>
      <c r="D75" s="14" t="s">
        <v>496</v>
      </c>
      <c r="E75" s="13" t="s">
        <v>18</v>
      </c>
      <c r="F75" s="13">
        <v>4</v>
      </c>
      <c r="G75" s="13" t="s">
        <v>327</v>
      </c>
      <c r="H75" s="13">
        <v>4</v>
      </c>
      <c r="I75" s="14" t="s">
        <v>328</v>
      </c>
      <c r="J75" s="13" t="s">
        <v>329</v>
      </c>
      <c r="K75" s="9">
        <v>46290</v>
      </c>
      <c r="L75" s="13" t="s">
        <v>330</v>
      </c>
    </row>
    <row r="76" spans="1:12" x14ac:dyDescent="0.4">
      <c r="A76" s="13" t="s">
        <v>331</v>
      </c>
      <c r="B76" s="13" t="s">
        <v>95</v>
      </c>
      <c r="C76" s="13" t="s">
        <v>457</v>
      </c>
      <c r="D76" s="14" t="s">
        <v>496</v>
      </c>
      <c r="E76" s="13" t="s">
        <v>57</v>
      </c>
      <c r="F76" s="13">
        <v>3</v>
      </c>
      <c r="G76" s="13" t="s">
        <v>327</v>
      </c>
      <c r="H76" s="13">
        <v>3</v>
      </c>
      <c r="I76" s="14" t="s">
        <v>328</v>
      </c>
      <c r="J76" s="13" t="s">
        <v>329</v>
      </c>
      <c r="K76" s="9">
        <v>46290</v>
      </c>
      <c r="L76" s="13" t="s">
        <v>330</v>
      </c>
    </row>
    <row r="77" spans="1:12" x14ac:dyDescent="0.4">
      <c r="A77" s="13" t="s">
        <v>331</v>
      </c>
      <c r="B77" s="13" t="s">
        <v>95</v>
      </c>
      <c r="C77" s="13" t="s">
        <v>457</v>
      </c>
      <c r="D77" s="14" t="s">
        <v>496</v>
      </c>
      <c r="E77" s="13" t="s">
        <v>22</v>
      </c>
      <c r="F77" s="13">
        <v>3</v>
      </c>
      <c r="G77" s="13" t="s">
        <v>327</v>
      </c>
      <c r="H77" s="13">
        <v>3</v>
      </c>
      <c r="I77" s="14" t="s">
        <v>328</v>
      </c>
      <c r="J77" s="13" t="s">
        <v>329</v>
      </c>
      <c r="K77" s="9">
        <v>46290</v>
      </c>
      <c r="L77" s="13" t="s">
        <v>330</v>
      </c>
    </row>
    <row r="78" spans="1:12" x14ac:dyDescent="0.4">
      <c r="A78" s="13" t="s">
        <v>331</v>
      </c>
      <c r="B78" s="13" t="s">
        <v>95</v>
      </c>
      <c r="C78" s="13" t="s">
        <v>468</v>
      </c>
      <c r="D78" s="14" t="s">
        <v>497</v>
      </c>
      <c r="E78" s="13" t="s">
        <v>15</v>
      </c>
      <c r="F78" s="13">
        <v>3</v>
      </c>
      <c r="G78" s="13" t="s">
        <v>327</v>
      </c>
      <c r="H78" s="13">
        <v>3</v>
      </c>
      <c r="I78" s="14" t="s">
        <v>328</v>
      </c>
      <c r="J78" s="13" t="s">
        <v>329</v>
      </c>
      <c r="K78" s="9">
        <v>46290</v>
      </c>
      <c r="L78" s="13" t="s">
        <v>330</v>
      </c>
    </row>
    <row r="79" spans="1:12" x14ac:dyDescent="0.4">
      <c r="A79" s="13" t="s">
        <v>331</v>
      </c>
      <c r="B79" s="13" t="s">
        <v>95</v>
      </c>
      <c r="C79" s="13" t="s">
        <v>468</v>
      </c>
      <c r="D79" s="14" t="s">
        <v>497</v>
      </c>
      <c r="E79" s="13" t="s">
        <v>16</v>
      </c>
      <c r="F79" s="13">
        <v>4</v>
      </c>
      <c r="G79" s="13" t="s">
        <v>327</v>
      </c>
      <c r="H79" s="13">
        <v>4</v>
      </c>
      <c r="I79" s="14" t="s">
        <v>328</v>
      </c>
      <c r="J79" s="13" t="s">
        <v>329</v>
      </c>
      <c r="K79" s="9">
        <v>46290</v>
      </c>
      <c r="L79" s="13" t="s">
        <v>330</v>
      </c>
    </row>
    <row r="80" spans="1:12" x14ac:dyDescent="0.4">
      <c r="A80" s="13" t="s">
        <v>331</v>
      </c>
      <c r="B80" s="13" t="s">
        <v>95</v>
      </c>
      <c r="C80" s="13" t="s">
        <v>468</v>
      </c>
      <c r="D80" s="14" t="s">
        <v>497</v>
      </c>
      <c r="E80" s="13" t="s">
        <v>59</v>
      </c>
      <c r="F80" s="13">
        <v>4</v>
      </c>
      <c r="G80" s="13" t="s">
        <v>327</v>
      </c>
      <c r="H80" s="13">
        <v>4</v>
      </c>
      <c r="I80" s="14" t="s">
        <v>328</v>
      </c>
      <c r="J80" s="13" t="s">
        <v>329</v>
      </c>
      <c r="K80" s="9">
        <v>46290</v>
      </c>
      <c r="L80" s="13" t="s">
        <v>330</v>
      </c>
    </row>
    <row r="81" spans="1:12" x14ac:dyDescent="0.4">
      <c r="A81" s="13" t="s">
        <v>331</v>
      </c>
      <c r="B81" s="13" t="s">
        <v>95</v>
      </c>
      <c r="C81" s="13" t="s">
        <v>468</v>
      </c>
      <c r="D81" s="14" t="s">
        <v>497</v>
      </c>
      <c r="E81" s="13" t="s">
        <v>18</v>
      </c>
      <c r="F81" s="13">
        <v>3</v>
      </c>
      <c r="G81" s="13" t="s">
        <v>327</v>
      </c>
      <c r="H81" s="13">
        <v>3</v>
      </c>
      <c r="I81" s="14" t="s">
        <v>328</v>
      </c>
      <c r="J81" s="13" t="s">
        <v>329</v>
      </c>
      <c r="K81" s="9">
        <v>46290</v>
      </c>
      <c r="L81" s="13" t="s">
        <v>330</v>
      </c>
    </row>
    <row r="82" spans="1:12" x14ac:dyDescent="0.4">
      <c r="A82" s="13" t="s">
        <v>331</v>
      </c>
      <c r="B82" s="13" t="s">
        <v>95</v>
      </c>
      <c r="C82" s="13" t="s">
        <v>468</v>
      </c>
      <c r="D82" s="14" t="s">
        <v>497</v>
      </c>
      <c r="E82" s="13" t="s">
        <v>57</v>
      </c>
      <c r="F82" s="13">
        <v>4</v>
      </c>
      <c r="G82" s="13" t="s">
        <v>327</v>
      </c>
      <c r="H82" s="13">
        <v>4</v>
      </c>
      <c r="I82" s="14" t="s">
        <v>328</v>
      </c>
      <c r="J82" s="13" t="s">
        <v>329</v>
      </c>
      <c r="K82" s="9">
        <v>46290</v>
      </c>
      <c r="L82" s="13" t="s">
        <v>330</v>
      </c>
    </row>
    <row r="83" spans="1:12" x14ac:dyDescent="0.4">
      <c r="A83" s="13" t="s">
        <v>331</v>
      </c>
      <c r="B83" s="13" t="s">
        <v>95</v>
      </c>
      <c r="C83" s="13" t="s">
        <v>468</v>
      </c>
      <c r="D83" s="14" t="s">
        <v>497</v>
      </c>
      <c r="E83" s="13" t="s">
        <v>22</v>
      </c>
      <c r="F83" s="13">
        <v>3</v>
      </c>
      <c r="G83" s="13" t="s">
        <v>327</v>
      </c>
      <c r="H83" s="13">
        <v>3</v>
      </c>
      <c r="I83" s="14" t="s">
        <v>328</v>
      </c>
      <c r="J83" s="13" t="s">
        <v>329</v>
      </c>
      <c r="K83" s="9">
        <v>46290</v>
      </c>
      <c r="L83" s="13" t="s">
        <v>330</v>
      </c>
    </row>
    <row r="84" spans="1:12" ht="29.15" x14ac:dyDescent="0.4">
      <c r="A84" s="13" t="s">
        <v>331</v>
      </c>
      <c r="B84" s="13" t="s">
        <v>109</v>
      </c>
      <c r="C84" s="13" t="s">
        <v>110</v>
      </c>
      <c r="D84" s="14" t="s">
        <v>332</v>
      </c>
      <c r="E84" s="13" t="s">
        <v>111</v>
      </c>
      <c r="F84" s="13"/>
      <c r="G84" s="13" t="s">
        <v>601</v>
      </c>
      <c r="H84" s="13">
        <v>4.8</v>
      </c>
      <c r="I84" s="14" t="s">
        <v>603</v>
      </c>
      <c r="J84" s="13" t="s">
        <v>329</v>
      </c>
      <c r="K84" s="9">
        <v>46290</v>
      </c>
      <c r="L84" s="13" t="s">
        <v>330</v>
      </c>
    </row>
    <row r="85" spans="1:12" x14ac:dyDescent="0.4">
      <c r="A85" s="13" t="s">
        <v>331</v>
      </c>
      <c r="B85" s="13" t="s">
        <v>109</v>
      </c>
      <c r="C85" s="13" t="s">
        <v>110</v>
      </c>
      <c r="D85" s="14" t="s">
        <v>332</v>
      </c>
      <c r="E85" s="13" t="s">
        <v>112</v>
      </c>
      <c r="F85" s="13">
        <v>3</v>
      </c>
      <c r="G85" s="13" t="s">
        <v>327</v>
      </c>
      <c r="H85" s="13">
        <v>3</v>
      </c>
      <c r="I85" s="14" t="s">
        <v>328</v>
      </c>
      <c r="J85" s="13" t="s">
        <v>329</v>
      </c>
      <c r="K85" s="9">
        <v>46290</v>
      </c>
      <c r="L85" s="13" t="s">
        <v>330</v>
      </c>
    </row>
    <row r="86" spans="1:12" x14ac:dyDescent="0.4">
      <c r="A86" s="13" t="s">
        <v>331</v>
      </c>
      <c r="B86" s="13" t="s">
        <v>109</v>
      </c>
      <c r="C86" s="13" t="s">
        <v>110</v>
      </c>
      <c r="D86" s="14" t="s">
        <v>332</v>
      </c>
      <c r="E86" s="13" t="s">
        <v>113</v>
      </c>
      <c r="F86" s="13">
        <v>6</v>
      </c>
      <c r="G86" s="13" t="s">
        <v>327</v>
      </c>
      <c r="H86" s="13">
        <v>6</v>
      </c>
      <c r="I86" s="14" t="s">
        <v>328</v>
      </c>
      <c r="J86" s="13" t="s">
        <v>329</v>
      </c>
      <c r="K86" s="9">
        <v>46290</v>
      </c>
      <c r="L86" s="13" t="s">
        <v>330</v>
      </c>
    </row>
    <row r="87" spans="1:12" x14ac:dyDescent="0.4">
      <c r="A87" s="13" t="s">
        <v>331</v>
      </c>
      <c r="B87" s="13" t="s">
        <v>109</v>
      </c>
      <c r="C87" s="13" t="s">
        <v>337</v>
      </c>
      <c r="D87" s="14" t="s">
        <v>338</v>
      </c>
      <c r="E87" s="13" t="s">
        <v>111</v>
      </c>
      <c r="F87" s="13"/>
      <c r="G87" s="13" t="s">
        <v>327</v>
      </c>
      <c r="H87" s="13"/>
      <c r="I87" s="14" t="s">
        <v>328</v>
      </c>
      <c r="J87" s="13" t="s">
        <v>329</v>
      </c>
      <c r="K87" s="9">
        <v>46290</v>
      </c>
      <c r="L87" s="13" t="s">
        <v>330</v>
      </c>
    </row>
    <row r="88" spans="1:12" x14ac:dyDescent="0.4">
      <c r="A88" s="13" t="s">
        <v>331</v>
      </c>
      <c r="B88" s="13" t="s">
        <v>109</v>
      </c>
      <c r="C88" s="13" t="s">
        <v>337</v>
      </c>
      <c r="D88" s="14" t="s">
        <v>338</v>
      </c>
      <c r="E88" s="13" t="s">
        <v>112</v>
      </c>
      <c r="F88" s="13">
        <v>10</v>
      </c>
      <c r="G88" s="13" t="s">
        <v>327</v>
      </c>
      <c r="H88" s="13">
        <v>10</v>
      </c>
      <c r="I88" s="14" t="s">
        <v>328</v>
      </c>
      <c r="J88" s="13" t="s">
        <v>329</v>
      </c>
      <c r="K88" s="9">
        <v>46290</v>
      </c>
      <c r="L88" s="13" t="s">
        <v>330</v>
      </c>
    </row>
    <row r="89" spans="1:12" x14ac:dyDescent="0.4">
      <c r="A89" s="13" t="s">
        <v>331</v>
      </c>
      <c r="B89" s="13" t="s">
        <v>109</v>
      </c>
      <c r="C89" s="13" t="s">
        <v>337</v>
      </c>
      <c r="D89" s="14" t="s">
        <v>338</v>
      </c>
      <c r="E89" s="13" t="s">
        <v>113</v>
      </c>
      <c r="F89" s="13">
        <v>25</v>
      </c>
      <c r="G89" s="13" t="s">
        <v>327</v>
      </c>
      <c r="H89" s="13">
        <v>25</v>
      </c>
      <c r="I89" s="14" t="s">
        <v>328</v>
      </c>
      <c r="J89" s="13" t="s">
        <v>329</v>
      </c>
      <c r="K89" s="9">
        <v>46290</v>
      </c>
      <c r="L89" s="13" t="s">
        <v>330</v>
      </c>
    </row>
    <row r="90" spans="1:12" ht="29.15" x14ac:dyDescent="0.4">
      <c r="A90" s="13" t="s">
        <v>331</v>
      </c>
      <c r="B90" s="13" t="s">
        <v>109</v>
      </c>
      <c r="C90" s="13" t="s">
        <v>342</v>
      </c>
      <c r="D90" s="14" t="s">
        <v>343</v>
      </c>
      <c r="E90" s="13" t="s">
        <v>111</v>
      </c>
      <c r="F90" s="13"/>
      <c r="G90" s="13" t="s">
        <v>327</v>
      </c>
      <c r="H90" s="13"/>
      <c r="I90" s="14" t="s">
        <v>328</v>
      </c>
      <c r="J90" s="13" t="s">
        <v>329</v>
      </c>
      <c r="K90" s="9">
        <v>46290</v>
      </c>
      <c r="L90" s="13" t="s">
        <v>330</v>
      </c>
    </row>
    <row r="91" spans="1:12" ht="29.15" x14ac:dyDescent="0.4">
      <c r="A91" s="13" t="s">
        <v>331</v>
      </c>
      <c r="B91" s="13" t="s">
        <v>109</v>
      </c>
      <c r="C91" s="13" t="s">
        <v>342</v>
      </c>
      <c r="D91" s="14" t="s">
        <v>343</v>
      </c>
      <c r="E91" s="13" t="s">
        <v>112</v>
      </c>
      <c r="F91" s="13">
        <v>4</v>
      </c>
      <c r="G91" s="13" t="s">
        <v>327</v>
      </c>
      <c r="H91" s="13">
        <v>4</v>
      </c>
      <c r="I91" s="14" t="s">
        <v>328</v>
      </c>
      <c r="J91" s="13" t="s">
        <v>329</v>
      </c>
      <c r="K91" s="9">
        <v>46290</v>
      </c>
      <c r="L91" s="13" t="s">
        <v>330</v>
      </c>
    </row>
    <row r="92" spans="1:12" ht="29.15" x14ac:dyDescent="0.4">
      <c r="A92" s="13" t="s">
        <v>331</v>
      </c>
      <c r="B92" s="13" t="s">
        <v>109</v>
      </c>
      <c r="C92" s="13" t="s">
        <v>342</v>
      </c>
      <c r="D92" s="14" t="s">
        <v>343</v>
      </c>
      <c r="E92" s="13" t="s">
        <v>113</v>
      </c>
      <c r="F92" s="13">
        <v>12</v>
      </c>
      <c r="G92" s="13" t="s">
        <v>327</v>
      </c>
      <c r="H92" s="13">
        <v>12</v>
      </c>
      <c r="I92" s="14" t="s">
        <v>328</v>
      </c>
      <c r="J92" s="13" t="s">
        <v>329</v>
      </c>
      <c r="K92" s="9">
        <v>46290</v>
      </c>
      <c r="L92" s="13" t="s">
        <v>330</v>
      </c>
    </row>
    <row r="93" spans="1:12" x14ac:dyDescent="0.4">
      <c r="A93" s="13" t="s">
        <v>331</v>
      </c>
      <c r="B93" s="13" t="s">
        <v>109</v>
      </c>
      <c r="C93" s="13" t="s">
        <v>347</v>
      </c>
      <c r="D93" s="14" t="s">
        <v>349</v>
      </c>
      <c r="E93" s="13" t="s">
        <v>111</v>
      </c>
      <c r="F93" s="13"/>
      <c r="G93" s="13" t="s">
        <v>327</v>
      </c>
      <c r="H93" s="13"/>
      <c r="I93" s="14" t="s">
        <v>328</v>
      </c>
      <c r="J93" s="13" t="s">
        <v>329</v>
      </c>
      <c r="K93" s="9">
        <v>46290</v>
      </c>
      <c r="L93" s="13" t="s">
        <v>330</v>
      </c>
    </row>
    <row r="94" spans="1:12" x14ac:dyDescent="0.4">
      <c r="A94" s="13" t="s">
        <v>331</v>
      </c>
      <c r="B94" s="13" t="s">
        <v>109</v>
      </c>
      <c r="C94" s="13" t="s">
        <v>347</v>
      </c>
      <c r="D94" s="14" t="s">
        <v>349</v>
      </c>
      <c r="E94" s="13" t="s">
        <v>112</v>
      </c>
      <c r="F94" s="13">
        <v>60</v>
      </c>
      <c r="G94" s="13" t="s">
        <v>327</v>
      </c>
      <c r="H94" s="13">
        <v>60</v>
      </c>
      <c r="I94" s="14" t="s">
        <v>328</v>
      </c>
      <c r="J94" s="13" t="s">
        <v>329</v>
      </c>
      <c r="K94" s="9">
        <v>46290</v>
      </c>
      <c r="L94" s="13" t="s">
        <v>330</v>
      </c>
    </row>
    <row r="95" spans="1:12" x14ac:dyDescent="0.4">
      <c r="A95" s="13" t="s">
        <v>331</v>
      </c>
      <c r="B95" s="13" t="s">
        <v>109</v>
      </c>
      <c r="C95" s="13" t="s">
        <v>347</v>
      </c>
      <c r="D95" s="14" t="s">
        <v>349</v>
      </c>
      <c r="E95" s="13" t="s">
        <v>113</v>
      </c>
      <c r="F95" s="13">
        <v>75</v>
      </c>
      <c r="G95" s="13" t="s">
        <v>327</v>
      </c>
      <c r="H95" s="13">
        <v>75</v>
      </c>
      <c r="I95" s="14" t="s">
        <v>328</v>
      </c>
      <c r="J95" s="13" t="s">
        <v>329</v>
      </c>
      <c r="K95" s="9">
        <v>46290</v>
      </c>
      <c r="L95" s="13" t="s">
        <v>330</v>
      </c>
    </row>
    <row r="96" spans="1:12" ht="29.15" x14ac:dyDescent="0.4">
      <c r="A96" s="13" t="s">
        <v>331</v>
      </c>
      <c r="B96" s="13" t="s">
        <v>109</v>
      </c>
      <c r="C96" s="13" t="s">
        <v>352</v>
      </c>
      <c r="D96" s="14" t="s">
        <v>353</v>
      </c>
      <c r="E96" s="13" t="s">
        <v>111</v>
      </c>
      <c r="F96" s="13"/>
      <c r="G96" s="13" t="s">
        <v>327</v>
      </c>
      <c r="H96" s="13"/>
      <c r="I96" s="14" t="s">
        <v>328</v>
      </c>
      <c r="J96" s="13" t="s">
        <v>329</v>
      </c>
      <c r="K96" s="9">
        <v>46290</v>
      </c>
      <c r="L96" s="13" t="s">
        <v>330</v>
      </c>
    </row>
    <row r="97" spans="1:12" ht="29.15" x14ac:dyDescent="0.4">
      <c r="A97" s="13" t="s">
        <v>331</v>
      </c>
      <c r="B97" s="13" t="s">
        <v>109</v>
      </c>
      <c r="C97" s="13" t="s">
        <v>352</v>
      </c>
      <c r="D97" s="14" t="s">
        <v>353</v>
      </c>
      <c r="E97" s="13" t="s">
        <v>112</v>
      </c>
      <c r="F97" s="13">
        <v>1</v>
      </c>
      <c r="G97" s="13" t="s">
        <v>327</v>
      </c>
      <c r="H97" s="13">
        <v>1</v>
      </c>
      <c r="I97" s="14" t="s">
        <v>328</v>
      </c>
      <c r="J97" s="13" t="s">
        <v>329</v>
      </c>
      <c r="K97" s="9">
        <v>46290</v>
      </c>
      <c r="L97" s="13" t="s">
        <v>330</v>
      </c>
    </row>
    <row r="98" spans="1:12" ht="29.15" x14ac:dyDescent="0.4">
      <c r="A98" s="13" t="s">
        <v>331</v>
      </c>
      <c r="B98" s="13" t="s">
        <v>109</v>
      </c>
      <c r="C98" s="13" t="s">
        <v>352</v>
      </c>
      <c r="D98" s="14" t="s">
        <v>353</v>
      </c>
      <c r="E98" s="13" t="s">
        <v>113</v>
      </c>
      <c r="F98" s="13">
        <v>2</v>
      </c>
      <c r="G98" s="13" t="s">
        <v>327</v>
      </c>
      <c r="H98" s="13">
        <v>2</v>
      </c>
      <c r="I98" s="14" t="s">
        <v>328</v>
      </c>
      <c r="J98" s="13" t="s">
        <v>329</v>
      </c>
      <c r="K98" s="9">
        <v>46290</v>
      </c>
      <c r="L98" s="13" t="s">
        <v>330</v>
      </c>
    </row>
    <row r="99" spans="1:12" ht="29.15" x14ac:dyDescent="0.4">
      <c r="A99" s="13" t="s">
        <v>331</v>
      </c>
      <c r="B99" s="13" t="s">
        <v>109</v>
      </c>
      <c r="C99" s="13" t="s">
        <v>357</v>
      </c>
      <c r="D99" s="14" t="s">
        <v>358</v>
      </c>
      <c r="E99" s="13" t="s">
        <v>111</v>
      </c>
      <c r="F99" s="13"/>
      <c r="G99" s="13" t="s">
        <v>327</v>
      </c>
      <c r="H99" s="13"/>
      <c r="I99" s="14" t="s">
        <v>328</v>
      </c>
      <c r="J99" s="13" t="s">
        <v>329</v>
      </c>
      <c r="K99" s="9">
        <v>46290</v>
      </c>
      <c r="L99" s="13" t="s">
        <v>330</v>
      </c>
    </row>
    <row r="100" spans="1:12" ht="29.15" x14ac:dyDescent="0.4">
      <c r="A100" s="13" t="s">
        <v>331</v>
      </c>
      <c r="B100" s="13" t="s">
        <v>109</v>
      </c>
      <c r="C100" s="13" t="s">
        <v>357</v>
      </c>
      <c r="D100" s="14" t="s">
        <v>358</v>
      </c>
      <c r="E100" s="13" t="s">
        <v>112</v>
      </c>
      <c r="F100" s="13">
        <v>2</v>
      </c>
      <c r="G100" s="13" t="s">
        <v>327</v>
      </c>
      <c r="H100" s="13">
        <v>2</v>
      </c>
      <c r="I100" s="14" t="s">
        <v>328</v>
      </c>
      <c r="J100" s="13" t="s">
        <v>329</v>
      </c>
      <c r="K100" s="9">
        <v>46290</v>
      </c>
      <c r="L100" s="13" t="s">
        <v>330</v>
      </c>
    </row>
    <row r="101" spans="1:12" ht="29.15" x14ac:dyDescent="0.4">
      <c r="A101" s="13" t="s">
        <v>331</v>
      </c>
      <c r="B101" s="13" t="s">
        <v>109</v>
      </c>
      <c r="C101" s="13" t="s">
        <v>357</v>
      </c>
      <c r="D101" s="14" t="s">
        <v>358</v>
      </c>
      <c r="E101" s="13" t="s">
        <v>113</v>
      </c>
      <c r="F101" s="13">
        <v>4</v>
      </c>
      <c r="G101" s="13" t="s">
        <v>327</v>
      </c>
      <c r="H101" s="13">
        <v>4</v>
      </c>
      <c r="I101" s="14" t="s">
        <v>328</v>
      </c>
      <c r="J101" s="13" t="s">
        <v>329</v>
      </c>
      <c r="K101" s="9">
        <v>46290</v>
      </c>
      <c r="L101" s="13" t="s">
        <v>330</v>
      </c>
    </row>
    <row r="102" spans="1:12" x14ac:dyDescent="0.4">
      <c r="A102" s="13" t="s">
        <v>331</v>
      </c>
      <c r="B102" s="13" t="s">
        <v>109</v>
      </c>
      <c r="C102" s="13" t="s">
        <v>361</v>
      </c>
      <c r="D102" s="14" t="s">
        <v>363</v>
      </c>
      <c r="E102" s="13" t="s">
        <v>111</v>
      </c>
      <c r="F102" s="13"/>
      <c r="G102" s="13" t="s">
        <v>327</v>
      </c>
      <c r="H102" s="13"/>
      <c r="I102" s="14" t="s">
        <v>328</v>
      </c>
      <c r="J102" s="13" t="s">
        <v>329</v>
      </c>
      <c r="K102" s="9">
        <v>46290</v>
      </c>
      <c r="L102" s="13" t="s">
        <v>330</v>
      </c>
    </row>
    <row r="103" spans="1:12" x14ac:dyDescent="0.4">
      <c r="A103" s="13" t="s">
        <v>331</v>
      </c>
      <c r="B103" s="13" t="s">
        <v>109</v>
      </c>
      <c r="C103" s="13" t="s">
        <v>361</v>
      </c>
      <c r="D103" s="14" t="s">
        <v>363</v>
      </c>
      <c r="E103" s="13" t="s">
        <v>112</v>
      </c>
      <c r="F103" s="13">
        <v>1.5</v>
      </c>
      <c r="G103" s="13" t="s">
        <v>327</v>
      </c>
      <c r="H103" s="13">
        <v>1.5</v>
      </c>
      <c r="I103" s="14" t="s">
        <v>328</v>
      </c>
      <c r="J103" s="13" t="s">
        <v>329</v>
      </c>
      <c r="K103" s="9">
        <v>46290</v>
      </c>
      <c r="L103" s="13" t="s">
        <v>330</v>
      </c>
    </row>
    <row r="104" spans="1:12" x14ac:dyDescent="0.4">
      <c r="A104" s="13" t="s">
        <v>331</v>
      </c>
      <c r="B104" s="13" t="s">
        <v>109</v>
      </c>
      <c r="C104" s="13" t="s">
        <v>361</v>
      </c>
      <c r="D104" s="14" t="s">
        <v>363</v>
      </c>
      <c r="E104" s="13" t="s">
        <v>113</v>
      </c>
      <c r="F104" s="13">
        <v>3</v>
      </c>
      <c r="G104" s="13" t="s">
        <v>327</v>
      </c>
      <c r="H104" s="13">
        <v>3</v>
      </c>
      <c r="I104" s="14" t="s">
        <v>328</v>
      </c>
      <c r="J104" s="13" t="s">
        <v>329</v>
      </c>
      <c r="K104" s="9">
        <v>46290</v>
      </c>
      <c r="L104" s="13" t="s">
        <v>330</v>
      </c>
    </row>
    <row r="105" spans="1:12" ht="29.15" x14ac:dyDescent="0.4">
      <c r="A105" s="13" t="s">
        <v>331</v>
      </c>
      <c r="B105" s="13" t="s">
        <v>109</v>
      </c>
      <c r="C105" s="13" t="s">
        <v>367</v>
      </c>
      <c r="D105" s="14" t="s">
        <v>368</v>
      </c>
      <c r="E105" s="13" t="s">
        <v>111</v>
      </c>
      <c r="F105" s="13"/>
      <c r="G105" s="13" t="s">
        <v>327</v>
      </c>
      <c r="H105" s="13"/>
      <c r="I105" s="14" t="s">
        <v>328</v>
      </c>
      <c r="J105" s="13" t="s">
        <v>329</v>
      </c>
      <c r="K105" s="9">
        <v>46290</v>
      </c>
      <c r="L105" s="13" t="s">
        <v>330</v>
      </c>
    </row>
    <row r="106" spans="1:12" ht="29.15" x14ac:dyDescent="0.4">
      <c r="A106" s="13" t="s">
        <v>331</v>
      </c>
      <c r="B106" s="13" t="s">
        <v>109</v>
      </c>
      <c r="C106" s="13" t="s">
        <v>367</v>
      </c>
      <c r="D106" s="14" t="s">
        <v>368</v>
      </c>
      <c r="E106" s="13" t="s">
        <v>112</v>
      </c>
      <c r="F106" s="13">
        <v>20</v>
      </c>
      <c r="G106" s="13" t="s">
        <v>327</v>
      </c>
      <c r="H106" s="13">
        <v>20</v>
      </c>
      <c r="I106" s="14" t="s">
        <v>328</v>
      </c>
      <c r="J106" s="13" t="s">
        <v>329</v>
      </c>
      <c r="K106" s="9">
        <v>46290</v>
      </c>
      <c r="L106" s="13" t="s">
        <v>330</v>
      </c>
    </row>
    <row r="107" spans="1:12" ht="29.15" x14ac:dyDescent="0.4">
      <c r="A107" s="13" t="s">
        <v>331</v>
      </c>
      <c r="B107" s="13" t="s">
        <v>109</v>
      </c>
      <c r="C107" s="13" t="s">
        <v>367</v>
      </c>
      <c r="D107" s="14" t="s">
        <v>368</v>
      </c>
      <c r="E107" s="13" t="s">
        <v>113</v>
      </c>
      <c r="F107" s="13">
        <v>40</v>
      </c>
      <c r="G107" s="13" t="s">
        <v>327</v>
      </c>
      <c r="H107" s="13">
        <v>40</v>
      </c>
      <c r="I107" s="14" t="s">
        <v>328</v>
      </c>
      <c r="J107" s="13" t="s">
        <v>329</v>
      </c>
      <c r="K107" s="9">
        <v>46290</v>
      </c>
      <c r="L107" s="13" t="s">
        <v>330</v>
      </c>
    </row>
    <row r="108" spans="1:12" x14ac:dyDescent="0.4">
      <c r="A108" s="13" t="s">
        <v>331</v>
      </c>
      <c r="B108" s="13" t="s">
        <v>109</v>
      </c>
      <c r="C108" s="13" t="s">
        <v>371</v>
      </c>
      <c r="D108" s="14" t="s">
        <v>372</v>
      </c>
      <c r="E108" s="13" t="s">
        <v>111</v>
      </c>
      <c r="F108" s="13"/>
      <c r="G108" s="13" t="s">
        <v>327</v>
      </c>
      <c r="H108" s="13"/>
      <c r="I108" s="14" t="s">
        <v>328</v>
      </c>
      <c r="J108" s="13" t="s">
        <v>329</v>
      </c>
      <c r="K108" s="9">
        <v>46290</v>
      </c>
      <c r="L108" s="13" t="s">
        <v>330</v>
      </c>
    </row>
    <row r="109" spans="1:12" x14ac:dyDescent="0.4">
      <c r="A109" s="13" t="s">
        <v>331</v>
      </c>
      <c r="B109" s="13" t="s">
        <v>109</v>
      </c>
      <c r="C109" s="13" t="s">
        <v>371</v>
      </c>
      <c r="D109" s="14" t="s">
        <v>372</v>
      </c>
      <c r="E109" s="13" t="s">
        <v>112</v>
      </c>
      <c r="F109" s="13">
        <v>1</v>
      </c>
      <c r="G109" s="13" t="s">
        <v>327</v>
      </c>
      <c r="H109" s="13">
        <v>1</v>
      </c>
      <c r="I109" s="14" t="s">
        <v>328</v>
      </c>
      <c r="J109" s="13" t="s">
        <v>329</v>
      </c>
      <c r="K109" s="9">
        <v>46290</v>
      </c>
      <c r="L109" s="13" t="s">
        <v>330</v>
      </c>
    </row>
    <row r="110" spans="1:12" x14ac:dyDescent="0.4">
      <c r="A110" s="13" t="s">
        <v>331</v>
      </c>
      <c r="B110" s="13" t="s">
        <v>109</v>
      </c>
      <c r="C110" s="13" t="s">
        <v>371</v>
      </c>
      <c r="D110" s="14" t="s">
        <v>372</v>
      </c>
      <c r="E110" s="13" t="s">
        <v>113</v>
      </c>
      <c r="F110" s="13">
        <v>3</v>
      </c>
      <c r="G110" s="13" t="s">
        <v>327</v>
      </c>
      <c r="H110" s="13">
        <v>3</v>
      </c>
      <c r="I110" s="14" t="s">
        <v>328</v>
      </c>
      <c r="J110" s="13" t="s">
        <v>329</v>
      </c>
      <c r="K110" s="9">
        <v>46290</v>
      </c>
      <c r="L110" s="13" t="s">
        <v>330</v>
      </c>
    </row>
    <row r="111" spans="1:12" ht="29.15" x14ac:dyDescent="0.4">
      <c r="A111" s="13" t="s">
        <v>331</v>
      </c>
      <c r="B111" s="13" t="s">
        <v>109</v>
      </c>
      <c r="C111" s="13" t="s">
        <v>375</v>
      </c>
      <c r="D111" s="14" t="s">
        <v>377</v>
      </c>
      <c r="E111" s="13" t="s">
        <v>111</v>
      </c>
      <c r="F111" s="13"/>
      <c r="G111" s="13" t="s">
        <v>327</v>
      </c>
      <c r="H111" s="13"/>
      <c r="I111" s="14" t="s">
        <v>328</v>
      </c>
      <c r="J111" s="13" t="s">
        <v>329</v>
      </c>
      <c r="K111" s="9">
        <v>46290</v>
      </c>
      <c r="L111" s="13" t="s">
        <v>330</v>
      </c>
    </row>
    <row r="112" spans="1:12" ht="29.15" x14ac:dyDescent="0.4">
      <c r="A112" s="13" t="s">
        <v>331</v>
      </c>
      <c r="B112" s="13" t="s">
        <v>109</v>
      </c>
      <c r="C112" s="13" t="s">
        <v>375</v>
      </c>
      <c r="D112" s="14" t="s">
        <v>377</v>
      </c>
      <c r="E112" s="13" t="s">
        <v>112</v>
      </c>
      <c r="F112" s="13">
        <v>1</v>
      </c>
      <c r="G112" s="13" t="s">
        <v>327</v>
      </c>
      <c r="H112" s="13">
        <v>1</v>
      </c>
      <c r="I112" s="14" t="s">
        <v>328</v>
      </c>
      <c r="J112" s="13" t="s">
        <v>329</v>
      </c>
      <c r="K112" s="9">
        <v>46290</v>
      </c>
      <c r="L112" s="13" t="s">
        <v>330</v>
      </c>
    </row>
    <row r="113" spans="1:12" ht="29.15" x14ac:dyDescent="0.4">
      <c r="A113" s="13" t="s">
        <v>331</v>
      </c>
      <c r="B113" s="13" t="s">
        <v>109</v>
      </c>
      <c r="C113" s="13" t="s">
        <v>375</v>
      </c>
      <c r="D113" s="14" t="s">
        <v>377</v>
      </c>
      <c r="E113" s="13" t="s">
        <v>113</v>
      </c>
      <c r="F113" s="13">
        <v>3</v>
      </c>
      <c r="G113" s="13" t="s">
        <v>327</v>
      </c>
      <c r="H113" s="13">
        <v>3</v>
      </c>
      <c r="I113" s="14" t="s">
        <v>328</v>
      </c>
      <c r="J113" s="13" t="s">
        <v>329</v>
      </c>
      <c r="K113" s="9">
        <v>46290</v>
      </c>
      <c r="L113" s="13" t="s">
        <v>330</v>
      </c>
    </row>
    <row r="114" spans="1:12" x14ac:dyDescent="0.4">
      <c r="A114" s="13" t="s">
        <v>331</v>
      </c>
      <c r="B114" s="13" t="s">
        <v>109</v>
      </c>
      <c r="C114" s="13" t="s">
        <v>380</v>
      </c>
      <c r="D114" s="14" t="s">
        <v>381</v>
      </c>
      <c r="E114" s="13" t="s">
        <v>111</v>
      </c>
      <c r="F114" s="13"/>
      <c r="G114" s="13" t="s">
        <v>327</v>
      </c>
      <c r="H114" s="13"/>
      <c r="I114" s="14" t="s">
        <v>328</v>
      </c>
      <c r="J114" s="13" t="s">
        <v>329</v>
      </c>
      <c r="K114" s="9">
        <v>46290</v>
      </c>
      <c r="L114" s="13" t="s">
        <v>330</v>
      </c>
    </row>
    <row r="115" spans="1:12" x14ac:dyDescent="0.4">
      <c r="A115" s="13" t="s">
        <v>331</v>
      </c>
      <c r="B115" s="13" t="s">
        <v>109</v>
      </c>
      <c r="C115" s="13" t="s">
        <v>380</v>
      </c>
      <c r="D115" s="14" t="s">
        <v>381</v>
      </c>
      <c r="E115" s="13" t="s">
        <v>112</v>
      </c>
      <c r="F115" s="13">
        <v>2</v>
      </c>
      <c r="G115" s="13" t="s">
        <v>327</v>
      </c>
      <c r="H115" s="13">
        <v>2</v>
      </c>
      <c r="I115" s="14" t="s">
        <v>328</v>
      </c>
      <c r="J115" s="13" t="s">
        <v>329</v>
      </c>
      <c r="K115" s="9">
        <v>46290</v>
      </c>
      <c r="L115" s="13" t="s">
        <v>330</v>
      </c>
    </row>
    <row r="116" spans="1:12" x14ac:dyDescent="0.4">
      <c r="A116" s="13" t="s">
        <v>331</v>
      </c>
      <c r="B116" s="13" t="s">
        <v>109</v>
      </c>
      <c r="C116" s="13" t="s">
        <v>380</v>
      </c>
      <c r="D116" s="14" t="s">
        <v>381</v>
      </c>
      <c r="E116" s="13" t="s">
        <v>113</v>
      </c>
      <c r="F116" s="13">
        <v>5</v>
      </c>
      <c r="G116" s="13" t="s">
        <v>327</v>
      </c>
      <c r="H116" s="13">
        <v>5</v>
      </c>
      <c r="I116" s="14" t="s">
        <v>328</v>
      </c>
      <c r="J116" s="13" t="s">
        <v>329</v>
      </c>
      <c r="K116" s="9">
        <v>46290</v>
      </c>
      <c r="L116" s="13" t="s">
        <v>330</v>
      </c>
    </row>
    <row r="117" spans="1:12" ht="29.15" x14ac:dyDescent="0.4">
      <c r="A117" s="13" t="s">
        <v>331</v>
      </c>
      <c r="B117" s="13" t="s">
        <v>109</v>
      </c>
      <c r="C117" s="13" t="s">
        <v>385</v>
      </c>
      <c r="D117" s="14" t="s">
        <v>386</v>
      </c>
      <c r="E117" s="13" t="s">
        <v>111</v>
      </c>
      <c r="F117" s="13"/>
      <c r="G117" s="13" t="s">
        <v>327</v>
      </c>
      <c r="H117" s="13"/>
      <c r="I117" s="14" t="s">
        <v>328</v>
      </c>
      <c r="J117" s="13" t="s">
        <v>329</v>
      </c>
      <c r="K117" s="9">
        <v>46290</v>
      </c>
      <c r="L117" s="13" t="s">
        <v>330</v>
      </c>
    </row>
    <row r="118" spans="1:12" ht="29.15" x14ac:dyDescent="0.4">
      <c r="A118" s="13" t="s">
        <v>331</v>
      </c>
      <c r="B118" s="13" t="s">
        <v>109</v>
      </c>
      <c r="C118" s="13" t="s">
        <v>385</v>
      </c>
      <c r="D118" s="14" t="s">
        <v>386</v>
      </c>
      <c r="E118" s="13" t="s">
        <v>112</v>
      </c>
      <c r="F118" s="13">
        <v>1</v>
      </c>
      <c r="G118" s="13" t="s">
        <v>327</v>
      </c>
      <c r="H118" s="13">
        <v>1</v>
      </c>
      <c r="I118" s="14" t="s">
        <v>328</v>
      </c>
      <c r="J118" s="13" t="s">
        <v>329</v>
      </c>
      <c r="K118" s="9">
        <v>46290</v>
      </c>
      <c r="L118" s="13" t="s">
        <v>330</v>
      </c>
    </row>
    <row r="119" spans="1:12" ht="29.15" x14ac:dyDescent="0.4">
      <c r="A119" s="13" t="s">
        <v>331</v>
      </c>
      <c r="B119" s="13" t="s">
        <v>109</v>
      </c>
      <c r="C119" s="13" t="s">
        <v>385</v>
      </c>
      <c r="D119" s="14" t="s">
        <v>386</v>
      </c>
      <c r="E119" s="13" t="s">
        <v>113</v>
      </c>
      <c r="F119" s="13">
        <v>4</v>
      </c>
      <c r="G119" s="13" t="s">
        <v>327</v>
      </c>
      <c r="H119" s="13">
        <v>4</v>
      </c>
      <c r="I119" s="14" t="s">
        <v>328</v>
      </c>
      <c r="J119" s="13" t="s">
        <v>329</v>
      </c>
      <c r="K119" s="9">
        <v>46290</v>
      </c>
      <c r="L119" s="13" t="s">
        <v>330</v>
      </c>
    </row>
    <row r="120" spans="1:12" x14ac:dyDescent="0.4">
      <c r="A120" s="13" t="s">
        <v>331</v>
      </c>
      <c r="B120" s="13" t="s">
        <v>109</v>
      </c>
      <c r="C120" s="13" t="s">
        <v>389</v>
      </c>
      <c r="D120" s="14" t="s">
        <v>391</v>
      </c>
      <c r="E120" s="13" t="s">
        <v>111</v>
      </c>
      <c r="F120" s="13"/>
      <c r="G120" s="13" t="s">
        <v>327</v>
      </c>
      <c r="H120" s="13"/>
      <c r="I120" s="14" t="s">
        <v>328</v>
      </c>
      <c r="J120" s="13" t="s">
        <v>329</v>
      </c>
      <c r="K120" s="9">
        <v>46290</v>
      </c>
      <c r="L120" s="13" t="s">
        <v>330</v>
      </c>
    </row>
    <row r="121" spans="1:12" x14ac:dyDescent="0.4">
      <c r="A121" s="13" t="s">
        <v>331</v>
      </c>
      <c r="B121" s="13" t="s">
        <v>109</v>
      </c>
      <c r="C121" s="13" t="s">
        <v>389</v>
      </c>
      <c r="D121" s="14" t="s">
        <v>391</v>
      </c>
      <c r="E121" s="13" t="s">
        <v>112</v>
      </c>
      <c r="F121" s="13">
        <v>20</v>
      </c>
      <c r="G121" s="13" t="s">
        <v>327</v>
      </c>
      <c r="H121" s="13">
        <v>20</v>
      </c>
      <c r="I121" s="14" t="s">
        <v>328</v>
      </c>
      <c r="J121" s="13" t="s">
        <v>329</v>
      </c>
      <c r="K121" s="9">
        <v>46290</v>
      </c>
      <c r="L121" s="13" t="s">
        <v>330</v>
      </c>
    </row>
    <row r="122" spans="1:12" x14ac:dyDescent="0.4">
      <c r="A122" s="13" t="s">
        <v>331</v>
      </c>
      <c r="B122" s="13" t="s">
        <v>109</v>
      </c>
      <c r="C122" s="13" t="s">
        <v>389</v>
      </c>
      <c r="D122" s="14" t="s">
        <v>391</v>
      </c>
      <c r="E122" s="13" t="s">
        <v>113</v>
      </c>
      <c r="F122" s="13">
        <v>50</v>
      </c>
      <c r="G122" s="13" t="s">
        <v>327</v>
      </c>
      <c r="H122" s="13">
        <v>50</v>
      </c>
      <c r="I122" s="14" t="s">
        <v>328</v>
      </c>
      <c r="J122" s="13" t="s">
        <v>329</v>
      </c>
      <c r="K122" s="9">
        <v>46290</v>
      </c>
      <c r="L122" s="13" t="s">
        <v>330</v>
      </c>
    </row>
    <row r="123" spans="1:12" x14ac:dyDescent="0.4">
      <c r="A123" s="13" t="s">
        <v>331</v>
      </c>
      <c r="B123" s="13" t="s">
        <v>109</v>
      </c>
      <c r="C123" s="13" t="s">
        <v>394</v>
      </c>
      <c r="D123" s="14" t="s">
        <v>395</v>
      </c>
      <c r="E123" s="13" t="s">
        <v>111</v>
      </c>
      <c r="F123" s="13"/>
      <c r="G123" s="13" t="s">
        <v>327</v>
      </c>
      <c r="H123" s="13"/>
      <c r="I123" s="14" t="s">
        <v>328</v>
      </c>
      <c r="J123" s="13" t="s">
        <v>329</v>
      </c>
      <c r="K123" s="9">
        <v>46290</v>
      </c>
      <c r="L123" s="13" t="s">
        <v>330</v>
      </c>
    </row>
    <row r="124" spans="1:12" x14ac:dyDescent="0.4">
      <c r="A124" s="13" t="s">
        <v>331</v>
      </c>
      <c r="B124" s="13" t="s">
        <v>109</v>
      </c>
      <c r="C124" s="13" t="s">
        <v>394</v>
      </c>
      <c r="D124" s="14" t="s">
        <v>395</v>
      </c>
      <c r="E124" s="13" t="s">
        <v>112</v>
      </c>
      <c r="F124" s="13">
        <v>3</v>
      </c>
      <c r="G124" s="13" t="s">
        <v>327</v>
      </c>
      <c r="H124" s="13">
        <v>3</v>
      </c>
      <c r="I124" s="14" t="s">
        <v>328</v>
      </c>
      <c r="J124" s="13" t="s">
        <v>329</v>
      </c>
      <c r="K124" s="9">
        <v>46290</v>
      </c>
      <c r="L124" s="13" t="s">
        <v>330</v>
      </c>
    </row>
    <row r="125" spans="1:12" x14ac:dyDescent="0.4">
      <c r="A125" s="13" t="s">
        <v>331</v>
      </c>
      <c r="B125" s="13" t="s">
        <v>109</v>
      </c>
      <c r="C125" s="13" t="s">
        <v>394</v>
      </c>
      <c r="D125" s="14" t="s">
        <v>395</v>
      </c>
      <c r="E125" s="13" t="s">
        <v>113</v>
      </c>
      <c r="F125" s="13">
        <v>6</v>
      </c>
      <c r="G125" s="13" t="s">
        <v>327</v>
      </c>
      <c r="H125" s="13">
        <v>6</v>
      </c>
      <c r="I125" s="14" t="s">
        <v>328</v>
      </c>
      <c r="J125" s="13" t="s">
        <v>329</v>
      </c>
      <c r="K125" s="9">
        <v>46290</v>
      </c>
      <c r="L125" s="13" t="s">
        <v>330</v>
      </c>
    </row>
    <row r="126" spans="1:12" ht="29.15" x14ac:dyDescent="0.4">
      <c r="A126" s="13" t="s">
        <v>331</v>
      </c>
      <c r="B126" s="13" t="s">
        <v>109</v>
      </c>
      <c r="C126" s="13" t="s">
        <v>398</v>
      </c>
      <c r="D126" s="14" t="s">
        <v>399</v>
      </c>
      <c r="E126" s="13" t="s">
        <v>111</v>
      </c>
      <c r="F126" s="13"/>
      <c r="G126" s="13" t="s">
        <v>327</v>
      </c>
      <c r="H126" s="13"/>
      <c r="I126" s="14" t="s">
        <v>328</v>
      </c>
      <c r="J126" s="13" t="s">
        <v>329</v>
      </c>
      <c r="K126" s="9">
        <v>46290</v>
      </c>
      <c r="L126" s="13" t="s">
        <v>330</v>
      </c>
    </row>
    <row r="127" spans="1:12" ht="29.15" x14ac:dyDescent="0.4">
      <c r="A127" s="13" t="s">
        <v>331</v>
      </c>
      <c r="B127" s="13" t="s">
        <v>109</v>
      </c>
      <c r="C127" s="13" t="s">
        <v>398</v>
      </c>
      <c r="D127" s="14" t="s">
        <v>399</v>
      </c>
      <c r="E127" s="13" t="s">
        <v>112</v>
      </c>
      <c r="F127" s="13">
        <v>30</v>
      </c>
      <c r="G127" s="13" t="s">
        <v>327</v>
      </c>
      <c r="H127" s="13">
        <v>30</v>
      </c>
      <c r="I127" s="14" t="s">
        <v>328</v>
      </c>
      <c r="J127" s="13" t="s">
        <v>329</v>
      </c>
      <c r="K127" s="9">
        <v>46290</v>
      </c>
      <c r="L127" s="13" t="s">
        <v>330</v>
      </c>
    </row>
    <row r="128" spans="1:12" ht="29.15" x14ac:dyDescent="0.4">
      <c r="A128" s="13" t="s">
        <v>331</v>
      </c>
      <c r="B128" s="13" t="s">
        <v>109</v>
      </c>
      <c r="C128" s="13" t="s">
        <v>398</v>
      </c>
      <c r="D128" s="14" t="s">
        <v>399</v>
      </c>
      <c r="E128" s="13" t="s">
        <v>113</v>
      </c>
      <c r="F128" s="13">
        <v>60</v>
      </c>
      <c r="G128" s="13" t="s">
        <v>327</v>
      </c>
      <c r="H128" s="13">
        <v>60</v>
      </c>
      <c r="I128" s="14" t="s">
        <v>328</v>
      </c>
      <c r="J128" s="13" t="s">
        <v>329</v>
      </c>
      <c r="K128" s="9">
        <v>46290</v>
      </c>
      <c r="L128" s="13" t="s">
        <v>330</v>
      </c>
    </row>
    <row r="129" spans="1:12" ht="29.15" x14ac:dyDescent="0.4">
      <c r="A129" s="13" t="s">
        <v>331</v>
      </c>
      <c r="B129" s="13" t="s">
        <v>109</v>
      </c>
      <c r="C129" s="13" t="s">
        <v>402</v>
      </c>
      <c r="D129" s="14" t="s">
        <v>404</v>
      </c>
      <c r="E129" s="13" t="s">
        <v>111</v>
      </c>
      <c r="F129" s="13"/>
      <c r="G129" s="13" t="s">
        <v>327</v>
      </c>
      <c r="H129" s="13"/>
      <c r="I129" s="14" t="s">
        <v>328</v>
      </c>
      <c r="J129" s="13" t="s">
        <v>329</v>
      </c>
      <c r="K129" s="9">
        <v>46290</v>
      </c>
      <c r="L129" s="13" t="s">
        <v>330</v>
      </c>
    </row>
    <row r="130" spans="1:12" ht="29.15" x14ac:dyDescent="0.4">
      <c r="A130" s="13" t="s">
        <v>331</v>
      </c>
      <c r="B130" s="13" t="s">
        <v>109</v>
      </c>
      <c r="C130" s="13" t="s">
        <v>402</v>
      </c>
      <c r="D130" s="14" t="s">
        <v>404</v>
      </c>
      <c r="E130" s="13" t="s">
        <v>112</v>
      </c>
      <c r="F130" s="13">
        <v>10</v>
      </c>
      <c r="G130" s="13" t="s">
        <v>327</v>
      </c>
      <c r="H130" s="13">
        <v>10</v>
      </c>
      <c r="I130" s="14" t="s">
        <v>328</v>
      </c>
      <c r="J130" s="13" t="s">
        <v>329</v>
      </c>
      <c r="K130" s="9">
        <v>46290</v>
      </c>
      <c r="L130" s="13" t="s">
        <v>330</v>
      </c>
    </row>
    <row r="131" spans="1:12" ht="29.15" x14ac:dyDescent="0.4">
      <c r="A131" s="13" t="s">
        <v>331</v>
      </c>
      <c r="B131" s="13" t="s">
        <v>109</v>
      </c>
      <c r="C131" s="13" t="s">
        <v>402</v>
      </c>
      <c r="D131" s="14" t="s">
        <v>404</v>
      </c>
      <c r="E131" s="13" t="s">
        <v>113</v>
      </c>
      <c r="F131" s="13">
        <v>30</v>
      </c>
      <c r="G131" s="13" t="s">
        <v>327</v>
      </c>
      <c r="H131" s="13">
        <v>30</v>
      </c>
      <c r="I131" s="14" t="s">
        <v>328</v>
      </c>
      <c r="J131" s="13" t="s">
        <v>329</v>
      </c>
      <c r="K131" s="9">
        <v>46290</v>
      </c>
      <c r="L131" s="13" t="s">
        <v>330</v>
      </c>
    </row>
    <row r="132" spans="1:12" ht="29.15" x14ac:dyDescent="0.4">
      <c r="A132" s="13" t="s">
        <v>331</v>
      </c>
      <c r="B132" s="13" t="s">
        <v>109</v>
      </c>
      <c r="C132" s="13" t="s">
        <v>408</v>
      </c>
      <c r="D132" s="14" t="s">
        <v>409</v>
      </c>
      <c r="E132" s="13" t="s">
        <v>111</v>
      </c>
      <c r="F132" s="13"/>
      <c r="G132" s="13" t="s">
        <v>327</v>
      </c>
      <c r="H132" s="13"/>
      <c r="I132" s="14" t="s">
        <v>328</v>
      </c>
      <c r="J132" s="13" t="s">
        <v>329</v>
      </c>
      <c r="K132" s="9">
        <v>46290</v>
      </c>
      <c r="L132" s="13" t="s">
        <v>330</v>
      </c>
    </row>
    <row r="133" spans="1:12" ht="29.15" x14ac:dyDescent="0.4">
      <c r="A133" s="13" t="s">
        <v>331</v>
      </c>
      <c r="B133" s="13" t="s">
        <v>109</v>
      </c>
      <c r="C133" s="13" t="s">
        <v>408</v>
      </c>
      <c r="D133" s="14" t="s">
        <v>409</v>
      </c>
      <c r="E133" s="13" t="s">
        <v>112</v>
      </c>
      <c r="F133" s="13">
        <v>20</v>
      </c>
      <c r="G133" s="13" t="s">
        <v>327</v>
      </c>
      <c r="H133" s="13">
        <v>20</v>
      </c>
      <c r="I133" s="14" t="s">
        <v>328</v>
      </c>
      <c r="J133" s="13" t="s">
        <v>329</v>
      </c>
      <c r="K133" s="9">
        <v>46290</v>
      </c>
      <c r="L133" s="13" t="s">
        <v>330</v>
      </c>
    </row>
    <row r="134" spans="1:12" ht="29.15" x14ac:dyDescent="0.4">
      <c r="A134" s="13" t="s">
        <v>331</v>
      </c>
      <c r="B134" s="13" t="s">
        <v>109</v>
      </c>
      <c r="C134" s="13" t="s">
        <v>408</v>
      </c>
      <c r="D134" s="14" t="s">
        <v>409</v>
      </c>
      <c r="E134" s="13" t="s">
        <v>113</v>
      </c>
      <c r="F134" s="13">
        <v>40</v>
      </c>
      <c r="G134" s="13" t="s">
        <v>327</v>
      </c>
      <c r="H134" s="13">
        <v>40</v>
      </c>
      <c r="I134" s="14" t="s">
        <v>328</v>
      </c>
      <c r="J134" s="13" t="s">
        <v>329</v>
      </c>
      <c r="K134" s="9">
        <v>46290</v>
      </c>
      <c r="L134" s="13" t="s">
        <v>330</v>
      </c>
    </row>
    <row r="135" spans="1:12" ht="29.15" x14ac:dyDescent="0.4">
      <c r="A135" s="13" t="s">
        <v>331</v>
      </c>
      <c r="B135" s="13" t="s">
        <v>109</v>
      </c>
      <c r="C135" s="13" t="s">
        <v>412</v>
      </c>
      <c r="D135" s="14" t="s">
        <v>413</v>
      </c>
      <c r="E135" s="13" t="s">
        <v>111</v>
      </c>
      <c r="F135" s="13"/>
      <c r="G135" s="13" t="s">
        <v>327</v>
      </c>
      <c r="H135" s="13"/>
      <c r="I135" s="14" t="s">
        <v>328</v>
      </c>
      <c r="J135" s="13" t="s">
        <v>329</v>
      </c>
      <c r="K135" s="9">
        <v>46290</v>
      </c>
      <c r="L135" s="13" t="s">
        <v>330</v>
      </c>
    </row>
    <row r="136" spans="1:12" ht="29.15" x14ac:dyDescent="0.4">
      <c r="A136" s="13" t="s">
        <v>331</v>
      </c>
      <c r="B136" s="13" t="s">
        <v>109</v>
      </c>
      <c r="C136" s="13" t="s">
        <v>412</v>
      </c>
      <c r="D136" s="14" t="s">
        <v>413</v>
      </c>
      <c r="E136" s="13" t="s">
        <v>112</v>
      </c>
      <c r="F136" s="13">
        <v>5</v>
      </c>
      <c r="G136" s="13" t="s">
        <v>327</v>
      </c>
      <c r="H136" s="13">
        <v>5</v>
      </c>
      <c r="I136" s="14" t="s">
        <v>328</v>
      </c>
      <c r="J136" s="13" t="s">
        <v>329</v>
      </c>
      <c r="K136" s="9">
        <v>46290</v>
      </c>
      <c r="L136" s="13" t="s">
        <v>330</v>
      </c>
    </row>
    <row r="137" spans="1:12" ht="29.15" x14ac:dyDescent="0.4">
      <c r="A137" s="13" t="s">
        <v>331</v>
      </c>
      <c r="B137" s="13" t="s">
        <v>109</v>
      </c>
      <c r="C137" s="13" t="s">
        <v>412</v>
      </c>
      <c r="D137" s="14" t="s">
        <v>413</v>
      </c>
      <c r="E137" s="13" t="s">
        <v>113</v>
      </c>
      <c r="F137" s="13">
        <v>15</v>
      </c>
      <c r="G137" s="13" t="s">
        <v>327</v>
      </c>
      <c r="H137" s="13">
        <v>15</v>
      </c>
      <c r="I137" s="14" t="s">
        <v>328</v>
      </c>
      <c r="J137" s="13" t="s">
        <v>329</v>
      </c>
      <c r="K137" s="9">
        <v>46290</v>
      </c>
      <c r="L137" s="13" t="s">
        <v>330</v>
      </c>
    </row>
    <row r="138" spans="1:12" ht="29.15" x14ac:dyDescent="0.4">
      <c r="A138" s="13" t="s">
        <v>331</v>
      </c>
      <c r="B138" s="13" t="s">
        <v>109</v>
      </c>
      <c r="C138" s="13" t="s">
        <v>416</v>
      </c>
      <c r="D138" s="14" t="s">
        <v>418</v>
      </c>
      <c r="E138" s="13" t="s">
        <v>111</v>
      </c>
      <c r="F138" s="13"/>
      <c r="G138" s="13" t="s">
        <v>327</v>
      </c>
      <c r="H138" s="13"/>
      <c r="I138" s="14" t="s">
        <v>328</v>
      </c>
      <c r="J138" s="13" t="s">
        <v>329</v>
      </c>
      <c r="K138" s="9">
        <v>46290</v>
      </c>
      <c r="L138" s="13" t="s">
        <v>330</v>
      </c>
    </row>
    <row r="139" spans="1:12" ht="29.15" x14ac:dyDescent="0.4">
      <c r="A139" s="13" t="s">
        <v>331</v>
      </c>
      <c r="B139" s="13" t="s">
        <v>109</v>
      </c>
      <c r="C139" s="13" t="s">
        <v>416</v>
      </c>
      <c r="D139" s="14" t="s">
        <v>418</v>
      </c>
      <c r="E139" s="13" t="s">
        <v>112</v>
      </c>
      <c r="F139" s="13">
        <v>1</v>
      </c>
      <c r="G139" s="13" t="s">
        <v>327</v>
      </c>
      <c r="H139" s="13">
        <v>1</v>
      </c>
      <c r="I139" s="14" t="s">
        <v>328</v>
      </c>
      <c r="J139" s="13" t="s">
        <v>329</v>
      </c>
      <c r="K139" s="9">
        <v>46290</v>
      </c>
      <c r="L139" s="13" t="s">
        <v>330</v>
      </c>
    </row>
    <row r="140" spans="1:12" ht="29.15" x14ac:dyDescent="0.4">
      <c r="A140" s="13" t="s">
        <v>331</v>
      </c>
      <c r="B140" s="13" t="s">
        <v>109</v>
      </c>
      <c r="C140" s="13" t="s">
        <v>416</v>
      </c>
      <c r="D140" s="14" t="s">
        <v>418</v>
      </c>
      <c r="E140" s="13" t="s">
        <v>113</v>
      </c>
      <c r="F140" s="13">
        <v>2</v>
      </c>
      <c r="G140" s="13" t="s">
        <v>327</v>
      </c>
      <c r="H140" s="13">
        <v>2</v>
      </c>
      <c r="I140" s="14" t="s">
        <v>328</v>
      </c>
      <c r="J140" s="13" t="s">
        <v>329</v>
      </c>
      <c r="K140" s="9">
        <v>46290</v>
      </c>
      <c r="L140" s="13" t="s">
        <v>330</v>
      </c>
    </row>
    <row r="141" spans="1:12" ht="29.15" x14ac:dyDescent="0.4">
      <c r="A141" s="13" t="s">
        <v>331</v>
      </c>
      <c r="B141" s="13" t="s">
        <v>109</v>
      </c>
      <c r="C141" s="13" t="s">
        <v>420</v>
      </c>
      <c r="D141" s="14" t="s">
        <v>421</v>
      </c>
      <c r="E141" s="13" t="s">
        <v>111</v>
      </c>
      <c r="F141" s="13"/>
      <c r="G141" s="13" t="s">
        <v>327</v>
      </c>
      <c r="H141" s="13"/>
      <c r="I141" s="14" t="s">
        <v>328</v>
      </c>
      <c r="J141" s="13" t="s">
        <v>329</v>
      </c>
      <c r="K141" s="9">
        <v>46290</v>
      </c>
      <c r="L141" s="13" t="s">
        <v>330</v>
      </c>
    </row>
    <row r="142" spans="1:12" ht="29.15" x14ac:dyDescent="0.4">
      <c r="A142" s="13" t="s">
        <v>331</v>
      </c>
      <c r="B142" s="13" t="s">
        <v>109</v>
      </c>
      <c r="C142" s="13" t="s">
        <v>420</v>
      </c>
      <c r="D142" s="14" t="s">
        <v>421</v>
      </c>
      <c r="E142" s="13" t="s">
        <v>112</v>
      </c>
      <c r="F142" s="13">
        <v>4</v>
      </c>
      <c r="G142" s="13" t="s">
        <v>327</v>
      </c>
      <c r="H142" s="13">
        <v>4</v>
      </c>
      <c r="I142" s="14" t="s">
        <v>328</v>
      </c>
      <c r="J142" s="13" t="s">
        <v>329</v>
      </c>
      <c r="K142" s="9">
        <v>46290</v>
      </c>
      <c r="L142" s="13" t="s">
        <v>330</v>
      </c>
    </row>
    <row r="143" spans="1:12" ht="29.15" x14ac:dyDescent="0.4">
      <c r="A143" s="13" t="s">
        <v>331</v>
      </c>
      <c r="B143" s="13" t="s">
        <v>109</v>
      </c>
      <c r="C143" s="13" t="s">
        <v>420</v>
      </c>
      <c r="D143" s="14" t="s">
        <v>421</v>
      </c>
      <c r="E143" s="13" t="s">
        <v>113</v>
      </c>
      <c r="F143" s="13">
        <v>12</v>
      </c>
      <c r="G143" s="13" t="s">
        <v>327</v>
      </c>
      <c r="H143" s="13">
        <v>12</v>
      </c>
      <c r="I143" s="14" t="s">
        <v>328</v>
      </c>
      <c r="J143" s="13" t="s">
        <v>329</v>
      </c>
      <c r="K143" s="9">
        <v>46290</v>
      </c>
      <c r="L143" s="13" t="s">
        <v>330</v>
      </c>
    </row>
    <row r="144" spans="1:12" ht="29.15" x14ac:dyDescent="0.4">
      <c r="A144" s="13" t="s">
        <v>331</v>
      </c>
      <c r="B144" s="13" t="s">
        <v>109</v>
      </c>
      <c r="C144" s="13" t="s">
        <v>422</v>
      </c>
      <c r="D144" s="14" t="s">
        <v>423</v>
      </c>
      <c r="E144" s="13" t="s">
        <v>111</v>
      </c>
      <c r="F144" s="13"/>
      <c r="G144" s="13" t="s">
        <v>327</v>
      </c>
      <c r="H144" s="13"/>
      <c r="I144" s="14" t="s">
        <v>328</v>
      </c>
      <c r="J144" s="13" t="s">
        <v>329</v>
      </c>
      <c r="K144" s="9">
        <v>46290</v>
      </c>
      <c r="L144" s="13" t="s">
        <v>330</v>
      </c>
    </row>
    <row r="145" spans="1:12" ht="29.15" x14ac:dyDescent="0.4">
      <c r="A145" s="13" t="s">
        <v>331</v>
      </c>
      <c r="B145" s="13" t="s">
        <v>109</v>
      </c>
      <c r="C145" s="13" t="s">
        <v>422</v>
      </c>
      <c r="D145" s="14" t="s">
        <v>423</v>
      </c>
      <c r="E145" s="13" t="s">
        <v>112</v>
      </c>
      <c r="F145" s="13">
        <v>2</v>
      </c>
      <c r="G145" s="13" t="s">
        <v>327</v>
      </c>
      <c r="H145" s="13">
        <v>2</v>
      </c>
      <c r="I145" s="14" t="s">
        <v>328</v>
      </c>
      <c r="J145" s="13" t="s">
        <v>329</v>
      </c>
      <c r="K145" s="9">
        <v>46290</v>
      </c>
      <c r="L145" s="13" t="s">
        <v>330</v>
      </c>
    </row>
    <row r="146" spans="1:12" ht="29.15" x14ac:dyDescent="0.4">
      <c r="A146" s="13" t="s">
        <v>331</v>
      </c>
      <c r="B146" s="13" t="s">
        <v>109</v>
      </c>
      <c r="C146" s="13" t="s">
        <v>422</v>
      </c>
      <c r="D146" s="14" t="s">
        <v>423</v>
      </c>
      <c r="E146" s="13" t="s">
        <v>113</v>
      </c>
      <c r="F146" s="13">
        <v>5</v>
      </c>
      <c r="G146" s="13" t="s">
        <v>327</v>
      </c>
      <c r="H146" s="13">
        <v>5</v>
      </c>
      <c r="I146" s="14" t="s">
        <v>328</v>
      </c>
      <c r="J146" s="13" t="s">
        <v>329</v>
      </c>
      <c r="K146" s="9">
        <v>46290</v>
      </c>
      <c r="L146" s="13" t="s">
        <v>330</v>
      </c>
    </row>
    <row r="147" spans="1:12" x14ac:dyDescent="0.4">
      <c r="A147" s="13" t="s">
        <v>331</v>
      </c>
      <c r="B147" s="13" t="s">
        <v>109</v>
      </c>
      <c r="C147" s="13" t="s">
        <v>425</v>
      </c>
      <c r="D147" s="14" t="s">
        <v>427</v>
      </c>
      <c r="E147" s="13" t="s">
        <v>111</v>
      </c>
      <c r="F147" s="13"/>
      <c r="G147" s="13" t="s">
        <v>327</v>
      </c>
      <c r="H147" s="13"/>
      <c r="I147" s="14" t="s">
        <v>328</v>
      </c>
      <c r="J147" s="13" t="s">
        <v>329</v>
      </c>
      <c r="K147" s="9">
        <v>46290</v>
      </c>
      <c r="L147" s="13" t="s">
        <v>330</v>
      </c>
    </row>
    <row r="148" spans="1:12" x14ac:dyDescent="0.4">
      <c r="A148" s="13" t="s">
        <v>331</v>
      </c>
      <c r="B148" s="13" t="s">
        <v>109</v>
      </c>
      <c r="C148" s="13" t="s">
        <v>425</v>
      </c>
      <c r="D148" s="14" t="s">
        <v>427</v>
      </c>
      <c r="E148" s="13" t="s">
        <v>112</v>
      </c>
      <c r="F148" s="13">
        <v>20</v>
      </c>
      <c r="G148" s="13" t="s">
        <v>327</v>
      </c>
      <c r="H148" s="13">
        <v>20</v>
      </c>
      <c r="I148" s="14" t="s">
        <v>328</v>
      </c>
      <c r="J148" s="13" t="s">
        <v>329</v>
      </c>
      <c r="K148" s="9">
        <v>46290</v>
      </c>
      <c r="L148" s="13" t="s">
        <v>330</v>
      </c>
    </row>
    <row r="149" spans="1:12" x14ac:dyDescent="0.4">
      <c r="A149" s="13" t="s">
        <v>331</v>
      </c>
      <c r="B149" s="13" t="s">
        <v>109</v>
      </c>
      <c r="C149" s="13" t="s">
        <v>425</v>
      </c>
      <c r="D149" s="14" t="s">
        <v>427</v>
      </c>
      <c r="E149" s="13" t="s">
        <v>113</v>
      </c>
      <c r="F149" s="13">
        <v>50</v>
      </c>
      <c r="G149" s="13" t="s">
        <v>327</v>
      </c>
      <c r="H149" s="13">
        <v>50</v>
      </c>
      <c r="I149" s="14" t="s">
        <v>328</v>
      </c>
      <c r="J149" s="13" t="s">
        <v>329</v>
      </c>
      <c r="K149" s="9">
        <v>46290</v>
      </c>
      <c r="L149" s="13" t="s">
        <v>330</v>
      </c>
    </row>
    <row r="150" spans="1:12" x14ac:dyDescent="0.4">
      <c r="A150" s="13" t="s">
        <v>331</v>
      </c>
      <c r="B150" s="13" t="s">
        <v>109</v>
      </c>
      <c r="C150" s="13" t="s">
        <v>430</v>
      </c>
      <c r="D150" s="14" t="s">
        <v>431</v>
      </c>
      <c r="E150" s="13" t="s">
        <v>111</v>
      </c>
      <c r="F150" s="13"/>
      <c r="G150" s="13" t="s">
        <v>327</v>
      </c>
      <c r="H150" s="13"/>
      <c r="I150" s="14" t="s">
        <v>328</v>
      </c>
      <c r="J150" s="13" t="s">
        <v>329</v>
      </c>
      <c r="K150" s="9">
        <v>46290</v>
      </c>
      <c r="L150" s="13" t="s">
        <v>330</v>
      </c>
    </row>
    <row r="151" spans="1:12" x14ac:dyDescent="0.4">
      <c r="A151" s="13" t="s">
        <v>331</v>
      </c>
      <c r="B151" s="13" t="s">
        <v>109</v>
      </c>
      <c r="C151" s="13" t="s">
        <v>430</v>
      </c>
      <c r="D151" s="14" t="s">
        <v>431</v>
      </c>
      <c r="E151" s="13" t="s">
        <v>112</v>
      </c>
      <c r="F151" s="13">
        <v>5</v>
      </c>
      <c r="G151" s="13" t="s">
        <v>327</v>
      </c>
      <c r="H151" s="13">
        <v>5</v>
      </c>
      <c r="I151" s="14" t="s">
        <v>328</v>
      </c>
      <c r="J151" s="13" t="s">
        <v>329</v>
      </c>
      <c r="K151" s="9">
        <v>46290</v>
      </c>
      <c r="L151" s="13" t="s">
        <v>330</v>
      </c>
    </row>
    <row r="152" spans="1:12" x14ac:dyDescent="0.4">
      <c r="A152" s="13" t="s">
        <v>331</v>
      </c>
      <c r="B152" s="13" t="s">
        <v>109</v>
      </c>
      <c r="C152" s="13" t="s">
        <v>430</v>
      </c>
      <c r="D152" s="14" t="s">
        <v>431</v>
      </c>
      <c r="E152" s="13" t="s">
        <v>113</v>
      </c>
      <c r="F152" s="13">
        <v>15</v>
      </c>
      <c r="G152" s="13" t="s">
        <v>327</v>
      </c>
      <c r="H152" s="13">
        <v>15</v>
      </c>
      <c r="I152" s="14" t="s">
        <v>328</v>
      </c>
      <c r="J152" s="13" t="s">
        <v>329</v>
      </c>
      <c r="K152" s="9">
        <v>46290</v>
      </c>
      <c r="L152" s="13" t="s">
        <v>330</v>
      </c>
    </row>
    <row r="153" spans="1:12" x14ac:dyDescent="0.4">
      <c r="A153" s="13" t="s">
        <v>331</v>
      </c>
      <c r="B153" s="13" t="s">
        <v>109</v>
      </c>
      <c r="C153" s="13" t="s">
        <v>432</v>
      </c>
      <c r="D153" s="14" t="s">
        <v>433</v>
      </c>
      <c r="E153" s="13" t="s">
        <v>111</v>
      </c>
      <c r="F153" s="13"/>
      <c r="G153" s="13" t="s">
        <v>327</v>
      </c>
      <c r="H153" s="13"/>
      <c r="I153" s="14" t="s">
        <v>328</v>
      </c>
      <c r="J153" s="13" t="s">
        <v>329</v>
      </c>
      <c r="K153" s="9">
        <v>46290</v>
      </c>
      <c r="L153" s="13" t="s">
        <v>330</v>
      </c>
    </row>
    <row r="154" spans="1:12" x14ac:dyDescent="0.4">
      <c r="A154" s="13" t="s">
        <v>331</v>
      </c>
      <c r="B154" s="13" t="s">
        <v>109</v>
      </c>
      <c r="C154" s="13" t="s">
        <v>432</v>
      </c>
      <c r="D154" s="14" t="s">
        <v>433</v>
      </c>
      <c r="E154" s="13" t="s">
        <v>112</v>
      </c>
      <c r="F154" s="13">
        <v>1</v>
      </c>
      <c r="G154" s="13" t="s">
        <v>327</v>
      </c>
      <c r="H154" s="13">
        <v>1</v>
      </c>
      <c r="I154" s="14" t="s">
        <v>328</v>
      </c>
      <c r="J154" s="13" t="s">
        <v>329</v>
      </c>
      <c r="K154" s="9">
        <v>46290</v>
      </c>
      <c r="L154" s="13" t="s">
        <v>330</v>
      </c>
    </row>
    <row r="155" spans="1:12" x14ac:dyDescent="0.4">
      <c r="A155" s="13" t="s">
        <v>331</v>
      </c>
      <c r="B155" s="13" t="s">
        <v>109</v>
      </c>
      <c r="C155" s="13" t="s">
        <v>432</v>
      </c>
      <c r="D155" s="14" t="s">
        <v>433</v>
      </c>
      <c r="E155" s="13" t="s">
        <v>113</v>
      </c>
      <c r="F155" s="13">
        <v>3</v>
      </c>
      <c r="G155" s="13" t="s">
        <v>327</v>
      </c>
      <c r="H155" s="13">
        <v>3</v>
      </c>
      <c r="I155" s="14" t="s">
        <v>328</v>
      </c>
      <c r="J155" s="13" t="s">
        <v>329</v>
      </c>
      <c r="K155" s="9">
        <v>46290</v>
      </c>
      <c r="L155" s="13" t="s">
        <v>330</v>
      </c>
    </row>
    <row r="156" spans="1:12" ht="29.15" x14ac:dyDescent="0.4">
      <c r="A156" s="13" t="s">
        <v>331</v>
      </c>
      <c r="B156" s="13" t="s">
        <v>109</v>
      </c>
      <c r="C156" s="13" t="s">
        <v>435</v>
      </c>
      <c r="D156" s="14" t="s">
        <v>437</v>
      </c>
      <c r="E156" s="13" t="s">
        <v>111</v>
      </c>
      <c r="F156" s="13"/>
      <c r="G156" s="13" t="s">
        <v>327</v>
      </c>
      <c r="H156" s="13"/>
      <c r="I156" s="14" t="s">
        <v>328</v>
      </c>
      <c r="J156" s="13" t="s">
        <v>329</v>
      </c>
      <c r="K156" s="9">
        <v>46290</v>
      </c>
      <c r="L156" s="13" t="s">
        <v>330</v>
      </c>
    </row>
    <row r="157" spans="1:12" ht="29.15" x14ac:dyDescent="0.4">
      <c r="A157" s="13" t="s">
        <v>331</v>
      </c>
      <c r="B157" s="13" t="s">
        <v>109</v>
      </c>
      <c r="C157" s="13" t="s">
        <v>435</v>
      </c>
      <c r="D157" s="14" t="s">
        <v>437</v>
      </c>
      <c r="E157" s="13" t="s">
        <v>112</v>
      </c>
      <c r="F157" s="13">
        <v>2</v>
      </c>
      <c r="G157" s="13" t="s">
        <v>327</v>
      </c>
      <c r="H157" s="13">
        <v>2</v>
      </c>
      <c r="I157" s="14" t="s">
        <v>328</v>
      </c>
      <c r="J157" s="13" t="s">
        <v>329</v>
      </c>
      <c r="K157" s="9">
        <v>46290</v>
      </c>
      <c r="L157" s="13" t="s">
        <v>330</v>
      </c>
    </row>
    <row r="158" spans="1:12" ht="29.15" x14ac:dyDescent="0.4">
      <c r="A158" s="13" t="s">
        <v>331</v>
      </c>
      <c r="B158" s="13" t="s">
        <v>109</v>
      </c>
      <c r="C158" s="13" t="s">
        <v>435</v>
      </c>
      <c r="D158" s="14" t="s">
        <v>437</v>
      </c>
      <c r="E158" s="13" t="s">
        <v>113</v>
      </c>
      <c r="F158" s="13">
        <v>5</v>
      </c>
      <c r="G158" s="13" t="s">
        <v>327</v>
      </c>
      <c r="H158" s="13">
        <v>5</v>
      </c>
      <c r="I158" s="14" t="s">
        <v>328</v>
      </c>
      <c r="J158" s="13" t="s">
        <v>329</v>
      </c>
      <c r="K158" s="9">
        <v>46290</v>
      </c>
      <c r="L158" s="13" t="s">
        <v>330</v>
      </c>
    </row>
    <row r="159" spans="1:12" ht="29.15" x14ac:dyDescent="0.4">
      <c r="A159" s="13" t="s">
        <v>331</v>
      </c>
      <c r="B159" s="13" t="s">
        <v>109</v>
      </c>
      <c r="C159" s="13" t="s">
        <v>440</v>
      </c>
      <c r="D159" s="14" t="s">
        <v>441</v>
      </c>
      <c r="E159" s="13" t="s">
        <v>111</v>
      </c>
      <c r="F159" s="13"/>
      <c r="G159" s="13" t="s">
        <v>327</v>
      </c>
      <c r="H159" s="13"/>
      <c r="I159" s="14" t="s">
        <v>328</v>
      </c>
      <c r="J159" s="13" t="s">
        <v>329</v>
      </c>
      <c r="K159" s="9">
        <v>46290</v>
      </c>
      <c r="L159" s="13" t="s">
        <v>330</v>
      </c>
    </row>
    <row r="160" spans="1:12" ht="29.15" x14ac:dyDescent="0.4">
      <c r="A160" s="13" t="s">
        <v>331</v>
      </c>
      <c r="B160" s="13" t="s">
        <v>109</v>
      </c>
      <c r="C160" s="13" t="s">
        <v>440</v>
      </c>
      <c r="D160" s="14" t="s">
        <v>441</v>
      </c>
      <c r="E160" s="13" t="s">
        <v>112</v>
      </c>
      <c r="F160" s="13">
        <v>5</v>
      </c>
      <c r="G160" s="13" t="s">
        <v>327</v>
      </c>
      <c r="H160" s="13">
        <v>5</v>
      </c>
      <c r="I160" s="14" t="s">
        <v>328</v>
      </c>
      <c r="J160" s="13" t="s">
        <v>329</v>
      </c>
      <c r="K160" s="9">
        <v>46290</v>
      </c>
      <c r="L160" s="13" t="s">
        <v>330</v>
      </c>
    </row>
    <row r="161" spans="1:12" ht="29.15" x14ac:dyDescent="0.4">
      <c r="A161" s="13" t="s">
        <v>331</v>
      </c>
      <c r="B161" s="13" t="s">
        <v>109</v>
      </c>
      <c r="C161" s="13" t="s">
        <v>440</v>
      </c>
      <c r="D161" s="14" t="s">
        <v>441</v>
      </c>
      <c r="E161" s="13" t="s">
        <v>113</v>
      </c>
      <c r="F161" s="13">
        <v>15</v>
      </c>
      <c r="G161" s="13" t="s">
        <v>327</v>
      </c>
      <c r="H161" s="13">
        <v>15</v>
      </c>
      <c r="I161" s="14" t="s">
        <v>328</v>
      </c>
      <c r="J161" s="13" t="s">
        <v>329</v>
      </c>
      <c r="K161" s="9">
        <v>46290</v>
      </c>
      <c r="L161" s="13" t="s">
        <v>330</v>
      </c>
    </row>
    <row r="162" spans="1:12" ht="29.15" x14ac:dyDescent="0.4">
      <c r="A162" s="13" t="s">
        <v>331</v>
      </c>
      <c r="B162" s="13" t="s">
        <v>109</v>
      </c>
      <c r="C162" s="13" t="s">
        <v>443</v>
      </c>
      <c r="D162" s="14" t="s">
        <v>444</v>
      </c>
      <c r="E162" s="13" t="s">
        <v>111</v>
      </c>
      <c r="F162" s="13"/>
      <c r="G162" s="13" t="s">
        <v>327</v>
      </c>
      <c r="H162" s="13"/>
      <c r="I162" s="14" t="s">
        <v>328</v>
      </c>
      <c r="J162" s="13" t="s">
        <v>329</v>
      </c>
      <c r="K162" s="9">
        <v>46290</v>
      </c>
      <c r="L162" s="13" t="s">
        <v>330</v>
      </c>
    </row>
    <row r="163" spans="1:12" ht="29.15" x14ac:dyDescent="0.4">
      <c r="A163" s="13" t="s">
        <v>331</v>
      </c>
      <c r="B163" s="13" t="s">
        <v>109</v>
      </c>
      <c r="C163" s="13" t="s">
        <v>443</v>
      </c>
      <c r="D163" s="14" t="s">
        <v>444</v>
      </c>
      <c r="E163" s="13" t="s">
        <v>112</v>
      </c>
      <c r="F163" s="13">
        <v>1</v>
      </c>
      <c r="G163" s="13" t="s">
        <v>327</v>
      </c>
      <c r="H163" s="13">
        <v>1</v>
      </c>
      <c r="I163" s="14" t="s">
        <v>328</v>
      </c>
      <c r="J163" s="13" t="s">
        <v>329</v>
      </c>
      <c r="K163" s="9">
        <v>46290</v>
      </c>
      <c r="L163" s="13" t="s">
        <v>330</v>
      </c>
    </row>
    <row r="164" spans="1:12" ht="29.15" x14ac:dyDescent="0.4">
      <c r="A164" s="13" t="s">
        <v>331</v>
      </c>
      <c r="B164" s="13" t="s">
        <v>109</v>
      </c>
      <c r="C164" s="13" t="s">
        <v>443</v>
      </c>
      <c r="D164" s="14" t="s">
        <v>444</v>
      </c>
      <c r="E164" s="13" t="s">
        <v>113</v>
      </c>
      <c r="F164" s="13">
        <v>3</v>
      </c>
      <c r="G164" s="13" t="s">
        <v>327</v>
      </c>
      <c r="H164" s="13">
        <v>3</v>
      </c>
      <c r="I164" s="14" t="s">
        <v>328</v>
      </c>
      <c r="J164" s="13" t="s">
        <v>329</v>
      </c>
      <c r="K164" s="9">
        <v>46290</v>
      </c>
      <c r="L164" s="13" t="s">
        <v>330</v>
      </c>
    </row>
    <row r="165" spans="1:12" ht="29.15" x14ac:dyDescent="0.4">
      <c r="A165" s="13" t="s">
        <v>331</v>
      </c>
      <c r="B165" s="13" t="s">
        <v>109</v>
      </c>
      <c r="C165" s="13" t="s">
        <v>446</v>
      </c>
      <c r="D165" s="14" t="s">
        <v>448</v>
      </c>
      <c r="E165" s="13" t="s">
        <v>111</v>
      </c>
      <c r="F165" s="13"/>
      <c r="G165" s="13" t="s">
        <v>327</v>
      </c>
      <c r="H165" s="13"/>
      <c r="I165" s="14" t="s">
        <v>328</v>
      </c>
      <c r="J165" s="13" t="s">
        <v>329</v>
      </c>
      <c r="K165" s="9">
        <v>46290</v>
      </c>
      <c r="L165" s="13" t="s">
        <v>330</v>
      </c>
    </row>
    <row r="166" spans="1:12" ht="29.15" x14ac:dyDescent="0.4">
      <c r="A166" s="13" t="s">
        <v>331</v>
      </c>
      <c r="B166" s="13" t="s">
        <v>109</v>
      </c>
      <c r="C166" s="13" t="s">
        <v>446</v>
      </c>
      <c r="D166" s="14" t="s">
        <v>448</v>
      </c>
      <c r="E166" s="13" t="s">
        <v>112</v>
      </c>
      <c r="F166" s="13">
        <v>2</v>
      </c>
      <c r="G166" s="13" t="s">
        <v>327</v>
      </c>
      <c r="H166" s="13">
        <v>2</v>
      </c>
      <c r="I166" s="14" t="s">
        <v>328</v>
      </c>
      <c r="J166" s="13" t="s">
        <v>329</v>
      </c>
      <c r="K166" s="9">
        <v>46290</v>
      </c>
      <c r="L166" s="13" t="s">
        <v>330</v>
      </c>
    </row>
    <row r="167" spans="1:12" ht="29.15" x14ac:dyDescent="0.4">
      <c r="A167" s="13" t="s">
        <v>331</v>
      </c>
      <c r="B167" s="13" t="s">
        <v>109</v>
      </c>
      <c r="C167" s="13" t="s">
        <v>446</v>
      </c>
      <c r="D167" s="14" t="s">
        <v>448</v>
      </c>
      <c r="E167" s="13" t="s">
        <v>113</v>
      </c>
      <c r="F167" s="13">
        <v>5</v>
      </c>
      <c r="G167" s="13" t="s">
        <v>327</v>
      </c>
      <c r="H167" s="13">
        <v>5</v>
      </c>
      <c r="I167" s="14" t="s">
        <v>328</v>
      </c>
      <c r="J167" s="13" t="s">
        <v>329</v>
      </c>
      <c r="K167" s="9">
        <v>46290</v>
      </c>
      <c r="L167" s="13" t="s">
        <v>330</v>
      </c>
    </row>
    <row r="168" spans="1:12" ht="29.15" x14ac:dyDescent="0.4">
      <c r="A168" s="13" t="s">
        <v>331</v>
      </c>
      <c r="B168" s="13" t="s">
        <v>109</v>
      </c>
      <c r="C168" s="13" t="s">
        <v>451</v>
      </c>
      <c r="D168" s="14" t="s">
        <v>452</v>
      </c>
      <c r="E168" s="13" t="s">
        <v>111</v>
      </c>
      <c r="F168" s="13"/>
      <c r="G168" s="13" t="s">
        <v>327</v>
      </c>
      <c r="H168" s="13"/>
      <c r="I168" s="14" t="s">
        <v>328</v>
      </c>
      <c r="J168" s="13" t="s">
        <v>329</v>
      </c>
      <c r="K168" s="9">
        <v>46290</v>
      </c>
      <c r="L168" s="13" t="s">
        <v>330</v>
      </c>
    </row>
    <row r="169" spans="1:12" ht="29.15" x14ac:dyDescent="0.4">
      <c r="A169" s="13" t="s">
        <v>331</v>
      </c>
      <c r="B169" s="13" t="s">
        <v>109</v>
      </c>
      <c r="C169" s="13" t="s">
        <v>451</v>
      </c>
      <c r="D169" s="14" t="s">
        <v>452</v>
      </c>
      <c r="E169" s="13" t="s">
        <v>112</v>
      </c>
      <c r="F169" s="13">
        <v>2</v>
      </c>
      <c r="G169" s="13" t="s">
        <v>327</v>
      </c>
      <c r="H169" s="13">
        <v>2</v>
      </c>
      <c r="I169" s="14" t="s">
        <v>328</v>
      </c>
      <c r="J169" s="13" t="s">
        <v>329</v>
      </c>
      <c r="K169" s="9">
        <v>46290</v>
      </c>
      <c r="L169" s="13" t="s">
        <v>330</v>
      </c>
    </row>
    <row r="170" spans="1:12" ht="29.15" x14ac:dyDescent="0.4">
      <c r="A170" s="13" t="s">
        <v>331</v>
      </c>
      <c r="B170" s="13" t="s">
        <v>109</v>
      </c>
      <c r="C170" s="13" t="s">
        <v>451</v>
      </c>
      <c r="D170" s="14" t="s">
        <v>452</v>
      </c>
      <c r="E170" s="13" t="s">
        <v>113</v>
      </c>
      <c r="F170" s="13">
        <v>6</v>
      </c>
      <c r="G170" s="13" t="s">
        <v>327</v>
      </c>
      <c r="H170" s="13">
        <v>6</v>
      </c>
      <c r="I170" s="14" t="s">
        <v>328</v>
      </c>
      <c r="J170" s="13" t="s">
        <v>329</v>
      </c>
      <c r="K170" s="9">
        <v>46290</v>
      </c>
      <c r="L170" s="13" t="s">
        <v>330</v>
      </c>
    </row>
    <row r="171" spans="1:12" ht="29.15" x14ac:dyDescent="0.4">
      <c r="A171" s="13" t="s">
        <v>331</v>
      </c>
      <c r="B171" s="13" t="s">
        <v>109</v>
      </c>
      <c r="C171" s="13" t="s">
        <v>453</v>
      </c>
      <c r="D171" s="14" t="s">
        <v>454</v>
      </c>
      <c r="E171" s="13" t="s">
        <v>111</v>
      </c>
      <c r="F171" s="13"/>
      <c r="G171" s="13" t="s">
        <v>327</v>
      </c>
      <c r="H171" s="13"/>
      <c r="I171" s="14" t="s">
        <v>328</v>
      </c>
      <c r="J171" s="13" t="s">
        <v>329</v>
      </c>
      <c r="K171" s="9">
        <v>46290</v>
      </c>
      <c r="L171" s="13" t="s">
        <v>330</v>
      </c>
    </row>
    <row r="172" spans="1:12" ht="29.15" x14ac:dyDescent="0.4">
      <c r="A172" s="13" t="s">
        <v>331</v>
      </c>
      <c r="B172" s="13" t="s">
        <v>109</v>
      </c>
      <c r="C172" s="13" t="s">
        <v>453</v>
      </c>
      <c r="D172" s="14" t="s">
        <v>454</v>
      </c>
      <c r="E172" s="13" t="s">
        <v>112</v>
      </c>
      <c r="F172" s="13">
        <v>20</v>
      </c>
      <c r="G172" s="13" t="s">
        <v>327</v>
      </c>
      <c r="H172" s="13">
        <v>20</v>
      </c>
      <c r="I172" s="14" t="s">
        <v>328</v>
      </c>
      <c r="J172" s="13" t="s">
        <v>329</v>
      </c>
      <c r="K172" s="9">
        <v>46290</v>
      </c>
      <c r="L172" s="13" t="s">
        <v>330</v>
      </c>
    </row>
    <row r="173" spans="1:12" ht="29.15" x14ac:dyDescent="0.4">
      <c r="A173" s="13" t="s">
        <v>331</v>
      </c>
      <c r="B173" s="13" t="s">
        <v>109</v>
      </c>
      <c r="C173" s="13" t="s">
        <v>453</v>
      </c>
      <c r="D173" s="14" t="s">
        <v>454</v>
      </c>
      <c r="E173" s="13" t="s">
        <v>113</v>
      </c>
      <c r="F173" s="13">
        <v>50</v>
      </c>
      <c r="G173" s="13" t="s">
        <v>327</v>
      </c>
      <c r="H173" s="13">
        <v>50</v>
      </c>
      <c r="I173" s="14" t="s">
        <v>328</v>
      </c>
      <c r="J173" s="13" t="s">
        <v>329</v>
      </c>
      <c r="K173" s="9">
        <v>46290</v>
      </c>
      <c r="L173" s="13" t="s">
        <v>330</v>
      </c>
    </row>
    <row r="174" spans="1:12" ht="29.15" x14ac:dyDescent="0.4">
      <c r="A174" s="13" t="s">
        <v>331</v>
      </c>
      <c r="B174" s="13" t="s">
        <v>109</v>
      </c>
      <c r="C174" s="13" t="s">
        <v>456</v>
      </c>
      <c r="D174" s="14" t="s">
        <v>458</v>
      </c>
      <c r="E174" s="13" t="s">
        <v>111</v>
      </c>
      <c r="F174" s="13"/>
      <c r="G174" s="13" t="s">
        <v>327</v>
      </c>
      <c r="H174" s="13"/>
      <c r="I174" s="14" t="s">
        <v>328</v>
      </c>
      <c r="J174" s="13" t="s">
        <v>329</v>
      </c>
      <c r="K174" s="9">
        <v>46290</v>
      </c>
      <c r="L174" s="13" t="s">
        <v>330</v>
      </c>
    </row>
    <row r="175" spans="1:12" ht="29.15" x14ac:dyDescent="0.4">
      <c r="A175" s="13" t="s">
        <v>331</v>
      </c>
      <c r="B175" s="13" t="s">
        <v>109</v>
      </c>
      <c r="C175" s="13" t="s">
        <v>456</v>
      </c>
      <c r="D175" s="14" t="s">
        <v>458</v>
      </c>
      <c r="E175" s="13" t="s">
        <v>112</v>
      </c>
      <c r="F175" s="13">
        <v>3</v>
      </c>
      <c r="G175" s="13" t="s">
        <v>327</v>
      </c>
      <c r="H175" s="13">
        <v>3</v>
      </c>
      <c r="I175" s="14" t="s">
        <v>328</v>
      </c>
      <c r="J175" s="13" t="s">
        <v>329</v>
      </c>
      <c r="K175" s="9">
        <v>46290</v>
      </c>
      <c r="L175" s="13" t="s">
        <v>330</v>
      </c>
    </row>
    <row r="176" spans="1:12" ht="29.15" x14ac:dyDescent="0.4">
      <c r="A176" s="13" t="s">
        <v>331</v>
      </c>
      <c r="B176" s="13" t="s">
        <v>109</v>
      </c>
      <c r="C176" s="13" t="s">
        <v>456</v>
      </c>
      <c r="D176" s="14" t="s">
        <v>458</v>
      </c>
      <c r="E176" s="13" t="s">
        <v>113</v>
      </c>
      <c r="F176" s="13">
        <v>8</v>
      </c>
      <c r="G176" s="13" t="s">
        <v>327</v>
      </c>
      <c r="H176" s="13">
        <v>8</v>
      </c>
      <c r="I176" s="14" t="s">
        <v>328</v>
      </c>
      <c r="J176" s="13" t="s">
        <v>329</v>
      </c>
      <c r="K176" s="9">
        <v>46290</v>
      </c>
      <c r="L176" s="13" t="s">
        <v>330</v>
      </c>
    </row>
    <row r="177" spans="1:12" ht="29.15" x14ac:dyDescent="0.4">
      <c r="A177" s="13" t="s">
        <v>331</v>
      </c>
      <c r="B177" s="13" t="s">
        <v>109</v>
      </c>
      <c r="C177" s="13" t="s">
        <v>461</v>
      </c>
      <c r="D177" s="14" t="s">
        <v>462</v>
      </c>
      <c r="E177" s="13" t="s">
        <v>111</v>
      </c>
      <c r="F177" s="13"/>
      <c r="G177" s="13" t="s">
        <v>327</v>
      </c>
      <c r="H177" s="13"/>
      <c r="I177" s="14" t="s">
        <v>328</v>
      </c>
      <c r="J177" s="13" t="s">
        <v>329</v>
      </c>
      <c r="K177" s="9">
        <v>46290</v>
      </c>
      <c r="L177" s="13" t="s">
        <v>330</v>
      </c>
    </row>
    <row r="178" spans="1:12" ht="29.15" x14ac:dyDescent="0.4">
      <c r="A178" s="13" t="s">
        <v>331</v>
      </c>
      <c r="B178" s="13" t="s">
        <v>109</v>
      </c>
      <c r="C178" s="13" t="s">
        <v>461</v>
      </c>
      <c r="D178" s="14" t="s">
        <v>462</v>
      </c>
      <c r="E178" s="13" t="s">
        <v>112</v>
      </c>
      <c r="F178" s="13">
        <v>2</v>
      </c>
      <c r="G178" s="13" t="s">
        <v>327</v>
      </c>
      <c r="H178" s="13">
        <v>2</v>
      </c>
      <c r="I178" s="14" t="s">
        <v>328</v>
      </c>
      <c r="J178" s="13" t="s">
        <v>329</v>
      </c>
      <c r="K178" s="9">
        <v>46290</v>
      </c>
      <c r="L178" s="13" t="s">
        <v>330</v>
      </c>
    </row>
    <row r="179" spans="1:12" ht="29.15" x14ac:dyDescent="0.4">
      <c r="A179" s="13" t="s">
        <v>331</v>
      </c>
      <c r="B179" s="13" t="s">
        <v>109</v>
      </c>
      <c r="C179" s="13" t="s">
        <v>461</v>
      </c>
      <c r="D179" s="14" t="s">
        <v>462</v>
      </c>
      <c r="E179" s="13" t="s">
        <v>113</v>
      </c>
      <c r="F179" s="13">
        <v>6</v>
      </c>
      <c r="G179" s="13" t="s">
        <v>327</v>
      </c>
      <c r="H179" s="13">
        <v>6</v>
      </c>
      <c r="I179" s="14" t="s">
        <v>328</v>
      </c>
      <c r="J179" s="13" t="s">
        <v>329</v>
      </c>
      <c r="K179" s="9">
        <v>46290</v>
      </c>
      <c r="L179" s="13" t="s">
        <v>330</v>
      </c>
    </row>
    <row r="180" spans="1:12" ht="29.15" x14ac:dyDescent="0.4">
      <c r="A180" s="13" t="s">
        <v>331</v>
      </c>
      <c r="B180" s="13" t="s">
        <v>109</v>
      </c>
      <c r="C180" s="13" t="s">
        <v>464</v>
      </c>
      <c r="D180" s="14" t="s">
        <v>465</v>
      </c>
      <c r="E180" s="13" t="s">
        <v>111</v>
      </c>
      <c r="F180" s="13"/>
      <c r="G180" s="13" t="s">
        <v>327</v>
      </c>
      <c r="H180" s="13"/>
      <c r="I180" s="14" t="s">
        <v>328</v>
      </c>
      <c r="J180" s="13" t="s">
        <v>329</v>
      </c>
      <c r="K180" s="9">
        <v>46290</v>
      </c>
      <c r="L180" s="13" t="s">
        <v>330</v>
      </c>
    </row>
    <row r="181" spans="1:12" ht="29.15" x14ac:dyDescent="0.4">
      <c r="A181" s="13" t="s">
        <v>331</v>
      </c>
      <c r="B181" s="13" t="s">
        <v>109</v>
      </c>
      <c r="C181" s="13" t="s">
        <v>464</v>
      </c>
      <c r="D181" s="14" t="s">
        <v>465</v>
      </c>
      <c r="E181" s="13" t="s">
        <v>112</v>
      </c>
      <c r="F181" s="13">
        <v>1</v>
      </c>
      <c r="G181" s="13" t="s">
        <v>327</v>
      </c>
      <c r="H181" s="13">
        <v>1</v>
      </c>
      <c r="I181" s="14" t="s">
        <v>328</v>
      </c>
      <c r="J181" s="13" t="s">
        <v>329</v>
      </c>
      <c r="K181" s="9">
        <v>46290</v>
      </c>
      <c r="L181" s="13" t="s">
        <v>330</v>
      </c>
    </row>
    <row r="182" spans="1:12" ht="29.15" x14ac:dyDescent="0.4">
      <c r="A182" s="13" t="s">
        <v>331</v>
      </c>
      <c r="B182" s="13" t="s">
        <v>109</v>
      </c>
      <c r="C182" s="13" t="s">
        <v>464</v>
      </c>
      <c r="D182" s="14" t="s">
        <v>465</v>
      </c>
      <c r="E182" s="13" t="s">
        <v>113</v>
      </c>
      <c r="F182" s="13">
        <v>3</v>
      </c>
      <c r="G182" s="13" t="s">
        <v>327</v>
      </c>
      <c r="H182" s="13">
        <v>3</v>
      </c>
      <c r="I182" s="14" t="s">
        <v>328</v>
      </c>
      <c r="J182" s="13" t="s">
        <v>329</v>
      </c>
      <c r="K182" s="9">
        <v>46290</v>
      </c>
      <c r="L182" s="13" t="s">
        <v>330</v>
      </c>
    </row>
    <row r="183" spans="1:12" ht="29.15" x14ac:dyDescent="0.4">
      <c r="A183" s="13" t="s">
        <v>331</v>
      </c>
      <c r="B183" s="13" t="s">
        <v>109</v>
      </c>
      <c r="C183" s="13" t="s">
        <v>467</v>
      </c>
      <c r="D183" s="14" t="s">
        <v>469</v>
      </c>
      <c r="E183" s="13" t="s">
        <v>111</v>
      </c>
      <c r="F183" s="13"/>
      <c r="G183" s="13" t="s">
        <v>327</v>
      </c>
      <c r="H183" s="13"/>
      <c r="I183" s="14" t="s">
        <v>328</v>
      </c>
      <c r="J183" s="13" t="s">
        <v>329</v>
      </c>
      <c r="K183" s="9">
        <v>46290</v>
      </c>
      <c r="L183" s="13" t="s">
        <v>330</v>
      </c>
    </row>
    <row r="184" spans="1:12" ht="29.15" x14ac:dyDescent="0.4">
      <c r="A184" s="13" t="s">
        <v>331</v>
      </c>
      <c r="B184" s="13" t="s">
        <v>109</v>
      </c>
      <c r="C184" s="13" t="s">
        <v>467</v>
      </c>
      <c r="D184" s="14" t="s">
        <v>469</v>
      </c>
      <c r="E184" s="13" t="s">
        <v>112</v>
      </c>
      <c r="F184" s="13">
        <v>10</v>
      </c>
      <c r="G184" s="13" t="s">
        <v>327</v>
      </c>
      <c r="H184" s="13">
        <v>10</v>
      </c>
      <c r="I184" s="14" t="s">
        <v>328</v>
      </c>
      <c r="J184" s="13" t="s">
        <v>329</v>
      </c>
      <c r="K184" s="9">
        <v>46290</v>
      </c>
      <c r="L184" s="13" t="s">
        <v>330</v>
      </c>
    </row>
    <row r="185" spans="1:12" ht="29.15" x14ac:dyDescent="0.4">
      <c r="A185" s="13" t="s">
        <v>331</v>
      </c>
      <c r="B185" s="13" t="s">
        <v>109</v>
      </c>
      <c r="C185" s="13" t="s">
        <v>467</v>
      </c>
      <c r="D185" s="14" t="s">
        <v>469</v>
      </c>
      <c r="E185" s="13" t="s">
        <v>113</v>
      </c>
      <c r="F185" s="13">
        <v>30</v>
      </c>
      <c r="G185" s="13" t="s">
        <v>327</v>
      </c>
      <c r="H185" s="13">
        <v>30</v>
      </c>
      <c r="I185" s="14" t="s">
        <v>328</v>
      </c>
      <c r="J185" s="13" t="s">
        <v>329</v>
      </c>
      <c r="K185" s="9">
        <v>46290</v>
      </c>
      <c r="L185" s="13" t="s">
        <v>330</v>
      </c>
    </row>
    <row r="186" spans="1:12" ht="29.15" x14ac:dyDescent="0.4">
      <c r="A186" s="13" t="s">
        <v>331</v>
      </c>
      <c r="B186" s="13" t="s">
        <v>109</v>
      </c>
      <c r="C186" s="13" t="s">
        <v>472</v>
      </c>
      <c r="D186" s="14" t="s">
        <v>473</v>
      </c>
      <c r="E186" s="13" t="s">
        <v>111</v>
      </c>
      <c r="F186" s="13"/>
      <c r="G186" s="13" t="s">
        <v>327</v>
      </c>
      <c r="H186" s="13"/>
      <c r="I186" s="14" t="s">
        <v>328</v>
      </c>
      <c r="J186" s="13" t="s">
        <v>329</v>
      </c>
      <c r="K186" s="9">
        <v>46290</v>
      </c>
      <c r="L186" s="13" t="s">
        <v>330</v>
      </c>
    </row>
    <row r="187" spans="1:12" ht="29.15" x14ac:dyDescent="0.4">
      <c r="A187" s="13" t="s">
        <v>331</v>
      </c>
      <c r="B187" s="13" t="s">
        <v>109</v>
      </c>
      <c r="C187" s="13" t="s">
        <v>472</v>
      </c>
      <c r="D187" s="14" t="s">
        <v>473</v>
      </c>
      <c r="E187" s="13" t="s">
        <v>112</v>
      </c>
      <c r="F187" s="13">
        <v>3</v>
      </c>
      <c r="G187" s="13" t="s">
        <v>327</v>
      </c>
      <c r="H187" s="13">
        <v>3</v>
      </c>
      <c r="I187" s="14" t="s">
        <v>328</v>
      </c>
      <c r="J187" s="13" t="s">
        <v>329</v>
      </c>
      <c r="K187" s="9">
        <v>46290</v>
      </c>
      <c r="L187" s="13" t="s">
        <v>330</v>
      </c>
    </row>
    <row r="188" spans="1:12" ht="29.15" x14ac:dyDescent="0.4">
      <c r="A188" s="13" t="s">
        <v>331</v>
      </c>
      <c r="B188" s="13" t="s">
        <v>109</v>
      </c>
      <c r="C188" s="13" t="s">
        <v>472</v>
      </c>
      <c r="D188" s="14" t="s">
        <v>473</v>
      </c>
      <c r="E188" s="13" t="s">
        <v>113</v>
      </c>
      <c r="F188" s="13">
        <v>10</v>
      </c>
      <c r="G188" s="13" t="s">
        <v>327</v>
      </c>
      <c r="H188" s="13">
        <v>10</v>
      </c>
      <c r="I188" s="14" t="s">
        <v>328</v>
      </c>
      <c r="J188" s="13" t="s">
        <v>329</v>
      </c>
      <c r="K188" s="9">
        <v>46290</v>
      </c>
      <c r="L188" s="13" t="s">
        <v>330</v>
      </c>
    </row>
    <row r="189" spans="1:12" ht="29.15" x14ac:dyDescent="0.4">
      <c r="A189" s="13" t="s">
        <v>331</v>
      </c>
      <c r="B189" s="13" t="s">
        <v>109</v>
      </c>
      <c r="C189" s="13" t="s">
        <v>475</v>
      </c>
      <c r="D189" s="14" t="s">
        <v>476</v>
      </c>
      <c r="E189" s="13" t="s">
        <v>111</v>
      </c>
      <c r="F189" s="13"/>
      <c r="G189" s="13" t="s">
        <v>327</v>
      </c>
      <c r="H189" s="13"/>
      <c r="I189" s="14" t="s">
        <v>328</v>
      </c>
      <c r="J189" s="13" t="s">
        <v>329</v>
      </c>
      <c r="K189" s="9">
        <v>46290</v>
      </c>
      <c r="L189" s="13" t="s">
        <v>330</v>
      </c>
    </row>
    <row r="190" spans="1:12" ht="29.15" x14ac:dyDescent="0.4">
      <c r="A190" s="13" t="s">
        <v>331</v>
      </c>
      <c r="B190" s="13" t="s">
        <v>109</v>
      </c>
      <c r="C190" s="13" t="s">
        <v>475</v>
      </c>
      <c r="D190" s="14" t="s">
        <v>476</v>
      </c>
      <c r="E190" s="13" t="s">
        <v>112</v>
      </c>
      <c r="F190" s="13">
        <v>4</v>
      </c>
      <c r="G190" s="13" t="s">
        <v>327</v>
      </c>
      <c r="H190" s="13">
        <v>4</v>
      </c>
      <c r="I190" s="14" t="s">
        <v>328</v>
      </c>
      <c r="J190" s="13" t="s">
        <v>329</v>
      </c>
      <c r="K190" s="9">
        <v>46290</v>
      </c>
      <c r="L190" s="13" t="s">
        <v>330</v>
      </c>
    </row>
    <row r="191" spans="1:12" ht="29.15" x14ac:dyDescent="0.4">
      <c r="A191" s="13" t="s">
        <v>331</v>
      </c>
      <c r="B191" s="13" t="s">
        <v>109</v>
      </c>
      <c r="C191" s="13" t="s">
        <v>475</v>
      </c>
      <c r="D191" s="14" t="s">
        <v>476</v>
      </c>
      <c r="E191" s="13" t="s">
        <v>113</v>
      </c>
      <c r="F191" s="13">
        <v>12</v>
      </c>
      <c r="G191" s="13" t="s">
        <v>327</v>
      </c>
      <c r="H191" s="13">
        <v>12</v>
      </c>
      <c r="I191" s="14" t="s">
        <v>328</v>
      </c>
      <c r="J191" s="13" t="s">
        <v>329</v>
      </c>
      <c r="K191" s="9">
        <v>46290</v>
      </c>
      <c r="L191" s="13" t="s">
        <v>330</v>
      </c>
    </row>
    <row r="192" spans="1:12" ht="29.15" x14ac:dyDescent="0.4">
      <c r="A192" s="13" t="s">
        <v>331</v>
      </c>
      <c r="B192" s="13" t="s">
        <v>600</v>
      </c>
      <c r="C192" s="13" t="s">
        <v>536</v>
      </c>
      <c r="D192" s="14" t="s">
        <v>537</v>
      </c>
      <c r="E192" s="13" t="s">
        <v>114</v>
      </c>
      <c r="F192" s="13" t="s">
        <v>538</v>
      </c>
      <c r="G192" s="13" t="s">
        <v>327</v>
      </c>
      <c r="H192" s="13" t="s">
        <v>538</v>
      </c>
      <c r="I192" s="14" t="s">
        <v>328</v>
      </c>
      <c r="J192" s="13" t="s">
        <v>329</v>
      </c>
      <c r="K192" s="9">
        <v>46290</v>
      </c>
      <c r="L192" s="13" t="s">
        <v>330</v>
      </c>
    </row>
    <row r="193" spans="1:12" ht="29.15" x14ac:dyDescent="0.4">
      <c r="A193" s="13" t="s">
        <v>331</v>
      </c>
      <c r="B193" s="13" t="s">
        <v>600</v>
      </c>
      <c r="C193" s="13" t="s">
        <v>536</v>
      </c>
      <c r="D193" s="14" t="s">
        <v>537</v>
      </c>
      <c r="E193" s="13" t="s">
        <v>115</v>
      </c>
      <c r="F193" s="13" t="s">
        <v>540</v>
      </c>
      <c r="G193" s="13" t="s">
        <v>327</v>
      </c>
      <c r="H193" s="13" t="s">
        <v>540</v>
      </c>
      <c r="I193" s="14" t="s">
        <v>328</v>
      </c>
      <c r="J193" s="13" t="s">
        <v>329</v>
      </c>
      <c r="K193" s="9">
        <v>46290</v>
      </c>
      <c r="L193" s="13" t="s">
        <v>330</v>
      </c>
    </row>
    <row r="194" spans="1:12" ht="29.15" x14ac:dyDescent="0.4">
      <c r="A194" s="13" t="s">
        <v>331</v>
      </c>
      <c r="B194" s="13" t="s">
        <v>600</v>
      </c>
      <c r="C194" s="13" t="s">
        <v>542</v>
      </c>
      <c r="D194" s="14" t="s">
        <v>543</v>
      </c>
      <c r="E194" s="13" t="s">
        <v>114</v>
      </c>
      <c r="F194" s="13" t="s">
        <v>544</v>
      </c>
      <c r="G194" s="13" t="s">
        <v>327</v>
      </c>
      <c r="H194" s="13" t="s">
        <v>544</v>
      </c>
      <c r="I194" s="14" t="s">
        <v>328</v>
      </c>
      <c r="J194" s="13" t="s">
        <v>329</v>
      </c>
      <c r="K194" s="9">
        <v>46290</v>
      </c>
      <c r="L194" s="13" t="s">
        <v>330</v>
      </c>
    </row>
    <row r="195" spans="1:12" ht="29.15" x14ac:dyDescent="0.4">
      <c r="A195" s="13" t="s">
        <v>331</v>
      </c>
      <c r="B195" s="13" t="s">
        <v>600</v>
      </c>
      <c r="C195" s="13" t="s">
        <v>542</v>
      </c>
      <c r="D195" s="14" t="s">
        <v>543</v>
      </c>
      <c r="E195" s="13" t="s">
        <v>115</v>
      </c>
      <c r="F195" s="13" t="s">
        <v>546</v>
      </c>
      <c r="G195" s="13" t="s">
        <v>327</v>
      </c>
      <c r="H195" s="13" t="s">
        <v>546</v>
      </c>
      <c r="I195" s="14" t="s">
        <v>328</v>
      </c>
      <c r="J195" s="13" t="s">
        <v>329</v>
      </c>
      <c r="K195" s="9">
        <v>46290</v>
      </c>
      <c r="L195" s="13" t="s">
        <v>330</v>
      </c>
    </row>
    <row r="196" spans="1:12" ht="29.15" x14ac:dyDescent="0.4">
      <c r="A196" s="13" t="s">
        <v>331</v>
      </c>
      <c r="B196" s="13" t="s">
        <v>600</v>
      </c>
      <c r="C196" s="13" t="s">
        <v>548</v>
      </c>
      <c r="D196" s="14" t="s">
        <v>549</v>
      </c>
      <c r="E196" s="13" t="s">
        <v>114</v>
      </c>
      <c r="F196" s="13" t="s">
        <v>550</v>
      </c>
      <c r="G196" s="13" t="s">
        <v>327</v>
      </c>
      <c r="H196" s="13" t="s">
        <v>550</v>
      </c>
      <c r="I196" s="14" t="s">
        <v>328</v>
      </c>
      <c r="J196" s="13" t="s">
        <v>329</v>
      </c>
      <c r="K196" s="9">
        <v>46290</v>
      </c>
      <c r="L196" s="13" t="s">
        <v>330</v>
      </c>
    </row>
    <row r="197" spans="1:12" ht="29.15" x14ac:dyDescent="0.4">
      <c r="A197" s="13" t="s">
        <v>331</v>
      </c>
      <c r="B197" s="13" t="s">
        <v>600</v>
      </c>
      <c r="C197" s="13" t="s">
        <v>548</v>
      </c>
      <c r="D197" s="14" t="s">
        <v>549</v>
      </c>
      <c r="E197" s="13" t="s">
        <v>115</v>
      </c>
      <c r="F197" s="13" t="s">
        <v>540</v>
      </c>
      <c r="G197" s="13" t="s">
        <v>327</v>
      </c>
      <c r="H197" s="13" t="s">
        <v>540</v>
      </c>
      <c r="I197" s="14" t="s">
        <v>328</v>
      </c>
      <c r="J197" s="13" t="s">
        <v>329</v>
      </c>
      <c r="K197" s="9">
        <v>46290</v>
      </c>
      <c r="L197" s="13" t="s">
        <v>330</v>
      </c>
    </row>
    <row r="198" spans="1:12" ht="29.15" x14ac:dyDescent="0.4">
      <c r="A198" s="13" t="s">
        <v>331</v>
      </c>
      <c r="B198" s="13" t="s">
        <v>600</v>
      </c>
      <c r="C198" s="13" t="s">
        <v>552</v>
      </c>
      <c r="D198" s="14" t="s">
        <v>553</v>
      </c>
      <c r="E198" s="13" t="s">
        <v>114</v>
      </c>
      <c r="F198" s="13" t="s">
        <v>554</v>
      </c>
      <c r="G198" s="13" t="s">
        <v>327</v>
      </c>
      <c r="H198" s="13" t="s">
        <v>554</v>
      </c>
      <c r="I198" s="14" t="s">
        <v>328</v>
      </c>
      <c r="J198" s="13" t="s">
        <v>329</v>
      </c>
      <c r="K198" s="9">
        <v>46290</v>
      </c>
      <c r="L198" s="13" t="s">
        <v>330</v>
      </c>
    </row>
    <row r="199" spans="1:12" ht="29.15" x14ac:dyDescent="0.4">
      <c r="A199" s="13" t="s">
        <v>331</v>
      </c>
      <c r="B199" s="13" t="s">
        <v>600</v>
      </c>
      <c r="C199" s="13" t="s">
        <v>552</v>
      </c>
      <c r="D199" s="14" t="s">
        <v>553</v>
      </c>
      <c r="E199" s="13" t="s">
        <v>115</v>
      </c>
      <c r="F199" s="13" t="s">
        <v>555</v>
      </c>
      <c r="G199" s="13" t="s">
        <v>327</v>
      </c>
      <c r="H199" s="13" t="s">
        <v>555</v>
      </c>
      <c r="I199" s="14" t="s">
        <v>328</v>
      </c>
      <c r="J199" s="13" t="s">
        <v>329</v>
      </c>
      <c r="K199" s="9">
        <v>46290</v>
      </c>
      <c r="L199" s="13" t="s">
        <v>330</v>
      </c>
    </row>
    <row r="200" spans="1:12" ht="29.15" x14ac:dyDescent="0.4">
      <c r="A200" s="13" t="s">
        <v>331</v>
      </c>
      <c r="B200" s="13" t="s">
        <v>600</v>
      </c>
      <c r="C200" s="13" t="s">
        <v>557</v>
      </c>
      <c r="D200" s="14" t="s">
        <v>558</v>
      </c>
      <c r="E200" s="13" t="s">
        <v>114</v>
      </c>
      <c r="F200" s="13" t="s">
        <v>559</v>
      </c>
      <c r="G200" s="13" t="s">
        <v>327</v>
      </c>
      <c r="H200" s="13" t="s">
        <v>559</v>
      </c>
      <c r="I200" s="14" t="s">
        <v>328</v>
      </c>
      <c r="J200" s="13" t="s">
        <v>329</v>
      </c>
      <c r="K200" s="9">
        <v>46290</v>
      </c>
      <c r="L200" s="13" t="s">
        <v>330</v>
      </c>
    </row>
    <row r="201" spans="1:12" ht="29.15" x14ac:dyDescent="0.4">
      <c r="A201" s="13" t="s">
        <v>331</v>
      </c>
      <c r="B201" s="13" t="s">
        <v>600</v>
      </c>
      <c r="C201" s="13" t="s">
        <v>557</v>
      </c>
      <c r="D201" s="14" t="s">
        <v>558</v>
      </c>
      <c r="E201" s="13" t="s">
        <v>115</v>
      </c>
      <c r="F201" s="13" t="s">
        <v>540</v>
      </c>
      <c r="G201" s="13" t="s">
        <v>327</v>
      </c>
      <c r="H201" s="13" t="s">
        <v>540</v>
      </c>
      <c r="I201" s="14" t="s">
        <v>328</v>
      </c>
      <c r="J201" s="13" t="s">
        <v>329</v>
      </c>
      <c r="K201" s="9">
        <v>46290</v>
      </c>
      <c r="L201" s="13" t="s">
        <v>330</v>
      </c>
    </row>
    <row r="202" spans="1:12" ht="29.15" x14ac:dyDescent="0.4">
      <c r="A202" s="13" t="s">
        <v>331</v>
      </c>
      <c r="B202" s="13" t="s">
        <v>600</v>
      </c>
      <c r="C202" s="13" t="s">
        <v>561</v>
      </c>
      <c r="D202" s="14" t="s">
        <v>562</v>
      </c>
      <c r="E202" s="13" t="s">
        <v>114</v>
      </c>
      <c r="F202" s="13" t="s">
        <v>563</v>
      </c>
      <c r="G202" s="13" t="s">
        <v>327</v>
      </c>
      <c r="H202" s="13" t="s">
        <v>563</v>
      </c>
      <c r="I202" s="14" t="s">
        <v>328</v>
      </c>
      <c r="J202" s="13" t="s">
        <v>329</v>
      </c>
      <c r="K202" s="9">
        <v>46290</v>
      </c>
      <c r="L202" s="13" t="s">
        <v>330</v>
      </c>
    </row>
    <row r="203" spans="1:12" ht="29.15" x14ac:dyDescent="0.4">
      <c r="A203" s="13" t="s">
        <v>331</v>
      </c>
      <c r="B203" s="13" t="s">
        <v>600</v>
      </c>
      <c r="C203" s="13" t="s">
        <v>561</v>
      </c>
      <c r="D203" s="14" t="s">
        <v>562</v>
      </c>
      <c r="E203" s="13" t="s">
        <v>115</v>
      </c>
      <c r="F203" s="13" t="s">
        <v>546</v>
      </c>
      <c r="G203" s="13" t="s">
        <v>327</v>
      </c>
      <c r="H203" s="13" t="s">
        <v>546</v>
      </c>
      <c r="I203" s="14" t="s">
        <v>328</v>
      </c>
      <c r="J203" s="13" t="s">
        <v>329</v>
      </c>
      <c r="K203" s="9">
        <v>46290</v>
      </c>
      <c r="L203" s="13" t="s">
        <v>330</v>
      </c>
    </row>
    <row r="204" spans="1:12" ht="29.15" x14ac:dyDescent="0.4">
      <c r="A204" s="13" t="s">
        <v>331</v>
      </c>
      <c r="B204" s="13" t="s">
        <v>600</v>
      </c>
      <c r="C204" s="13" t="s">
        <v>565</v>
      </c>
      <c r="D204" s="14" t="s">
        <v>566</v>
      </c>
      <c r="E204" s="13" t="s">
        <v>114</v>
      </c>
      <c r="F204" s="13" t="s">
        <v>567</v>
      </c>
      <c r="G204" s="13" t="s">
        <v>327</v>
      </c>
      <c r="H204" s="13" t="s">
        <v>567</v>
      </c>
      <c r="I204" s="14" t="s">
        <v>328</v>
      </c>
      <c r="J204" s="13" t="s">
        <v>329</v>
      </c>
      <c r="K204" s="9">
        <v>46290</v>
      </c>
      <c r="L204" s="13" t="s">
        <v>330</v>
      </c>
    </row>
    <row r="205" spans="1:12" ht="29.15" x14ac:dyDescent="0.4">
      <c r="A205" s="13" t="s">
        <v>331</v>
      </c>
      <c r="B205" s="13" t="s">
        <v>600</v>
      </c>
      <c r="C205" s="13" t="s">
        <v>565</v>
      </c>
      <c r="D205" s="14" t="s">
        <v>566</v>
      </c>
      <c r="E205" s="13" t="s">
        <v>115</v>
      </c>
      <c r="F205" s="13" t="s">
        <v>540</v>
      </c>
      <c r="G205" s="13" t="s">
        <v>327</v>
      </c>
      <c r="H205" s="13" t="s">
        <v>540</v>
      </c>
      <c r="I205" s="14" t="s">
        <v>328</v>
      </c>
      <c r="J205" s="13" t="s">
        <v>329</v>
      </c>
      <c r="K205" s="9">
        <v>46290</v>
      </c>
      <c r="L205" s="13" t="s">
        <v>330</v>
      </c>
    </row>
    <row r="206" spans="1:12" ht="29.15" x14ac:dyDescent="0.4">
      <c r="A206" s="13" t="s">
        <v>331</v>
      </c>
      <c r="B206" s="13" t="s">
        <v>600</v>
      </c>
      <c r="C206" s="13" t="s">
        <v>570</v>
      </c>
      <c r="D206" s="14" t="s">
        <v>571</v>
      </c>
      <c r="E206" s="13" t="s">
        <v>114</v>
      </c>
      <c r="F206" s="13" t="s">
        <v>572</v>
      </c>
      <c r="G206" s="13" t="s">
        <v>327</v>
      </c>
      <c r="H206" s="13" t="s">
        <v>572</v>
      </c>
      <c r="I206" s="14" t="s">
        <v>328</v>
      </c>
      <c r="J206" s="13" t="s">
        <v>329</v>
      </c>
      <c r="K206" s="9">
        <v>46290</v>
      </c>
      <c r="L206" s="13" t="s">
        <v>330</v>
      </c>
    </row>
    <row r="207" spans="1:12" ht="29.15" x14ac:dyDescent="0.4">
      <c r="A207" s="13" t="s">
        <v>331</v>
      </c>
      <c r="B207" s="13" t="s">
        <v>600</v>
      </c>
      <c r="C207" s="13" t="s">
        <v>570</v>
      </c>
      <c r="D207" s="14" t="s">
        <v>571</v>
      </c>
      <c r="E207" s="13" t="s">
        <v>115</v>
      </c>
      <c r="F207" s="13" t="s">
        <v>546</v>
      </c>
      <c r="G207" s="13" t="s">
        <v>327</v>
      </c>
      <c r="H207" s="13" t="s">
        <v>546</v>
      </c>
      <c r="I207" s="14" t="s">
        <v>328</v>
      </c>
      <c r="J207" s="13" t="s">
        <v>329</v>
      </c>
      <c r="K207" s="9">
        <v>46290</v>
      </c>
      <c r="L207" s="13" t="s">
        <v>330</v>
      </c>
    </row>
    <row r="208" spans="1:12" ht="29.15" x14ac:dyDescent="0.4">
      <c r="A208" s="13" t="s">
        <v>331</v>
      </c>
      <c r="B208" s="13" t="s">
        <v>600</v>
      </c>
      <c r="C208" s="13" t="s">
        <v>575</v>
      </c>
      <c r="D208" s="14" t="s">
        <v>576</v>
      </c>
      <c r="E208" s="13" t="s">
        <v>114</v>
      </c>
      <c r="F208" s="13" t="s">
        <v>577</v>
      </c>
      <c r="G208" s="13" t="s">
        <v>327</v>
      </c>
      <c r="H208" s="13" t="s">
        <v>577</v>
      </c>
      <c r="I208" s="14" t="s">
        <v>328</v>
      </c>
      <c r="J208" s="13" t="s">
        <v>329</v>
      </c>
      <c r="K208" s="9">
        <v>46290</v>
      </c>
      <c r="L208" s="13" t="s">
        <v>330</v>
      </c>
    </row>
    <row r="209" spans="1:12" ht="29.15" x14ac:dyDescent="0.4">
      <c r="A209" s="13" t="s">
        <v>331</v>
      </c>
      <c r="B209" s="13" t="s">
        <v>600</v>
      </c>
      <c r="C209" s="13" t="s">
        <v>575</v>
      </c>
      <c r="D209" s="14" t="s">
        <v>576</v>
      </c>
      <c r="E209" s="13" t="s">
        <v>115</v>
      </c>
      <c r="F209" s="13" t="s">
        <v>546</v>
      </c>
      <c r="G209" s="13" t="s">
        <v>327</v>
      </c>
      <c r="H209" s="13" t="s">
        <v>546</v>
      </c>
      <c r="I209" s="14" t="s">
        <v>328</v>
      </c>
      <c r="J209" s="13" t="s">
        <v>329</v>
      </c>
      <c r="K209" s="9">
        <v>46290</v>
      </c>
      <c r="L209" s="13" t="s">
        <v>330</v>
      </c>
    </row>
    <row r="210" spans="1:12" ht="29.15" x14ac:dyDescent="0.4">
      <c r="A210" s="13" t="s">
        <v>331</v>
      </c>
      <c r="B210" s="13" t="s">
        <v>600</v>
      </c>
      <c r="C210" s="13" t="s">
        <v>579</v>
      </c>
      <c r="D210" s="14" t="s">
        <v>580</v>
      </c>
      <c r="E210" s="13" t="s">
        <v>114</v>
      </c>
      <c r="F210" s="13" t="s">
        <v>550</v>
      </c>
      <c r="G210" s="13" t="s">
        <v>327</v>
      </c>
      <c r="H210" s="13" t="s">
        <v>550</v>
      </c>
      <c r="I210" s="14" t="s">
        <v>328</v>
      </c>
      <c r="J210" s="13" t="s">
        <v>329</v>
      </c>
      <c r="K210" s="9">
        <v>46290</v>
      </c>
      <c r="L210" s="13" t="s">
        <v>330</v>
      </c>
    </row>
    <row r="211" spans="1:12" ht="29.15" x14ac:dyDescent="0.4">
      <c r="A211" s="13" t="s">
        <v>331</v>
      </c>
      <c r="B211" s="13" t="s">
        <v>600</v>
      </c>
      <c r="C211" s="13" t="s">
        <v>579</v>
      </c>
      <c r="D211" s="14" t="s">
        <v>580</v>
      </c>
      <c r="E211" s="13" t="s">
        <v>115</v>
      </c>
      <c r="F211" s="13" t="s">
        <v>546</v>
      </c>
      <c r="G211" s="13" t="s">
        <v>327</v>
      </c>
      <c r="H211" s="13" t="s">
        <v>546</v>
      </c>
      <c r="I211" s="14" t="s">
        <v>328</v>
      </c>
      <c r="J211" s="13" t="s">
        <v>329</v>
      </c>
      <c r="K211" s="9">
        <v>46290</v>
      </c>
      <c r="L211" s="13" t="s">
        <v>330</v>
      </c>
    </row>
    <row r="212" spans="1:12" ht="29.15" x14ac:dyDescent="0.4">
      <c r="A212" s="13" t="s">
        <v>331</v>
      </c>
      <c r="B212" s="13" t="s">
        <v>600</v>
      </c>
      <c r="C212" s="13" t="s">
        <v>582</v>
      </c>
      <c r="D212" s="14" t="s">
        <v>583</v>
      </c>
      <c r="E212" s="13" t="s">
        <v>114</v>
      </c>
      <c r="F212" s="13" t="s">
        <v>577</v>
      </c>
      <c r="G212" s="13" t="s">
        <v>327</v>
      </c>
      <c r="H212" s="13" t="s">
        <v>577</v>
      </c>
      <c r="I212" s="14" t="s">
        <v>328</v>
      </c>
      <c r="J212" s="13" t="s">
        <v>329</v>
      </c>
      <c r="K212" s="9">
        <v>46290</v>
      </c>
      <c r="L212" s="13" t="s">
        <v>330</v>
      </c>
    </row>
    <row r="213" spans="1:12" ht="29.15" x14ac:dyDescent="0.4">
      <c r="A213" s="13" t="s">
        <v>331</v>
      </c>
      <c r="B213" s="13" t="s">
        <v>600</v>
      </c>
      <c r="C213" s="13" t="s">
        <v>582</v>
      </c>
      <c r="D213" s="14" t="s">
        <v>583</v>
      </c>
      <c r="E213" s="13" t="s">
        <v>115</v>
      </c>
      <c r="F213" s="13" t="s">
        <v>540</v>
      </c>
      <c r="G213" s="13" t="s">
        <v>327</v>
      </c>
      <c r="H213" s="13" t="s">
        <v>540</v>
      </c>
      <c r="I213" s="14" t="s">
        <v>328</v>
      </c>
      <c r="J213" s="13" t="s">
        <v>329</v>
      </c>
      <c r="K213" s="9">
        <v>46290</v>
      </c>
      <c r="L213" s="13" t="s">
        <v>330</v>
      </c>
    </row>
    <row r="214" spans="1:12" ht="29.15" x14ac:dyDescent="0.4">
      <c r="A214" s="13" t="s">
        <v>331</v>
      </c>
      <c r="B214" s="13" t="s">
        <v>600</v>
      </c>
      <c r="C214" s="13" t="s">
        <v>585</v>
      </c>
      <c r="D214" s="14" t="s">
        <v>586</v>
      </c>
      <c r="E214" s="13" t="s">
        <v>114</v>
      </c>
      <c r="F214" s="13" t="s">
        <v>559</v>
      </c>
      <c r="G214" s="13" t="s">
        <v>327</v>
      </c>
      <c r="H214" s="13" t="s">
        <v>559</v>
      </c>
      <c r="I214" s="14" t="s">
        <v>328</v>
      </c>
      <c r="J214" s="13" t="s">
        <v>329</v>
      </c>
      <c r="K214" s="9">
        <v>46290</v>
      </c>
      <c r="L214" s="13" t="s">
        <v>330</v>
      </c>
    </row>
    <row r="215" spans="1:12" ht="29.15" x14ac:dyDescent="0.4">
      <c r="A215" s="13" t="s">
        <v>331</v>
      </c>
      <c r="B215" s="13" t="s">
        <v>600</v>
      </c>
      <c r="C215" s="13" t="s">
        <v>585</v>
      </c>
      <c r="D215" s="14" t="s">
        <v>586</v>
      </c>
      <c r="E215" s="13" t="s">
        <v>115</v>
      </c>
      <c r="F215" s="13" t="s">
        <v>555</v>
      </c>
      <c r="G215" s="13" t="s">
        <v>327</v>
      </c>
      <c r="H215" s="13" t="s">
        <v>555</v>
      </c>
      <c r="I215" s="14" t="s">
        <v>328</v>
      </c>
      <c r="J215" s="13" t="s">
        <v>329</v>
      </c>
      <c r="K215" s="9">
        <v>46290</v>
      </c>
      <c r="L215" s="13" t="s">
        <v>330</v>
      </c>
    </row>
    <row r="216" spans="1:12" ht="29.15" x14ac:dyDescent="0.4">
      <c r="A216" s="13" t="s">
        <v>331</v>
      </c>
      <c r="B216" s="13" t="s">
        <v>600</v>
      </c>
      <c r="C216" s="13" t="s">
        <v>588</v>
      </c>
      <c r="D216" s="14" t="s">
        <v>589</v>
      </c>
      <c r="E216" s="13" t="s">
        <v>114</v>
      </c>
      <c r="F216" s="13" t="s">
        <v>590</v>
      </c>
      <c r="G216" s="13" t="s">
        <v>327</v>
      </c>
      <c r="H216" s="13" t="s">
        <v>590</v>
      </c>
      <c r="I216" s="14" t="s">
        <v>328</v>
      </c>
      <c r="J216" s="13" t="s">
        <v>329</v>
      </c>
      <c r="K216" s="9">
        <v>46290</v>
      </c>
      <c r="L216" s="13" t="s">
        <v>330</v>
      </c>
    </row>
    <row r="217" spans="1:12" ht="29.15" x14ac:dyDescent="0.4">
      <c r="A217" s="13" t="s">
        <v>331</v>
      </c>
      <c r="B217" s="13" t="s">
        <v>600</v>
      </c>
      <c r="C217" s="13" t="s">
        <v>588</v>
      </c>
      <c r="D217" s="14" t="s">
        <v>589</v>
      </c>
      <c r="E217" s="13" t="s">
        <v>115</v>
      </c>
      <c r="F217" s="13" t="s">
        <v>540</v>
      </c>
      <c r="G217" s="13" t="s">
        <v>327</v>
      </c>
      <c r="H217" s="13" t="s">
        <v>540</v>
      </c>
      <c r="I217" s="14" t="s">
        <v>328</v>
      </c>
      <c r="J217" s="13" t="s">
        <v>329</v>
      </c>
      <c r="K217" s="9">
        <v>46290</v>
      </c>
      <c r="L217" s="13" t="s">
        <v>330</v>
      </c>
    </row>
    <row r="218" spans="1:12" ht="29.15" x14ac:dyDescent="0.4">
      <c r="A218" s="13" t="s">
        <v>331</v>
      </c>
      <c r="B218" s="13" t="s">
        <v>600</v>
      </c>
      <c r="C218" s="13" t="s">
        <v>593</v>
      </c>
      <c r="D218" s="14" t="s">
        <v>594</v>
      </c>
      <c r="E218" s="13" t="s">
        <v>114</v>
      </c>
      <c r="F218" s="13" t="s">
        <v>595</v>
      </c>
      <c r="G218" s="13" t="s">
        <v>327</v>
      </c>
      <c r="H218" s="13" t="s">
        <v>595</v>
      </c>
      <c r="I218" s="14" t="s">
        <v>328</v>
      </c>
      <c r="J218" s="13" t="s">
        <v>329</v>
      </c>
      <c r="K218" s="9">
        <v>46290</v>
      </c>
      <c r="L218" s="13" t="s">
        <v>330</v>
      </c>
    </row>
    <row r="219" spans="1:12" ht="29.15" x14ac:dyDescent="0.4">
      <c r="A219" s="13" t="s">
        <v>331</v>
      </c>
      <c r="B219" s="13" t="s">
        <v>600</v>
      </c>
      <c r="C219" s="13" t="s">
        <v>593</v>
      </c>
      <c r="D219" s="14" t="s">
        <v>594</v>
      </c>
      <c r="E219" s="13" t="s">
        <v>115</v>
      </c>
      <c r="F219" s="13" t="s">
        <v>555</v>
      </c>
      <c r="G219" s="13" t="s">
        <v>327</v>
      </c>
      <c r="H219" s="13" t="s">
        <v>555</v>
      </c>
      <c r="I219" s="14" t="s">
        <v>328</v>
      </c>
      <c r="J219" s="13" t="s">
        <v>329</v>
      </c>
      <c r="K219" s="9">
        <v>46290</v>
      </c>
      <c r="L219" s="13" t="s">
        <v>330</v>
      </c>
    </row>
    <row r="220" spans="1:12" ht="29.15" x14ac:dyDescent="0.4">
      <c r="A220" s="13" t="s">
        <v>331</v>
      </c>
      <c r="B220" s="13" t="s">
        <v>600</v>
      </c>
      <c r="C220" s="13" t="s">
        <v>597</v>
      </c>
      <c r="D220" s="14" t="s">
        <v>598</v>
      </c>
      <c r="E220" s="13" t="s">
        <v>114</v>
      </c>
      <c r="F220" s="13" t="s">
        <v>567</v>
      </c>
      <c r="G220" s="13" t="s">
        <v>327</v>
      </c>
      <c r="H220" s="13" t="s">
        <v>567</v>
      </c>
      <c r="I220" s="14" t="s">
        <v>328</v>
      </c>
      <c r="J220" s="13" t="s">
        <v>329</v>
      </c>
      <c r="K220" s="9">
        <v>46290</v>
      </c>
      <c r="L220" s="13" t="s">
        <v>330</v>
      </c>
    </row>
    <row r="221" spans="1:12" ht="29.15" x14ac:dyDescent="0.4">
      <c r="A221" s="13" t="s">
        <v>331</v>
      </c>
      <c r="B221" s="13" t="s">
        <v>600</v>
      </c>
      <c r="C221" s="13" t="s">
        <v>597</v>
      </c>
      <c r="D221" s="14" t="s">
        <v>598</v>
      </c>
      <c r="E221" s="13" t="s">
        <v>115</v>
      </c>
      <c r="F221" s="13" t="s">
        <v>540</v>
      </c>
      <c r="G221" s="13" t="s">
        <v>327</v>
      </c>
      <c r="H221" s="13" t="s">
        <v>540</v>
      </c>
      <c r="I221" s="14" t="s">
        <v>328</v>
      </c>
      <c r="J221" s="13" t="s">
        <v>329</v>
      </c>
      <c r="K221" s="9">
        <v>46290</v>
      </c>
      <c r="L221" s="13" t="s">
        <v>330</v>
      </c>
    </row>
  </sheetData>
  <conditionalFormatting sqref="G2:G19996">
    <cfRule type="expression" dxfId="23" priority="2">
      <formula>G2="Rettificato"</formula>
    </cfRule>
    <cfRule type="expression" dxfId="22" priority="3">
      <formula>G2="Respinto"</formula>
    </cfRule>
  </conditionalFormatting>
  <conditionalFormatting sqref="L2:L19996">
    <cfRule type="expression" dxfId="21" priority="1">
      <formula>L2="Da decidere"</formula>
    </cfRule>
  </conditionalFormatting>
  <dataValidations count="1">
    <dataValidation type="list" allowBlank="1" sqref="G2:G19996" xr:uid="{00000000-0002-0000-0300-000000000000}">
      <formula1>"Accettato,Rettificato,Respinto"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"/>
  <sheetViews>
    <sheetView workbookViewId="0"/>
  </sheetViews>
  <sheetFormatPr defaultRowHeight="14.6" x14ac:dyDescent="0.4"/>
  <cols>
    <col min="1" max="1" width="38" customWidth="1"/>
    <col min="2" max="2" width="14" customWidth="1"/>
    <col min="3" max="3" width="26" customWidth="1"/>
    <col min="5" max="5" width="10" customWidth="1"/>
    <col min="6" max="6" width="50" customWidth="1"/>
    <col min="8" max="8" width="10" customWidth="1"/>
    <col min="9" max="9" width="50" customWidth="1"/>
    <col min="10" max="10" width="10" customWidth="1"/>
    <col min="11" max="11" width="18" customWidth="1"/>
    <col min="12" max="12" width="34" customWidth="1"/>
  </cols>
  <sheetData>
    <row r="1" spans="1:12" ht="18.45" x14ac:dyDescent="0.5">
      <c r="A1" s="1" t="s">
        <v>118</v>
      </c>
    </row>
    <row r="2" spans="1:12" x14ac:dyDescent="0.4">
      <c r="A2" s="3" t="s">
        <v>119</v>
      </c>
      <c r="H2" s="2" t="s">
        <v>120</v>
      </c>
    </row>
    <row r="3" spans="1:12" x14ac:dyDescent="0.4">
      <c r="A3" s="2" t="s">
        <v>121</v>
      </c>
      <c r="E3" s="2" t="s">
        <v>122</v>
      </c>
      <c r="H3" s="2" t="s">
        <v>13</v>
      </c>
      <c r="I3" s="2" t="s">
        <v>14</v>
      </c>
      <c r="J3" s="2" t="s">
        <v>123</v>
      </c>
      <c r="K3" s="2" t="s">
        <v>124</v>
      </c>
      <c r="L3" s="2" t="s">
        <v>114</v>
      </c>
    </row>
    <row r="4" spans="1:12" x14ac:dyDescent="0.4">
      <c r="A4" t="s">
        <v>15</v>
      </c>
      <c r="B4" s="6">
        <v>0.4</v>
      </c>
      <c r="E4" t="s">
        <v>76</v>
      </c>
      <c r="F4" t="s">
        <v>125</v>
      </c>
      <c r="H4" s="13" t="s">
        <v>96</v>
      </c>
      <c r="I4" s="13" t="s">
        <v>478</v>
      </c>
      <c r="J4" s="13" t="s">
        <v>77</v>
      </c>
      <c r="K4" s="13" t="s">
        <v>479</v>
      </c>
      <c r="L4" s="13" t="s">
        <v>480</v>
      </c>
    </row>
    <row r="5" spans="1:12" x14ac:dyDescent="0.4">
      <c r="A5" t="s">
        <v>16</v>
      </c>
      <c r="B5" s="6">
        <v>0.2</v>
      </c>
      <c r="E5" t="s">
        <v>77</v>
      </c>
      <c r="F5" t="s">
        <v>126</v>
      </c>
      <c r="H5" s="13" t="s">
        <v>348</v>
      </c>
      <c r="I5" s="13" t="s">
        <v>481</v>
      </c>
      <c r="J5" s="13" t="s">
        <v>81</v>
      </c>
      <c r="K5" s="13" t="s">
        <v>482</v>
      </c>
      <c r="L5" s="13" t="s">
        <v>480</v>
      </c>
    </row>
    <row r="6" spans="1:12" x14ac:dyDescent="0.4">
      <c r="A6" t="s">
        <v>17</v>
      </c>
      <c r="B6" s="6">
        <v>0.2</v>
      </c>
      <c r="E6" t="s">
        <v>78</v>
      </c>
      <c r="F6" t="s">
        <v>127</v>
      </c>
      <c r="H6" s="13" t="s">
        <v>362</v>
      </c>
      <c r="I6" s="13" t="s">
        <v>483</v>
      </c>
      <c r="J6" s="13" t="s">
        <v>79</v>
      </c>
      <c r="K6" s="13" t="s">
        <v>484</v>
      </c>
      <c r="L6" s="13" t="s">
        <v>480</v>
      </c>
    </row>
    <row r="7" spans="1:12" x14ac:dyDescent="0.4">
      <c r="A7" t="s">
        <v>18</v>
      </c>
      <c r="B7" s="6">
        <v>0.2</v>
      </c>
      <c r="E7" t="s">
        <v>79</v>
      </c>
      <c r="F7" t="s">
        <v>128</v>
      </c>
      <c r="H7" s="13" t="s">
        <v>376</v>
      </c>
      <c r="I7" s="13" t="s">
        <v>485</v>
      </c>
      <c r="J7" s="13" t="s">
        <v>80</v>
      </c>
      <c r="K7" s="13" t="s">
        <v>129</v>
      </c>
      <c r="L7" s="13" t="s">
        <v>480</v>
      </c>
    </row>
    <row r="8" spans="1:12" x14ac:dyDescent="0.4">
      <c r="A8" t="s">
        <v>130</v>
      </c>
      <c r="B8">
        <f>SUM(B4:B7)</f>
        <v>1</v>
      </c>
      <c r="C8" t="str">
        <f>IF(ROUND(B8,6)=1,"OK","I PESI NON SOMMANO A 1")</f>
        <v>OK</v>
      </c>
      <c r="E8" t="s">
        <v>80</v>
      </c>
      <c r="F8" t="s">
        <v>131</v>
      </c>
      <c r="H8" s="13" t="s">
        <v>390</v>
      </c>
      <c r="I8" s="13" t="s">
        <v>486</v>
      </c>
      <c r="J8" s="13" t="s">
        <v>82</v>
      </c>
      <c r="K8" s="13" t="s">
        <v>132</v>
      </c>
      <c r="L8" s="13" t="s">
        <v>480</v>
      </c>
    </row>
    <row r="9" spans="1:12" x14ac:dyDescent="0.4">
      <c r="E9" t="s">
        <v>81</v>
      </c>
      <c r="F9" t="s">
        <v>133</v>
      </c>
      <c r="H9" s="13" t="s">
        <v>403</v>
      </c>
      <c r="I9" s="13" t="s">
        <v>487</v>
      </c>
      <c r="J9" s="13" t="s">
        <v>76</v>
      </c>
      <c r="K9" s="13" t="s">
        <v>488</v>
      </c>
      <c r="L9" s="13" t="s">
        <v>480</v>
      </c>
    </row>
    <row r="10" spans="1:12" x14ac:dyDescent="0.4">
      <c r="A10" s="2" t="s">
        <v>134</v>
      </c>
      <c r="E10" t="s">
        <v>82</v>
      </c>
      <c r="F10" t="s">
        <v>135</v>
      </c>
      <c r="H10" s="13" t="s">
        <v>417</v>
      </c>
      <c r="I10" s="13" t="s">
        <v>489</v>
      </c>
      <c r="J10" s="13" t="s">
        <v>81</v>
      </c>
      <c r="K10" s="13" t="s">
        <v>490</v>
      </c>
      <c r="L10" s="13" t="s">
        <v>480</v>
      </c>
    </row>
    <row r="11" spans="1:12" x14ac:dyDescent="0.4">
      <c r="A11" t="s">
        <v>136</v>
      </c>
      <c r="B11" s="7">
        <v>3</v>
      </c>
      <c r="H11" s="13" t="s">
        <v>426</v>
      </c>
      <c r="I11" s="13" t="s">
        <v>491</v>
      </c>
      <c r="J11" s="13" t="s">
        <v>76</v>
      </c>
      <c r="K11" s="13" t="s">
        <v>492</v>
      </c>
      <c r="L11" s="13" t="s">
        <v>480</v>
      </c>
    </row>
    <row r="12" spans="1:12" x14ac:dyDescent="0.4">
      <c r="A12" t="s">
        <v>137</v>
      </c>
      <c r="B12" s="6">
        <v>0.4</v>
      </c>
      <c r="E12" s="2" t="s">
        <v>138</v>
      </c>
      <c r="H12" s="13" t="s">
        <v>436</v>
      </c>
      <c r="I12" s="13" t="s">
        <v>493</v>
      </c>
      <c r="J12" s="13" t="s">
        <v>79</v>
      </c>
      <c r="K12" s="13" t="s">
        <v>139</v>
      </c>
      <c r="L12" s="13" t="s">
        <v>480</v>
      </c>
    </row>
    <row r="13" spans="1:12" x14ac:dyDescent="0.4">
      <c r="E13" t="s">
        <v>140</v>
      </c>
      <c r="F13" t="s">
        <v>141</v>
      </c>
      <c r="H13" s="13" t="s">
        <v>447</v>
      </c>
      <c r="I13" s="13" t="s">
        <v>494</v>
      </c>
      <c r="J13" s="13" t="s">
        <v>79</v>
      </c>
      <c r="K13" s="13" t="s">
        <v>495</v>
      </c>
      <c r="L13" s="13" t="s">
        <v>480</v>
      </c>
    </row>
    <row r="14" spans="1:12" x14ac:dyDescent="0.4">
      <c r="A14" s="2" t="s">
        <v>142</v>
      </c>
      <c r="E14" t="s">
        <v>143</v>
      </c>
      <c r="F14" t="s">
        <v>144</v>
      </c>
      <c r="H14" s="13" t="s">
        <v>457</v>
      </c>
      <c r="I14" s="13" t="s">
        <v>496</v>
      </c>
      <c r="J14" s="13" t="s">
        <v>81</v>
      </c>
      <c r="K14" s="13" t="s">
        <v>132</v>
      </c>
      <c r="L14" s="13" t="s">
        <v>480</v>
      </c>
    </row>
    <row r="15" spans="1:12" x14ac:dyDescent="0.4">
      <c r="A15" t="s">
        <v>145</v>
      </c>
      <c r="B15" s="12" t="s">
        <v>331</v>
      </c>
      <c r="E15" t="s">
        <v>146</v>
      </c>
      <c r="F15" t="s">
        <v>147</v>
      </c>
      <c r="H15" s="13" t="s">
        <v>468</v>
      </c>
      <c r="I15" s="13" t="s">
        <v>497</v>
      </c>
      <c r="J15" s="13" t="s">
        <v>82</v>
      </c>
      <c r="K15" s="13" t="s">
        <v>132</v>
      </c>
      <c r="L15" s="13" t="s">
        <v>480</v>
      </c>
    </row>
    <row r="16" spans="1:12" x14ac:dyDescent="0.4">
      <c r="A16" t="s">
        <v>148</v>
      </c>
      <c r="B16" t="str">
        <f>IF(B15="","",IF(RIGHT(B15,1)="1",(LEFT(B15,4)-1)&amp;"Q4",LEFT(B15,5)&amp;(RIGHT(B15,1)-1)))</f>
        <v>2026Q2</v>
      </c>
      <c r="E16" t="s">
        <v>129</v>
      </c>
      <c r="F16" t="s">
        <v>149</v>
      </c>
    </row>
    <row r="17" spans="1:6" x14ac:dyDescent="0.4">
      <c r="A17" t="s">
        <v>4</v>
      </c>
      <c r="B17" t="str">
        <f>IF(B16="","",IF(RIGHT(B16,1)="1",(LEFT(B16,4)-1)&amp;"Q4",LEFT(B16,5)&amp;(RIGHT(B16,1)-1)))</f>
        <v>2026Q1</v>
      </c>
      <c r="E17" t="s">
        <v>150</v>
      </c>
      <c r="F17" t="s">
        <v>151</v>
      </c>
    </row>
    <row r="18" spans="1:6" x14ac:dyDescent="0.4">
      <c r="E18" t="s">
        <v>139</v>
      </c>
      <c r="F18" t="s">
        <v>152</v>
      </c>
    </row>
    <row r="19" spans="1:6" x14ac:dyDescent="0.4">
      <c r="A19" s="2" t="s">
        <v>153</v>
      </c>
      <c r="E19" t="s">
        <v>132</v>
      </c>
      <c r="F19" t="s">
        <v>154</v>
      </c>
    </row>
    <row r="20" spans="1:6" x14ac:dyDescent="0.4">
      <c r="A20" t="s">
        <v>155</v>
      </c>
      <c r="B20" t="str">
        <f t="shared" ref="B20:B26" si="0">IF(B21="","",IF(RIGHT(B21,1)="1",(LEFT(B21,4)-1)&amp;"Q4",LEFT(B21,5)&amp;(RIGHT(B21,1)-1)))</f>
        <v>2024Q4</v>
      </c>
      <c r="E20" t="s">
        <v>156</v>
      </c>
      <c r="F20" t="s">
        <v>157</v>
      </c>
    </row>
    <row r="21" spans="1:6" x14ac:dyDescent="0.4">
      <c r="A21" t="s">
        <v>158</v>
      </c>
      <c r="B21" t="str">
        <f t="shared" si="0"/>
        <v>2025Q1</v>
      </c>
    </row>
    <row r="22" spans="1:6" x14ac:dyDescent="0.4">
      <c r="A22" t="s">
        <v>159</v>
      </c>
      <c r="B22" t="str">
        <f t="shared" si="0"/>
        <v>2025Q2</v>
      </c>
    </row>
    <row r="23" spans="1:6" x14ac:dyDescent="0.4">
      <c r="A23" t="s">
        <v>160</v>
      </c>
      <c r="B23" t="str">
        <f t="shared" si="0"/>
        <v>2025Q3</v>
      </c>
    </row>
    <row r="24" spans="1:6" x14ac:dyDescent="0.4">
      <c r="A24" t="s">
        <v>161</v>
      </c>
      <c r="B24" t="str">
        <f t="shared" si="0"/>
        <v>2025Q4</v>
      </c>
    </row>
    <row r="25" spans="1:6" x14ac:dyDescent="0.4">
      <c r="A25" t="s">
        <v>162</v>
      </c>
      <c r="B25" t="str">
        <f t="shared" si="0"/>
        <v>2026Q1</v>
      </c>
    </row>
    <row r="26" spans="1:6" x14ac:dyDescent="0.4">
      <c r="A26" t="s">
        <v>163</v>
      </c>
      <c r="B26" t="str">
        <f t="shared" si="0"/>
        <v>2026Q2</v>
      </c>
    </row>
    <row r="27" spans="1:6" x14ac:dyDescent="0.4">
      <c r="A27" t="s">
        <v>164</v>
      </c>
      <c r="B27" t="str">
        <f>cicloCorrente</f>
        <v>2026Q3</v>
      </c>
    </row>
    <row r="29" spans="1:6" x14ac:dyDescent="0.4">
      <c r="A29" s="2" t="s">
        <v>165</v>
      </c>
    </row>
    <row r="30" spans="1:6" x14ac:dyDescent="0.4">
      <c r="A30" t="s">
        <v>166</v>
      </c>
      <c r="B30" s="8">
        <v>46307</v>
      </c>
    </row>
    <row r="31" spans="1:6" x14ac:dyDescent="0.4">
      <c r="A31" t="s">
        <v>167</v>
      </c>
      <c r="B31" s="9">
        <f>settimanaCorrente-21</f>
        <v>46286</v>
      </c>
    </row>
    <row r="33" spans="1:2" x14ac:dyDescent="0.4">
      <c r="A33" s="2" t="s">
        <v>168</v>
      </c>
    </row>
    <row r="34" spans="1:2" x14ac:dyDescent="0.4">
      <c r="B34" s="9">
        <f>settimanaCorrente-7*11</f>
        <v>46230</v>
      </c>
    </row>
    <row r="35" spans="1:2" x14ac:dyDescent="0.4">
      <c r="B35" s="9">
        <f>settimanaCorrente-7*10</f>
        <v>46237</v>
      </c>
    </row>
    <row r="36" spans="1:2" x14ac:dyDescent="0.4">
      <c r="B36" s="9">
        <f>settimanaCorrente-7*9</f>
        <v>46244</v>
      </c>
    </row>
    <row r="37" spans="1:2" x14ac:dyDescent="0.4">
      <c r="B37" s="9">
        <f>settimanaCorrente-7*8</f>
        <v>46251</v>
      </c>
    </row>
    <row r="38" spans="1:2" x14ac:dyDescent="0.4">
      <c r="B38" s="9">
        <f>settimanaCorrente-7*7</f>
        <v>46258</v>
      </c>
    </row>
    <row r="39" spans="1:2" x14ac:dyDescent="0.4">
      <c r="B39" s="9">
        <f>settimanaCorrente-7*6</f>
        <v>46265</v>
      </c>
    </row>
    <row r="40" spans="1:2" x14ac:dyDescent="0.4">
      <c r="B40" s="9">
        <f>settimanaCorrente-7*5</f>
        <v>46272</v>
      </c>
    </row>
    <row r="41" spans="1:2" x14ac:dyDescent="0.4">
      <c r="B41" s="9">
        <f>settimanaCorrente-7*4</f>
        <v>46279</v>
      </c>
    </row>
    <row r="42" spans="1:2" x14ac:dyDescent="0.4">
      <c r="B42" s="9">
        <f>settimanaCorrente-7*3</f>
        <v>46286</v>
      </c>
    </row>
    <row r="43" spans="1:2" x14ac:dyDescent="0.4">
      <c r="B43" s="9">
        <f>settimanaCorrente-7*2</f>
        <v>46293</v>
      </c>
    </row>
    <row r="44" spans="1:2" x14ac:dyDescent="0.4">
      <c r="B44" s="9">
        <f>settimanaCorrente-7*1</f>
        <v>46300</v>
      </c>
    </row>
    <row r="45" spans="1:2" x14ac:dyDescent="0.4">
      <c r="B45" s="9">
        <f>settimanaCorrente-7*0</f>
        <v>46307</v>
      </c>
    </row>
    <row r="47" spans="1:2" x14ac:dyDescent="0.4">
      <c r="A47" s="2" t="s">
        <v>169</v>
      </c>
    </row>
    <row r="48" spans="1:2" x14ac:dyDescent="0.4">
      <c r="A48" t="s">
        <v>170</v>
      </c>
      <c r="B48" s="7">
        <v>0.25</v>
      </c>
    </row>
    <row r="49" spans="1:2" x14ac:dyDescent="0.4">
      <c r="A49" t="s">
        <v>171</v>
      </c>
      <c r="B49" s="7">
        <v>1</v>
      </c>
    </row>
    <row r="50" spans="1:2" x14ac:dyDescent="0.4">
      <c r="A50" s="2" t="s">
        <v>172</v>
      </c>
    </row>
    <row r="51" spans="1:2" x14ac:dyDescent="0.4">
      <c r="A51" t="s">
        <v>173</v>
      </c>
      <c r="B51" s="7">
        <v>4</v>
      </c>
    </row>
    <row r="52" spans="1:2" x14ac:dyDescent="0.4">
      <c r="A52" t="s">
        <v>174</v>
      </c>
      <c r="B52" s="7">
        <v>2.5</v>
      </c>
    </row>
    <row r="53" spans="1:2" x14ac:dyDescent="0.4">
      <c r="A53" t="s">
        <v>175</v>
      </c>
      <c r="B53" s="7">
        <v>1.5</v>
      </c>
    </row>
    <row r="54" spans="1:2" x14ac:dyDescent="0.4">
      <c r="A54" t="s">
        <v>176</v>
      </c>
      <c r="B54" s="7">
        <v>0.5</v>
      </c>
    </row>
    <row r="55" spans="1:2" x14ac:dyDescent="0.4">
      <c r="A55" t="s">
        <v>177</v>
      </c>
      <c r="B55" s="7">
        <v>0</v>
      </c>
    </row>
  </sheetData>
  <dataValidations count="1">
    <dataValidation type="list" allowBlank="1" sqref="J4:J18" xr:uid="{00000000-0002-0000-0400-000000000000}">
      <formula1>codiciL1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4" width="15" customWidth="1"/>
    <col min="15" max="15" width="50" customWidth="1"/>
    <col min="16" max="16" width="60" customWidth="1"/>
    <col min="17" max="18" width="40" customWidth="1"/>
    <col min="19" max="24" width="15" customWidth="1"/>
    <col min="26" max="26" width="70" customWidth="1"/>
  </cols>
  <sheetData>
    <row r="1" spans="1:26" x14ac:dyDescent="0.4">
      <c r="A1" s="2" t="s">
        <v>178</v>
      </c>
      <c r="B1" s="2" t="s">
        <v>179</v>
      </c>
      <c r="C1" s="2" t="s">
        <v>180</v>
      </c>
      <c r="D1" s="2" t="s">
        <v>14</v>
      </c>
      <c r="E1" s="2" t="s">
        <v>123</v>
      </c>
      <c r="F1" s="2" t="s">
        <v>124</v>
      </c>
      <c r="G1" s="2" t="s">
        <v>15</v>
      </c>
      <c r="H1" s="2" t="s">
        <v>16</v>
      </c>
      <c r="I1" s="2" t="s">
        <v>59</v>
      </c>
      <c r="J1" s="2" t="s">
        <v>18</v>
      </c>
      <c r="K1" s="2" t="s">
        <v>181</v>
      </c>
      <c r="L1" s="2" t="s">
        <v>22</v>
      </c>
      <c r="M1" s="2" t="s">
        <v>57</v>
      </c>
      <c r="N1" s="2" t="s">
        <v>182</v>
      </c>
      <c r="O1" s="2" t="s">
        <v>183</v>
      </c>
      <c r="P1" s="2" t="s">
        <v>184</v>
      </c>
      <c r="Q1" s="2" t="s">
        <v>185</v>
      </c>
      <c r="R1" s="2" t="s">
        <v>186</v>
      </c>
      <c r="S1" s="2" t="s">
        <v>114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92</v>
      </c>
      <c r="Z1" s="3" t="s">
        <v>191</v>
      </c>
    </row>
    <row r="2" spans="1:26" ht="204" x14ac:dyDescent="0.4">
      <c r="A2" s="13" t="s">
        <v>331</v>
      </c>
      <c r="B2" s="9">
        <v>46295</v>
      </c>
      <c r="C2" s="13" t="s">
        <v>96</v>
      </c>
      <c r="D2" s="13" t="s">
        <v>478</v>
      </c>
      <c r="E2" s="13" t="s">
        <v>77</v>
      </c>
      <c r="F2" s="13" t="s">
        <v>479</v>
      </c>
      <c r="G2">
        <v>4</v>
      </c>
      <c r="H2">
        <v>4</v>
      </c>
      <c r="I2">
        <v>4</v>
      </c>
      <c r="J2">
        <v>3</v>
      </c>
      <c r="K2" s="4">
        <f t="shared" ref="K2:K13" si="0">IF(COUNT(G2,H2,I2,J2)&lt;4,"",ROUND(pesoSeverity*G2+pesoVelocity*H2+pesoProssimita*I2+pesoGap*J2,2))</f>
        <v>3.8</v>
      </c>
      <c r="L2">
        <v>4</v>
      </c>
      <c r="M2">
        <v>4</v>
      </c>
      <c r="N2" s="13" t="s">
        <v>498</v>
      </c>
      <c r="O2" s="14" t="s">
        <v>499</v>
      </c>
      <c r="P2" s="14" t="s">
        <v>500</v>
      </c>
      <c r="Q2" s="14" t="s">
        <v>501</v>
      </c>
      <c r="R2" s="14" t="s">
        <v>502</v>
      </c>
      <c r="S2" s="13" t="s">
        <v>480</v>
      </c>
      <c r="T2" t="str">
        <f t="shared" ref="T2:T13" si="1">A2&amp;"|"&amp;C2</f>
        <v>2026Q3|NFR-01</v>
      </c>
      <c r="U2" s="9">
        <v>46290</v>
      </c>
      <c r="V2" s="13" t="s">
        <v>329</v>
      </c>
      <c r="W2" s="13" t="s">
        <v>327</v>
      </c>
      <c r="X2" s="9">
        <v>46290</v>
      </c>
      <c r="Z2" s="3" t="s">
        <v>192</v>
      </c>
    </row>
    <row r="3" spans="1:26" ht="145.75" x14ac:dyDescent="0.4">
      <c r="A3" s="13" t="s">
        <v>331</v>
      </c>
      <c r="B3" s="9">
        <v>46295</v>
      </c>
      <c r="C3" s="13" t="s">
        <v>348</v>
      </c>
      <c r="D3" s="13" t="s">
        <v>481</v>
      </c>
      <c r="E3" s="13" t="s">
        <v>81</v>
      </c>
      <c r="F3" s="13" t="s">
        <v>482</v>
      </c>
      <c r="G3">
        <v>4</v>
      </c>
      <c r="H3">
        <v>4</v>
      </c>
      <c r="I3">
        <v>3</v>
      </c>
      <c r="J3">
        <v>3</v>
      </c>
      <c r="K3" s="4">
        <f t="shared" si="0"/>
        <v>3.6</v>
      </c>
      <c r="L3">
        <v>4</v>
      </c>
      <c r="M3">
        <v>2</v>
      </c>
      <c r="N3" s="13" t="s">
        <v>498</v>
      </c>
      <c r="O3" s="14" t="s">
        <v>503</v>
      </c>
      <c r="P3" s="14" t="s">
        <v>504</v>
      </c>
      <c r="Q3" s="14" t="s">
        <v>501</v>
      </c>
      <c r="R3" s="14" t="s">
        <v>505</v>
      </c>
      <c r="S3" s="13" t="s">
        <v>480</v>
      </c>
      <c r="T3" t="str">
        <f t="shared" si="1"/>
        <v>2026Q3|NFR-02</v>
      </c>
      <c r="U3" s="9">
        <v>46290</v>
      </c>
      <c r="V3" s="13" t="s">
        <v>329</v>
      </c>
      <c r="W3" s="13" t="s">
        <v>327</v>
      </c>
      <c r="X3" s="9">
        <v>46290</v>
      </c>
      <c r="Z3" s="3" t="s">
        <v>193</v>
      </c>
    </row>
    <row r="4" spans="1:26" ht="131.15" x14ac:dyDescent="0.4">
      <c r="A4" s="13" t="s">
        <v>331</v>
      </c>
      <c r="B4" s="9">
        <v>46295</v>
      </c>
      <c r="C4" s="13" t="s">
        <v>362</v>
      </c>
      <c r="D4" s="13" t="s">
        <v>483</v>
      </c>
      <c r="E4" s="13" t="s">
        <v>79</v>
      </c>
      <c r="F4" s="13" t="s">
        <v>484</v>
      </c>
      <c r="G4">
        <v>3</v>
      </c>
      <c r="H4">
        <v>2</v>
      </c>
      <c r="I4">
        <v>4</v>
      </c>
      <c r="J4">
        <v>3</v>
      </c>
      <c r="K4" s="4">
        <f t="shared" si="0"/>
        <v>3</v>
      </c>
      <c r="L4">
        <v>3</v>
      </c>
      <c r="M4">
        <v>2</v>
      </c>
      <c r="N4" s="13" t="s">
        <v>498</v>
      </c>
      <c r="O4" s="14" t="s">
        <v>506</v>
      </c>
      <c r="P4" s="14" t="s">
        <v>507</v>
      </c>
      <c r="Q4" s="14" t="s">
        <v>501</v>
      </c>
      <c r="R4" s="14" t="s">
        <v>508</v>
      </c>
      <c r="S4" s="13" t="s">
        <v>480</v>
      </c>
      <c r="T4" t="str">
        <f t="shared" si="1"/>
        <v>2026Q3|NFR-03</v>
      </c>
      <c r="U4" s="9">
        <v>46290</v>
      </c>
      <c r="V4" s="13" t="s">
        <v>329</v>
      </c>
      <c r="W4" s="13" t="s">
        <v>601</v>
      </c>
      <c r="X4" s="9">
        <v>46290</v>
      </c>
      <c r="Z4" s="3" t="s">
        <v>194</v>
      </c>
    </row>
    <row r="5" spans="1:26" ht="87.45" x14ac:dyDescent="0.4">
      <c r="A5" s="13" t="s">
        <v>331</v>
      </c>
      <c r="B5" s="9">
        <v>46295</v>
      </c>
      <c r="C5" s="13" t="s">
        <v>376</v>
      </c>
      <c r="D5" s="13" t="s">
        <v>485</v>
      </c>
      <c r="E5" s="13" t="s">
        <v>80</v>
      </c>
      <c r="F5" s="13" t="s">
        <v>129</v>
      </c>
      <c r="G5">
        <v>3</v>
      </c>
      <c r="H5">
        <v>2</v>
      </c>
      <c r="I5">
        <v>3</v>
      </c>
      <c r="J5">
        <v>3</v>
      </c>
      <c r="K5" s="4">
        <f t="shared" si="0"/>
        <v>2.8</v>
      </c>
      <c r="L5">
        <v>3</v>
      </c>
      <c r="M5">
        <v>3</v>
      </c>
      <c r="N5" s="13" t="s">
        <v>498</v>
      </c>
      <c r="O5" s="14" t="s">
        <v>509</v>
      </c>
      <c r="P5" s="14" t="s">
        <v>510</v>
      </c>
      <c r="Q5" s="14" t="s">
        <v>501</v>
      </c>
      <c r="R5" s="14" t="s">
        <v>511</v>
      </c>
      <c r="S5" s="13" t="s">
        <v>480</v>
      </c>
      <c r="T5" t="str">
        <f t="shared" si="1"/>
        <v>2026Q3|NFR-04</v>
      </c>
      <c r="U5" s="9">
        <v>46290</v>
      </c>
      <c r="V5" s="13" t="s">
        <v>329</v>
      </c>
      <c r="W5" s="13" t="s">
        <v>327</v>
      </c>
      <c r="X5" s="9">
        <v>46290</v>
      </c>
      <c r="Z5" s="3" t="s">
        <v>195</v>
      </c>
    </row>
    <row r="6" spans="1:26" ht="116.6" x14ac:dyDescent="0.4">
      <c r="A6" s="13" t="s">
        <v>331</v>
      </c>
      <c r="B6" s="9">
        <v>46295</v>
      </c>
      <c r="C6" s="13" t="s">
        <v>390</v>
      </c>
      <c r="D6" s="13" t="s">
        <v>486</v>
      </c>
      <c r="E6" s="13" t="s">
        <v>82</v>
      </c>
      <c r="F6" s="13" t="s">
        <v>132</v>
      </c>
      <c r="G6">
        <v>3</v>
      </c>
      <c r="H6">
        <v>3</v>
      </c>
      <c r="I6">
        <v>3</v>
      </c>
      <c r="J6">
        <v>3</v>
      </c>
      <c r="K6" s="4">
        <f t="shared" si="0"/>
        <v>3</v>
      </c>
      <c r="L6">
        <v>4</v>
      </c>
      <c r="M6">
        <v>3</v>
      </c>
      <c r="N6" s="13" t="s">
        <v>498</v>
      </c>
      <c r="O6" s="14" t="s">
        <v>512</v>
      </c>
      <c r="P6" s="14" t="s">
        <v>513</v>
      </c>
      <c r="Q6" s="14" t="s">
        <v>501</v>
      </c>
      <c r="R6" s="14" t="s">
        <v>514</v>
      </c>
      <c r="S6" s="13" t="s">
        <v>480</v>
      </c>
      <c r="T6" t="str">
        <f t="shared" si="1"/>
        <v>2026Q3|NFR-05</v>
      </c>
      <c r="U6" s="9">
        <v>46290</v>
      </c>
      <c r="V6" s="13" t="s">
        <v>329</v>
      </c>
      <c r="W6" s="13" t="s">
        <v>327</v>
      </c>
      <c r="X6" s="9">
        <v>46290</v>
      </c>
      <c r="Z6" s="3" t="s">
        <v>196</v>
      </c>
    </row>
    <row r="7" spans="1:26" ht="131.15" x14ac:dyDescent="0.4">
      <c r="A7" s="13" t="s">
        <v>331</v>
      </c>
      <c r="B7" s="9">
        <v>46295</v>
      </c>
      <c r="C7" s="13" t="s">
        <v>403</v>
      </c>
      <c r="D7" s="13" t="s">
        <v>487</v>
      </c>
      <c r="E7" s="13" t="s">
        <v>76</v>
      </c>
      <c r="F7" s="13" t="s">
        <v>488</v>
      </c>
      <c r="G7">
        <v>3</v>
      </c>
      <c r="H7">
        <v>3</v>
      </c>
      <c r="I7">
        <v>3</v>
      </c>
      <c r="J7">
        <v>3</v>
      </c>
      <c r="K7" s="4">
        <f t="shared" si="0"/>
        <v>3</v>
      </c>
      <c r="L7">
        <v>3</v>
      </c>
      <c r="M7">
        <v>3</v>
      </c>
      <c r="N7" s="13" t="s">
        <v>498</v>
      </c>
      <c r="O7" s="14" t="s">
        <v>515</v>
      </c>
      <c r="P7" s="14" t="s">
        <v>516</v>
      </c>
      <c r="Q7" s="14" t="s">
        <v>501</v>
      </c>
      <c r="R7" s="14" t="s">
        <v>517</v>
      </c>
      <c r="S7" s="13" t="s">
        <v>480</v>
      </c>
      <c r="T7" t="str">
        <f t="shared" si="1"/>
        <v>2026Q3|NFR-06</v>
      </c>
      <c r="U7" s="9">
        <v>46290</v>
      </c>
      <c r="V7" s="13" t="s">
        <v>329</v>
      </c>
      <c r="W7" s="13" t="s">
        <v>327</v>
      </c>
      <c r="X7" s="9">
        <v>46290</v>
      </c>
      <c r="Z7" s="3" t="s">
        <v>197</v>
      </c>
    </row>
    <row r="8" spans="1:26" ht="87.45" x14ac:dyDescent="0.4">
      <c r="A8" s="13" t="s">
        <v>331</v>
      </c>
      <c r="B8" s="9">
        <v>46295</v>
      </c>
      <c r="C8" s="13" t="s">
        <v>417</v>
      </c>
      <c r="D8" s="13" t="s">
        <v>489</v>
      </c>
      <c r="E8" s="13" t="s">
        <v>81</v>
      </c>
      <c r="F8" s="13" t="s">
        <v>490</v>
      </c>
      <c r="G8">
        <v>4</v>
      </c>
      <c r="H8">
        <v>5</v>
      </c>
      <c r="I8">
        <v>3</v>
      </c>
      <c r="J8">
        <v>3</v>
      </c>
      <c r="K8" s="4">
        <f t="shared" si="0"/>
        <v>3.8</v>
      </c>
      <c r="L8">
        <v>3</v>
      </c>
      <c r="M8">
        <v>3</v>
      </c>
      <c r="N8" s="13" t="s">
        <v>498</v>
      </c>
      <c r="O8" s="14" t="s">
        <v>518</v>
      </c>
      <c r="P8" s="14" t="s">
        <v>519</v>
      </c>
      <c r="Q8" s="14" t="s">
        <v>501</v>
      </c>
      <c r="R8" s="14" t="s">
        <v>520</v>
      </c>
      <c r="S8" s="13" t="s">
        <v>480</v>
      </c>
      <c r="T8" t="str">
        <f t="shared" si="1"/>
        <v>2026Q3|NFR-07</v>
      </c>
      <c r="U8" s="9">
        <v>46290</v>
      </c>
      <c r="V8" s="13" t="s">
        <v>329</v>
      </c>
      <c r="W8" s="13" t="s">
        <v>327</v>
      </c>
      <c r="X8" s="9">
        <v>46290</v>
      </c>
    </row>
    <row r="9" spans="1:26" ht="87.45" x14ac:dyDescent="0.4">
      <c r="A9" s="13" t="s">
        <v>331</v>
      </c>
      <c r="B9" s="9">
        <v>46295</v>
      </c>
      <c r="C9" s="13" t="s">
        <v>426</v>
      </c>
      <c r="D9" s="13" t="s">
        <v>491</v>
      </c>
      <c r="E9" s="13" t="s">
        <v>76</v>
      </c>
      <c r="F9" s="13" t="s">
        <v>492</v>
      </c>
      <c r="G9">
        <v>3</v>
      </c>
      <c r="H9">
        <v>3</v>
      </c>
      <c r="I9">
        <v>3</v>
      </c>
      <c r="J9">
        <v>3</v>
      </c>
      <c r="K9" s="4">
        <f t="shared" si="0"/>
        <v>3</v>
      </c>
      <c r="L9">
        <v>3</v>
      </c>
      <c r="M9">
        <v>2</v>
      </c>
      <c r="N9" s="13" t="s">
        <v>498</v>
      </c>
      <c r="O9" s="14" t="s">
        <v>521</v>
      </c>
      <c r="P9" s="14" t="s">
        <v>522</v>
      </c>
      <c r="Q9" s="14" t="s">
        <v>501</v>
      </c>
      <c r="R9" s="14" t="s">
        <v>523</v>
      </c>
      <c r="S9" s="13" t="s">
        <v>480</v>
      </c>
      <c r="T9" t="str">
        <f t="shared" si="1"/>
        <v>2026Q3|NFR-08</v>
      </c>
      <c r="U9" s="9">
        <v>46290</v>
      </c>
      <c r="V9" s="13" t="s">
        <v>329</v>
      </c>
      <c r="W9" s="13" t="s">
        <v>327</v>
      </c>
      <c r="X9" s="9">
        <v>46290</v>
      </c>
    </row>
    <row r="10" spans="1:26" ht="87.45" x14ac:dyDescent="0.4">
      <c r="A10" s="13" t="s">
        <v>331</v>
      </c>
      <c r="B10" s="9">
        <v>46295</v>
      </c>
      <c r="C10" s="13" t="s">
        <v>436</v>
      </c>
      <c r="D10" s="13" t="s">
        <v>493</v>
      </c>
      <c r="E10" s="13" t="s">
        <v>79</v>
      </c>
      <c r="F10" s="13" t="s">
        <v>139</v>
      </c>
      <c r="G10">
        <v>4</v>
      </c>
      <c r="H10">
        <v>3</v>
      </c>
      <c r="I10">
        <v>2</v>
      </c>
      <c r="J10">
        <v>3</v>
      </c>
      <c r="K10" s="4">
        <f t="shared" si="0"/>
        <v>3.2</v>
      </c>
      <c r="L10">
        <v>2</v>
      </c>
      <c r="M10">
        <v>2</v>
      </c>
      <c r="N10" s="13" t="s">
        <v>498</v>
      </c>
      <c r="O10" s="14" t="s">
        <v>524</v>
      </c>
      <c r="P10" s="14" t="s">
        <v>525</v>
      </c>
      <c r="Q10" s="14" t="s">
        <v>501</v>
      </c>
      <c r="R10" s="14" t="s">
        <v>526</v>
      </c>
      <c r="S10" s="13" t="s">
        <v>480</v>
      </c>
      <c r="T10" t="str">
        <f t="shared" si="1"/>
        <v>2026Q3|NFR-09</v>
      </c>
      <c r="U10" s="9">
        <v>46290</v>
      </c>
      <c r="V10" s="13" t="s">
        <v>329</v>
      </c>
      <c r="W10" s="13" t="s">
        <v>327</v>
      </c>
      <c r="X10" s="9">
        <v>46290</v>
      </c>
    </row>
    <row r="11" spans="1:26" ht="87.45" x14ac:dyDescent="0.4">
      <c r="A11" s="13" t="s">
        <v>331</v>
      </c>
      <c r="B11" s="9">
        <v>46295</v>
      </c>
      <c r="C11" s="13" t="s">
        <v>447</v>
      </c>
      <c r="D11" s="13" t="s">
        <v>494</v>
      </c>
      <c r="E11" s="13" t="s">
        <v>79</v>
      </c>
      <c r="F11" s="13" t="s">
        <v>495</v>
      </c>
      <c r="G11">
        <v>3</v>
      </c>
      <c r="H11">
        <v>3</v>
      </c>
      <c r="I11">
        <v>3</v>
      </c>
      <c r="J11">
        <v>4</v>
      </c>
      <c r="K11" s="4">
        <f t="shared" si="0"/>
        <v>3.2</v>
      </c>
      <c r="L11">
        <v>2</v>
      </c>
      <c r="M11">
        <v>3</v>
      </c>
      <c r="N11" s="13" t="s">
        <v>498</v>
      </c>
      <c r="O11" s="14" t="s">
        <v>527</v>
      </c>
      <c r="P11" s="14" t="s">
        <v>528</v>
      </c>
      <c r="Q11" s="14" t="s">
        <v>501</v>
      </c>
      <c r="R11" s="14" t="s">
        <v>529</v>
      </c>
      <c r="S11" s="13" t="s">
        <v>480</v>
      </c>
      <c r="T11" t="str">
        <f t="shared" si="1"/>
        <v>2026Q3|NFR-10</v>
      </c>
      <c r="U11" s="9">
        <v>46290</v>
      </c>
      <c r="V11" s="13" t="s">
        <v>329</v>
      </c>
      <c r="W11" s="13" t="s">
        <v>327</v>
      </c>
      <c r="X11" s="9">
        <v>46290</v>
      </c>
    </row>
    <row r="12" spans="1:26" ht="87.45" x14ac:dyDescent="0.4">
      <c r="A12" s="13" t="s">
        <v>331</v>
      </c>
      <c r="B12" s="9">
        <v>46295</v>
      </c>
      <c r="C12" s="13" t="s">
        <v>457</v>
      </c>
      <c r="D12" s="13" t="s">
        <v>496</v>
      </c>
      <c r="E12" s="13" t="s">
        <v>81</v>
      </c>
      <c r="F12" s="13" t="s">
        <v>132</v>
      </c>
      <c r="G12">
        <v>3</v>
      </c>
      <c r="H12">
        <v>2</v>
      </c>
      <c r="I12">
        <v>3</v>
      </c>
      <c r="J12">
        <v>4</v>
      </c>
      <c r="K12" s="4">
        <f t="shared" si="0"/>
        <v>3</v>
      </c>
      <c r="L12">
        <v>3</v>
      </c>
      <c r="M12">
        <v>3</v>
      </c>
      <c r="N12" s="13" t="s">
        <v>498</v>
      </c>
      <c r="O12" s="14" t="s">
        <v>530</v>
      </c>
      <c r="P12" s="14" t="s">
        <v>531</v>
      </c>
      <c r="Q12" s="14" t="s">
        <v>501</v>
      </c>
      <c r="R12" s="14" t="s">
        <v>532</v>
      </c>
      <c r="S12" s="13" t="s">
        <v>480</v>
      </c>
      <c r="T12" t="str">
        <f t="shared" si="1"/>
        <v>2026Q3|NFR-11</v>
      </c>
      <c r="U12" s="9">
        <v>46290</v>
      </c>
      <c r="V12" s="13" t="s">
        <v>329</v>
      </c>
      <c r="W12" s="13" t="s">
        <v>327</v>
      </c>
      <c r="X12" s="9">
        <v>46290</v>
      </c>
    </row>
    <row r="13" spans="1:26" ht="87.45" x14ac:dyDescent="0.4">
      <c r="A13" s="13" t="s">
        <v>331</v>
      </c>
      <c r="B13" s="9">
        <v>46295</v>
      </c>
      <c r="C13" s="13" t="s">
        <v>468</v>
      </c>
      <c r="D13" s="13" t="s">
        <v>497</v>
      </c>
      <c r="E13" s="13" t="s">
        <v>82</v>
      </c>
      <c r="F13" s="13" t="s">
        <v>132</v>
      </c>
      <c r="G13">
        <v>3</v>
      </c>
      <c r="H13">
        <v>4</v>
      </c>
      <c r="I13">
        <v>4</v>
      </c>
      <c r="J13">
        <v>3</v>
      </c>
      <c r="K13" s="4">
        <f t="shared" si="0"/>
        <v>3.4</v>
      </c>
      <c r="L13">
        <v>3</v>
      </c>
      <c r="M13">
        <v>4</v>
      </c>
      <c r="N13" s="13" t="s">
        <v>498</v>
      </c>
      <c r="O13" s="14" t="s">
        <v>533</v>
      </c>
      <c r="P13" s="14" t="s">
        <v>534</v>
      </c>
      <c r="Q13" s="14" t="s">
        <v>501</v>
      </c>
      <c r="R13" s="14" t="s">
        <v>535</v>
      </c>
      <c r="S13" s="13" t="s">
        <v>480</v>
      </c>
      <c r="T13" t="str">
        <f t="shared" si="1"/>
        <v>2026Q3|NFR-12</v>
      </c>
      <c r="U13" s="9">
        <v>46290</v>
      </c>
      <c r="V13" s="13" t="s">
        <v>329</v>
      </c>
      <c r="W13" s="13" t="s">
        <v>327</v>
      </c>
      <c r="X13" s="9">
        <v>46290</v>
      </c>
    </row>
  </sheetData>
  <dataValidations count="2">
    <dataValidation type="list" allowBlank="1" sqref="E2:E19979" xr:uid="{00000000-0002-0000-0500-000000000000}">
      <formula1>codiciL1</formula1>
    </dataValidation>
    <dataValidation type="list" allowBlank="1" sqref="N2:N19979" xr:uid="{00000000-0002-0000-0500-000001000000}">
      <formula1>"Confermato,Variato,Nuovo"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/>
  </sheetViews>
  <sheetFormatPr defaultRowHeight="14.6" x14ac:dyDescent="0.4"/>
  <cols>
    <col min="1" max="1" width="10" customWidth="1"/>
    <col min="2" max="2" width="48" customWidth="1"/>
  </cols>
  <sheetData>
    <row r="1" spans="1:10" ht="18.45" x14ac:dyDescent="0.5">
      <c r="A1" s="1" t="s">
        <v>198</v>
      </c>
    </row>
    <row r="2" spans="1:10" x14ac:dyDescent="0.4">
      <c r="A2" s="3" t="s">
        <v>199</v>
      </c>
    </row>
    <row r="3" spans="1:10" x14ac:dyDescent="0.4">
      <c r="A3" t="s">
        <v>13</v>
      </c>
      <c r="B3" t="s">
        <v>14</v>
      </c>
      <c r="C3" s="2" t="str">
        <f>Parametri!$B$20</f>
        <v>2024Q4</v>
      </c>
      <c r="D3" s="2" t="str">
        <f>Parametri!$B$21</f>
        <v>2025Q1</v>
      </c>
      <c r="E3" s="2" t="str">
        <f>Parametri!$B$22</f>
        <v>2025Q2</v>
      </c>
      <c r="F3" s="2" t="str">
        <f>Parametri!$B$23</f>
        <v>2025Q3</v>
      </c>
      <c r="G3" s="2" t="str">
        <f>Parametri!$B$24</f>
        <v>2025Q4</v>
      </c>
      <c r="H3" s="2" t="str">
        <f>Parametri!$B$25</f>
        <v>2026Q1</v>
      </c>
      <c r="I3" s="2" t="str">
        <f>Parametri!$B$26</f>
        <v>2026Q2</v>
      </c>
      <c r="J3" s="2" t="str">
        <f>Parametri!$B$27</f>
        <v>2026Q3</v>
      </c>
    </row>
    <row r="4" spans="1:10" x14ac:dyDescent="0.4">
      <c r="A4" t="str">
        <f>Dashboard!A13</f>
        <v>NFR-01</v>
      </c>
      <c r="B4" t="str">
        <f>Dashboard!B13</f>
        <v>Frodi su pagamenti istantanei abilitate da AI generativa</v>
      </c>
      <c r="C4" s="4" t="e">
        <f t="shared" ref="C4:J18" si="0">IF(OR($A4="",C$3=""),NA(),IF(COUNTIFS(RR_ID_Rischio,$A4,RR_Ciclo,C$3)=0,NA(),SUMIFS(RR_Score_Composito,RR_ID_Rischio,$A4,RR_Ciclo,C$3)))</f>
        <v>#N/A</v>
      </c>
      <c r="D4" s="4" t="e">
        <f t="shared" si="0"/>
        <v>#N/A</v>
      </c>
      <c r="E4" s="4" t="e">
        <f t="shared" si="0"/>
        <v>#N/A</v>
      </c>
      <c r="F4" s="4" t="e">
        <f t="shared" si="0"/>
        <v>#N/A</v>
      </c>
      <c r="G4" s="4" t="e">
        <f t="shared" si="0"/>
        <v>#N/A</v>
      </c>
      <c r="H4" s="4" t="e">
        <f t="shared" si="0"/>
        <v>#N/A</v>
      </c>
      <c r="I4" s="4" t="e">
        <f t="shared" si="0"/>
        <v>#N/A</v>
      </c>
      <c r="J4" s="4">
        <f t="shared" si="0"/>
        <v>3.8</v>
      </c>
    </row>
    <row r="5" spans="1:10" x14ac:dyDescent="0.4">
      <c r="A5" t="str">
        <f>Dashboard!A14</f>
        <v>NFR-02</v>
      </c>
      <c r="B5" t="str">
        <f>Dashboard!B14</f>
        <v>Concentrazione su un fornitore cloud critico</v>
      </c>
      <c r="C5" s="4" t="e">
        <f t="shared" si="0"/>
        <v>#N/A</v>
      </c>
      <c r="D5" s="4" t="e">
        <f t="shared" si="0"/>
        <v>#N/A</v>
      </c>
      <c r="E5" s="4" t="e">
        <f t="shared" si="0"/>
        <v>#N/A</v>
      </c>
      <c r="F5" s="4" t="e">
        <f t="shared" si="0"/>
        <v>#N/A</v>
      </c>
      <c r="G5" s="4" t="e">
        <f t="shared" si="0"/>
        <v>#N/A</v>
      </c>
      <c r="H5" s="4" t="e">
        <f t="shared" si="0"/>
        <v>#N/A</v>
      </c>
      <c r="I5" s="4" t="e">
        <f t="shared" si="0"/>
        <v>#N/A</v>
      </c>
      <c r="J5" s="4">
        <f t="shared" si="0"/>
        <v>3.6</v>
      </c>
    </row>
    <row r="6" spans="1:10" x14ac:dyDescent="0.4">
      <c r="A6" t="str">
        <f>Dashboard!A15</f>
        <v>NFR-03</v>
      </c>
      <c r="B6" t="str">
        <f>Dashboard!B15</f>
        <v>Greenwashing nella commercializzazione di prodotti ESG</v>
      </c>
      <c r="C6" s="4" t="e">
        <f t="shared" si="0"/>
        <v>#N/A</v>
      </c>
      <c r="D6" s="4" t="e">
        <f t="shared" si="0"/>
        <v>#N/A</v>
      </c>
      <c r="E6" s="4" t="e">
        <f t="shared" si="0"/>
        <v>#N/A</v>
      </c>
      <c r="F6" s="4" t="e">
        <f t="shared" si="0"/>
        <v>#N/A</v>
      </c>
      <c r="G6" s="4" t="e">
        <f t="shared" si="0"/>
        <v>#N/A</v>
      </c>
      <c r="H6" s="4" t="e">
        <f t="shared" si="0"/>
        <v>#N/A</v>
      </c>
      <c r="I6" s="4" t="e">
        <f t="shared" si="0"/>
        <v>#N/A</v>
      </c>
      <c r="J6" s="4">
        <f t="shared" si="0"/>
        <v>3</v>
      </c>
    </row>
    <row r="7" spans="1:10" x14ac:dyDescent="0.4">
      <c r="A7" t="str">
        <f>Dashboard!A16</f>
        <v>NFR-04</v>
      </c>
      <c r="B7" t="str">
        <f>Dashboard!B16</f>
        <v>Eventi climatici estremi su sedi e data center</v>
      </c>
      <c r="C7" s="4" t="e">
        <f t="shared" si="0"/>
        <v>#N/A</v>
      </c>
      <c r="D7" s="4" t="e">
        <f t="shared" si="0"/>
        <v>#N/A</v>
      </c>
      <c r="E7" s="4" t="e">
        <f t="shared" si="0"/>
        <v>#N/A</v>
      </c>
      <c r="F7" s="4" t="e">
        <f t="shared" si="0"/>
        <v>#N/A</v>
      </c>
      <c r="G7" s="4" t="e">
        <f t="shared" si="0"/>
        <v>#N/A</v>
      </c>
      <c r="H7" s="4" t="e">
        <f t="shared" si="0"/>
        <v>#N/A</v>
      </c>
      <c r="I7" s="4" t="e">
        <f t="shared" si="0"/>
        <v>#N/A</v>
      </c>
      <c r="J7" s="4">
        <f t="shared" si="0"/>
        <v>2.8</v>
      </c>
    </row>
    <row r="8" spans="1:10" x14ac:dyDescent="0.4">
      <c r="A8" t="str">
        <f>Dashboard!A17</f>
        <v>NFR-05</v>
      </c>
      <c r="B8" t="str">
        <f>Dashboard!B17</f>
        <v>Errori di processo nella migrazione del core banking</v>
      </c>
      <c r="C8" s="4" t="e">
        <f t="shared" si="0"/>
        <v>#N/A</v>
      </c>
      <c r="D8" s="4" t="e">
        <f t="shared" si="0"/>
        <v>#N/A</v>
      </c>
      <c r="E8" s="4" t="e">
        <f t="shared" si="0"/>
        <v>#N/A</v>
      </c>
      <c r="F8" s="4" t="e">
        <f t="shared" si="0"/>
        <v>#N/A</v>
      </c>
      <c r="G8" s="4" t="e">
        <f t="shared" si="0"/>
        <v>#N/A</v>
      </c>
      <c r="H8" s="4" t="e">
        <f t="shared" si="0"/>
        <v>#N/A</v>
      </c>
      <c r="I8" s="4" t="e">
        <f t="shared" si="0"/>
        <v>#N/A</v>
      </c>
      <c r="J8" s="4">
        <f t="shared" si="0"/>
        <v>3</v>
      </c>
    </row>
    <row r="9" spans="1:10" x14ac:dyDescent="0.4">
      <c r="A9" t="str">
        <f>Dashboard!A18</f>
        <v>NFR-06</v>
      </c>
      <c r="B9" t="str">
        <f>Dashboard!B18</f>
        <v>Esfiltrazione di dati tramite strumenti di AI non autorizzati</v>
      </c>
      <c r="C9" s="4" t="e">
        <f t="shared" si="0"/>
        <v>#N/A</v>
      </c>
      <c r="D9" s="4" t="e">
        <f t="shared" si="0"/>
        <v>#N/A</v>
      </c>
      <c r="E9" s="4" t="e">
        <f t="shared" si="0"/>
        <v>#N/A</v>
      </c>
      <c r="F9" s="4" t="e">
        <f t="shared" si="0"/>
        <v>#N/A</v>
      </c>
      <c r="G9" s="4" t="e">
        <f t="shared" si="0"/>
        <v>#N/A</v>
      </c>
      <c r="H9" s="4" t="e">
        <f t="shared" si="0"/>
        <v>#N/A</v>
      </c>
      <c r="I9" s="4" t="e">
        <f t="shared" si="0"/>
        <v>#N/A</v>
      </c>
      <c r="J9" s="4">
        <f t="shared" si="0"/>
        <v>3</v>
      </c>
    </row>
    <row r="10" spans="1:10" x14ac:dyDescent="0.4">
      <c r="A10" t="str">
        <f>Dashboard!A19</f>
        <v>NFR-07</v>
      </c>
      <c r="B10" t="str">
        <f>Dashboard!B19</f>
        <v>Ransomware presso un fornitore di servizi di pagamento</v>
      </c>
      <c r="C10" s="4" t="e">
        <f t="shared" si="0"/>
        <v>#N/A</v>
      </c>
      <c r="D10" s="4" t="e">
        <f t="shared" si="0"/>
        <v>#N/A</v>
      </c>
      <c r="E10" s="4" t="e">
        <f t="shared" si="0"/>
        <v>#N/A</v>
      </c>
      <c r="F10" s="4" t="e">
        <f t="shared" si="0"/>
        <v>#N/A</v>
      </c>
      <c r="G10" s="4" t="e">
        <f t="shared" si="0"/>
        <v>#N/A</v>
      </c>
      <c r="H10" s="4" t="e">
        <f t="shared" si="0"/>
        <v>#N/A</v>
      </c>
      <c r="I10" s="4" t="e">
        <f t="shared" si="0"/>
        <v>#N/A</v>
      </c>
      <c r="J10" s="4">
        <f t="shared" si="0"/>
        <v>3.8</v>
      </c>
    </row>
    <row r="11" spans="1:10" x14ac:dyDescent="0.4">
      <c r="A11" t="str">
        <f>Dashboard!A20</f>
        <v>NFR-08</v>
      </c>
      <c r="B11" t="str">
        <f>Dashboard!B20</f>
        <v>Accessi impropri di dipendenti ai dati dei clienti</v>
      </c>
      <c r="C11" s="4" t="e">
        <f t="shared" si="0"/>
        <v>#N/A</v>
      </c>
      <c r="D11" s="4" t="e">
        <f t="shared" si="0"/>
        <v>#N/A</v>
      </c>
      <c r="E11" s="4" t="e">
        <f t="shared" si="0"/>
        <v>#N/A</v>
      </c>
      <c r="F11" s="4" t="e">
        <f t="shared" si="0"/>
        <v>#N/A</v>
      </c>
      <c r="G11" s="4" t="e">
        <f t="shared" si="0"/>
        <v>#N/A</v>
      </c>
      <c r="H11" s="4" t="e">
        <f t="shared" si="0"/>
        <v>#N/A</v>
      </c>
      <c r="I11" s="4" t="e">
        <f t="shared" si="0"/>
        <v>#N/A</v>
      </c>
      <c r="J11" s="4">
        <f t="shared" si="0"/>
        <v>3</v>
      </c>
    </row>
    <row r="12" spans="1:10" x14ac:dyDescent="0.4">
      <c r="A12" t="str">
        <f>Dashboard!A21</f>
        <v>NFR-09</v>
      </c>
      <c r="B12" t="str">
        <f>Dashboard!B21</f>
        <v>Violazione di sanzioni internazionali tramite triangolazioni</v>
      </c>
      <c r="C12" s="4" t="e">
        <f t="shared" si="0"/>
        <v>#N/A</v>
      </c>
      <c r="D12" s="4" t="e">
        <f t="shared" si="0"/>
        <v>#N/A</v>
      </c>
      <c r="E12" s="4" t="e">
        <f t="shared" si="0"/>
        <v>#N/A</v>
      </c>
      <c r="F12" s="4" t="e">
        <f t="shared" si="0"/>
        <v>#N/A</v>
      </c>
      <c r="G12" s="4" t="e">
        <f t="shared" si="0"/>
        <v>#N/A</v>
      </c>
      <c r="H12" s="4" t="e">
        <f t="shared" si="0"/>
        <v>#N/A</v>
      </c>
      <c r="I12" s="4" t="e">
        <f t="shared" si="0"/>
        <v>#N/A</v>
      </c>
      <c r="J12" s="4">
        <f t="shared" si="0"/>
        <v>3.2</v>
      </c>
    </row>
    <row r="13" spans="1:10" x14ac:dyDescent="0.4">
      <c r="A13" t="str">
        <f>Dashboard!A22</f>
        <v>NFR-10</v>
      </c>
      <c r="B13" t="str">
        <f>Dashboard!B22</f>
        <v>Informazioni errate ai clienti da assistenti di AI generativa</v>
      </c>
      <c r="C13" s="4" t="e">
        <f t="shared" si="0"/>
        <v>#N/A</v>
      </c>
      <c r="D13" s="4" t="e">
        <f t="shared" si="0"/>
        <v>#N/A</v>
      </c>
      <c r="E13" s="4" t="e">
        <f t="shared" si="0"/>
        <v>#N/A</v>
      </c>
      <c r="F13" s="4" t="e">
        <f t="shared" si="0"/>
        <v>#N/A</v>
      </c>
      <c r="G13" s="4" t="e">
        <f t="shared" si="0"/>
        <v>#N/A</v>
      </c>
      <c r="H13" s="4" t="e">
        <f t="shared" si="0"/>
        <v>#N/A</v>
      </c>
      <c r="I13" s="4" t="e">
        <f t="shared" si="0"/>
        <v>#N/A</v>
      </c>
      <c r="J13" s="4">
        <f t="shared" si="0"/>
        <v>3.2</v>
      </c>
    </row>
    <row r="14" spans="1:10" x14ac:dyDescent="0.4">
      <c r="A14" t="str">
        <f>Dashboard!A23</f>
        <v>NFR-11</v>
      </c>
      <c r="B14" t="str">
        <f>Dashboard!B23</f>
        <v>Fine del supporto dei sistemi di pagamento legacy</v>
      </c>
      <c r="C14" s="4" t="e">
        <f t="shared" si="0"/>
        <v>#N/A</v>
      </c>
      <c r="D14" s="4" t="e">
        <f t="shared" si="0"/>
        <v>#N/A</v>
      </c>
      <c r="E14" s="4" t="e">
        <f t="shared" si="0"/>
        <v>#N/A</v>
      </c>
      <c r="F14" s="4" t="e">
        <f t="shared" si="0"/>
        <v>#N/A</v>
      </c>
      <c r="G14" s="4" t="e">
        <f t="shared" si="0"/>
        <v>#N/A</v>
      </c>
      <c r="H14" s="4" t="e">
        <f t="shared" si="0"/>
        <v>#N/A</v>
      </c>
      <c r="I14" s="4" t="e">
        <f t="shared" si="0"/>
        <v>#N/A</v>
      </c>
      <c r="J14" s="4">
        <f t="shared" si="0"/>
        <v>3</v>
      </c>
    </row>
    <row r="15" spans="1:10" x14ac:dyDescent="0.4">
      <c r="A15" t="str">
        <f>Dashboard!A24</f>
        <v>NFR-12</v>
      </c>
      <c r="B15" t="str">
        <f>Dashboard!B24</f>
        <v>Errori operativi nei pagamenti istantanei obbligatori</v>
      </c>
      <c r="C15" s="4" t="e">
        <f t="shared" si="0"/>
        <v>#N/A</v>
      </c>
      <c r="D15" s="4" t="e">
        <f t="shared" si="0"/>
        <v>#N/A</v>
      </c>
      <c r="E15" s="4" t="e">
        <f t="shared" si="0"/>
        <v>#N/A</v>
      </c>
      <c r="F15" s="4" t="e">
        <f t="shared" si="0"/>
        <v>#N/A</v>
      </c>
      <c r="G15" s="4" t="e">
        <f t="shared" si="0"/>
        <v>#N/A</v>
      </c>
      <c r="H15" s="4" t="e">
        <f t="shared" si="0"/>
        <v>#N/A</v>
      </c>
      <c r="I15" s="4" t="e">
        <f t="shared" si="0"/>
        <v>#N/A</v>
      </c>
      <c r="J15" s="4">
        <f t="shared" si="0"/>
        <v>3.4</v>
      </c>
    </row>
    <row r="16" spans="1:10" x14ac:dyDescent="0.4">
      <c r="A16" t="str">
        <f>Dashboard!A25</f>
        <v/>
      </c>
      <c r="B16" t="str">
        <f>Dashboard!B25</f>
        <v/>
      </c>
      <c r="C16" s="4" t="e">
        <f t="shared" si="0"/>
        <v>#N/A</v>
      </c>
      <c r="D16" s="4" t="e">
        <f t="shared" si="0"/>
        <v>#N/A</v>
      </c>
      <c r="E16" s="4" t="e">
        <f t="shared" si="0"/>
        <v>#N/A</v>
      </c>
      <c r="F16" s="4" t="e">
        <f t="shared" si="0"/>
        <v>#N/A</v>
      </c>
      <c r="G16" s="4" t="e">
        <f t="shared" si="0"/>
        <v>#N/A</v>
      </c>
      <c r="H16" s="4" t="e">
        <f t="shared" si="0"/>
        <v>#N/A</v>
      </c>
      <c r="I16" s="4" t="e">
        <f t="shared" si="0"/>
        <v>#N/A</v>
      </c>
      <c r="J16" s="4" t="e">
        <f t="shared" si="0"/>
        <v>#N/A</v>
      </c>
    </row>
    <row r="17" spans="1:10" x14ac:dyDescent="0.4">
      <c r="A17" t="str">
        <f>Dashboard!A26</f>
        <v/>
      </c>
      <c r="B17" t="str">
        <f>Dashboard!B26</f>
        <v/>
      </c>
      <c r="C17" s="4" t="e">
        <f t="shared" si="0"/>
        <v>#N/A</v>
      </c>
      <c r="D17" s="4" t="e">
        <f t="shared" si="0"/>
        <v>#N/A</v>
      </c>
      <c r="E17" s="4" t="e">
        <f t="shared" si="0"/>
        <v>#N/A</v>
      </c>
      <c r="F17" s="4" t="e">
        <f t="shared" si="0"/>
        <v>#N/A</v>
      </c>
      <c r="G17" s="4" t="e">
        <f t="shared" si="0"/>
        <v>#N/A</v>
      </c>
      <c r="H17" s="4" t="e">
        <f t="shared" si="0"/>
        <v>#N/A</v>
      </c>
      <c r="I17" s="4" t="e">
        <f t="shared" si="0"/>
        <v>#N/A</v>
      </c>
      <c r="J17" s="4" t="e">
        <f t="shared" si="0"/>
        <v>#N/A</v>
      </c>
    </row>
    <row r="18" spans="1:10" x14ac:dyDescent="0.4">
      <c r="A18" t="str">
        <f>Dashboard!A27</f>
        <v/>
      </c>
      <c r="B18" t="str">
        <f>Dashboard!B27</f>
        <v/>
      </c>
      <c r="C18" s="4" t="e">
        <f t="shared" si="0"/>
        <v>#N/A</v>
      </c>
      <c r="D18" s="4" t="e">
        <f t="shared" si="0"/>
        <v>#N/A</v>
      </c>
      <c r="E18" s="4" t="e">
        <f t="shared" si="0"/>
        <v>#N/A</v>
      </c>
      <c r="F18" s="4" t="e">
        <f t="shared" si="0"/>
        <v>#N/A</v>
      </c>
      <c r="G18" s="4" t="e">
        <f t="shared" si="0"/>
        <v>#N/A</v>
      </c>
      <c r="H18" s="4" t="e">
        <f t="shared" si="0"/>
        <v>#N/A</v>
      </c>
      <c r="I18" s="4" t="e">
        <f t="shared" si="0"/>
        <v>#N/A</v>
      </c>
      <c r="J18" s="4" t="e">
        <f t="shared" si="0"/>
        <v>#N/A</v>
      </c>
    </row>
  </sheetData>
  <conditionalFormatting sqref="C4:J18">
    <cfRule type="expression" dxfId="20" priority="1">
      <formula>ISNA(C4)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workbookViewId="0"/>
  </sheetViews>
  <sheetFormatPr defaultRowHeight="14.6" x14ac:dyDescent="0.4"/>
  <cols>
    <col min="1" max="1" width="10" customWidth="1"/>
    <col min="2" max="2" width="48" customWidth="1"/>
    <col min="10" max="10" width="42" customWidth="1"/>
  </cols>
  <sheetData>
    <row r="1" spans="1:10" ht="18.45" x14ac:dyDescent="0.5">
      <c r="A1" s="1" t="s">
        <v>200</v>
      </c>
    </row>
    <row r="2" spans="1:10" x14ac:dyDescent="0.4">
      <c r="A2" s="3" t="s">
        <v>201</v>
      </c>
    </row>
    <row r="3" spans="1:10" x14ac:dyDescent="0.4">
      <c r="A3" s="2" t="s">
        <v>13</v>
      </c>
      <c r="B3" s="2" t="s">
        <v>14</v>
      </c>
      <c r="C3" s="2" t="s">
        <v>202</v>
      </c>
      <c r="D3" s="2" t="s">
        <v>203</v>
      </c>
      <c r="E3" s="2" t="s">
        <v>204</v>
      </c>
      <c r="F3" s="2" t="s">
        <v>205</v>
      </c>
      <c r="G3" s="2" t="s">
        <v>206</v>
      </c>
      <c r="H3" s="2" t="s">
        <v>207</v>
      </c>
      <c r="I3" s="2" t="s">
        <v>208</v>
      </c>
      <c r="J3" s="2" t="s">
        <v>209</v>
      </c>
    </row>
    <row r="4" spans="1:10" x14ac:dyDescent="0.4">
      <c r="A4" t="str">
        <f>Dashboard!A13</f>
        <v>NFR-01</v>
      </c>
      <c r="B4" t="str">
        <f>Dashboard!B13</f>
        <v>Frodi su pagamenti istantanei abilitate da AI generativa</v>
      </c>
      <c r="C4" s="10" t="e">
        <f t="shared" ref="C4:C18" si="0">IF($A4="",NA(),IF(COUNTIFS(RR_ID_Rischio,$A4,RR_Ciclo,cicloCorrente)*COUNTIFS(RR_ID_Rischio,$A4,RR_Ciclo,cicloPrecedente)=0,NA(),SUMIFS(RR_Severity,RR_ID_Rischio,$A4,RR_Ciclo,cicloCorrente)-SUMIFS(RR_Severity,RR_ID_Rischio,$A4,RR_Ciclo,cicloPrecedente)))</f>
        <v>#N/A</v>
      </c>
      <c r="D4" s="10" t="e">
        <f t="shared" ref="D4:D18" si="1">IF($A4="",NA(),IF(COUNTIFS(RR_ID_Rischio,$A4,RR_Ciclo,cicloCorrente)*COUNTIFS(RR_ID_Rischio,$A4,RR_Ciclo,cicloPrecedente)=0,NA(),SUMIFS(RR_Velocity,RR_ID_Rischio,$A4,RR_Ciclo,cicloCorrente)-SUMIFS(RR_Velocity,RR_ID_Rischio,$A4,RR_Ciclo,cicloPrecedente)))</f>
        <v>#N/A</v>
      </c>
      <c r="E4" s="10" t="e">
        <f t="shared" ref="E4:E18" si="2">IF($A4="",NA(),IF(COUNTIFS(RR_ID_Rischio,$A4,RR_Ciclo,cicloCorrente)*COUNTIFS(RR_ID_Rischio,$A4,RR_Ciclo,cicloPrecedente)=0,NA(),SUMIFS(RR_Prossimita,RR_ID_Rischio,$A4,RR_Ciclo,cicloCorrente)-SUMIFS(RR_Prossimita,RR_ID_Rischio,$A4,RR_Ciclo,cicloPrecedente)))</f>
        <v>#N/A</v>
      </c>
      <c r="F4" s="10" t="e">
        <f t="shared" ref="F4:F18" si="3">IF($A4="",NA(),IF(COUNTIFS(RR_ID_Rischio,$A4,RR_Ciclo,cicloCorrente)*COUNTIFS(RR_ID_Rischio,$A4,RR_Ciclo,cicloPrecedente)=0,NA(),SUMIFS(RR_Gap_Controlli,RR_ID_Rischio,$A4,RR_Ciclo,cicloCorrente)-SUMIFS(RR_Gap_Controlli,RR_ID_Rischio,$A4,RR_Ciclo,cicloPrecedente)))</f>
        <v>#N/A</v>
      </c>
      <c r="G4" s="10" t="e">
        <f t="shared" ref="G4:G18" si="4">IF($A4="",NA(),IF(COUNTIFS(RR_ID_Rischio,$A4,RR_Ciclo,cicloCorrente)*COUNTIFS(RR_ID_Rischio,$A4,RR_Ciclo,cicloPrecedente)=0,NA(),SUMIFS(RR_Confidence,RR_ID_Rischio,$A4,RR_Ciclo,cicloCorrente)-SUMIFS(RR_Confidence,RR_ID_Rischio,$A4,RR_Ciclo,cicloPrecedente)))</f>
        <v>#N/A</v>
      </c>
      <c r="H4" s="10" t="e">
        <f t="shared" ref="H4:H18" si="5">IF($A4="",NA(),IF(COUNTIFS(RR_ID_Rischio,$A4,RR_Ciclo,cicloCorrente)*COUNTIFS(RR_ID_Rischio,$A4,RR_Ciclo,cicloPrecedente)=0,NA(),SUMIFS(RR_Probabilita,RR_ID_Rischio,$A4,RR_Ciclo,cicloCorrente)-SUMIFS(RR_Probabilita,RR_ID_Rischio,$A4,RR_Ciclo,cicloPrecedente)))</f>
        <v>#N/A</v>
      </c>
      <c r="I4" s="10" t="e">
        <f t="shared" ref="I4:I18" si="6">IF($A4="",NA(),IF(COUNTIFS(RR_ID_Rischio,$A4,RR_Ciclo,cicloCorrente)*COUNTIFS(RR_ID_Rischio,$A4,RR_Ciclo,cicloPrecedente)=0,NA(),SUMIFS(RR_Score_Composito,RR_ID_Rischio,$A4,RR_Ciclo,cicloCorrente)-SUMIFS(RR_Score_Composito,RR_ID_Rischio,$A4,RR_Ciclo,cicloPrecedente)))</f>
        <v>#N/A</v>
      </c>
      <c r="J4" t="str">
        <f t="shared" ref="J4:J18" si="7">IF($A4="","",IF(COUNT(C4:H4)&lt;6,"Nuovo o non valutato in uno dei due cicli",IF(MAX(C4:H4)&gt;1,"Aumento &gt; 1 punto: viola la rubrica",IF(MIN(C4:H4)&lt;-1,"Riduzione &gt; 1 punto: viola la rubrica",""))))</f>
        <v>Nuovo o non valutato in uno dei due cicli</v>
      </c>
    </row>
    <row r="5" spans="1:10" x14ac:dyDescent="0.4">
      <c r="A5" t="str">
        <f>Dashboard!A14</f>
        <v>NFR-02</v>
      </c>
      <c r="B5" t="str">
        <f>Dashboard!B14</f>
        <v>Concentrazione su un fornitore cloud critico</v>
      </c>
      <c r="C5" s="10" t="e">
        <f t="shared" si="0"/>
        <v>#N/A</v>
      </c>
      <c r="D5" s="10" t="e">
        <f t="shared" si="1"/>
        <v>#N/A</v>
      </c>
      <c r="E5" s="10" t="e">
        <f t="shared" si="2"/>
        <v>#N/A</v>
      </c>
      <c r="F5" s="10" t="e">
        <f t="shared" si="3"/>
        <v>#N/A</v>
      </c>
      <c r="G5" s="10" t="e">
        <f t="shared" si="4"/>
        <v>#N/A</v>
      </c>
      <c r="H5" s="10" t="e">
        <f t="shared" si="5"/>
        <v>#N/A</v>
      </c>
      <c r="I5" s="10" t="e">
        <f t="shared" si="6"/>
        <v>#N/A</v>
      </c>
      <c r="J5" t="str">
        <f t="shared" si="7"/>
        <v>Nuovo o non valutato in uno dei due cicli</v>
      </c>
    </row>
    <row r="6" spans="1:10" x14ac:dyDescent="0.4">
      <c r="A6" t="str">
        <f>Dashboard!A15</f>
        <v>NFR-03</v>
      </c>
      <c r="B6" t="str">
        <f>Dashboard!B15</f>
        <v>Greenwashing nella commercializzazione di prodotti ESG</v>
      </c>
      <c r="C6" s="10" t="e">
        <f t="shared" si="0"/>
        <v>#N/A</v>
      </c>
      <c r="D6" s="10" t="e">
        <f t="shared" si="1"/>
        <v>#N/A</v>
      </c>
      <c r="E6" s="10" t="e">
        <f t="shared" si="2"/>
        <v>#N/A</v>
      </c>
      <c r="F6" s="10" t="e">
        <f t="shared" si="3"/>
        <v>#N/A</v>
      </c>
      <c r="G6" s="10" t="e">
        <f t="shared" si="4"/>
        <v>#N/A</v>
      </c>
      <c r="H6" s="10" t="e">
        <f t="shared" si="5"/>
        <v>#N/A</v>
      </c>
      <c r="I6" s="10" t="e">
        <f t="shared" si="6"/>
        <v>#N/A</v>
      </c>
      <c r="J6" t="str">
        <f t="shared" si="7"/>
        <v>Nuovo o non valutato in uno dei due cicli</v>
      </c>
    </row>
    <row r="7" spans="1:10" x14ac:dyDescent="0.4">
      <c r="A7" t="str">
        <f>Dashboard!A16</f>
        <v>NFR-04</v>
      </c>
      <c r="B7" t="str">
        <f>Dashboard!B16</f>
        <v>Eventi climatici estremi su sedi e data center</v>
      </c>
      <c r="C7" s="10" t="e">
        <f t="shared" si="0"/>
        <v>#N/A</v>
      </c>
      <c r="D7" s="10" t="e">
        <f t="shared" si="1"/>
        <v>#N/A</v>
      </c>
      <c r="E7" s="10" t="e">
        <f t="shared" si="2"/>
        <v>#N/A</v>
      </c>
      <c r="F7" s="10" t="e">
        <f t="shared" si="3"/>
        <v>#N/A</v>
      </c>
      <c r="G7" s="10" t="e">
        <f t="shared" si="4"/>
        <v>#N/A</v>
      </c>
      <c r="H7" s="10" t="e">
        <f t="shared" si="5"/>
        <v>#N/A</v>
      </c>
      <c r="I7" s="10" t="e">
        <f t="shared" si="6"/>
        <v>#N/A</v>
      </c>
      <c r="J7" t="str">
        <f t="shared" si="7"/>
        <v>Nuovo o non valutato in uno dei due cicli</v>
      </c>
    </row>
    <row r="8" spans="1:10" x14ac:dyDescent="0.4">
      <c r="A8" t="str">
        <f>Dashboard!A17</f>
        <v>NFR-05</v>
      </c>
      <c r="B8" t="str">
        <f>Dashboard!B17</f>
        <v>Errori di processo nella migrazione del core banking</v>
      </c>
      <c r="C8" s="10" t="e">
        <f t="shared" si="0"/>
        <v>#N/A</v>
      </c>
      <c r="D8" s="10" t="e">
        <f t="shared" si="1"/>
        <v>#N/A</v>
      </c>
      <c r="E8" s="10" t="e">
        <f t="shared" si="2"/>
        <v>#N/A</v>
      </c>
      <c r="F8" s="10" t="e">
        <f t="shared" si="3"/>
        <v>#N/A</v>
      </c>
      <c r="G8" s="10" t="e">
        <f t="shared" si="4"/>
        <v>#N/A</v>
      </c>
      <c r="H8" s="10" t="e">
        <f t="shared" si="5"/>
        <v>#N/A</v>
      </c>
      <c r="I8" s="10" t="e">
        <f t="shared" si="6"/>
        <v>#N/A</v>
      </c>
      <c r="J8" t="str">
        <f t="shared" si="7"/>
        <v>Nuovo o non valutato in uno dei due cicli</v>
      </c>
    </row>
    <row r="9" spans="1:10" x14ac:dyDescent="0.4">
      <c r="A9" t="str">
        <f>Dashboard!A18</f>
        <v>NFR-06</v>
      </c>
      <c r="B9" t="str">
        <f>Dashboard!B18</f>
        <v>Esfiltrazione di dati tramite strumenti di AI non autorizzati</v>
      </c>
      <c r="C9" s="10" t="e">
        <f t="shared" si="0"/>
        <v>#N/A</v>
      </c>
      <c r="D9" s="10" t="e">
        <f t="shared" si="1"/>
        <v>#N/A</v>
      </c>
      <c r="E9" s="10" t="e">
        <f t="shared" si="2"/>
        <v>#N/A</v>
      </c>
      <c r="F9" s="10" t="e">
        <f t="shared" si="3"/>
        <v>#N/A</v>
      </c>
      <c r="G9" s="10" t="e">
        <f t="shared" si="4"/>
        <v>#N/A</v>
      </c>
      <c r="H9" s="10" t="e">
        <f t="shared" si="5"/>
        <v>#N/A</v>
      </c>
      <c r="I9" s="10" t="e">
        <f t="shared" si="6"/>
        <v>#N/A</v>
      </c>
      <c r="J9" t="str">
        <f t="shared" si="7"/>
        <v>Nuovo o non valutato in uno dei due cicli</v>
      </c>
    </row>
    <row r="10" spans="1:10" x14ac:dyDescent="0.4">
      <c r="A10" t="str">
        <f>Dashboard!A19</f>
        <v>NFR-07</v>
      </c>
      <c r="B10" t="str">
        <f>Dashboard!B19</f>
        <v>Ransomware presso un fornitore di servizi di pagamento</v>
      </c>
      <c r="C10" s="10" t="e">
        <f t="shared" si="0"/>
        <v>#N/A</v>
      </c>
      <c r="D10" s="10" t="e">
        <f t="shared" si="1"/>
        <v>#N/A</v>
      </c>
      <c r="E10" s="10" t="e">
        <f t="shared" si="2"/>
        <v>#N/A</v>
      </c>
      <c r="F10" s="10" t="e">
        <f t="shared" si="3"/>
        <v>#N/A</v>
      </c>
      <c r="G10" s="10" t="e">
        <f t="shared" si="4"/>
        <v>#N/A</v>
      </c>
      <c r="H10" s="10" t="e">
        <f t="shared" si="5"/>
        <v>#N/A</v>
      </c>
      <c r="I10" s="10" t="e">
        <f t="shared" si="6"/>
        <v>#N/A</v>
      </c>
      <c r="J10" t="str">
        <f t="shared" si="7"/>
        <v>Nuovo o non valutato in uno dei due cicli</v>
      </c>
    </row>
    <row r="11" spans="1:10" x14ac:dyDescent="0.4">
      <c r="A11" t="str">
        <f>Dashboard!A20</f>
        <v>NFR-08</v>
      </c>
      <c r="B11" t="str">
        <f>Dashboard!B20</f>
        <v>Accessi impropri di dipendenti ai dati dei clienti</v>
      </c>
      <c r="C11" s="10" t="e">
        <f t="shared" si="0"/>
        <v>#N/A</v>
      </c>
      <c r="D11" s="10" t="e">
        <f t="shared" si="1"/>
        <v>#N/A</v>
      </c>
      <c r="E11" s="10" t="e">
        <f t="shared" si="2"/>
        <v>#N/A</v>
      </c>
      <c r="F11" s="10" t="e">
        <f t="shared" si="3"/>
        <v>#N/A</v>
      </c>
      <c r="G11" s="10" t="e">
        <f t="shared" si="4"/>
        <v>#N/A</v>
      </c>
      <c r="H11" s="10" t="e">
        <f t="shared" si="5"/>
        <v>#N/A</v>
      </c>
      <c r="I11" s="10" t="e">
        <f t="shared" si="6"/>
        <v>#N/A</v>
      </c>
      <c r="J11" t="str">
        <f t="shared" si="7"/>
        <v>Nuovo o non valutato in uno dei due cicli</v>
      </c>
    </row>
    <row r="12" spans="1:10" x14ac:dyDescent="0.4">
      <c r="A12" t="str">
        <f>Dashboard!A21</f>
        <v>NFR-09</v>
      </c>
      <c r="B12" t="str">
        <f>Dashboard!B21</f>
        <v>Violazione di sanzioni internazionali tramite triangolazioni</v>
      </c>
      <c r="C12" s="10" t="e">
        <f t="shared" si="0"/>
        <v>#N/A</v>
      </c>
      <c r="D12" s="10" t="e">
        <f t="shared" si="1"/>
        <v>#N/A</v>
      </c>
      <c r="E12" s="10" t="e">
        <f t="shared" si="2"/>
        <v>#N/A</v>
      </c>
      <c r="F12" s="10" t="e">
        <f t="shared" si="3"/>
        <v>#N/A</v>
      </c>
      <c r="G12" s="10" t="e">
        <f t="shared" si="4"/>
        <v>#N/A</v>
      </c>
      <c r="H12" s="10" t="e">
        <f t="shared" si="5"/>
        <v>#N/A</v>
      </c>
      <c r="I12" s="10" t="e">
        <f t="shared" si="6"/>
        <v>#N/A</v>
      </c>
      <c r="J12" t="str">
        <f t="shared" si="7"/>
        <v>Nuovo o non valutato in uno dei due cicli</v>
      </c>
    </row>
    <row r="13" spans="1:10" x14ac:dyDescent="0.4">
      <c r="A13" t="str">
        <f>Dashboard!A22</f>
        <v>NFR-10</v>
      </c>
      <c r="B13" t="str">
        <f>Dashboard!B22</f>
        <v>Informazioni errate ai clienti da assistenti di AI generativa</v>
      </c>
      <c r="C13" s="10" t="e">
        <f t="shared" si="0"/>
        <v>#N/A</v>
      </c>
      <c r="D13" s="10" t="e">
        <f t="shared" si="1"/>
        <v>#N/A</v>
      </c>
      <c r="E13" s="10" t="e">
        <f t="shared" si="2"/>
        <v>#N/A</v>
      </c>
      <c r="F13" s="10" t="e">
        <f t="shared" si="3"/>
        <v>#N/A</v>
      </c>
      <c r="G13" s="10" t="e">
        <f t="shared" si="4"/>
        <v>#N/A</v>
      </c>
      <c r="H13" s="10" t="e">
        <f t="shared" si="5"/>
        <v>#N/A</v>
      </c>
      <c r="I13" s="10" t="e">
        <f t="shared" si="6"/>
        <v>#N/A</v>
      </c>
      <c r="J13" t="str">
        <f t="shared" si="7"/>
        <v>Nuovo o non valutato in uno dei due cicli</v>
      </c>
    </row>
    <row r="14" spans="1:10" x14ac:dyDescent="0.4">
      <c r="A14" t="str">
        <f>Dashboard!A23</f>
        <v>NFR-11</v>
      </c>
      <c r="B14" t="str">
        <f>Dashboard!B23</f>
        <v>Fine del supporto dei sistemi di pagamento legacy</v>
      </c>
      <c r="C14" s="10" t="e">
        <f t="shared" si="0"/>
        <v>#N/A</v>
      </c>
      <c r="D14" s="10" t="e">
        <f t="shared" si="1"/>
        <v>#N/A</v>
      </c>
      <c r="E14" s="10" t="e">
        <f t="shared" si="2"/>
        <v>#N/A</v>
      </c>
      <c r="F14" s="10" t="e">
        <f t="shared" si="3"/>
        <v>#N/A</v>
      </c>
      <c r="G14" s="10" t="e">
        <f t="shared" si="4"/>
        <v>#N/A</v>
      </c>
      <c r="H14" s="10" t="e">
        <f t="shared" si="5"/>
        <v>#N/A</v>
      </c>
      <c r="I14" s="10" t="e">
        <f t="shared" si="6"/>
        <v>#N/A</v>
      </c>
      <c r="J14" t="str">
        <f t="shared" si="7"/>
        <v>Nuovo o non valutato in uno dei due cicli</v>
      </c>
    </row>
    <row r="15" spans="1:10" x14ac:dyDescent="0.4">
      <c r="A15" t="str">
        <f>Dashboard!A24</f>
        <v>NFR-12</v>
      </c>
      <c r="B15" t="str">
        <f>Dashboard!B24</f>
        <v>Errori operativi nei pagamenti istantanei obbligatori</v>
      </c>
      <c r="C15" s="10" t="e">
        <f t="shared" si="0"/>
        <v>#N/A</v>
      </c>
      <c r="D15" s="10" t="e">
        <f t="shared" si="1"/>
        <v>#N/A</v>
      </c>
      <c r="E15" s="10" t="e">
        <f t="shared" si="2"/>
        <v>#N/A</v>
      </c>
      <c r="F15" s="10" t="e">
        <f t="shared" si="3"/>
        <v>#N/A</v>
      </c>
      <c r="G15" s="10" t="e">
        <f t="shared" si="4"/>
        <v>#N/A</v>
      </c>
      <c r="H15" s="10" t="e">
        <f t="shared" si="5"/>
        <v>#N/A</v>
      </c>
      <c r="I15" s="10" t="e">
        <f t="shared" si="6"/>
        <v>#N/A</v>
      </c>
      <c r="J15" t="str">
        <f t="shared" si="7"/>
        <v>Nuovo o non valutato in uno dei due cicli</v>
      </c>
    </row>
    <row r="16" spans="1:10" x14ac:dyDescent="0.4">
      <c r="A16" t="str">
        <f>Dashboard!A25</f>
        <v/>
      </c>
      <c r="B16" t="str">
        <f>Dashboard!B25</f>
        <v/>
      </c>
      <c r="C16" s="10" t="e">
        <f t="shared" si="0"/>
        <v>#N/A</v>
      </c>
      <c r="D16" s="10" t="e">
        <f t="shared" si="1"/>
        <v>#N/A</v>
      </c>
      <c r="E16" s="10" t="e">
        <f t="shared" si="2"/>
        <v>#N/A</v>
      </c>
      <c r="F16" s="10" t="e">
        <f t="shared" si="3"/>
        <v>#N/A</v>
      </c>
      <c r="G16" s="10" t="e">
        <f t="shared" si="4"/>
        <v>#N/A</v>
      </c>
      <c r="H16" s="10" t="e">
        <f t="shared" si="5"/>
        <v>#N/A</v>
      </c>
      <c r="I16" s="10" t="e">
        <f t="shared" si="6"/>
        <v>#N/A</v>
      </c>
      <c r="J16" t="str">
        <f t="shared" si="7"/>
        <v/>
      </c>
    </row>
    <row r="17" spans="1:10" x14ac:dyDescent="0.4">
      <c r="A17" t="str">
        <f>Dashboard!A26</f>
        <v/>
      </c>
      <c r="B17" t="str">
        <f>Dashboard!B26</f>
        <v/>
      </c>
      <c r="C17" s="10" t="e">
        <f t="shared" si="0"/>
        <v>#N/A</v>
      </c>
      <c r="D17" s="10" t="e">
        <f t="shared" si="1"/>
        <v>#N/A</v>
      </c>
      <c r="E17" s="10" t="e">
        <f t="shared" si="2"/>
        <v>#N/A</v>
      </c>
      <c r="F17" s="10" t="e">
        <f t="shared" si="3"/>
        <v>#N/A</v>
      </c>
      <c r="G17" s="10" t="e">
        <f t="shared" si="4"/>
        <v>#N/A</v>
      </c>
      <c r="H17" s="10" t="e">
        <f t="shared" si="5"/>
        <v>#N/A</v>
      </c>
      <c r="I17" s="10" t="e">
        <f t="shared" si="6"/>
        <v>#N/A</v>
      </c>
      <c r="J17" t="str">
        <f t="shared" si="7"/>
        <v/>
      </c>
    </row>
    <row r="18" spans="1:10" x14ac:dyDescent="0.4">
      <c r="A18" t="str">
        <f>Dashboard!A27</f>
        <v/>
      </c>
      <c r="B18" t="str">
        <f>Dashboard!B27</f>
        <v/>
      </c>
      <c r="C18" s="10" t="e">
        <f t="shared" si="0"/>
        <v>#N/A</v>
      </c>
      <c r="D18" s="10" t="e">
        <f t="shared" si="1"/>
        <v>#N/A</v>
      </c>
      <c r="E18" s="10" t="e">
        <f t="shared" si="2"/>
        <v>#N/A</v>
      </c>
      <c r="F18" s="10" t="e">
        <f t="shared" si="3"/>
        <v>#N/A</v>
      </c>
      <c r="G18" s="10" t="e">
        <f t="shared" si="4"/>
        <v>#N/A</v>
      </c>
      <c r="H18" s="10" t="e">
        <f t="shared" si="5"/>
        <v>#N/A</v>
      </c>
      <c r="I18" s="10" t="e">
        <f t="shared" si="6"/>
        <v>#N/A</v>
      </c>
      <c r="J18" t="str">
        <f t="shared" si="7"/>
        <v/>
      </c>
    </row>
  </sheetData>
  <conditionalFormatting sqref="C4:I18">
    <cfRule type="expression" dxfId="19" priority="1">
      <formula>ISNA(C4)</formula>
    </cfRule>
  </conditionalFormatting>
  <conditionalFormatting sqref="I4:I18">
    <cfRule type="expression" dxfId="18" priority="2">
      <formula>AND(ISNUMBER(I4),I4&gt;=sogliaDelta)</formula>
    </cfRule>
    <cfRule type="expression" dxfId="17" priority="3">
      <formula>AND(ISNUMBER(I4),I4&lt;=-sogliaDelta)</formula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3" width="15" customWidth="1"/>
    <col min="4" max="4" width="50" customWidth="1"/>
    <col min="5" max="15" width="15" customWidth="1"/>
    <col min="16" max="16" width="60" customWidth="1"/>
    <col min="17" max="17" width="15" customWidth="1"/>
    <col min="19" max="19" width="70" customWidth="1"/>
  </cols>
  <sheetData>
    <row r="1" spans="1:19" x14ac:dyDescent="0.4">
      <c r="A1" s="2" t="s">
        <v>210</v>
      </c>
      <c r="B1" s="2" t="s">
        <v>211</v>
      </c>
      <c r="C1" s="2" t="s">
        <v>212</v>
      </c>
      <c r="D1" s="2" t="s">
        <v>213</v>
      </c>
      <c r="E1" s="2" t="s">
        <v>214</v>
      </c>
      <c r="F1" s="2" t="s">
        <v>215</v>
      </c>
      <c r="G1" s="2" t="s">
        <v>116</v>
      </c>
      <c r="H1" s="2" t="s">
        <v>117</v>
      </c>
      <c r="I1" s="2" t="s">
        <v>216</v>
      </c>
      <c r="J1" s="2" t="s">
        <v>217</v>
      </c>
      <c r="K1" s="2" t="s">
        <v>218</v>
      </c>
      <c r="L1" s="2" t="s">
        <v>219</v>
      </c>
      <c r="M1" s="2" t="s">
        <v>220</v>
      </c>
      <c r="N1" s="2" t="s">
        <v>221</v>
      </c>
      <c r="O1" s="2" t="s">
        <v>222</v>
      </c>
      <c r="P1" s="2" t="s">
        <v>223</v>
      </c>
      <c r="Q1" s="2" t="s">
        <v>190</v>
      </c>
      <c r="S1" s="3" t="s">
        <v>224</v>
      </c>
    </row>
    <row r="2" spans="1:19" ht="29.15" x14ac:dyDescent="0.4">
      <c r="A2" s="9">
        <v>46301</v>
      </c>
      <c r="B2" s="9">
        <f>A2-WEEKDAY(A2,2)+1</f>
        <v>46300</v>
      </c>
      <c r="C2" s="13" t="s">
        <v>297</v>
      </c>
      <c r="D2" s="14" t="s">
        <v>298</v>
      </c>
      <c r="E2" s="13" t="s">
        <v>299</v>
      </c>
      <c r="F2" s="13" t="s">
        <v>300</v>
      </c>
      <c r="G2" s="13" t="s">
        <v>301</v>
      </c>
      <c r="H2" s="13" t="s">
        <v>302</v>
      </c>
      <c r="I2">
        <v>0</v>
      </c>
      <c r="J2">
        <v>0</v>
      </c>
      <c r="K2">
        <v>2</v>
      </c>
      <c r="L2">
        <v>0</v>
      </c>
      <c r="M2">
        <v>0</v>
      </c>
      <c r="N2">
        <v>1</v>
      </c>
      <c r="O2">
        <v>1</v>
      </c>
      <c r="P2" s="14" t="s">
        <v>303</v>
      </c>
      <c r="Q2" s="13" t="s">
        <v>327</v>
      </c>
      <c r="S2" s="3" t="s">
        <v>225</v>
      </c>
    </row>
    <row r="3" spans="1:19" ht="29.15" x14ac:dyDescent="0.4">
      <c r="A3" s="9">
        <v>46302</v>
      </c>
      <c r="B3" s="9">
        <f>A3-WEEKDAY(A3,2)+1</f>
        <v>46300</v>
      </c>
      <c r="C3" s="13" t="s">
        <v>304</v>
      </c>
      <c r="D3" s="14" t="s">
        <v>305</v>
      </c>
      <c r="E3" s="13" t="s">
        <v>306</v>
      </c>
      <c r="F3" s="13" t="s">
        <v>307</v>
      </c>
      <c r="G3" s="13" t="s">
        <v>301</v>
      </c>
      <c r="H3" s="13" t="s">
        <v>302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 s="14" t="s">
        <v>308</v>
      </c>
      <c r="Q3" s="13" t="s">
        <v>327</v>
      </c>
      <c r="S3" s="3" t="s">
        <v>226</v>
      </c>
    </row>
    <row r="4" spans="1:19" ht="29.15" x14ac:dyDescent="0.4">
      <c r="A4" s="9">
        <v>46303</v>
      </c>
      <c r="B4" s="9">
        <f>A4-WEEKDAY(A4,2)+1</f>
        <v>46300</v>
      </c>
      <c r="C4" s="13" t="s">
        <v>309</v>
      </c>
      <c r="D4" s="14" t="s">
        <v>310</v>
      </c>
      <c r="E4" s="13" t="s">
        <v>311</v>
      </c>
      <c r="F4" s="13" t="s">
        <v>312</v>
      </c>
      <c r="G4" s="13" t="s">
        <v>301</v>
      </c>
      <c r="H4" s="13" t="s">
        <v>302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 s="14" t="s">
        <v>313</v>
      </c>
      <c r="Q4" s="13" t="s">
        <v>327</v>
      </c>
      <c r="S4" s="3" t="s">
        <v>227</v>
      </c>
    </row>
    <row r="5" spans="1:19" ht="29.15" x14ac:dyDescent="0.4">
      <c r="A5" s="9">
        <v>46303</v>
      </c>
      <c r="B5" s="9">
        <f>A5-WEEKDAY(A5,2)+1</f>
        <v>46300</v>
      </c>
      <c r="C5" s="13" t="s">
        <v>314</v>
      </c>
      <c r="D5" s="14" t="s">
        <v>315</v>
      </c>
      <c r="E5" s="13" t="s">
        <v>316</v>
      </c>
      <c r="F5" s="13" t="s">
        <v>317</v>
      </c>
      <c r="G5" s="13" t="s">
        <v>301</v>
      </c>
      <c r="H5" s="13" t="s">
        <v>318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 s="14" t="s">
        <v>319</v>
      </c>
      <c r="Q5" s="13" t="s">
        <v>327</v>
      </c>
      <c r="S5" s="3" t="s">
        <v>228</v>
      </c>
    </row>
    <row r="6" spans="1:19" ht="29.15" x14ac:dyDescent="0.4">
      <c r="A6" s="9">
        <v>46304</v>
      </c>
      <c r="B6" s="9">
        <f>A6-WEEKDAY(A6,2)+1</f>
        <v>46300</v>
      </c>
      <c r="C6" s="13" t="s">
        <v>320</v>
      </c>
      <c r="D6" s="14" t="s">
        <v>321</v>
      </c>
      <c r="E6" s="13" t="s">
        <v>322</v>
      </c>
      <c r="F6" s="13" t="s">
        <v>323</v>
      </c>
      <c r="G6" s="13" t="s">
        <v>301</v>
      </c>
      <c r="H6" s="13" t="s">
        <v>302</v>
      </c>
      <c r="I6">
        <v>0</v>
      </c>
      <c r="J6">
        <v>2</v>
      </c>
      <c r="K6">
        <v>0</v>
      </c>
      <c r="L6">
        <v>2</v>
      </c>
      <c r="M6">
        <v>0</v>
      </c>
      <c r="N6">
        <v>0</v>
      </c>
      <c r="O6">
        <v>0</v>
      </c>
      <c r="P6" s="14" t="s">
        <v>324</v>
      </c>
      <c r="Q6" s="13" t="s">
        <v>327</v>
      </c>
    </row>
  </sheetData>
  <dataValidations count="1">
    <dataValidation type="list" allowBlank="1" sqref="H2:H19995" xr:uid="{00000000-0002-0000-0800-000000000000}">
      <formula1>"Peggiorativo,Migliorativo,Neutro,Non rilevante"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"/>
  <sheetViews>
    <sheetView workbookViewId="0"/>
  </sheetViews>
  <sheetFormatPr defaultRowHeight="14.6" x14ac:dyDescent="0.4"/>
  <cols>
    <col min="1" max="1" width="26" customWidth="1"/>
    <col min="2" max="2" width="44" customWidth="1"/>
    <col min="3" max="7" width="16" customWidth="1"/>
    <col min="10" max="10" width="13" hidden="1" customWidth="1"/>
  </cols>
  <sheetData>
    <row r="1" spans="1:8" ht="18.45" x14ac:dyDescent="0.5">
      <c r="A1" s="1" t="s">
        <v>229</v>
      </c>
    </row>
    <row r="2" spans="1:8" x14ac:dyDescent="0.4">
      <c r="A2" s="3" t="s">
        <v>230</v>
      </c>
    </row>
    <row r="3" spans="1:8" x14ac:dyDescent="0.4">
      <c r="A3" t="s">
        <v>231</v>
      </c>
      <c r="B3" s="7" t="s">
        <v>96</v>
      </c>
    </row>
    <row r="4" spans="1:8" x14ac:dyDescent="0.4">
      <c r="A4" t="s">
        <v>14</v>
      </c>
      <c r="B4" t="str">
        <f>IFERROR(INDEX(ANA_Nome,MATCH($B$3,ANA_ID,0)),"ID non in anagrafica")</f>
        <v>Frodi su pagamenti istantanei abilitate da AI generativa</v>
      </c>
    </row>
    <row r="5" spans="1:8" x14ac:dyDescent="0.4">
      <c r="A5" t="s">
        <v>55</v>
      </c>
      <c r="B5" t="str">
        <f>IFERROR(INDEX(ANA_Event_Type,MATCH($B$3,ANA_ID,0)),"")</f>
        <v>L1-02</v>
      </c>
    </row>
    <row r="6" spans="1:8" x14ac:dyDescent="0.4">
      <c r="A6" t="s">
        <v>114</v>
      </c>
      <c r="B6" t="str">
        <f>IFERROR(INDEX(ANA_Owner,MATCH($B$3,ANA_ID,0)),"")</f>
        <v>Da assegnare</v>
      </c>
    </row>
    <row r="8" spans="1:8" x14ac:dyDescent="0.4">
      <c r="A8" s="2" t="s">
        <v>178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232</v>
      </c>
      <c r="G8" s="2" t="s">
        <v>22</v>
      </c>
      <c r="H8" s="2" t="s">
        <v>57</v>
      </c>
    </row>
    <row r="9" spans="1:8" x14ac:dyDescent="0.4">
      <c r="A9" t="str">
        <f>Parametri!$B$20</f>
        <v>2024Q4</v>
      </c>
      <c r="B9" t="e">
        <f t="shared" ref="B9:B16" si="0">IF($A9="",NA(),IF(COUNTIFS(RR_ID_Rischio,$B$3,RR_Ciclo,$A9)=0,NA(),SUMIFS(RR_Severity,RR_ID_Rischio,$B$3,RR_Ciclo,$A9)))</f>
        <v>#N/A</v>
      </c>
      <c r="C9" t="e">
        <f t="shared" ref="C9:C16" si="1">IF($A9="",NA(),IF(COUNTIFS(RR_ID_Rischio,$B$3,RR_Ciclo,$A9)=0,NA(),SUMIFS(RR_Velocity,RR_ID_Rischio,$B$3,RR_Ciclo,$A9)))</f>
        <v>#N/A</v>
      </c>
      <c r="D9" t="e">
        <f t="shared" ref="D9:D16" si="2">IF($A9="",NA(),IF(COUNTIFS(RR_ID_Rischio,$B$3,RR_Ciclo,$A9)=0,NA(),SUMIFS(RR_Prossimita,RR_ID_Rischio,$B$3,RR_Ciclo,$A9)))</f>
        <v>#N/A</v>
      </c>
      <c r="E9" t="e">
        <f t="shared" ref="E9:E16" si="3">IF($A9="",NA(),IF(COUNTIFS(RR_ID_Rischio,$B$3,RR_Ciclo,$A9)=0,NA(),SUMIFS(RR_Gap_Controlli,RR_ID_Rischio,$B$3,RR_Ciclo,$A9)))</f>
        <v>#N/A</v>
      </c>
      <c r="F9" t="e">
        <f t="shared" ref="F9:F16" si="4">IF($A9="",NA(),IF(COUNTIFS(RR_ID_Rischio,$B$3,RR_Ciclo,$A9)=0,NA(),SUMIFS(RR_Score_Composito,RR_ID_Rischio,$B$3,RR_Ciclo,$A9)))</f>
        <v>#N/A</v>
      </c>
      <c r="G9" t="e">
        <f t="shared" ref="G9:G16" si="5">IF($A9="",NA(),IF(COUNTIFS(RR_ID_Rischio,$B$3,RR_Ciclo,$A9)=0,NA(),SUMIFS(RR_Confidence,RR_ID_Rischio,$B$3,RR_Ciclo,$A9)))</f>
        <v>#N/A</v>
      </c>
      <c r="H9" t="e">
        <f t="shared" ref="H9:H16" si="6">IF($A9="",NA(),IF(COUNTIFS(RR_ID_Rischio,$B$3,RR_Ciclo,$A9)=0,NA(),SUMIFS(RR_Probabilita,RR_ID_Rischio,$B$3,RR_Ciclo,$A9)))</f>
        <v>#N/A</v>
      </c>
    </row>
    <row r="10" spans="1:8" x14ac:dyDescent="0.4">
      <c r="A10" t="str">
        <f>Parametri!$B$21</f>
        <v>2025Q1</v>
      </c>
      <c r="B10" t="e">
        <f t="shared" si="0"/>
        <v>#N/A</v>
      </c>
      <c r="C10" t="e">
        <f t="shared" si="1"/>
        <v>#N/A</v>
      </c>
      <c r="D10" t="e">
        <f t="shared" si="2"/>
        <v>#N/A</v>
      </c>
      <c r="E10" t="e">
        <f t="shared" si="3"/>
        <v>#N/A</v>
      </c>
      <c r="F10" t="e">
        <f t="shared" si="4"/>
        <v>#N/A</v>
      </c>
      <c r="G10" t="e">
        <f t="shared" si="5"/>
        <v>#N/A</v>
      </c>
      <c r="H10" t="e">
        <f t="shared" si="6"/>
        <v>#N/A</v>
      </c>
    </row>
    <row r="11" spans="1:8" x14ac:dyDescent="0.4">
      <c r="A11" t="str">
        <f>Parametri!$B$22</f>
        <v>2025Q2</v>
      </c>
      <c r="B11" t="e">
        <f t="shared" si="0"/>
        <v>#N/A</v>
      </c>
      <c r="C11" t="e">
        <f t="shared" si="1"/>
        <v>#N/A</v>
      </c>
      <c r="D11" t="e">
        <f t="shared" si="2"/>
        <v>#N/A</v>
      </c>
      <c r="E11" t="e">
        <f t="shared" si="3"/>
        <v>#N/A</v>
      </c>
      <c r="F11" t="e">
        <f t="shared" si="4"/>
        <v>#N/A</v>
      </c>
      <c r="G11" t="e">
        <f t="shared" si="5"/>
        <v>#N/A</v>
      </c>
      <c r="H11" t="e">
        <f t="shared" si="6"/>
        <v>#N/A</v>
      </c>
    </row>
    <row r="12" spans="1:8" x14ac:dyDescent="0.4">
      <c r="A12" t="str">
        <f>Parametri!$B$23</f>
        <v>2025Q3</v>
      </c>
      <c r="B12" t="e">
        <f t="shared" si="0"/>
        <v>#N/A</v>
      </c>
      <c r="C12" t="e">
        <f t="shared" si="1"/>
        <v>#N/A</v>
      </c>
      <c r="D12" t="e">
        <f t="shared" si="2"/>
        <v>#N/A</v>
      </c>
      <c r="E12" t="e">
        <f t="shared" si="3"/>
        <v>#N/A</v>
      </c>
      <c r="F12" t="e">
        <f t="shared" si="4"/>
        <v>#N/A</v>
      </c>
      <c r="G12" t="e">
        <f t="shared" si="5"/>
        <v>#N/A</v>
      </c>
      <c r="H12" t="e">
        <f t="shared" si="6"/>
        <v>#N/A</v>
      </c>
    </row>
    <row r="13" spans="1:8" x14ac:dyDescent="0.4">
      <c r="A13" t="str">
        <f>Parametri!$B$24</f>
        <v>2025Q4</v>
      </c>
      <c r="B13" t="e">
        <f t="shared" si="0"/>
        <v>#N/A</v>
      </c>
      <c r="C13" t="e">
        <f t="shared" si="1"/>
        <v>#N/A</v>
      </c>
      <c r="D13" t="e">
        <f t="shared" si="2"/>
        <v>#N/A</v>
      </c>
      <c r="E13" t="e">
        <f t="shared" si="3"/>
        <v>#N/A</v>
      </c>
      <c r="F13" t="e">
        <f t="shared" si="4"/>
        <v>#N/A</v>
      </c>
      <c r="G13" t="e">
        <f t="shared" si="5"/>
        <v>#N/A</v>
      </c>
      <c r="H13" t="e">
        <f t="shared" si="6"/>
        <v>#N/A</v>
      </c>
    </row>
    <row r="14" spans="1:8" x14ac:dyDescent="0.4">
      <c r="A14" t="str">
        <f>Parametri!$B$25</f>
        <v>2026Q1</v>
      </c>
      <c r="B14" t="e">
        <f t="shared" si="0"/>
        <v>#N/A</v>
      </c>
      <c r="C14" t="e">
        <f t="shared" si="1"/>
        <v>#N/A</v>
      </c>
      <c r="D14" t="e">
        <f t="shared" si="2"/>
        <v>#N/A</v>
      </c>
      <c r="E14" t="e">
        <f t="shared" si="3"/>
        <v>#N/A</v>
      </c>
      <c r="F14" t="e">
        <f t="shared" si="4"/>
        <v>#N/A</v>
      </c>
      <c r="G14" t="e">
        <f t="shared" si="5"/>
        <v>#N/A</v>
      </c>
      <c r="H14" t="e">
        <f t="shared" si="6"/>
        <v>#N/A</v>
      </c>
    </row>
    <row r="15" spans="1:8" x14ac:dyDescent="0.4">
      <c r="A15" t="str">
        <f>Parametri!$B$26</f>
        <v>2026Q2</v>
      </c>
      <c r="B15" t="e">
        <f t="shared" si="0"/>
        <v>#N/A</v>
      </c>
      <c r="C15" t="e">
        <f t="shared" si="1"/>
        <v>#N/A</v>
      </c>
      <c r="D15" t="e">
        <f t="shared" si="2"/>
        <v>#N/A</v>
      </c>
      <c r="E15" t="e">
        <f t="shared" si="3"/>
        <v>#N/A</v>
      </c>
      <c r="F15" t="e">
        <f t="shared" si="4"/>
        <v>#N/A</v>
      </c>
      <c r="G15" t="e">
        <f t="shared" si="5"/>
        <v>#N/A</v>
      </c>
      <c r="H15" t="e">
        <f t="shared" si="6"/>
        <v>#N/A</v>
      </c>
    </row>
    <row r="16" spans="1:8" x14ac:dyDescent="0.4">
      <c r="A16" t="str">
        <f>Parametri!$B$27</f>
        <v>2026Q3</v>
      </c>
      <c r="B16">
        <f t="shared" si="0"/>
        <v>4</v>
      </c>
      <c r="C16">
        <f t="shared" si="1"/>
        <v>4</v>
      </c>
      <c r="D16">
        <f t="shared" si="2"/>
        <v>4</v>
      </c>
      <c r="E16">
        <f t="shared" si="3"/>
        <v>3</v>
      </c>
      <c r="F16">
        <f t="shared" si="4"/>
        <v>3.8</v>
      </c>
      <c r="G16">
        <f t="shared" si="5"/>
        <v>4</v>
      </c>
      <c r="H16">
        <f t="shared" si="6"/>
        <v>4</v>
      </c>
    </row>
    <row r="18" spans="1:10" ht="60" customHeight="1" x14ac:dyDescent="0.4">
      <c r="A18" t="s">
        <v>233</v>
      </c>
      <c r="B18" s="11" t="str">
        <f>IFERROR(INDEX(RR_Razionale,MATCH(cicloCorrente&amp;"|"&amp;$B$3,RR_Chiave,0)),"—")</f>
        <v>Il report frodi del terzo trimestre conferma importi medi elevati e casi con voce sintetica in linea con il trimestre precedente: severity 4 (danno reputazionale nazionale possibile), velocity 4 (impatto in minuti), prossimita' 4 (casi in banche comparabili). Gap_Controlli resta 3: la verifica fuori banda e' approvata ma non ancora attiva sui bonifici istantanei.</v>
      </c>
    </row>
    <row r="19" spans="1:10" ht="60" customHeight="1" x14ac:dyDescent="0.4">
      <c r="A19" t="s">
        <v>234</v>
      </c>
      <c r="B19" s="11" t="str">
        <f>IFERROR(INDEX(RR_Variazioni,MATCH(cicloCorrente&amp;"|"&amp;$B$3,RR_Chiave,0)),"—")</f>
        <v>[]</v>
      </c>
    </row>
    <row r="20" spans="1:10" ht="60" customHeight="1" x14ac:dyDescent="0.4">
      <c r="A20" t="s">
        <v>235</v>
      </c>
      <c r="B20" s="11" t="str">
        <f>IFERROR(INDEX(RR_Fonti,MATCH(cicloCorrente&amp;"|"&amp;$B$3,RR_Chiave,0)),"—")</f>
        <v>[{"riferimento": "Analisi interna sulle frodi da ingegneria sociale", "data": "2025-10-20", "tipo": "Interna"}, {"riferimento": "Threat intelligence: campagne di frode con voce sintetica verso banche UE", "data": "2026-04-15", "tipo": "Esterna"}, {"riferimento": "Report trimestrale frodi — Funzione Antifrode", "data": "2026-06-10", "tipo": "Interna"}, {"riferimento": "Relazione annuale sui pagamenti al dettaglio dell'autorita' di vigilanza", "data": "2026-05-28", "tipo": "Esterna"}, {"riferimento": "Report trimestrale frodi Q3 — Funzione Antifrode", "data": "2026-09-12", "tipo": "Interna"}]</v>
      </c>
    </row>
    <row r="22" spans="1:10" x14ac:dyDescent="0.4">
      <c r="A22" s="2" t="s">
        <v>236</v>
      </c>
    </row>
    <row r="23" spans="1:10" x14ac:dyDescent="0.4">
      <c r="A23" s="2" t="s">
        <v>237</v>
      </c>
      <c r="B23" s="2" t="s">
        <v>14</v>
      </c>
      <c r="C23" s="2" t="s">
        <v>238</v>
      </c>
      <c r="D23" s="2" t="s">
        <v>112</v>
      </c>
      <c r="E23" s="2" t="s">
        <v>113</v>
      </c>
      <c r="F23" s="2" t="s">
        <v>111</v>
      </c>
      <c r="G23" s="2" t="s">
        <v>93</v>
      </c>
    </row>
    <row r="24" spans="1:10" x14ac:dyDescent="0.4">
      <c r="A24" t="str">
        <f>IF($J24="","",INDEX(KRI!$B:$B,$J24)&amp;"")</f>
        <v>NFR-01-K1</v>
      </c>
      <c r="B24" t="str">
        <f>IF($J24="","",INDEX(KRI!$D:$D,$J24)&amp;"")</f>
        <v>Tentativi di frode APP per 10.000 bonifici istantanei</v>
      </c>
      <c r="C24" t="str">
        <f>IF($J24="","",INDEX(KRI!$E:$E,$J24)&amp;"")</f>
        <v>n/10k</v>
      </c>
      <c r="D24">
        <f>IF($J24="","",INDEX(KRI!$G:$G,$J24))</f>
        <v>3</v>
      </c>
      <c r="E24">
        <f>IF($J24="","",INDEX(KRI!$H:$H,$J24))</f>
        <v>6</v>
      </c>
      <c r="F24">
        <f>IF($J24="","",INDEX(KRI!$I:$I,$J24))</f>
        <v>4.8</v>
      </c>
      <c r="G24" t="str">
        <f>IF($J24="","",INDEX(KRI!$M:$M,$J24)&amp;"")</f>
        <v>Ambra</v>
      </c>
      <c r="J24">
        <f>IFERROR(_xlfn.AGGREGATE(15,6,ROW(KRI_ID_Rischio)/((KRI_ID_Rischio=$B$3)*(KRI_In_Vigore="Sì")*(KRI_Ciclo=cicloCorrente)),1),"")</f>
        <v>2</v>
      </c>
    </row>
    <row r="25" spans="1:10" x14ac:dyDescent="0.4">
      <c r="A25" t="str">
        <f>IF($J25="","",INDEX(KRI!$B:$B,$J25)&amp;"")</f>
        <v>NFR-01-K2</v>
      </c>
      <c r="B25" t="str">
        <f>IF($J25="","",INDEX(KRI!$D:$D,$J25)&amp;"")</f>
        <v>Quota di frodi con voce o video sintetici accertati</v>
      </c>
      <c r="C25" t="str">
        <f>IF($J25="","",INDEX(KRI!$E:$E,$J25)&amp;"")</f>
        <v>%</v>
      </c>
      <c r="D25">
        <f>IF($J25="","",INDEX(KRI!$G:$G,$J25))</f>
        <v>10</v>
      </c>
      <c r="E25">
        <f>IF($J25="","",INDEX(KRI!$H:$H,$J25))</f>
        <v>25</v>
      </c>
      <c r="F25">
        <f>IF($J25="","",INDEX(KRI!$I:$I,$J25))</f>
        <v>0</v>
      </c>
      <c r="G25" t="str">
        <f>IF($J25="","",INDEX(KRI!$M:$M,$J25)&amp;"")</f>
        <v>Non rilevato</v>
      </c>
      <c r="J25">
        <f>IFERROR(_xlfn.AGGREGATE(15,6,ROW(KRI_ID_Rischio)/((KRI_ID_Rischio=$B$3)*(KRI_In_Vigore="Sì")*(KRI_Ciclo=cicloCorrente)),2),"")</f>
        <v>3</v>
      </c>
    </row>
    <row r="26" spans="1:10" x14ac:dyDescent="0.4">
      <c r="A26" t="str">
        <f>IF($J26="","",INDEX(KRI!$B:$B,$J26)&amp;"")</f>
        <v>NFR-01-K3</v>
      </c>
      <c r="B26" t="str">
        <f>IF($J26="","",INDEX(KRI!$D:$D,$J26)&amp;"")</f>
        <v>Tempo medio di blocco di un beneficiario fraudolento</v>
      </c>
      <c r="C26" t="str">
        <f>IF($J26="","",INDEX(KRI!$E:$E,$J26)&amp;"")</f>
        <v>ore</v>
      </c>
      <c r="D26">
        <f>IF($J26="","",INDEX(KRI!$G:$G,$J26))</f>
        <v>4</v>
      </c>
      <c r="E26">
        <f>IF($J26="","",INDEX(KRI!$H:$H,$J26))</f>
        <v>12</v>
      </c>
      <c r="F26">
        <f>IF($J26="","",INDEX(KRI!$I:$I,$J26))</f>
        <v>0</v>
      </c>
      <c r="G26" t="str">
        <f>IF($J26="","",INDEX(KRI!$M:$M,$J26)&amp;"")</f>
        <v>Non rilevato</v>
      </c>
      <c r="J26">
        <f>IFERROR(_xlfn.AGGREGATE(15,6,ROW(KRI_ID_Rischio)/((KRI_ID_Rischio=$B$3)*(KRI_In_Vigore="Sì")*(KRI_Ciclo=cicloCorrente)),3),"")</f>
        <v>4</v>
      </c>
    </row>
    <row r="27" spans="1:10" x14ac:dyDescent="0.4">
      <c r="A27" t="str">
        <f>IF($J27="","",INDEX(KRI!$B:$B,$J27)&amp;"")</f>
        <v/>
      </c>
      <c r="B27" t="str">
        <f>IF($J27="","",INDEX(KRI!$D:$D,$J27)&amp;"")</f>
        <v/>
      </c>
      <c r="C27" t="str">
        <f>IF($J27="","",INDEX(KRI!$E:$E,$J27)&amp;"")</f>
        <v/>
      </c>
      <c r="D27" t="str">
        <f>IF($J27="","",INDEX(KRI!$G:$G,$J27))</f>
        <v/>
      </c>
      <c r="E27" t="str">
        <f>IF($J27="","",INDEX(KRI!$H:$H,$J27))</f>
        <v/>
      </c>
      <c r="F27" t="str">
        <f>IF($J27="","",INDEX(KRI!$I:$I,$J27))</f>
        <v/>
      </c>
      <c r="G27" t="str">
        <f>IF($J27="","",INDEX(KRI!$M:$M,$J27)&amp;"")</f>
        <v/>
      </c>
      <c r="J27" t="str">
        <f>IFERROR(_xlfn.AGGREGATE(15,6,ROW(KRI_ID_Rischio)/((KRI_ID_Rischio=$B$3)*(KRI_In_Vigore="Sì")*(KRI_Ciclo=cicloCorrente)),4),"")</f>
        <v/>
      </c>
    </row>
    <row r="28" spans="1:10" x14ac:dyDescent="0.4">
      <c r="A28" t="str">
        <f>IF($J28="","",INDEX(KRI!$B:$B,$J28)&amp;"")</f>
        <v/>
      </c>
      <c r="B28" t="str">
        <f>IF($J28="","",INDEX(KRI!$D:$D,$J28)&amp;"")</f>
        <v/>
      </c>
      <c r="C28" t="str">
        <f>IF($J28="","",INDEX(KRI!$E:$E,$J28)&amp;"")</f>
        <v/>
      </c>
      <c r="D28" t="str">
        <f>IF($J28="","",INDEX(KRI!$G:$G,$J28))</f>
        <v/>
      </c>
      <c r="E28" t="str">
        <f>IF($J28="","",INDEX(KRI!$H:$H,$J28))</f>
        <v/>
      </c>
      <c r="F28" t="str">
        <f>IF($J28="","",INDEX(KRI!$I:$I,$J28))</f>
        <v/>
      </c>
      <c r="G28" t="str">
        <f>IF($J28="","",INDEX(KRI!$M:$M,$J28)&amp;"")</f>
        <v/>
      </c>
      <c r="J28" t="str">
        <f>IFERROR(_xlfn.AGGREGATE(15,6,ROW(KRI_ID_Rischio)/((KRI_ID_Rischio=$B$3)*(KRI_In_Vigore="Sì")*(KRI_Ciclo=cicloCorrente)),5),"")</f>
        <v/>
      </c>
    </row>
    <row r="29" spans="1:10" x14ac:dyDescent="0.4">
      <c r="A29" t="str">
        <f>IF($J29="","",INDEX(KRI!$B:$B,$J29)&amp;"")</f>
        <v/>
      </c>
      <c r="B29" t="str">
        <f>IF($J29="","",INDEX(KRI!$D:$D,$J29)&amp;"")</f>
        <v/>
      </c>
      <c r="C29" t="str">
        <f>IF($J29="","",INDEX(KRI!$E:$E,$J29)&amp;"")</f>
        <v/>
      </c>
      <c r="D29" t="str">
        <f>IF($J29="","",INDEX(KRI!$G:$G,$J29))</f>
        <v/>
      </c>
      <c r="E29" t="str">
        <f>IF($J29="","",INDEX(KRI!$H:$H,$J29))</f>
        <v/>
      </c>
      <c r="F29" t="str">
        <f>IF($J29="","",INDEX(KRI!$I:$I,$J29))</f>
        <v/>
      </c>
      <c r="G29" t="str">
        <f>IF($J29="","",INDEX(KRI!$M:$M,$J29)&amp;"")</f>
        <v/>
      </c>
      <c r="J29" t="str">
        <f>IFERROR(_xlfn.AGGREGATE(15,6,ROW(KRI_ID_Rischio)/((KRI_ID_Rischio=$B$3)*(KRI_In_Vigore="Sì")*(KRI_Ciclo=cicloCorrente)),6),"")</f>
        <v/>
      </c>
    </row>
  </sheetData>
  <conditionalFormatting sqref="B9:H16">
    <cfRule type="expression" dxfId="16" priority="1">
      <formula>ISNA(B9)</formula>
    </cfRule>
  </conditionalFormatting>
  <dataValidations count="1">
    <dataValidation type="list" allowBlank="1" sqref="B3" xr:uid="{00000000-0002-0000-0900-000000000000}">
      <formula1>ANA_ID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3" width="15" customWidth="1"/>
    <col min="4" max="4" width="50" customWidth="1"/>
    <col min="5" max="8" width="15" customWidth="1"/>
    <col min="9" max="9" width="50" customWidth="1"/>
    <col min="10" max="13" width="15" customWidth="1"/>
    <col min="15" max="15" width="70" customWidth="1"/>
  </cols>
  <sheetData>
    <row r="1" spans="1:15" x14ac:dyDescent="0.4">
      <c r="A1" s="2" t="s">
        <v>178</v>
      </c>
      <c r="B1" s="2" t="s">
        <v>180</v>
      </c>
      <c r="C1" s="2" t="s">
        <v>239</v>
      </c>
      <c r="D1" s="2" t="s">
        <v>183</v>
      </c>
      <c r="E1" s="2" t="s">
        <v>114</v>
      </c>
      <c r="F1" s="2" t="s">
        <v>240</v>
      </c>
      <c r="G1" s="2" t="s">
        <v>115</v>
      </c>
      <c r="H1" s="2" t="s">
        <v>241</v>
      </c>
      <c r="I1" s="2" t="s">
        <v>184</v>
      </c>
      <c r="J1" s="2" t="s">
        <v>93</v>
      </c>
      <c r="K1" s="2" t="s">
        <v>242</v>
      </c>
      <c r="L1" s="2" t="s">
        <v>243</v>
      </c>
      <c r="M1" s="2" t="s">
        <v>190</v>
      </c>
      <c r="O1" s="3" t="s">
        <v>244</v>
      </c>
    </row>
    <row r="2" spans="1:15" ht="29.15" x14ac:dyDescent="0.4">
      <c r="A2" s="13" t="s">
        <v>331</v>
      </c>
      <c r="B2" s="13" t="s">
        <v>96</v>
      </c>
      <c r="C2" s="13" t="s">
        <v>536</v>
      </c>
      <c r="D2" s="14" t="s">
        <v>537</v>
      </c>
      <c r="E2" s="13" t="s">
        <v>538</v>
      </c>
      <c r="F2" s="13" t="s">
        <v>539</v>
      </c>
      <c r="G2" s="13" t="s">
        <v>540</v>
      </c>
      <c r="H2">
        <f t="shared" ref="H2:H16" si="0">IFERROR(VALUE(LEFT(G2,FIND(" ",G2)-1)),"")</f>
        <v>3</v>
      </c>
      <c r="I2" s="14" t="s">
        <v>541</v>
      </c>
      <c r="J2" s="13" t="s">
        <v>605</v>
      </c>
      <c r="K2" s="9">
        <v>46290</v>
      </c>
      <c r="L2" s="13" t="s">
        <v>329</v>
      </c>
      <c r="M2" s="13" t="s">
        <v>327</v>
      </c>
      <c r="O2" s="3" t="s">
        <v>245</v>
      </c>
    </row>
    <row r="3" spans="1:15" ht="29.15" x14ac:dyDescent="0.4">
      <c r="A3" s="13" t="s">
        <v>331</v>
      </c>
      <c r="B3" s="13" t="s">
        <v>96</v>
      </c>
      <c r="C3" s="13" t="s">
        <v>542</v>
      </c>
      <c r="D3" s="14" t="s">
        <v>543</v>
      </c>
      <c r="E3" s="13" t="s">
        <v>544</v>
      </c>
      <c r="F3" s="13" t="s">
        <v>545</v>
      </c>
      <c r="G3" s="13" t="s">
        <v>546</v>
      </c>
      <c r="H3">
        <f t="shared" si="0"/>
        <v>6</v>
      </c>
      <c r="I3" s="14" t="s">
        <v>547</v>
      </c>
      <c r="J3" s="13" t="s">
        <v>605</v>
      </c>
      <c r="K3" s="9">
        <v>46290</v>
      </c>
      <c r="L3" s="13" t="s">
        <v>329</v>
      </c>
      <c r="M3" s="13" t="s">
        <v>327</v>
      </c>
      <c r="O3" s="3" t="s">
        <v>246</v>
      </c>
    </row>
    <row r="4" spans="1:15" ht="29.15" x14ac:dyDescent="0.4">
      <c r="A4" s="13" t="s">
        <v>331</v>
      </c>
      <c r="B4" s="13" t="s">
        <v>348</v>
      </c>
      <c r="C4" s="13" t="s">
        <v>548</v>
      </c>
      <c r="D4" s="14" t="s">
        <v>549</v>
      </c>
      <c r="E4" s="13" t="s">
        <v>550</v>
      </c>
      <c r="F4" s="13" t="s">
        <v>539</v>
      </c>
      <c r="G4" s="13" t="s">
        <v>540</v>
      </c>
      <c r="H4">
        <f t="shared" si="0"/>
        <v>3</v>
      </c>
      <c r="I4" s="14" t="s">
        <v>551</v>
      </c>
      <c r="J4" s="13" t="s">
        <v>605</v>
      </c>
      <c r="K4" s="9">
        <v>46290</v>
      </c>
      <c r="L4" s="13" t="s">
        <v>329</v>
      </c>
      <c r="M4" s="13" t="s">
        <v>327</v>
      </c>
      <c r="O4" s="3" t="s">
        <v>247</v>
      </c>
    </row>
    <row r="5" spans="1:15" ht="29.15" x14ac:dyDescent="0.4">
      <c r="A5" s="13" t="s">
        <v>331</v>
      </c>
      <c r="B5" s="13" t="s">
        <v>348</v>
      </c>
      <c r="C5" s="13" t="s">
        <v>552</v>
      </c>
      <c r="D5" s="14" t="s">
        <v>553</v>
      </c>
      <c r="E5" s="13" t="s">
        <v>554</v>
      </c>
      <c r="F5" s="13" t="s">
        <v>545</v>
      </c>
      <c r="G5" s="13" t="s">
        <v>555</v>
      </c>
      <c r="H5">
        <f t="shared" si="0"/>
        <v>12</v>
      </c>
      <c r="I5" s="14" t="s">
        <v>556</v>
      </c>
      <c r="J5" s="13" t="s">
        <v>605</v>
      </c>
      <c r="K5" s="9">
        <v>46290</v>
      </c>
      <c r="L5" s="13" t="s">
        <v>329</v>
      </c>
      <c r="M5" s="13" t="s">
        <v>327</v>
      </c>
    </row>
    <row r="6" spans="1:15" ht="29.15" x14ac:dyDescent="0.4">
      <c r="A6" s="13" t="s">
        <v>331</v>
      </c>
      <c r="B6" s="13" t="s">
        <v>362</v>
      </c>
      <c r="C6" s="13" t="s">
        <v>557</v>
      </c>
      <c r="D6" s="14" t="s">
        <v>558</v>
      </c>
      <c r="E6" s="13" t="s">
        <v>559</v>
      </c>
      <c r="F6" s="13" t="s">
        <v>539</v>
      </c>
      <c r="G6" s="13" t="s">
        <v>540</v>
      </c>
      <c r="H6">
        <f t="shared" si="0"/>
        <v>3</v>
      </c>
      <c r="I6" s="14" t="s">
        <v>560</v>
      </c>
      <c r="J6" s="13" t="s">
        <v>605</v>
      </c>
      <c r="K6" s="9">
        <v>46290</v>
      </c>
      <c r="L6" s="13" t="s">
        <v>329</v>
      </c>
      <c r="M6" s="13" t="s">
        <v>327</v>
      </c>
    </row>
    <row r="7" spans="1:15" ht="29.15" x14ac:dyDescent="0.4">
      <c r="A7" s="13" t="s">
        <v>331</v>
      </c>
      <c r="B7" s="13" t="s">
        <v>376</v>
      </c>
      <c r="C7" s="13" t="s">
        <v>561</v>
      </c>
      <c r="D7" s="14" t="s">
        <v>562</v>
      </c>
      <c r="E7" s="13" t="s">
        <v>563</v>
      </c>
      <c r="F7" s="13" t="s">
        <v>539</v>
      </c>
      <c r="G7" s="13" t="s">
        <v>546</v>
      </c>
      <c r="H7">
        <f t="shared" si="0"/>
        <v>6</v>
      </c>
      <c r="I7" s="14" t="s">
        <v>564</v>
      </c>
      <c r="J7" s="13" t="s">
        <v>605</v>
      </c>
      <c r="K7" s="9">
        <v>46290</v>
      </c>
      <c r="L7" s="13" t="s">
        <v>329</v>
      </c>
      <c r="M7" s="13" t="s">
        <v>327</v>
      </c>
    </row>
    <row r="8" spans="1:15" ht="29.15" x14ac:dyDescent="0.4">
      <c r="A8" s="13" t="s">
        <v>331</v>
      </c>
      <c r="B8" s="13" t="s">
        <v>390</v>
      </c>
      <c r="C8" s="13" t="s">
        <v>565</v>
      </c>
      <c r="D8" s="14" t="s">
        <v>566</v>
      </c>
      <c r="E8" s="13" t="s">
        <v>567</v>
      </c>
      <c r="F8" s="13" t="s">
        <v>568</v>
      </c>
      <c r="G8" s="13" t="s">
        <v>540</v>
      </c>
      <c r="H8">
        <f t="shared" si="0"/>
        <v>3</v>
      </c>
      <c r="I8" s="14" t="s">
        <v>569</v>
      </c>
      <c r="J8" s="13" t="s">
        <v>605</v>
      </c>
      <c r="K8" s="9">
        <v>46290</v>
      </c>
      <c r="L8" s="13" t="s">
        <v>329</v>
      </c>
      <c r="M8" s="13" t="s">
        <v>327</v>
      </c>
    </row>
    <row r="9" spans="1:15" ht="29.15" x14ac:dyDescent="0.4">
      <c r="A9" s="13" t="s">
        <v>331</v>
      </c>
      <c r="B9" s="13" t="s">
        <v>403</v>
      </c>
      <c r="C9" s="13" t="s">
        <v>570</v>
      </c>
      <c r="D9" s="14" t="s">
        <v>571</v>
      </c>
      <c r="E9" s="13" t="s">
        <v>572</v>
      </c>
      <c r="F9" s="13" t="s">
        <v>573</v>
      </c>
      <c r="G9" s="13" t="s">
        <v>546</v>
      </c>
      <c r="H9">
        <f t="shared" si="0"/>
        <v>6</v>
      </c>
      <c r="I9" s="14" t="s">
        <v>574</v>
      </c>
      <c r="J9" s="13" t="s">
        <v>605</v>
      </c>
      <c r="K9" s="9">
        <v>46290</v>
      </c>
      <c r="L9" s="13" t="s">
        <v>329</v>
      </c>
      <c r="M9" s="13" t="s">
        <v>327</v>
      </c>
    </row>
    <row r="10" spans="1:15" ht="29.15" x14ac:dyDescent="0.4">
      <c r="A10" s="13" t="s">
        <v>331</v>
      </c>
      <c r="B10" s="13" t="s">
        <v>403</v>
      </c>
      <c r="C10" s="13" t="s">
        <v>575</v>
      </c>
      <c r="D10" s="14" t="s">
        <v>576</v>
      </c>
      <c r="E10" s="13" t="s">
        <v>577</v>
      </c>
      <c r="F10" s="13" t="s">
        <v>539</v>
      </c>
      <c r="G10" s="13" t="s">
        <v>546</v>
      </c>
      <c r="H10">
        <f t="shared" si="0"/>
        <v>6</v>
      </c>
      <c r="I10" s="14" t="s">
        <v>578</v>
      </c>
      <c r="J10" s="13" t="s">
        <v>605</v>
      </c>
      <c r="K10" s="9">
        <v>46290</v>
      </c>
      <c r="L10" s="13" t="s">
        <v>329</v>
      </c>
      <c r="M10" s="13" t="s">
        <v>327</v>
      </c>
    </row>
    <row r="11" spans="1:15" ht="29.15" x14ac:dyDescent="0.4">
      <c r="A11" s="13" t="s">
        <v>331</v>
      </c>
      <c r="B11" s="13" t="s">
        <v>417</v>
      </c>
      <c r="C11" s="13" t="s">
        <v>579</v>
      </c>
      <c r="D11" s="14" t="s">
        <v>580</v>
      </c>
      <c r="E11" s="13" t="s">
        <v>550</v>
      </c>
      <c r="F11" s="13" t="s">
        <v>539</v>
      </c>
      <c r="G11" s="13" t="s">
        <v>546</v>
      </c>
      <c r="H11">
        <f t="shared" si="0"/>
        <v>6</v>
      </c>
      <c r="I11" s="14" t="s">
        <v>581</v>
      </c>
      <c r="J11" s="13" t="s">
        <v>605</v>
      </c>
      <c r="K11" s="9">
        <v>46290</v>
      </c>
      <c r="L11" s="13" t="s">
        <v>329</v>
      </c>
      <c r="M11" s="13" t="s">
        <v>327</v>
      </c>
    </row>
    <row r="12" spans="1:15" ht="29.15" x14ac:dyDescent="0.4">
      <c r="A12" s="13" t="s">
        <v>331</v>
      </c>
      <c r="B12" s="13" t="s">
        <v>426</v>
      </c>
      <c r="C12" s="13" t="s">
        <v>582</v>
      </c>
      <c r="D12" s="14" t="s">
        <v>583</v>
      </c>
      <c r="E12" s="13" t="s">
        <v>577</v>
      </c>
      <c r="F12" s="13" t="s">
        <v>539</v>
      </c>
      <c r="G12" s="13" t="s">
        <v>540</v>
      </c>
      <c r="H12">
        <f t="shared" si="0"/>
        <v>3</v>
      </c>
      <c r="I12" s="14" t="s">
        <v>584</v>
      </c>
      <c r="J12" s="13" t="s">
        <v>605</v>
      </c>
      <c r="K12" s="9">
        <v>46290</v>
      </c>
      <c r="L12" s="13" t="s">
        <v>329</v>
      </c>
      <c r="M12" s="13" t="s">
        <v>327</v>
      </c>
    </row>
    <row r="13" spans="1:15" ht="29.15" x14ac:dyDescent="0.4">
      <c r="A13" s="13" t="s">
        <v>331</v>
      </c>
      <c r="B13" s="13" t="s">
        <v>436</v>
      </c>
      <c r="C13" s="13" t="s">
        <v>585</v>
      </c>
      <c r="D13" s="14" t="s">
        <v>586</v>
      </c>
      <c r="E13" s="13" t="s">
        <v>559</v>
      </c>
      <c r="F13" s="13" t="s">
        <v>539</v>
      </c>
      <c r="G13" s="13" t="s">
        <v>555</v>
      </c>
      <c r="H13">
        <f t="shared" si="0"/>
        <v>12</v>
      </c>
      <c r="I13" s="14" t="s">
        <v>587</v>
      </c>
      <c r="J13" s="13" t="s">
        <v>605</v>
      </c>
      <c r="K13" s="9">
        <v>46290</v>
      </c>
      <c r="L13" s="13" t="s">
        <v>329</v>
      </c>
      <c r="M13" s="13" t="s">
        <v>327</v>
      </c>
    </row>
    <row r="14" spans="1:15" ht="29.15" x14ac:dyDescent="0.4">
      <c r="A14" s="13" t="s">
        <v>331</v>
      </c>
      <c r="B14" s="13" t="s">
        <v>447</v>
      </c>
      <c r="C14" s="13" t="s">
        <v>588</v>
      </c>
      <c r="D14" s="14" t="s">
        <v>589</v>
      </c>
      <c r="E14" s="13" t="s">
        <v>590</v>
      </c>
      <c r="F14" s="13" t="s">
        <v>591</v>
      </c>
      <c r="G14" s="13" t="s">
        <v>540</v>
      </c>
      <c r="H14">
        <f t="shared" si="0"/>
        <v>3</v>
      </c>
      <c r="I14" s="14" t="s">
        <v>592</v>
      </c>
      <c r="J14" s="13" t="s">
        <v>605</v>
      </c>
      <c r="K14" s="9">
        <v>46290</v>
      </c>
      <c r="L14" s="13" t="s">
        <v>329</v>
      </c>
      <c r="M14" s="13" t="s">
        <v>327</v>
      </c>
    </row>
    <row r="15" spans="1:15" ht="29.15" x14ac:dyDescent="0.4">
      <c r="A15" s="13" t="s">
        <v>331</v>
      </c>
      <c r="B15" s="13" t="s">
        <v>457</v>
      </c>
      <c r="C15" s="13" t="s">
        <v>593</v>
      </c>
      <c r="D15" s="14" t="s">
        <v>594</v>
      </c>
      <c r="E15" s="13" t="s">
        <v>595</v>
      </c>
      <c r="F15" s="13" t="s">
        <v>539</v>
      </c>
      <c r="G15" s="13" t="s">
        <v>555</v>
      </c>
      <c r="H15">
        <f t="shared" si="0"/>
        <v>12</v>
      </c>
      <c r="I15" s="14" t="s">
        <v>596</v>
      </c>
      <c r="J15" s="13" t="s">
        <v>605</v>
      </c>
      <c r="K15" s="9">
        <v>46290</v>
      </c>
      <c r="L15" s="13" t="s">
        <v>329</v>
      </c>
      <c r="M15" s="13" t="s">
        <v>327</v>
      </c>
    </row>
    <row r="16" spans="1:15" ht="29.15" x14ac:dyDescent="0.4">
      <c r="A16" s="13" t="s">
        <v>331</v>
      </c>
      <c r="B16" s="13" t="s">
        <v>468</v>
      </c>
      <c r="C16" s="13" t="s">
        <v>597</v>
      </c>
      <c r="D16" s="14" t="s">
        <v>598</v>
      </c>
      <c r="E16" s="13" t="s">
        <v>567</v>
      </c>
      <c r="F16" s="13" t="s">
        <v>539</v>
      </c>
      <c r="G16" s="13" t="s">
        <v>540</v>
      </c>
      <c r="H16">
        <f t="shared" si="0"/>
        <v>3</v>
      </c>
      <c r="I16" s="14" t="s">
        <v>599</v>
      </c>
      <c r="J16" s="13" t="s">
        <v>605</v>
      </c>
      <c r="K16" s="9">
        <v>46290</v>
      </c>
      <c r="L16" s="13" t="s">
        <v>329</v>
      </c>
      <c r="M16" s="13" t="s">
        <v>327</v>
      </c>
    </row>
  </sheetData>
  <dataValidations count="1">
    <dataValidation type="list" allowBlank="1" sqref="J2:J20003" xr:uid="{00000000-0002-0000-0A00-000000000000}">
      <formula1>"Proposta — da valutare,Approvata,Respinta,In corso,Completata,Annullata"</formula1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3" width="15" customWidth="1"/>
    <col min="4" max="4" width="40" customWidth="1"/>
    <col min="5" max="5" width="15" customWidth="1"/>
    <col min="6" max="6" width="30" customWidth="1"/>
    <col min="7" max="11" width="15" customWidth="1"/>
    <col min="12" max="12" width="40" customWidth="1"/>
    <col min="13" max="16" width="15" customWidth="1"/>
    <col min="17" max="17" width="50" customWidth="1"/>
    <col min="18" max="19" width="15" customWidth="1"/>
    <col min="21" max="21" width="70" customWidth="1"/>
  </cols>
  <sheetData>
    <row r="1" spans="1:21" x14ac:dyDescent="0.4">
      <c r="A1" s="2" t="s">
        <v>178</v>
      </c>
      <c r="B1" s="2" t="s">
        <v>237</v>
      </c>
      <c r="C1" s="2" t="s">
        <v>180</v>
      </c>
      <c r="D1" s="2" t="s">
        <v>14</v>
      </c>
      <c r="E1" s="2" t="s">
        <v>238</v>
      </c>
      <c r="F1" s="2" t="s">
        <v>248</v>
      </c>
      <c r="G1" s="2" t="s">
        <v>112</v>
      </c>
      <c r="H1" s="2" t="s">
        <v>113</v>
      </c>
      <c r="I1" s="2" t="s">
        <v>111</v>
      </c>
      <c r="J1" s="2" t="s">
        <v>249</v>
      </c>
      <c r="K1" s="2" t="s">
        <v>250</v>
      </c>
      <c r="L1" s="2" t="s">
        <v>251</v>
      </c>
      <c r="M1" s="2" t="s">
        <v>93</v>
      </c>
      <c r="N1" s="2" t="s">
        <v>252</v>
      </c>
      <c r="O1" s="2" t="s">
        <v>253</v>
      </c>
      <c r="P1" s="2" t="s">
        <v>254</v>
      </c>
      <c r="Q1" s="2" t="s">
        <v>184</v>
      </c>
      <c r="R1" s="2" t="s">
        <v>187</v>
      </c>
      <c r="S1" s="2" t="s">
        <v>190</v>
      </c>
      <c r="U1" s="3" t="s">
        <v>255</v>
      </c>
    </row>
    <row r="2" spans="1:21" ht="29.15" x14ac:dyDescent="0.4">
      <c r="A2" s="13" t="s">
        <v>331</v>
      </c>
      <c r="B2" s="13" t="s">
        <v>110</v>
      </c>
      <c r="C2" s="13" t="s">
        <v>96</v>
      </c>
      <c r="D2" s="14" t="s">
        <v>332</v>
      </c>
      <c r="E2" s="13" t="s">
        <v>333</v>
      </c>
      <c r="F2" s="13" t="s">
        <v>334</v>
      </c>
      <c r="G2">
        <v>3</v>
      </c>
      <c r="H2">
        <v>6</v>
      </c>
      <c r="I2">
        <v>4.8</v>
      </c>
      <c r="J2" s="9">
        <v>46295</v>
      </c>
      <c r="K2" s="13" t="s">
        <v>604</v>
      </c>
      <c r="L2" s="11"/>
      <c r="M2" t="str">
        <f t="shared" ref="M2:M37" si="0">IF(H2&lt;G2,"SOGLIE INVERTITE — correggere",IF(I2="","Non rilevato",IF(I2&gt;=H2,"Rosso",IF(I2&gt;=G2,"Ambra","Verde"))))</f>
        <v>Ambra</v>
      </c>
      <c r="N2" s="13" t="s">
        <v>335</v>
      </c>
      <c r="O2" s="13" t="s">
        <v>331</v>
      </c>
      <c r="P2" s="13" t="s">
        <v>331</v>
      </c>
      <c r="Q2" s="14" t="s">
        <v>336</v>
      </c>
      <c r="R2" t="str">
        <f t="shared" ref="R2:R37" si="1">A2&amp;"|"&amp;B2</f>
        <v>2026Q3|NFR-01-K1</v>
      </c>
      <c r="S2" s="13" t="s">
        <v>601</v>
      </c>
      <c r="U2" s="3" t="s">
        <v>256</v>
      </c>
    </row>
    <row r="3" spans="1:21" ht="29.15" x14ac:dyDescent="0.4">
      <c r="A3" s="13" t="s">
        <v>331</v>
      </c>
      <c r="B3" s="13" t="s">
        <v>337</v>
      </c>
      <c r="C3" s="13" t="s">
        <v>96</v>
      </c>
      <c r="D3" s="14" t="s">
        <v>338</v>
      </c>
      <c r="E3" s="13" t="s">
        <v>339</v>
      </c>
      <c r="F3" s="13" t="s">
        <v>340</v>
      </c>
      <c r="G3">
        <v>10</v>
      </c>
      <c r="H3">
        <v>25</v>
      </c>
      <c r="J3" s="9"/>
      <c r="L3" s="11"/>
      <c r="M3" t="str">
        <f t="shared" si="0"/>
        <v>Non rilevato</v>
      </c>
      <c r="N3" s="13" t="s">
        <v>335</v>
      </c>
      <c r="O3" s="13" t="s">
        <v>331</v>
      </c>
      <c r="P3" s="13" t="s">
        <v>331</v>
      </c>
      <c r="Q3" s="14" t="s">
        <v>341</v>
      </c>
      <c r="R3" t="str">
        <f t="shared" si="1"/>
        <v>2026Q3|NFR-01-K2</v>
      </c>
      <c r="S3" s="13" t="s">
        <v>327</v>
      </c>
      <c r="U3" s="3" t="s">
        <v>257</v>
      </c>
    </row>
    <row r="4" spans="1:21" ht="29.15" x14ac:dyDescent="0.4">
      <c r="A4" s="13" t="s">
        <v>331</v>
      </c>
      <c r="B4" s="13" t="s">
        <v>342</v>
      </c>
      <c r="C4" s="13" t="s">
        <v>96</v>
      </c>
      <c r="D4" s="14" t="s">
        <v>343</v>
      </c>
      <c r="E4" s="13" t="s">
        <v>344</v>
      </c>
      <c r="F4" s="13" t="s">
        <v>345</v>
      </c>
      <c r="G4">
        <v>4</v>
      </c>
      <c r="H4">
        <v>12</v>
      </c>
      <c r="J4" s="9"/>
      <c r="L4" s="11"/>
      <c r="M4" t="str">
        <f t="shared" si="0"/>
        <v>Non rilevato</v>
      </c>
      <c r="N4" s="13" t="s">
        <v>335</v>
      </c>
      <c r="O4" s="13" t="s">
        <v>331</v>
      </c>
      <c r="P4" s="13" t="s">
        <v>331</v>
      </c>
      <c r="Q4" s="14" t="s">
        <v>346</v>
      </c>
      <c r="R4" t="str">
        <f t="shared" si="1"/>
        <v>2026Q3|NFR-01-K3</v>
      </c>
      <c r="S4" s="13" t="s">
        <v>327</v>
      </c>
      <c r="U4" s="3" t="s">
        <v>258</v>
      </c>
    </row>
    <row r="5" spans="1:21" ht="29.15" x14ac:dyDescent="0.4">
      <c r="A5" s="13" t="s">
        <v>331</v>
      </c>
      <c r="B5" s="13" t="s">
        <v>347</v>
      </c>
      <c r="C5" s="13" t="s">
        <v>348</v>
      </c>
      <c r="D5" s="14" t="s">
        <v>349</v>
      </c>
      <c r="E5" s="13" t="s">
        <v>339</v>
      </c>
      <c r="F5" s="13" t="s">
        <v>350</v>
      </c>
      <c r="G5">
        <v>60</v>
      </c>
      <c r="H5">
        <v>75</v>
      </c>
      <c r="J5" s="9"/>
      <c r="L5" s="11"/>
      <c r="M5" t="str">
        <f t="shared" si="0"/>
        <v>Non rilevato</v>
      </c>
      <c r="N5" s="13" t="s">
        <v>335</v>
      </c>
      <c r="O5" s="13" t="s">
        <v>331</v>
      </c>
      <c r="P5" s="13" t="s">
        <v>331</v>
      </c>
      <c r="Q5" s="14" t="s">
        <v>351</v>
      </c>
      <c r="R5" t="str">
        <f t="shared" si="1"/>
        <v>2026Q3|NFR-02-K1</v>
      </c>
      <c r="S5" s="13" t="s">
        <v>327</v>
      </c>
      <c r="U5" s="3" t="s">
        <v>259</v>
      </c>
    </row>
    <row r="6" spans="1:21" ht="29.15" x14ac:dyDescent="0.4">
      <c r="A6" s="13" t="s">
        <v>331</v>
      </c>
      <c r="B6" s="13" t="s">
        <v>352</v>
      </c>
      <c r="C6" s="13" t="s">
        <v>348</v>
      </c>
      <c r="D6" s="14" t="s">
        <v>353</v>
      </c>
      <c r="E6" s="13" t="s">
        <v>354</v>
      </c>
      <c r="F6" s="13" t="s">
        <v>355</v>
      </c>
      <c r="G6">
        <v>1</v>
      </c>
      <c r="H6">
        <v>2</v>
      </c>
      <c r="J6" s="9"/>
      <c r="L6" s="11"/>
      <c r="M6" t="str">
        <f t="shared" si="0"/>
        <v>Non rilevato</v>
      </c>
      <c r="N6" s="13" t="s">
        <v>335</v>
      </c>
      <c r="O6" s="13" t="s">
        <v>331</v>
      </c>
      <c r="P6" s="13" t="s">
        <v>331</v>
      </c>
      <c r="Q6" s="14" t="s">
        <v>356</v>
      </c>
      <c r="R6" t="str">
        <f t="shared" si="1"/>
        <v>2026Q3|NFR-02-K2</v>
      </c>
      <c r="S6" s="13" t="s">
        <v>327</v>
      </c>
      <c r="U6" s="3" t="s">
        <v>260</v>
      </c>
    </row>
    <row r="7" spans="1:21" ht="29.15" x14ac:dyDescent="0.4">
      <c r="A7" s="13" t="s">
        <v>331</v>
      </c>
      <c r="B7" s="13" t="s">
        <v>357</v>
      </c>
      <c r="C7" s="13" t="s">
        <v>348</v>
      </c>
      <c r="D7" s="14" t="s">
        <v>358</v>
      </c>
      <c r="E7" s="13" t="s">
        <v>354</v>
      </c>
      <c r="F7" s="13" t="s">
        <v>359</v>
      </c>
      <c r="G7">
        <v>2</v>
      </c>
      <c r="H7">
        <v>4</v>
      </c>
      <c r="J7" s="9"/>
      <c r="L7" s="11"/>
      <c r="M7" t="str">
        <f t="shared" si="0"/>
        <v>Non rilevato</v>
      </c>
      <c r="N7" s="13" t="s">
        <v>335</v>
      </c>
      <c r="O7" s="13" t="s">
        <v>331</v>
      </c>
      <c r="P7" s="13" t="s">
        <v>331</v>
      </c>
      <c r="Q7" s="14" t="s">
        <v>360</v>
      </c>
      <c r="R7" t="str">
        <f t="shared" si="1"/>
        <v>2026Q3|NFR-02-K3</v>
      </c>
      <c r="S7" s="13" t="s">
        <v>327</v>
      </c>
    </row>
    <row r="8" spans="1:21" x14ac:dyDescent="0.4">
      <c r="A8" s="13" t="s">
        <v>331</v>
      </c>
      <c r="B8" s="13" t="s">
        <v>361</v>
      </c>
      <c r="C8" s="13" t="s">
        <v>362</v>
      </c>
      <c r="D8" s="14" t="s">
        <v>363</v>
      </c>
      <c r="E8" s="13" t="s">
        <v>364</v>
      </c>
      <c r="F8" s="13" t="s">
        <v>365</v>
      </c>
      <c r="G8">
        <v>1.5</v>
      </c>
      <c r="H8">
        <v>3</v>
      </c>
      <c r="J8" s="9"/>
      <c r="L8" s="11"/>
      <c r="M8" t="str">
        <f t="shared" si="0"/>
        <v>Non rilevato</v>
      </c>
      <c r="N8" s="13" t="s">
        <v>335</v>
      </c>
      <c r="O8" s="13" t="s">
        <v>331</v>
      </c>
      <c r="P8" s="13" t="s">
        <v>331</v>
      </c>
      <c r="Q8" s="14" t="s">
        <v>366</v>
      </c>
      <c r="R8" t="str">
        <f t="shared" si="1"/>
        <v>2026Q3|NFR-03-K1</v>
      </c>
      <c r="S8" s="13" t="s">
        <v>327</v>
      </c>
    </row>
    <row r="9" spans="1:21" ht="29.15" x14ac:dyDescent="0.4">
      <c r="A9" s="13" t="s">
        <v>331</v>
      </c>
      <c r="B9" s="13" t="s">
        <v>367</v>
      </c>
      <c r="C9" s="13" t="s">
        <v>362</v>
      </c>
      <c r="D9" s="14" t="s">
        <v>368</v>
      </c>
      <c r="E9" s="13" t="s">
        <v>339</v>
      </c>
      <c r="F9" s="13" t="s">
        <v>369</v>
      </c>
      <c r="G9">
        <v>20</v>
      </c>
      <c r="H9">
        <v>40</v>
      </c>
      <c r="J9" s="9"/>
      <c r="L9" s="11"/>
      <c r="M9" t="str">
        <f t="shared" si="0"/>
        <v>Non rilevato</v>
      </c>
      <c r="N9" s="13" t="s">
        <v>335</v>
      </c>
      <c r="O9" s="13" t="s">
        <v>331</v>
      </c>
      <c r="P9" s="13" t="s">
        <v>331</v>
      </c>
      <c r="Q9" s="14" t="s">
        <v>370</v>
      </c>
      <c r="R9" t="str">
        <f t="shared" si="1"/>
        <v>2026Q3|NFR-03-K2</v>
      </c>
      <c r="S9" s="13" t="s">
        <v>327</v>
      </c>
    </row>
    <row r="10" spans="1:21" x14ac:dyDescent="0.4">
      <c r="A10" s="13" t="s">
        <v>331</v>
      </c>
      <c r="B10" s="13" t="s">
        <v>371</v>
      </c>
      <c r="C10" s="13" t="s">
        <v>362</v>
      </c>
      <c r="D10" s="14" t="s">
        <v>372</v>
      </c>
      <c r="E10" s="13" t="s">
        <v>354</v>
      </c>
      <c r="F10" s="13" t="s">
        <v>373</v>
      </c>
      <c r="G10">
        <v>1</v>
      </c>
      <c r="H10">
        <v>3</v>
      </c>
      <c r="J10" s="9"/>
      <c r="L10" s="11"/>
      <c r="M10" t="str">
        <f t="shared" si="0"/>
        <v>Non rilevato</v>
      </c>
      <c r="N10" s="13" t="s">
        <v>335</v>
      </c>
      <c r="O10" s="13" t="s">
        <v>331</v>
      </c>
      <c r="P10" s="13" t="s">
        <v>331</v>
      </c>
      <c r="Q10" s="14" t="s">
        <v>374</v>
      </c>
      <c r="R10" t="str">
        <f t="shared" si="1"/>
        <v>2026Q3|NFR-03-K3</v>
      </c>
      <c r="S10" s="13" t="s">
        <v>327</v>
      </c>
    </row>
    <row r="11" spans="1:21" ht="29.15" x14ac:dyDescent="0.4">
      <c r="A11" s="13" t="s">
        <v>331</v>
      </c>
      <c r="B11" s="13" t="s">
        <v>375</v>
      </c>
      <c r="C11" s="13" t="s">
        <v>376</v>
      </c>
      <c r="D11" s="14" t="s">
        <v>377</v>
      </c>
      <c r="E11" s="13" t="s">
        <v>354</v>
      </c>
      <c r="F11" s="13" t="s">
        <v>378</v>
      </c>
      <c r="G11">
        <v>1</v>
      </c>
      <c r="H11">
        <v>3</v>
      </c>
      <c r="J11" s="9"/>
      <c r="L11" s="11"/>
      <c r="M11" t="str">
        <f t="shared" si="0"/>
        <v>Non rilevato</v>
      </c>
      <c r="N11" s="13" t="s">
        <v>335</v>
      </c>
      <c r="O11" s="13" t="s">
        <v>331</v>
      </c>
      <c r="P11" s="13" t="s">
        <v>331</v>
      </c>
      <c r="Q11" s="14" t="s">
        <v>379</v>
      </c>
      <c r="R11" t="str">
        <f t="shared" si="1"/>
        <v>2026Q3|NFR-04-K1</v>
      </c>
      <c r="S11" s="13" t="s">
        <v>327</v>
      </c>
    </row>
    <row r="12" spans="1:21" ht="29.15" x14ac:dyDescent="0.4">
      <c r="A12" s="13" t="s">
        <v>331</v>
      </c>
      <c r="B12" s="13" t="s">
        <v>380</v>
      </c>
      <c r="C12" s="13" t="s">
        <v>376</v>
      </c>
      <c r="D12" s="14" t="s">
        <v>381</v>
      </c>
      <c r="E12" s="13" t="s">
        <v>382</v>
      </c>
      <c r="F12" s="13" t="s">
        <v>383</v>
      </c>
      <c r="G12">
        <v>2</v>
      </c>
      <c r="H12">
        <v>5</v>
      </c>
      <c r="J12" s="9"/>
      <c r="L12" s="11"/>
      <c r="M12" t="str">
        <f t="shared" si="0"/>
        <v>Non rilevato</v>
      </c>
      <c r="N12" s="13" t="s">
        <v>335</v>
      </c>
      <c r="O12" s="13" t="s">
        <v>331</v>
      </c>
      <c r="P12" s="13" t="s">
        <v>331</v>
      </c>
      <c r="Q12" s="14" t="s">
        <v>384</v>
      </c>
      <c r="R12" t="str">
        <f t="shared" si="1"/>
        <v>2026Q3|NFR-04-K2</v>
      </c>
      <c r="S12" s="13" t="s">
        <v>327</v>
      </c>
    </row>
    <row r="13" spans="1:21" ht="29.15" x14ac:dyDescent="0.4">
      <c r="A13" s="13" t="s">
        <v>331</v>
      </c>
      <c r="B13" s="13" t="s">
        <v>385</v>
      </c>
      <c r="C13" s="13" t="s">
        <v>376</v>
      </c>
      <c r="D13" s="14" t="s">
        <v>386</v>
      </c>
      <c r="E13" s="13" t="s">
        <v>344</v>
      </c>
      <c r="F13" s="13" t="s">
        <v>387</v>
      </c>
      <c r="G13">
        <v>1</v>
      </c>
      <c r="H13">
        <v>4</v>
      </c>
      <c r="J13" s="9"/>
      <c r="L13" s="11"/>
      <c r="M13" t="str">
        <f t="shared" si="0"/>
        <v>Non rilevato</v>
      </c>
      <c r="N13" s="13" t="s">
        <v>335</v>
      </c>
      <c r="O13" s="13" t="s">
        <v>331</v>
      </c>
      <c r="P13" s="13" t="s">
        <v>331</v>
      </c>
      <c r="Q13" s="14" t="s">
        <v>388</v>
      </c>
      <c r="R13" t="str">
        <f t="shared" si="1"/>
        <v>2026Q3|NFR-04-K3</v>
      </c>
      <c r="S13" s="13" t="s">
        <v>327</v>
      </c>
    </row>
    <row r="14" spans="1:21" ht="29.15" x14ac:dyDescent="0.4">
      <c r="A14" s="13" t="s">
        <v>331</v>
      </c>
      <c r="B14" s="13" t="s">
        <v>389</v>
      </c>
      <c r="C14" s="13" t="s">
        <v>390</v>
      </c>
      <c r="D14" s="14" t="s">
        <v>391</v>
      </c>
      <c r="E14" s="13" t="s">
        <v>354</v>
      </c>
      <c r="F14" s="13" t="s">
        <v>392</v>
      </c>
      <c r="G14">
        <v>20</v>
      </c>
      <c r="H14">
        <v>50</v>
      </c>
      <c r="J14" s="9"/>
      <c r="L14" s="11"/>
      <c r="M14" t="str">
        <f t="shared" si="0"/>
        <v>Non rilevato</v>
      </c>
      <c r="N14" s="13" t="s">
        <v>335</v>
      </c>
      <c r="O14" s="13" t="s">
        <v>331</v>
      </c>
      <c r="P14" s="13" t="s">
        <v>331</v>
      </c>
      <c r="Q14" s="14" t="s">
        <v>393</v>
      </c>
      <c r="R14" t="str">
        <f t="shared" si="1"/>
        <v>2026Q3|NFR-05-K1</v>
      </c>
      <c r="S14" s="13" t="s">
        <v>327</v>
      </c>
    </row>
    <row r="15" spans="1:21" x14ac:dyDescent="0.4">
      <c r="A15" s="13" t="s">
        <v>331</v>
      </c>
      <c r="B15" s="13" t="s">
        <v>394</v>
      </c>
      <c r="C15" s="13" t="s">
        <v>390</v>
      </c>
      <c r="D15" s="14" t="s">
        <v>395</v>
      </c>
      <c r="E15" s="13" t="s">
        <v>354</v>
      </c>
      <c r="F15" s="13" t="s">
        <v>396</v>
      </c>
      <c r="G15">
        <v>3</v>
      </c>
      <c r="H15">
        <v>6</v>
      </c>
      <c r="J15" s="9"/>
      <c r="L15" s="11"/>
      <c r="M15" t="str">
        <f t="shared" si="0"/>
        <v>Non rilevato</v>
      </c>
      <c r="N15" s="13" t="s">
        <v>335</v>
      </c>
      <c r="O15" s="13" t="s">
        <v>331</v>
      </c>
      <c r="P15" s="13" t="s">
        <v>331</v>
      </c>
      <c r="Q15" s="14" t="s">
        <v>397</v>
      </c>
      <c r="R15" t="str">
        <f t="shared" si="1"/>
        <v>2026Q3|NFR-05-K2</v>
      </c>
      <c r="S15" s="13" t="s">
        <v>327</v>
      </c>
    </row>
    <row r="16" spans="1:21" ht="29.15" x14ac:dyDescent="0.4">
      <c r="A16" s="13" t="s">
        <v>331</v>
      </c>
      <c r="B16" s="13" t="s">
        <v>398</v>
      </c>
      <c r="C16" s="13" t="s">
        <v>390</v>
      </c>
      <c r="D16" s="14" t="s">
        <v>399</v>
      </c>
      <c r="E16" s="13" t="s">
        <v>339</v>
      </c>
      <c r="F16" s="13" t="s">
        <v>400</v>
      </c>
      <c r="G16">
        <v>30</v>
      </c>
      <c r="H16">
        <v>60</v>
      </c>
      <c r="J16" s="9"/>
      <c r="L16" s="11"/>
      <c r="M16" t="str">
        <f t="shared" si="0"/>
        <v>Non rilevato</v>
      </c>
      <c r="N16" s="13" t="s">
        <v>335</v>
      </c>
      <c r="O16" s="13" t="s">
        <v>331</v>
      </c>
      <c r="P16" s="13" t="s">
        <v>331</v>
      </c>
      <c r="Q16" s="14" t="s">
        <v>401</v>
      </c>
      <c r="R16" t="str">
        <f t="shared" si="1"/>
        <v>2026Q3|NFR-05-K3</v>
      </c>
      <c r="S16" s="13" t="s">
        <v>327</v>
      </c>
    </row>
    <row r="17" spans="1:19" ht="29.15" x14ac:dyDescent="0.4">
      <c r="A17" s="13" t="s">
        <v>331</v>
      </c>
      <c r="B17" s="13" t="s">
        <v>402</v>
      </c>
      <c r="C17" s="13" t="s">
        <v>403</v>
      </c>
      <c r="D17" s="14" t="s">
        <v>404</v>
      </c>
      <c r="E17" s="13" t="s">
        <v>405</v>
      </c>
      <c r="F17" s="13" t="s">
        <v>406</v>
      </c>
      <c r="G17">
        <v>10</v>
      </c>
      <c r="H17">
        <v>30</v>
      </c>
      <c r="J17" s="9"/>
      <c r="L17" s="11"/>
      <c r="M17" t="str">
        <f t="shared" si="0"/>
        <v>Non rilevato</v>
      </c>
      <c r="N17" s="13" t="s">
        <v>335</v>
      </c>
      <c r="O17" s="13" t="s">
        <v>331</v>
      </c>
      <c r="P17" s="13" t="s">
        <v>331</v>
      </c>
      <c r="Q17" s="14" t="s">
        <v>407</v>
      </c>
      <c r="R17" t="str">
        <f t="shared" si="1"/>
        <v>2026Q3|NFR-06-K1</v>
      </c>
      <c r="S17" s="13" t="s">
        <v>327</v>
      </c>
    </row>
    <row r="18" spans="1:19" ht="29.15" x14ac:dyDescent="0.4">
      <c r="A18" s="13" t="s">
        <v>331</v>
      </c>
      <c r="B18" s="13" t="s">
        <v>408</v>
      </c>
      <c r="C18" s="13" t="s">
        <v>403</v>
      </c>
      <c r="D18" s="14" t="s">
        <v>409</v>
      </c>
      <c r="E18" s="13" t="s">
        <v>339</v>
      </c>
      <c r="F18" s="13" t="s">
        <v>410</v>
      </c>
      <c r="G18">
        <v>20</v>
      </c>
      <c r="H18">
        <v>40</v>
      </c>
      <c r="J18" s="9"/>
      <c r="L18" s="11"/>
      <c r="M18" t="str">
        <f t="shared" si="0"/>
        <v>Non rilevato</v>
      </c>
      <c r="N18" s="13" t="s">
        <v>335</v>
      </c>
      <c r="O18" s="13" t="s">
        <v>331</v>
      </c>
      <c r="P18" s="13" t="s">
        <v>331</v>
      </c>
      <c r="Q18" s="14" t="s">
        <v>411</v>
      </c>
      <c r="R18" t="str">
        <f t="shared" si="1"/>
        <v>2026Q3|NFR-06-K2</v>
      </c>
      <c r="S18" s="13" t="s">
        <v>327</v>
      </c>
    </row>
    <row r="19" spans="1:19" ht="29.15" x14ac:dyDescent="0.4">
      <c r="A19" s="13" t="s">
        <v>331</v>
      </c>
      <c r="B19" s="13" t="s">
        <v>412</v>
      </c>
      <c r="C19" s="13" t="s">
        <v>403</v>
      </c>
      <c r="D19" s="14" t="s">
        <v>413</v>
      </c>
      <c r="E19" s="13" t="s">
        <v>354</v>
      </c>
      <c r="F19" s="13" t="s">
        <v>414</v>
      </c>
      <c r="G19">
        <v>5</v>
      </c>
      <c r="H19">
        <v>15</v>
      </c>
      <c r="J19" s="9"/>
      <c r="L19" s="11"/>
      <c r="M19" t="str">
        <f t="shared" si="0"/>
        <v>Non rilevato</v>
      </c>
      <c r="N19" s="13" t="s">
        <v>335</v>
      </c>
      <c r="O19" s="13" t="s">
        <v>331</v>
      </c>
      <c r="P19" s="13" t="s">
        <v>331</v>
      </c>
      <c r="Q19" s="14" t="s">
        <v>415</v>
      </c>
      <c r="R19" t="str">
        <f t="shared" si="1"/>
        <v>2026Q3|NFR-06-K3</v>
      </c>
      <c r="S19" s="13" t="s">
        <v>327</v>
      </c>
    </row>
    <row r="20" spans="1:19" ht="29.15" x14ac:dyDescent="0.4">
      <c r="A20" s="13" t="s">
        <v>331</v>
      </c>
      <c r="B20" s="13" t="s">
        <v>416</v>
      </c>
      <c r="C20" s="13" t="s">
        <v>417</v>
      </c>
      <c r="D20" s="14" t="s">
        <v>418</v>
      </c>
      <c r="E20" s="13" t="s">
        <v>354</v>
      </c>
      <c r="F20" s="13" t="s">
        <v>350</v>
      </c>
      <c r="G20">
        <v>1</v>
      </c>
      <c r="H20">
        <v>2</v>
      </c>
      <c r="J20" s="9"/>
      <c r="L20" s="11"/>
      <c r="M20" t="str">
        <f t="shared" si="0"/>
        <v>Non rilevato</v>
      </c>
      <c r="N20" s="13" t="s">
        <v>335</v>
      </c>
      <c r="O20" s="13" t="s">
        <v>331</v>
      </c>
      <c r="P20" s="13" t="s">
        <v>331</v>
      </c>
      <c r="Q20" s="14" t="s">
        <v>419</v>
      </c>
      <c r="R20" t="str">
        <f t="shared" si="1"/>
        <v>2026Q3|NFR-07-K1</v>
      </c>
      <c r="S20" s="13" t="s">
        <v>327</v>
      </c>
    </row>
    <row r="21" spans="1:19" ht="29.15" x14ac:dyDescent="0.4">
      <c r="A21" s="13" t="s">
        <v>331</v>
      </c>
      <c r="B21" s="13" t="s">
        <v>420</v>
      </c>
      <c r="C21" s="13" t="s">
        <v>417</v>
      </c>
      <c r="D21" s="14" t="s">
        <v>421</v>
      </c>
      <c r="E21" s="13" t="s">
        <v>344</v>
      </c>
      <c r="F21" s="13" t="s">
        <v>359</v>
      </c>
      <c r="G21">
        <v>4</v>
      </c>
      <c r="H21">
        <v>12</v>
      </c>
      <c r="J21" s="9"/>
      <c r="L21" s="11"/>
      <c r="M21" t="str">
        <f t="shared" si="0"/>
        <v>Non rilevato</v>
      </c>
      <c r="N21" s="13" t="s">
        <v>335</v>
      </c>
      <c r="O21" s="13" t="s">
        <v>331</v>
      </c>
      <c r="P21" s="13" t="s">
        <v>331</v>
      </c>
      <c r="Q21" s="14" t="s">
        <v>419</v>
      </c>
      <c r="R21" t="str">
        <f t="shared" si="1"/>
        <v>2026Q3|NFR-07-K2</v>
      </c>
      <c r="S21" s="13" t="s">
        <v>327</v>
      </c>
    </row>
    <row r="22" spans="1:19" ht="29.15" x14ac:dyDescent="0.4">
      <c r="A22" s="13" t="s">
        <v>331</v>
      </c>
      <c r="B22" s="13" t="s">
        <v>422</v>
      </c>
      <c r="C22" s="13" t="s">
        <v>417</v>
      </c>
      <c r="D22" s="14" t="s">
        <v>423</v>
      </c>
      <c r="E22" s="13" t="s">
        <v>354</v>
      </c>
      <c r="F22" s="13" t="s">
        <v>424</v>
      </c>
      <c r="G22">
        <v>2</v>
      </c>
      <c r="H22">
        <v>5</v>
      </c>
      <c r="J22" s="9"/>
      <c r="L22" s="11"/>
      <c r="M22" t="str">
        <f t="shared" si="0"/>
        <v>Non rilevato</v>
      </c>
      <c r="N22" s="13" t="s">
        <v>335</v>
      </c>
      <c r="O22" s="13" t="s">
        <v>331</v>
      </c>
      <c r="P22" s="13" t="s">
        <v>331</v>
      </c>
      <c r="Q22" s="14" t="s">
        <v>419</v>
      </c>
      <c r="R22" t="str">
        <f t="shared" si="1"/>
        <v>2026Q3|NFR-07-K3</v>
      </c>
      <c r="S22" s="13" t="s">
        <v>327</v>
      </c>
    </row>
    <row r="23" spans="1:19" ht="29.15" x14ac:dyDescent="0.4">
      <c r="A23" s="13" t="s">
        <v>331</v>
      </c>
      <c r="B23" s="13" t="s">
        <v>425</v>
      </c>
      <c r="C23" s="13" t="s">
        <v>426</v>
      </c>
      <c r="D23" s="14" t="s">
        <v>427</v>
      </c>
      <c r="E23" s="13" t="s">
        <v>405</v>
      </c>
      <c r="F23" s="13" t="s">
        <v>428</v>
      </c>
      <c r="G23">
        <v>20</v>
      </c>
      <c r="H23">
        <v>50</v>
      </c>
      <c r="J23" s="9"/>
      <c r="L23" s="11"/>
      <c r="M23" t="str">
        <f t="shared" si="0"/>
        <v>Non rilevato</v>
      </c>
      <c r="N23" s="13" t="s">
        <v>335</v>
      </c>
      <c r="O23" s="13" t="s">
        <v>331</v>
      </c>
      <c r="P23" s="13" t="s">
        <v>331</v>
      </c>
      <c r="Q23" s="14" t="s">
        <v>429</v>
      </c>
      <c r="R23" t="str">
        <f t="shared" si="1"/>
        <v>2026Q3|NFR-08-K1</v>
      </c>
      <c r="S23" s="13" t="s">
        <v>327</v>
      </c>
    </row>
    <row r="24" spans="1:19" ht="29.15" x14ac:dyDescent="0.4">
      <c r="A24" s="13" t="s">
        <v>331</v>
      </c>
      <c r="B24" s="13" t="s">
        <v>430</v>
      </c>
      <c r="C24" s="13" t="s">
        <v>426</v>
      </c>
      <c r="D24" s="14" t="s">
        <v>431</v>
      </c>
      <c r="E24" s="13" t="s">
        <v>339</v>
      </c>
      <c r="F24" s="13" t="s">
        <v>414</v>
      </c>
      <c r="G24">
        <v>5</v>
      </c>
      <c r="H24">
        <v>15</v>
      </c>
      <c r="J24" s="9"/>
      <c r="L24" s="11"/>
      <c r="M24" t="str">
        <f t="shared" si="0"/>
        <v>Non rilevato</v>
      </c>
      <c r="N24" s="13" t="s">
        <v>335</v>
      </c>
      <c r="O24" s="13" t="s">
        <v>331</v>
      </c>
      <c r="P24" s="13" t="s">
        <v>331</v>
      </c>
      <c r="Q24" s="14" t="s">
        <v>429</v>
      </c>
      <c r="R24" t="str">
        <f t="shared" si="1"/>
        <v>2026Q3|NFR-08-K2</v>
      </c>
      <c r="S24" s="13" t="s">
        <v>327</v>
      </c>
    </row>
    <row r="25" spans="1:19" ht="29.15" x14ac:dyDescent="0.4">
      <c r="A25" s="13" t="s">
        <v>331</v>
      </c>
      <c r="B25" s="13" t="s">
        <v>432</v>
      </c>
      <c r="C25" s="13" t="s">
        <v>426</v>
      </c>
      <c r="D25" s="14" t="s">
        <v>433</v>
      </c>
      <c r="E25" s="13" t="s">
        <v>354</v>
      </c>
      <c r="F25" s="13" t="s">
        <v>434</v>
      </c>
      <c r="G25">
        <v>1</v>
      </c>
      <c r="H25">
        <v>3</v>
      </c>
      <c r="J25" s="9"/>
      <c r="L25" s="11"/>
      <c r="M25" t="str">
        <f t="shared" si="0"/>
        <v>Non rilevato</v>
      </c>
      <c r="N25" s="13" t="s">
        <v>335</v>
      </c>
      <c r="O25" s="13" t="s">
        <v>331</v>
      </c>
      <c r="P25" s="13" t="s">
        <v>331</v>
      </c>
      <c r="Q25" s="14" t="s">
        <v>429</v>
      </c>
      <c r="R25" t="str">
        <f t="shared" si="1"/>
        <v>2026Q3|NFR-08-K3</v>
      </c>
      <c r="S25" s="13" t="s">
        <v>327</v>
      </c>
    </row>
    <row r="26" spans="1:19" ht="29.15" x14ac:dyDescent="0.4">
      <c r="A26" s="13" t="s">
        <v>331</v>
      </c>
      <c r="B26" s="13" t="s">
        <v>435</v>
      </c>
      <c r="C26" s="13" t="s">
        <v>436</v>
      </c>
      <c r="D26" s="14" t="s">
        <v>437</v>
      </c>
      <c r="E26" s="13" t="s">
        <v>333</v>
      </c>
      <c r="F26" s="13" t="s">
        <v>438</v>
      </c>
      <c r="G26">
        <v>2</v>
      </c>
      <c r="H26">
        <v>5</v>
      </c>
      <c r="J26" s="9"/>
      <c r="L26" s="11"/>
      <c r="M26" t="str">
        <f t="shared" si="0"/>
        <v>Non rilevato</v>
      </c>
      <c r="N26" s="13" t="s">
        <v>335</v>
      </c>
      <c r="O26" s="13" t="s">
        <v>331</v>
      </c>
      <c r="P26" s="13" t="s">
        <v>331</v>
      </c>
      <c r="Q26" s="14" t="s">
        <v>439</v>
      </c>
      <c r="R26" t="str">
        <f t="shared" si="1"/>
        <v>2026Q3|NFR-09-K1</v>
      </c>
      <c r="S26" s="13" t="s">
        <v>327</v>
      </c>
    </row>
    <row r="27" spans="1:19" ht="29.15" x14ac:dyDescent="0.4">
      <c r="A27" s="13" t="s">
        <v>331</v>
      </c>
      <c r="B27" s="13" t="s">
        <v>440</v>
      </c>
      <c r="C27" s="13" t="s">
        <v>436</v>
      </c>
      <c r="D27" s="14" t="s">
        <v>441</v>
      </c>
      <c r="E27" s="13" t="s">
        <v>339</v>
      </c>
      <c r="F27" s="13" t="s">
        <v>442</v>
      </c>
      <c r="G27">
        <v>5</v>
      </c>
      <c r="H27">
        <v>15</v>
      </c>
      <c r="J27" s="9"/>
      <c r="L27" s="11"/>
      <c r="M27" t="str">
        <f t="shared" si="0"/>
        <v>Non rilevato</v>
      </c>
      <c r="N27" s="13" t="s">
        <v>335</v>
      </c>
      <c r="O27" s="13" t="s">
        <v>331</v>
      </c>
      <c r="P27" s="13" t="s">
        <v>331</v>
      </c>
      <c r="Q27" s="14" t="s">
        <v>439</v>
      </c>
      <c r="R27" t="str">
        <f t="shared" si="1"/>
        <v>2026Q3|NFR-09-K2</v>
      </c>
      <c r="S27" s="13" t="s">
        <v>327</v>
      </c>
    </row>
    <row r="28" spans="1:19" ht="29.15" x14ac:dyDescent="0.4">
      <c r="A28" s="13" t="s">
        <v>331</v>
      </c>
      <c r="B28" s="13" t="s">
        <v>443</v>
      </c>
      <c r="C28" s="13" t="s">
        <v>436</v>
      </c>
      <c r="D28" s="14" t="s">
        <v>444</v>
      </c>
      <c r="E28" s="13" t="s">
        <v>354</v>
      </c>
      <c r="F28" s="13" t="s">
        <v>445</v>
      </c>
      <c r="G28">
        <v>1</v>
      </c>
      <c r="H28">
        <v>3</v>
      </c>
      <c r="J28" s="9"/>
      <c r="L28" s="11"/>
      <c r="M28" t="str">
        <f t="shared" si="0"/>
        <v>Non rilevato</v>
      </c>
      <c r="N28" s="13" t="s">
        <v>335</v>
      </c>
      <c r="O28" s="13" t="s">
        <v>331</v>
      </c>
      <c r="P28" s="13" t="s">
        <v>331</v>
      </c>
      <c r="Q28" s="14" t="s">
        <v>439</v>
      </c>
      <c r="R28" t="str">
        <f t="shared" si="1"/>
        <v>2026Q3|NFR-09-K3</v>
      </c>
      <c r="S28" s="13" t="s">
        <v>327</v>
      </c>
    </row>
    <row r="29" spans="1:19" ht="29.15" x14ac:dyDescent="0.4">
      <c r="A29" s="13" t="s">
        <v>331</v>
      </c>
      <c r="B29" s="13" t="s">
        <v>446</v>
      </c>
      <c r="C29" s="13" t="s">
        <v>447</v>
      </c>
      <c r="D29" s="14" t="s">
        <v>448</v>
      </c>
      <c r="E29" s="13" t="s">
        <v>364</v>
      </c>
      <c r="F29" s="13" t="s">
        <v>449</v>
      </c>
      <c r="G29">
        <v>2</v>
      </c>
      <c r="H29">
        <v>5</v>
      </c>
      <c r="J29" s="9"/>
      <c r="L29" s="11"/>
      <c r="M29" t="str">
        <f t="shared" si="0"/>
        <v>Non rilevato</v>
      </c>
      <c r="N29" s="13" t="s">
        <v>335</v>
      </c>
      <c r="O29" s="13" t="s">
        <v>331</v>
      </c>
      <c r="P29" s="13" t="s">
        <v>331</v>
      </c>
      <c r="Q29" s="14" t="s">
        <v>450</v>
      </c>
      <c r="R29" t="str">
        <f t="shared" si="1"/>
        <v>2026Q3|NFR-10-K1</v>
      </c>
      <c r="S29" s="13" t="s">
        <v>327</v>
      </c>
    </row>
    <row r="30" spans="1:19" ht="29.15" x14ac:dyDescent="0.4">
      <c r="A30" s="13" t="s">
        <v>331</v>
      </c>
      <c r="B30" s="13" t="s">
        <v>451</v>
      </c>
      <c r="C30" s="13" t="s">
        <v>447</v>
      </c>
      <c r="D30" s="14" t="s">
        <v>452</v>
      </c>
      <c r="E30" s="13" t="s">
        <v>354</v>
      </c>
      <c r="F30" s="13" t="s">
        <v>365</v>
      </c>
      <c r="G30">
        <v>2</v>
      </c>
      <c r="H30">
        <v>6</v>
      </c>
      <c r="J30" s="9"/>
      <c r="L30" s="11"/>
      <c r="M30" t="str">
        <f t="shared" si="0"/>
        <v>Non rilevato</v>
      </c>
      <c r="N30" s="13" t="s">
        <v>335</v>
      </c>
      <c r="O30" s="13" t="s">
        <v>331</v>
      </c>
      <c r="P30" s="13" t="s">
        <v>331</v>
      </c>
      <c r="Q30" s="14" t="s">
        <v>450</v>
      </c>
      <c r="R30" t="str">
        <f t="shared" si="1"/>
        <v>2026Q3|NFR-10-K2</v>
      </c>
      <c r="S30" s="13" t="s">
        <v>327</v>
      </c>
    </row>
    <row r="31" spans="1:19" ht="29.15" x14ac:dyDescent="0.4">
      <c r="A31" s="13" t="s">
        <v>331</v>
      </c>
      <c r="B31" s="13" t="s">
        <v>453</v>
      </c>
      <c r="C31" s="13" t="s">
        <v>447</v>
      </c>
      <c r="D31" s="14" t="s">
        <v>454</v>
      </c>
      <c r="E31" s="13" t="s">
        <v>339</v>
      </c>
      <c r="F31" s="13" t="s">
        <v>455</v>
      </c>
      <c r="G31">
        <v>20</v>
      </c>
      <c r="H31">
        <v>50</v>
      </c>
      <c r="J31" s="9"/>
      <c r="L31" s="11"/>
      <c r="M31" t="str">
        <f t="shared" si="0"/>
        <v>Non rilevato</v>
      </c>
      <c r="N31" s="13" t="s">
        <v>335</v>
      </c>
      <c r="O31" s="13" t="s">
        <v>331</v>
      </c>
      <c r="P31" s="13" t="s">
        <v>331</v>
      </c>
      <c r="Q31" s="14" t="s">
        <v>450</v>
      </c>
      <c r="R31" t="str">
        <f t="shared" si="1"/>
        <v>2026Q3|NFR-10-K3</v>
      </c>
      <c r="S31" s="13" t="s">
        <v>327</v>
      </c>
    </row>
    <row r="32" spans="1:19" ht="29.15" x14ac:dyDescent="0.4">
      <c r="A32" s="13" t="s">
        <v>331</v>
      </c>
      <c r="B32" s="13" t="s">
        <v>456</v>
      </c>
      <c r="C32" s="13" t="s">
        <v>457</v>
      </c>
      <c r="D32" s="14" t="s">
        <v>458</v>
      </c>
      <c r="E32" s="13" t="s">
        <v>354</v>
      </c>
      <c r="F32" s="13" t="s">
        <v>459</v>
      </c>
      <c r="G32">
        <v>3</v>
      </c>
      <c r="H32">
        <v>8</v>
      </c>
      <c r="J32" s="9"/>
      <c r="L32" s="11"/>
      <c r="M32" t="str">
        <f t="shared" si="0"/>
        <v>Non rilevato</v>
      </c>
      <c r="N32" s="13" t="s">
        <v>335</v>
      </c>
      <c r="O32" s="13" t="s">
        <v>331</v>
      </c>
      <c r="P32" s="13" t="s">
        <v>331</v>
      </c>
      <c r="Q32" s="14" t="s">
        <v>460</v>
      </c>
      <c r="R32" t="str">
        <f t="shared" si="1"/>
        <v>2026Q3|NFR-11-K1</v>
      </c>
      <c r="S32" s="13" t="s">
        <v>327</v>
      </c>
    </row>
    <row r="33" spans="1:19" ht="29.15" x14ac:dyDescent="0.4">
      <c r="A33" s="13" t="s">
        <v>331</v>
      </c>
      <c r="B33" s="13" t="s">
        <v>461</v>
      </c>
      <c r="C33" s="13" t="s">
        <v>457</v>
      </c>
      <c r="D33" s="14" t="s">
        <v>462</v>
      </c>
      <c r="E33" s="13" t="s">
        <v>354</v>
      </c>
      <c r="F33" s="13" t="s">
        <v>463</v>
      </c>
      <c r="G33">
        <v>2</v>
      </c>
      <c r="H33">
        <v>6</v>
      </c>
      <c r="J33" s="9"/>
      <c r="L33" s="11"/>
      <c r="M33" t="str">
        <f t="shared" si="0"/>
        <v>Non rilevato</v>
      </c>
      <c r="N33" s="13" t="s">
        <v>335</v>
      </c>
      <c r="O33" s="13" t="s">
        <v>331</v>
      </c>
      <c r="P33" s="13" t="s">
        <v>331</v>
      </c>
      <c r="Q33" s="14" t="s">
        <v>460</v>
      </c>
      <c r="R33" t="str">
        <f t="shared" si="1"/>
        <v>2026Q3|NFR-11-K2</v>
      </c>
      <c r="S33" s="13" t="s">
        <v>327</v>
      </c>
    </row>
    <row r="34" spans="1:19" ht="29.15" x14ac:dyDescent="0.4">
      <c r="A34" s="13" t="s">
        <v>331</v>
      </c>
      <c r="B34" s="13" t="s">
        <v>464</v>
      </c>
      <c r="C34" s="13" t="s">
        <v>457</v>
      </c>
      <c r="D34" s="14" t="s">
        <v>465</v>
      </c>
      <c r="E34" s="13" t="s">
        <v>354</v>
      </c>
      <c r="F34" s="13" t="s">
        <v>466</v>
      </c>
      <c r="G34">
        <v>1</v>
      </c>
      <c r="H34">
        <v>3</v>
      </c>
      <c r="J34" s="9"/>
      <c r="L34" s="11"/>
      <c r="M34" t="str">
        <f t="shared" si="0"/>
        <v>Non rilevato</v>
      </c>
      <c r="N34" s="13" t="s">
        <v>335</v>
      </c>
      <c r="O34" s="13" t="s">
        <v>331</v>
      </c>
      <c r="P34" s="13" t="s">
        <v>331</v>
      </c>
      <c r="Q34" s="14" t="s">
        <v>460</v>
      </c>
      <c r="R34" t="str">
        <f t="shared" si="1"/>
        <v>2026Q3|NFR-11-K3</v>
      </c>
      <c r="S34" s="13" t="s">
        <v>327</v>
      </c>
    </row>
    <row r="35" spans="1:19" ht="29.15" x14ac:dyDescent="0.4">
      <c r="A35" s="13" t="s">
        <v>331</v>
      </c>
      <c r="B35" s="13" t="s">
        <v>467</v>
      </c>
      <c r="C35" s="13" t="s">
        <v>468</v>
      </c>
      <c r="D35" s="14" t="s">
        <v>469</v>
      </c>
      <c r="E35" s="13" t="s">
        <v>354</v>
      </c>
      <c r="F35" s="13" t="s">
        <v>470</v>
      </c>
      <c r="G35">
        <v>10</v>
      </c>
      <c r="H35">
        <v>30</v>
      </c>
      <c r="J35" s="9"/>
      <c r="L35" s="11"/>
      <c r="M35" t="str">
        <f t="shared" si="0"/>
        <v>Non rilevato</v>
      </c>
      <c r="N35" s="13" t="s">
        <v>335</v>
      </c>
      <c r="O35" s="13" t="s">
        <v>331</v>
      </c>
      <c r="P35" s="13" t="s">
        <v>331</v>
      </c>
      <c r="Q35" s="14" t="s">
        <v>471</v>
      </c>
      <c r="R35" t="str">
        <f t="shared" si="1"/>
        <v>2026Q3|NFR-12-K1</v>
      </c>
      <c r="S35" s="13" t="s">
        <v>327</v>
      </c>
    </row>
    <row r="36" spans="1:19" ht="29.15" x14ac:dyDescent="0.4">
      <c r="A36" s="13" t="s">
        <v>331</v>
      </c>
      <c r="B36" s="13" t="s">
        <v>472</v>
      </c>
      <c r="C36" s="13" t="s">
        <v>468</v>
      </c>
      <c r="D36" s="14" t="s">
        <v>473</v>
      </c>
      <c r="E36" s="13" t="s">
        <v>354</v>
      </c>
      <c r="F36" s="13" t="s">
        <v>474</v>
      </c>
      <c r="G36">
        <v>3</v>
      </c>
      <c r="H36">
        <v>10</v>
      </c>
      <c r="J36" s="9"/>
      <c r="L36" s="11"/>
      <c r="M36" t="str">
        <f t="shared" si="0"/>
        <v>Non rilevato</v>
      </c>
      <c r="N36" s="13" t="s">
        <v>335</v>
      </c>
      <c r="O36" s="13" t="s">
        <v>331</v>
      </c>
      <c r="P36" s="13" t="s">
        <v>331</v>
      </c>
      <c r="Q36" s="14" t="s">
        <v>471</v>
      </c>
      <c r="R36" t="str">
        <f t="shared" si="1"/>
        <v>2026Q3|NFR-12-K2</v>
      </c>
      <c r="S36" s="13" t="s">
        <v>327</v>
      </c>
    </row>
    <row r="37" spans="1:19" ht="29.15" x14ac:dyDescent="0.4">
      <c r="A37" s="13" t="s">
        <v>331</v>
      </c>
      <c r="B37" s="13" t="s">
        <v>475</v>
      </c>
      <c r="C37" s="13" t="s">
        <v>468</v>
      </c>
      <c r="D37" s="14" t="s">
        <v>476</v>
      </c>
      <c r="E37" s="13" t="s">
        <v>344</v>
      </c>
      <c r="F37" s="13" t="s">
        <v>477</v>
      </c>
      <c r="G37">
        <v>4</v>
      </c>
      <c r="H37">
        <v>12</v>
      </c>
      <c r="J37" s="9"/>
      <c r="L37" s="11"/>
      <c r="M37" t="str">
        <f t="shared" si="0"/>
        <v>Non rilevato</v>
      </c>
      <c r="N37" s="13" t="s">
        <v>335</v>
      </c>
      <c r="O37" s="13" t="s">
        <v>331</v>
      </c>
      <c r="P37" s="13" t="s">
        <v>331</v>
      </c>
      <c r="Q37" s="14" t="s">
        <v>471</v>
      </c>
      <c r="R37" t="str">
        <f t="shared" si="1"/>
        <v>2026Q3|NFR-12-K3</v>
      </c>
      <c r="S37" s="13" t="s">
        <v>327</v>
      </c>
    </row>
  </sheetData>
  <conditionalFormatting sqref="M2:M19937">
    <cfRule type="expression" dxfId="15" priority="1">
      <formula>M2="Rosso"</formula>
    </cfRule>
    <cfRule type="expression" dxfId="14" priority="2">
      <formula>M2="Ambra"</formula>
    </cfRule>
    <cfRule type="expression" dxfId="13" priority="3">
      <formula>M2="Verde"</formula>
    </cfRule>
    <cfRule type="expression" dxfId="12" priority="4">
      <formula>M2="SOGLIE INVERTITE — correggere"</formula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5"/>
  <sheetViews>
    <sheetView workbookViewId="0">
      <pane ySplit="5" topLeftCell="A6" activePane="bottomLeft" state="frozen"/>
      <selection pane="bottomLeft"/>
    </sheetView>
  </sheetViews>
  <sheetFormatPr defaultRowHeight="14.6" x14ac:dyDescent="0.4"/>
  <cols>
    <col min="1" max="1" width="12" customWidth="1"/>
    <col min="2" max="2" width="10" customWidth="1"/>
    <col min="3" max="3" width="58" customWidth="1"/>
    <col min="4" max="4" width="9" customWidth="1"/>
    <col min="5" max="6" width="11" customWidth="1"/>
    <col min="7" max="7" width="10" customWidth="1"/>
    <col min="8" max="8" width="13" customWidth="1"/>
    <col min="9" max="9" width="14" customWidth="1"/>
    <col min="10" max="11" width="13" customWidth="1"/>
    <col min="14" max="14" width="13" hidden="1" customWidth="1"/>
  </cols>
  <sheetData>
    <row r="1" spans="1:14" ht="18.45" x14ac:dyDescent="0.5">
      <c r="A1" s="1" t="s">
        <v>261</v>
      </c>
    </row>
    <row r="2" spans="1:14" x14ac:dyDescent="0.4">
      <c r="A2" s="3" t="s">
        <v>262</v>
      </c>
    </row>
    <row r="3" spans="1:14" x14ac:dyDescent="0.4">
      <c r="A3" t="s">
        <v>2</v>
      </c>
      <c r="B3" t="str">
        <f>cicloCorrente</f>
        <v>2026Q3</v>
      </c>
      <c r="D3" s="2" t="s">
        <v>263</v>
      </c>
      <c r="E3">
        <f>COUNTIFS(KRI_Ciclo,cicloCorrente,KRI_In_Vigore,"Sì",KRI_Stato,"Verde")</f>
        <v>0</v>
      </c>
      <c r="F3" s="2" t="s">
        <v>264</v>
      </c>
      <c r="G3">
        <f>COUNTIFS(KRI_Ciclo,cicloCorrente,KRI_In_Vigore,"Sì",KRI_Stato,"Ambra")</f>
        <v>1</v>
      </c>
      <c r="H3" s="2" t="s">
        <v>265</v>
      </c>
      <c r="I3">
        <f>COUNTIFS(KRI_Ciclo,cicloCorrente,KRI_In_Vigore,"Sì",KRI_Stato,"Rosso")</f>
        <v>0</v>
      </c>
      <c r="J3" s="2" t="s">
        <v>266</v>
      </c>
      <c r="K3">
        <f>COUNTIFS(KRI_Ciclo,cicloCorrente,KRI_In_Vigore,"Sì",KRI_Stato,"Non rilevato")</f>
        <v>35</v>
      </c>
    </row>
    <row r="5" spans="1:14" x14ac:dyDescent="0.4">
      <c r="A5" s="2" t="s">
        <v>237</v>
      </c>
      <c r="B5" s="2" t="s">
        <v>95</v>
      </c>
      <c r="C5" s="2" t="s">
        <v>14</v>
      </c>
      <c r="D5" s="2" t="s">
        <v>267</v>
      </c>
      <c r="E5" s="2" t="s">
        <v>268</v>
      </c>
      <c r="F5" s="2" t="s">
        <v>269</v>
      </c>
      <c r="G5" s="2" t="s">
        <v>270</v>
      </c>
      <c r="H5" s="2" t="s">
        <v>271</v>
      </c>
      <c r="I5" s="2" t="s">
        <v>93</v>
      </c>
      <c r="J5" s="2" t="s">
        <v>272</v>
      </c>
      <c r="K5" s="2" t="s">
        <v>273</v>
      </c>
    </row>
    <row r="6" spans="1:14" x14ac:dyDescent="0.4">
      <c r="A6" t="str">
        <f>IF($N6="","",INDEX(KRI!$B:$B,$N6)&amp;"")</f>
        <v>NFR-01-K1</v>
      </c>
      <c r="B6" t="str">
        <f>IF($N6="","",INDEX(KRI!$C:$C,$N6)&amp;"")</f>
        <v>NFR-01</v>
      </c>
      <c r="C6" t="str">
        <f>IF($N6="","",INDEX(KRI!$D:$D,$N6)&amp;"")</f>
        <v>Tentativi di frode APP per 10.000 bonifici istantanei</v>
      </c>
      <c r="D6" t="str">
        <f>IF($N6="","",INDEX(KRI!$E:$E,$N6)&amp;"")</f>
        <v>n/10k</v>
      </c>
      <c r="E6">
        <f>IF($N6="","",IF(INDEX(KRI!$G:$G,$N6)="","",INDEX(KRI!$G:$G,$N6)))</f>
        <v>3</v>
      </c>
      <c r="F6">
        <f>IF($N6="","",IF(INDEX(KRI!$H:$H,$N6)="","",INDEX(KRI!$H:$H,$N6)))</f>
        <v>6</v>
      </c>
      <c r="G6">
        <f>IF($N6="","",IF(INDEX(KRI!$I:$I,$N6)="","",INDEX(KRI!$I:$I,$N6)))</f>
        <v>4.8</v>
      </c>
      <c r="H6" s="9">
        <f>IF($N6="","",IF(INDEX(KRI!$J:$J,$N6)="","",INDEX(KRI!$J:$J,$N6)))</f>
        <v>46295</v>
      </c>
      <c r="I6" t="str">
        <f>IF($N6="","",INDEX(KRI!$M:$M,$N6)&amp;"")</f>
        <v>Ambra</v>
      </c>
      <c r="J6" t="str">
        <f t="shared" ref="J6:J37" si="0">IF($A6="","",IF(COUNTIFS(KRI_KRI_ID,$A6,KRI_Ciclo,cicloPrecedente,KRI_Valore_Corrente,"&lt;&gt;")=0,"—",SUMIFS(KRI_Valore_Corrente,KRI_KRI_ID,$A6,KRI_Ciclo,cicloPrecedente)))</f>
        <v>—</v>
      </c>
      <c r="K6" t="str">
        <f t="shared" ref="K6:K37" si="1">IF(OR(G6="",NOT(ISNUMBER(J6))),"",IF(G6&gt;J6,"▲ peggiora",IF(G6&lt;J6,"▼ migliora","= invariato")))</f>
        <v/>
      </c>
      <c r="N6">
        <f>IFERROR(_xlfn.AGGREGATE(15,6,ROW(KRI_Ciclo)/((KRI_Ciclo=cicloCorrente)*(KRI_In_Vigore="Sì")),1),"")</f>
        <v>2</v>
      </c>
    </row>
    <row r="7" spans="1:14" x14ac:dyDescent="0.4">
      <c r="A7" t="str">
        <f>IF($N7="","",INDEX(KRI!$B:$B,$N7)&amp;"")</f>
        <v>NFR-01-K2</v>
      </c>
      <c r="B7" t="str">
        <f>IF($N7="","",INDEX(KRI!$C:$C,$N7)&amp;"")</f>
        <v>NFR-01</v>
      </c>
      <c r="C7" t="str">
        <f>IF($N7="","",INDEX(KRI!$D:$D,$N7)&amp;"")</f>
        <v>Quota di frodi con voce o video sintetici accertati</v>
      </c>
      <c r="D7" t="str">
        <f>IF($N7="","",INDEX(KRI!$E:$E,$N7)&amp;"")</f>
        <v>%</v>
      </c>
      <c r="E7">
        <f>IF($N7="","",IF(INDEX(KRI!$G:$G,$N7)="","",INDEX(KRI!$G:$G,$N7)))</f>
        <v>10</v>
      </c>
      <c r="F7">
        <f>IF($N7="","",IF(INDEX(KRI!$H:$H,$N7)="","",INDEX(KRI!$H:$H,$N7)))</f>
        <v>25</v>
      </c>
      <c r="G7" t="str">
        <f>IF($N7="","",IF(INDEX(KRI!$I:$I,$N7)="","",INDEX(KRI!$I:$I,$N7)))</f>
        <v/>
      </c>
      <c r="H7" s="9" t="str">
        <f>IF($N7="","",IF(INDEX(KRI!$J:$J,$N7)="","",INDEX(KRI!$J:$J,$N7)))</f>
        <v/>
      </c>
      <c r="I7" t="str">
        <f>IF($N7="","",INDEX(KRI!$M:$M,$N7)&amp;"")</f>
        <v>Non rilevato</v>
      </c>
      <c r="J7" t="str">
        <f t="shared" si="0"/>
        <v>—</v>
      </c>
      <c r="K7" t="str">
        <f t="shared" si="1"/>
        <v/>
      </c>
      <c r="N7">
        <f>IFERROR(_xlfn.AGGREGATE(15,6,ROW(KRI_Ciclo)/((KRI_Ciclo=cicloCorrente)*(KRI_In_Vigore="Sì")),2),"")</f>
        <v>3</v>
      </c>
    </row>
    <row r="8" spans="1:14" x14ac:dyDescent="0.4">
      <c r="A8" t="str">
        <f>IF($N8="","",INDEX(KRI!$B:$B,$N8)&amp;"")</f>
        <v>NFR-01-K3</v>
      </c>
      <c r="B8" t="str">
        <f>IF($N8="","",INDEX(KRI!$C:$C,$N8)&amp;"")</f>
        <v>NFR-01</v>
      </c>
      <c r="C8" t="str">
        <f>IF($N8="","",INDEX(KRI!$D:$D,$N8)&amp;"")</f>
        <v>Tempo medio di blocco di un beneficiario fraudolento</v>
      </c>
      <c r="D8" t="str">
        <f>IF($N8="","",INDEX(KRI!$E:$E,$N8)&amp;"")</f>
        <v>ore</v>
      </c>
      <c r="E8">
        <f>IF($N8="","",IF(INDEX(KRI!$G:$G,$N8)="","",INDEX(KRI!$G:$G,$N8)))</f>
        <v>4</v>
      </c>
      <c r="F8">
        <f>IF($N8="","",IF(INDEX(KRI!$H:$H,$N8)="","",INDEX(KRI!$H:$H,$N8)))</f>
        <v>12</v>
      </c>
      <c r="G8" t="str">
        <f>IF($N8="","",IF(INDEX(KRI!$I:$I,$N8)="","",INDEX(KRI!$I:$I,$N8)))</f>
        <v/>
      </c>
      <c r="H8" s="9" t="str">
        <f>IF($N8="","",IF(INDEX(KRI!$J:$J,$N8)="","",INDEX(KRI!$J:$J,$N8)))</f>
        <v/>
      </c>
      <c r="I8" t="str">
        <f>IF($N8="","",INDEX(KRI!$M:$M,$N8)&amp;"")</f>
        <v>Non rilevato</v>
      </c>
      <c r="J8" t="str">
        <f t="shared" si="0"/>
        <v>—</v>
      </c>
      <c r="K8" t="str">
        <f t="shared" si="1"/>
        <v/>
      </c>
      <c r="N8">
        <f>IFERROR(_xlfn.AGGREGATE(15,6,ROW(KRI_Ciclo)/((KRI_Ciclo=cicloCorrente)*(KRI_In_Vigore="Sì")),3),"")</f>
        <v>4</v>
      </c>
    </row>
    <row r="9" spans="1:14" x14ac:dyDescent="0.4">
      <c r="A9" t="str">
        <f>IF($N9="","",INDEX(KRI!$B:$B,$N9)&amp;"")</f>
        <v>NFR-02-K1</v>
      </c>
      <c r="B9" t="str">
        <f>IF($N9="","",INDEX(KRI!$C:$C,$N9)&amp;"")</f>
        <v>NFR-02</v>
      </c>
      <c r="C9" t="str">
        <f>IF($N9="","",INDEX(KRI!$D:$D,$N9)&amp;"")</f>
        <v>Quota di servizi critici sul fornitore cloud principale</v>
      </c>
      <c r="D9" t="str">
        <f>IF($N9="","",INDEX(KRI!$E:$E,$N9)&amp;"")</f>
        <v>%</v>
      </c>
      <c r="E9">
        <f>IF($N9="","",IF(INDEX(KRI!$G:$G,$N9)="","",INDEX(KRI!$G:$G,$N9)))</f>
        <v>60</v>
      </c>
      <c r="F9">
        <f>IF($N9="","",IF(INDEX(KRI!$H:$H,$N9)="","",INDEX(KRI!$H:$H,$N9)))</f>
        <v>75</v>
      </c>
      <c r="G9" t="str">
        <f>IF($N9="","",IF(INDEX(KRI!$I:$I,$N9)="","",INDEX(KRI!$I:$I,$N9)))</f>
        <v/>
      </c>
      <c r="H9" s="9" t="str">
        <f>IF($N9="","",IF(INDEX(KRI!$J:$J,$N9)="","",INDEX(KRI!$J:$J,$N9)))</f>
        <v/>
      </c>
      <c r="I9" t="str">
        <f>IF($N9="","",INDEX(KRI!$M:$M,$N9)&amp;"")</f>
        <v>Non rilevato</v>
      </c>
      <c r="J9" t="str">
        <f t="shared" si="0"/>
        <v>—</v>
      </c>
      <c r="K9" t="str">
        <f t="shared" si="1"/>
        <v/>
      </c>
      <c r="N9">
        <f>IFERROR(_xlfn.AGGREGATE(15,6,ROW(KRI_Ciclo)/((KRI_Ciclo=cicloCorrente)*(KRI_In_Vigore="Sì")),4),"")</f>
        <v>5</v>
      </c>
    </row>
    <row r="10" spans="1:14" x14ac:dyDescent="0.4">
      <c r="A10" t="str">
        <f>IF($N10="","",INDEX(KRI!$B:$B,$N10)&amp;"")</f>
        <v>NFR-02-K2</v>
      </c>
      <c r="B10" t="str">
        <f>IF($N10="","",INDEX(KRI!$C:$C,$N10)&amp;"")</f>
        <v>NFR-02</v>
      </c>
      <c r="C10" t="str">
        <f>IF($N10="","",INDEX(KRI!$D:$D,$N10)&amp;"")</f>
        <v>Servizi critici senza piano di uscita testato negli ultimi 12 mesi</v>
      </c>
      <c r="D10" t="str">
        <f>IF($N10="","",INDEX(KRI!$E:$E,$N10)&amp;"")</f>
        <v>n</v>
      </c>
      <c r="E10">
        <f>IF($N10="","",IF(INDEX(KRI!$G:$G,$N10)="","",INDEX(KRI!$G:$G,$N10)))</f>
        <v>1</v>
      </c>
      <c r="F10">
        <f>IF($N10="","",IF(INDEX(KRI!$H:$H,$N10)="","",INDEX(KRI!$H:$H,$N10)))</f>
        <v>2</v>
      </c>
      <c r="G10" t="str">
        <f>IF($N10="","",IF(INDEX(KRI!$I:$I,$N10)="","",INDEX(KRI!$I:$I,$N10)))</f>
        <v/>
      </c>
      <c r="H10" s="9" t="str">
        <f>IF($N10="","",IF(INDEX(KRI!$J:$J,$N10)="","",INDEX(KRI!$J:$J,$N10)))</f>
        <v/>
      </c>
      <c r="I10" t="str">
        <f>IF($N10="","",INDEX(KRI!$M:$M,$N10)&amp;"")</f>
        <v>Non rilevato</v>
      </c>
      <c r="J10" t="str">
        <f t="shared" si="0"/>
        <v>—</v>
      </c>
      <c r="K10" t="str">
        <f t="shared" si="1"/>
        <v/>
      </c>
      <c r="N10">
        <f>IFERROR(_xlfn.AGGREGATE(15,6,ROW(KRI_Ciclo)/((KRI_Ciclo=cicloCorrente)*(KRI_In_Vigore="Sì")),5),"")</f>
        <v>6</v>
      </c>
    </row>
    <row r="11" spans="1:14" x14ac:dyDescent="0.4">
      <c r="A11" t="str">
        <f>IF($N11="","",INDEX(KRI!$B:$B,$N11)&amp;"")</f>
        <v>NFR-02-K3</v>
      </c>
      <c r="B11" t="str">
        <f>IF($N11="","",INDEX(KRI!$C:$C,$N11)&amp;"")</f>
        <v>NFR-02</v>
      </c>
      <c r="C11" t="str">
        <f>IF($N11="","",INDEX(KRI!$D:$D,$N11)&amp;"")</f>
        <v>Incidenti del fornitore con impatto sui servizi nel trimestre</v>
      </c>
      <c r="D11" t="str">
        <f>IF($N11="","",INDEX(KRI!$E:$E,$N11)&amp;"")</f>
        <v>n</v>
      </c>
      <c r="E11">
        <f>IF($N11="","",IF(INDEX(KRI!$G:$G,$N11)="","",INDEX(KRI!$G:$G,$N11)))</f>
        <v>2</v>
      </c>
      <c r="F11">
        <f>IF($N11="","",IF(INDEX(KRI!$H:$H,$N11)="","",INDEX(KRI!$H:$H,$N11)))</f>
        <v>4</v>
      </c>
      <c r="G11" t="str">
        <f>IF($N11="","",IF(INDEX(KRI!$I:$I,$N11)="","",INDEX(KRI!$I:$I,$N11)))</f>
        <v/>
      </c>
      <c r="H11" s="9" t="str">
        <f>IF($N11="","",IF(INDEX(KRI!$J:$J,$N11)="","",INDEX(KRI!$J:$J,$N11)))</f>
        <v/>
      </c>
      <c r="I11" t="str">
        <f>IF($N11="","",INDEX(KRI!$M:$M,$N11)&amp;"")</f>
        <v>Non rilevato</v>
      </c>
      <c r="J11" t="str">
        <f t="shared" si="0"/>
        <v>—</v>
      </c>
      <c r="K11" t="str">
        <f t="shared" si="1"/>
        <v/>
      </c>
      <c r="N11">
        <f>IFERROR(_xlfn.AGGREGATE(15,6,ROW(KRI_Ciclo)/((KRI_Ciclo=cicloCorrente)*(KRI_In_Vigore="Sì")),6),"")</f>
        <v>7</v>
      </c>
    </row>
    <row r="12" spans="1:14" x14ac:dyDescent="0.4">
      <c r="A12" t="str">
        <f>IF($N12="","",INDEX(KRI!$B:$B,$N12)&amp;"")</f>
        <v>NFR-03-K1</v>
      </c>
      <c r="B12" t="str">
        <f>IF($N12="","",INDEX(KRI!$C:$C,$N12)&amp;"")</f>
        <v>NFR-03</v>
      </c>
      <c r="C12" t="str">
        <f>IF($N12="","",INDEX(KRI!$D:$D,$N12)&amp;"")</f>
        <v>Reclami su prodotti ESG ogni 1.000 contratti</v>
      </c>
      <c r="D12" t="str">
        <f>IF($N12="","",INDEX(KRI!$E:$E,$N12)&amp;"")</f>
        <v>n/1000</v>
      </c>
      <c r="E12">
        <f>IF($N12="","",IF(INDEX(KRI!$G:$G,$N12)="","",INDEX(KRI!$G:$G,$N12)))</f>
        <v>1.5</v>
      </c>
      <c r="F12">
        <f>IF($N12="","",IF(INDEX(KRI!$H:$H,$N12)="","",INDEX(KRI!$H:$H,$N12)))</f>
        <v>3</v>
      </c>
      <c r="G12" t="str">
        <f>IF($N12="","",IF(INDEX(KRI!$I:$I,$N12)="","",INDEX(KRI!$I:$I,$N12)))</f>
        <v/>
      </c>
      <c r="H12" s="9" t="str">
        <f>IF($N12="","",IF(INDEX(KRI!$J:$J,$N12)="","",INDEX(KRI!$J:$J,$N12)))</f>
        <v/>
      </c>
      <c r="I12" t="str">
        <f>IF($N12="","",INDEX(KRI!$M:$M,$N12)&amp;"")</f>
        <v>Non rilevato</v>
      </c>
      <c r="J12" t="str">
        <f t="shared" si="0"/>
        <v>—</v>
      </c>
      <c r="K12" t="str">
        <f t="shared" si="1"/>
        <v/>
      </c>
      <c r="N12">
        <f>IFERROR(_xlfn.AGGREGATE(15,6,ROW(KRI_Ciclo)/((KRI_Ciclo=cicloCorrente)*(KRI_In_Vigore="Sì")),7),"")</f>
        <v>8</v>
      </c>
    </row>
    <row r="13" spans="1:14" x14ac:dyDescent="0.4">
      <c r="A13" t="str">
        <f>IF($N13="","",INDEX(KRI!$B:$B,$N13)&amp;"")</f>
        <v>NFR-03-K2</v>
      </c>
      <c r="B13" t="str">
        <f>IF($N13="","",INDEX(KRI!$C:$C,$N13)&amp;"")</f>
        <v>NFR-03</v>
      </c>
      <c r="C13" t="str">
        <f>IF($N13="","",INDEX(KRI!$D:$D,$N13)&amp;"")</f>
        <v>Quota di prodotti ESG senza revisione dei claim nell'anno</v>
      </c>
      <c r="D13" t="str">
        <f>IF($N13="","",INDEX(KRI!$E:$E,$N13)&amp;"")</f>
        <v>%</v>
      </c>
      <c r="E13">
        <f>IF($N13="","",IF(INDEX(KRI!$G:$G,$N13)="","",INDEX(KRI!$G:$G,$N13)))</f>
        <v>20</v>
      </c>
      <c r="F13">
        <f>IF($N13="","",IF(INDEX(KRI!$H:$H,$N13)="","",INDEX(KRI!$H:$H,$N13)))</f>
        <v>40</v>
      </c>
      <c r="G13" t="str">
        <f>IF($N13="","",IF(INDEX(KRI!$I:$I,$N13)="","",INDEX(KRI!$I:$I,$N13)))</f>
        <v/>
      </c>
      <c r="H13" s="9" t="str">
        <f>IF($N13="","",IF(INDEX(KRI!$J:$J,$N13)="","",INDEX(KRI!$J:$J,$N13)))</f>
        <v/>
      </c>
      <c r="I13" t="str">
        <f>IF($N13="","",INDEX(KRI!$M:$M,$N13)&amp;"")</f>
        <v>Non rilevato</v>
      </c>
      <c r="J13" t="str">
        <f t="shared" si="0"/>
        <v>—</v>
      </c>
      <c r="K13" t="str">
        <f t="shared" si="1"/>
        <v/>
      </c>
      <c r="N13">
        <f>IFERROR(_xlfn.AGGREGATE(15,6,ROW(KRI_Ciclo)/((KRI_Ciclo=cicloCorrente)*(KRI_In_Vigore="Sì")),8),"")</f>
        <v>9</v>
      </c>
    </row>
    <row r="14" spans="1:14" x14ac:dyDescent="0.4">
      <c r="A14" t="str">
        <f>IF($N14="","",INDEX(KRI!$B:$B,$N14)&amp;"")</f>
        <v>NFR-03-K3</v>
      </c>
      <c r="B14" t="str">
        <f>IF($N14="","",INDEX(KRI!$C:$C,$N14)&amp;"")</f>
        <v>NFR-03</v>
      </c>
      <c r="C14" t="str">
        <f>IF($N14="","",INDEX(KRI!$D:$D,$N14)&amp;"")</f>
        <v>Rilievi di audit aperti sulla trasparenza ESG</v>
      </c>
      <c r="D14" t="str">
        <f>IF($N14="","",INDEX(KRI!$E:$E,$N14)&amp;"")</f>
        <v>n</v>
      </c>
      <c r="E14">
        <f>IF($N14="","",IF(INDEX(KRI!$G:$G,$N14)="","",INDEX(KRI!$G:$G,$N14)))</f>
        <v>1</v>
      </c>
      <c r="F14">
        <f>IF($N14="","",IF(INDEX(KRI!$H:$H,$N14)="","",INDEX(KRI!$H:$H,$N14)))</f>
        <v>3</v>
      </c>
      <c r="G14" t="str">
        <f>IF($N14="","",IF(INDEX(KRI!$I:$I,$N14)="","",INDEX(KRI!$I:$I,$N14)))</f>
        <v/>
      </c>
      <c r="H14" s="9" t="str">
        <f>IF($N14="","",IF(INDEX(KRI!$J:$J,$N14)="","",INDEX(KRI!$J:$J,$N14)))</f>
        <v/>
      </c>
      <c r="I14" t="str">
        <f>IF($N14="","",INDEX(KRI!$M:$M,$N14)&amp;"")</f>
        <v>Non rilevato</v>
      </c>
      <c r="J14" t="str">
        <f t="shared" si="0"/>
        <v>—</v>
      </c>
      <c r="K14" t="str">
        <f t="shared" si="1"/>
        <v/>
      </c>
      <c r="N14">
        <f>IFERROR(_xlfn.AGGREGATE(15,6,ROW(KRI_Ciclo)/((KRI_Ciclo=cicloCorrente)*(KRI_In_Vigore="Sì")),9),"")</f>
        <v>10</v>
      </c>
    </row>
    <row r="15" spans="1:14" x14ac:dyDescent="0.4">
      <c r="A15" t="str">
        <f>IF($N15="","",INDEX(KRI!$B:$B,$N15)&amp;"")</f>
        <v>NFR-04-K1</v>
      </c>
      <c r="B15" t="str">
        <f>IF($N15="","",INDEX(KRI!$C:$C,$N15)&amp;"")</f>
        <v>NFR-04</v>
      </c>
      <c r="C15" t="str">
        <f>IF($N15="","",INDEX(KRI!$D:$D,$N15)&amp;"")</f>
        <v>Sedi critiche in aree a rischio idrogeologico senza piano specifico</v>
      </c>
      <c r="D15" t="str">
        <f>IF($N15="","",INDEX(KRI!$E:$E,$N15)&amp;"")</f>
        <v>n</v>
      </c>
      <c r="E15">
        <f>IF($N15="","",IF(INDEX(KRI!$G:$G,$N15)="","",INDEX(KRI!$G:$G,$N15)))</f>
        <v>1</v>
      </c>
      <c r="F15">
        <f>IF($N15="","",IF(INDEX(KRI!$H:$H,$N15)="","",INDEX(KRI!$H:$H,$N15)))</f>
        <v>3</v>
      </c>
      <c r="G15" t="str">
        <f>IF($N15="","",IF(INDEX(KRI!$I:$I,$N15)="","",INDEX(KRI!$I:$I,$N15)))</f>
        <v/>
      </c>
      <c r="H15" s="9" t="str">
        <f>IF($N15="","",IF(INDEX(KRI!$J:$J,$N15)="","",INDEX(KRI!$J:$J,$N15)))</f>
        <v/>
      </c>
      <c r="I15" t="str">
        <f>IF($N15="","",INDEX(KRI!$M:$M,$N15)&amp;"")</f>
        <v>Non rilevato</v>
      </c>
      <c r="J15" t="str">
        <f t="shared" si="0"/>
        <v>—</v>
      </c>
      <c r="K15" t="str">
        <f t="shared" si="1"/>
        <v/>
      </c>
      <c r="N15">
        <f>IFERROR(_xlfn.AGGREGATE(15,6,ROW(KRI_Ciclo)/((KRI_Ciclo=cicloCorrente)*(KRI_In_Vigore="Sì")),10),"")</f>
        <v>11</v>
      </c>
    </row>
    <row r="16" spans="1:14" x14ac:dyDescent="0.4">
      <c r="A16" t="str">
        <f>IF($N16="","",INDEX(KRI!$B:$B,$N16)&amp;"")</f>
        <v>NFR-04-K2</v>
      </c>
      <c r="B16" t="str">
        <f>IF($N16="","",INDEX(KRI!$C:$C,$N16)&amp;"")</f>
        <v>NFR-04</v>
      </c>
      <c r="C16" t="str">
        <f>IF($N16="","",INDEX(KRI!$D:$D,$N16)&amp;"")</f>
        <v>Giorni di indisponibilita' di sedi per eventi climatici</v>
      </c>
      <c r="D16" t="str">
        <f>IF($N16="","",INDEX(KRI!$E:$E,$N16)&amp;"")</f>
        <v>giorni</v>
      </c>
      <c r="E16">
        <f>IF($N16="","",IF(INDEX(KRI!$G:$G,$N16)="","",INDEX(KRI!$G:$G,$N16)))</f>
        <v>2</v>
      </c>
      <c r="F16">
        <f>IF($N16="","",IF(INDEX(KRI!$H:$H,$N16)="","",INDEX(KRI!$H:$H,$N16)))</f>
        <v>5</v>
      </c>
      <c r="G16" t="str">
        <f>IF($N16="","",IF(INDEX(KRI!$I:$I,$N16)="","",INDEX(KRI!$I:$I,$N16)))</f>
        <v/>
      </c>
      <c r="H16" s="9" t="str">
        <f>IF($N16="","",IF(INDEX(KRI!$J:$J,$N16)="","",INDEX(KRI!$J:$J,$N16)))</f>
        <v/>
      </c>
      <c r="I16" t="str">
        <f>IF($N16="","",INDEX(KRI!$M:$M,$N16)&amp;"")</f>
        <v>Non rilevato</v>
      </c>
      <c r="J16" t="str">
        <f t="shared" si="0"/>
        <v>—</v>
      </c>
      <c r="K16" t="str">
        <f t="shared" si="1"/>
        <v/>
      </c>
      <c r="N16">
        <f>IFERROR(_xlfn.AGGREGATE(15,6,ROW(KRI_Ciclo)/((KRI_Ciclo=cicloCorrente)*(KRI_In_Vigore="Sì")),11),"")</f>
        <v>12</v>
      </c>
    </row>
    <row r="17" spans="1:14" x14ac:dyDescent="0.4">
      <c r="A17" t="str">
        <f>IF($N17="","",INDEX(KRI!$B:$B,$N17)&amp;"")</f>
        <v>NFR-04-K3</v>
      </c>
      <c r="B17" t="str">
        <f>IF($N17="","",INDEX(KRI!$C:$C,$N17)&amp;"")</f>
        <v>NFR-04</v>
      </c>
      <c r="C17" t="str">
        <f>IF($N17="","",INDEX(KRI!$D:$D,$N17)&amp;"")</f>
        <v>Scarto fra RTO dichiarato e testato del sito secondario</v>
      </c>
      <c r="D17" t="str">
        <f>IF($N17="","",INDEX(KRI!$E:$E,$N17)&amp;"")</f>
        <v>ore</v>
      </c>
      <c r="E17">
        <f>IF($N17="","",IF(INDEX(KRI!$G:$G,$N17)="","",INDEX(KRI!$G:$G,$N17)))</f>
        <v>1</v>
      </c>
      <c r="F17">
        <f>IF($N17="","",IF(INDEX(KRI!$H:$H,$N17)="","",INDEX(KRI!$H:$H,$N17)))</f>
        <v>4</v>
      </c>
      <c r="G17" t="str">
        <f>IF($N17="","",IF(INDEX(KRI!$I:$I,$N17)="","",INDEX(KRI!$I:$I,$N17)))</f>
        <v/>
      </c>
      <c r="H17" s="9" t="str">
        <f>IF($N17="","",IF(INDEX(KRI!$J:$J,$N17)="","",INDEX(KRI!$J:$J,$N17)))</f>
        <v/>
      </c>
      <c r="I17" t="str">
        <f>IF($N17="","",INDEX(KRI!$M:$M,$N17)&amp;"")</f>
        <v>Non rilevato</v>
      </c>
      <c r="J17" t="str">
        <f t="shared" si="0"/>
        <v>—</v>
      </c>
      <c r="K17" t="str">
        <f t="shared" si="1"/>
        <v/>
      </c>
      <c r="N17">
        <f>IFERROR(_xlfn.AGGREGATE(15,6,ROW(KRI_Ciclo)/((KRI_Ciclo=cicloCorrente)*(KRI_In_Vigore="Sì")),12),"")</f>
        <v>13</v>
      </c>
    </row>
    <row r="18" spans="1:14" x14ac:dyDescent="0.4">
      <c r="A18" t="str">
        <f>IF($N18="","",INDEX(KRI!$B:$B,$N18)&amp;"")</f>
        <v>NFR-05-K1</v>
      </c>
      <c r="B18" t="str">
        <f>IF($N18="","",INDEX(KRI!$C:$C,$N18)&amp;"")</f>
        <v>NFR-05</v>
      </c>
      <c r="C18" t="str">
        <f>IF($N18="","",INDEX(KRI!$D:$D,$N18)&amp;"")</f>
        <v>Differenze di riconciliazione aperte oltre 5 giorni</v>
      </c>
      <c r="D18" t="str">
        <f>IF($N18="","",INDEX(KRI!$E:$E,$N18)&amp;"")</f>
        <v>n</v>
      </c>
      <c r="E18">
        <f>IF($N18="","",IF(INDEX(KRI!$G:$G,$N18)="","",INDEX(KRI!$G:$G,$N18)))</f>
        <v>20</v>
      </c>
      <c r="F18">
        <f>IF($N18="","",IF(INDEX(KRI!$H:$H,$N18)="","",INDEX(KRI!$H:$H,$N18)))</f>
        <v>50</v>
      </c>
      <c r="G18" t="str">
        <f>IF($N18="","",IF(INDEX(KRI!$I:$I,$N18)="","",INDEX(KRI!$I:$I,$N18)))</f>
        <v/>
      </c>
      <c r="H18" s="9" t="str">
        <f>IF($N18="","",IF(INDEX(KRI!$J:$J,$N18)="","",INDEX(KRI!$J:$J,$N18)))</f>
        <v/>
      </c>
      <c r="I18" t="str">
        <f>IF($N18="","",INDEX(KRI!$M:$M,$N18)&amp;"")</f>
        <v>Non rilevato</v>
      </c>
      <c r="J18" t="str">
        <f t="shared" si="0"/>
        <v>—</v>
      </c>
      <c r="K18" t="str">
        <f t="shared" si="1"/>
        <v/>
      </c>
      <c r="N18">
        <f>IFERROR(_xlfn.AGGREGATE(15,6,ROW(KRI_Ciclo)/((KRI_Ciclo=cicloCorrente)*(KRI_In_Vigore="Sì")),13),"")</f>
        <v>14</v>
      </c>
    </row>
    <row r="19" spans="1:14" x14ac:dyDescent="0.4">
      <c r="A19" t="str">
        <f>IF($N19="","",INDEX(KRI!$B:$B,$N19)&amp;"")</f>
        <v>NFR-05-K2</v>
      </c>
      <c r="B19" t="str">
        <f>IF($N19="","",INDEX(KRI!$C:$C,$N19)&amp;"")</f>
        <v>NFR-05</v>
      </c>
      <c r="C19" t="str">
        <f>IF($N19="","",INDEX(KRI!$D:$D,$N19)&amp;"")</f>
        <v>Incidenti di produzione legati alla migrazione</v>
      </c>
      <c r="D19" t="str">
        <f>IF($N19="","",INDEX(KRI!$E:$E,$N19)&amp;"")</f>
        <v>n</v>
      </c>
      <c r="E19">
        <f>IF($N19="","",IF(INDEX(KRI!$G:$G,$N19)="","",INDEX(KRI!$G:$G,$N19)))</f>
        <v>3</v>
      </c>
      <c r="F19">
        <f>IF($N19="","",IF(INDEX(KRI!$H:$H,$N19)="","",INDEX(KRI!$H:$H,$N19)))</f>
        <v>6</v>
      </c>
      <c r="G19" t="str">
        <f>IF($N19="","",IF(INDEX(KRI!$I:$I,$N19)="","",INDEX(KRI!$I:$I,$N19)))</f>
        <v/>
      </c>
      <c r="H19" s="9" t="str">
        <f>IF($N19="","",IF(INDEX(KRI!$J:$J,$N19)="","",INDEX(KRI!$J:$J,$N19)))</f>
        <v/>
      </c>
      <c r="I19" t="str">
        <f>IF($N19="","",INDEX(KRI!$M:$M,$N19)&amp;"")</f>
        <v>Non rilevato</v>
      </c>
      <c r="J19" t="str">
        <f t="shared" si="0"/>
        <v>—</v>
      </c>
      <c r="K19" t="str">
        <f t="shared" si="1"/>
        <v/>
      </c>
      <c r="N19">
        <f>IFERROR(_xlfn.AGGREGATE(15,6,ROW(KRI_Ciclo)/((KRI_Ciclo=cicloCorrente)*(KRI_In_Vigore="Sì")),14),"")</f>
        <v>15</v>
      </c>
    </row>
    <row r="20" spans="1:14" x14ac:dyDescent="0.4">
      <c r="A20" t="str">
        <f>IF($N20="","",INDEX(KRI!$B:$B,$N20)&amp;"")</f>
        <v>NFR-05-K3</v>
      </c>
      <c r="B20" t="str">
        <f>IF($N20="","",INDEX(KRI!$C:$C,$N20)&amp;"")</f>
        <v>NFR-05</v>
      </c>
      <c r="C20" t="str">
        <f>IF($N20="","",INDEX(KRI!$D:$D,$N20)&amp;"")</f>
        <v>Quota di controlli di processo non ridisegnati sul nuovo core</v>
      </c>
      <c r="D20" t="str">
        <f>IF($N20="","",INDEX(KRI!$E:$E,$N20)&amp;"")</f>
        <v>%</v>
      </c>
      <c r="E20">
        <f>IF($N20="","",IF(INDEX(KRI!$G:$G,$N20)="","",INDEX(KRI!$G:$G,$N20)))</f>
        <v>30</v>
      </c>
      <c r="F20">
        <f>IF($N20="","",IF(INDEX(KRI!$H:$H,$N20)="","",INDEX(KRI!$H:$H,$N20)))</f>
        <v>60</v>
      </c>
      <c r="G20" t="str">
        <f>IF($N20="","",IF(INDEX(KRI!$I:$I,$N20)="","",INDEX(KRI!$I:$I,$N20)))</f>
        <v/>
      </c>
      <c r="H20" s="9" t="str">
        <f>IF($N20="","",IF(INDEX(KRI!$J:$J,$N20)="","",INDEX(KRI!$J:$J,$N20)))</f>
        <v/>
      </c>
      <c r="I20" t="str">
        <f>IF($N20="","",INDEX(KRI!$M:$M,$N20)&amp;"")</f>
        <v>Non rilevato</v>
      </c>
      <c r="J20" t="str">
        <f t="shared" si="0"/>
        <v>—</v>
      </c>
      <c r="K20" t="str">
        <f t="shared" si="1"/>
        <v/>
      </c>
      <c r="N20">
        <f>IFERROR(_xlfn.AGGREGATE(15,6,ROW(KRI_Ciclo)/((KRI_Ciclo=cicloCorrente)*(KRI_In_Vigore="Sì")),15),"")</f>
        <v>16</v>
      </c>
    </row>
    <row r="21" spans="1:14" x14ac:dyDescent="0.4">
      <c r="A21" t="str">
        <f>IF($N21="","",INDEX(KRI!$B:$B,$N21)&amp;"")</f>
        <v>NFR-06-K1</v>
      </c>
      <c r="B21" t="str">
        <f>IF($N21="","",INDEX(KRI!$C:$C,$N21)&amp;"")</f>
        <v>NFR-06</v>
      </c>
      <c r="C21" t="str">
        <f>IF($N21="","",INDEX(KRI!$D:$D,$N21)&amp;"")</f>
        <v>Tentativi di caricamento di dati riservati su servizi AI non autorizzati</v>
      </c>
      <c r="D21" t="str">
        <f>IF($N21="","",INDEX(KRI!$E:$E,$N21)&amp;"")</f>
        <v>n/mese</v>
      </c>
      <c r="E21">
        <f>IF($N21="","",IF(INDEX(KRI!$G:$G,$N21)="","",INDEX(KRI!$G:$G,$N21)))</f>
        <v>10</v>
      </c>
      <c r="F21">
        <f>IF($N21="","",IF(INDEX(KRI!$H:$H,$N21)="","",INDEX(KRI!$H:$H,$N21)))</f>
        <v>30</v>
      </c>
      <c r="G21" t="str">
        <f>IF($N21="","",IF(INDEX(KRI!$I:$I,$N21)="","",INDEX(KRI!$I:$I,$N21)))</f>
        <v/>
      </c>
      <c r="H21" s="9" t="str">
        <f>IF($N21="","",IF(INDEX(KRI!$J:$J,$N21)="","",INDEX(KRI!$J:$J,$N21)))</f>
        <v/>
      </c>
      <c r="I21" t="str">
        <f>IF($N21="","",INDEX(KRI!$M:$M,$N21)&amp;"")</f>
        <v>Non rilevato</v>
      </c>
      <c r="J21" t="str">
        <f t="shared" si="0"/>
        <v>—</v>
      </c>
      <c r="K21" t="str">
        <f t="shared" si="1"/>
        <v/>
      </c>
      <c r="N21">
        <f>IFERROR(_xlfn.AGGREGATE(15,6,ROW(KRI_Ciclo)/((KRI_Ciclo=cicloCorrente)*(KRI_In_Vigore="Sì")),16),"")</f>
        <v>17</v>
      </c>
    </row>
    <row r="22" spans="1:14" x14ac:dyDescent="0.4">
      <c r="A22" t="str">
        <f>IF($N22="","",INDEX(KRI!$B:$B,$N22)&amp;"")</f>
        <v>NFR-06-K2</v>
      </c>
      <c r="B22" t="str">
        <f>IF($N22="","",INDEX(KRI!$C:$C,$N22)&amp;"")</f>
        <v>NFR-06</v>
      </c>
      <c r="C22" t="str">
        <f>IF($N22="","",INDEX(KRI!$D:$D,$N22)&amp;"")</f>
        <v>Quota di dipendenti senza formazione sull'uso dell'AI</v>
      </c>
      <c r="D22" t="str">
        <f>IF($N22="","",INDEX(KRI!$E:$E,$N22)&amp;"")</f>
        <v>%</v>
      </c>
      <c r="E22">
        <f>IF($N22="","",IF(INDEX(KRI!$G:$G,$N22)="","",INDEX(KRI!$G:$G,$N22)))</f>
        <v>20</v>
      </c>
      <c r="F22">
        <f>IF($N22="","",IF(INDEX(KRI!$H:$H,$N22)="","",INDEX(KRI!$H:$H,$N22)))</f>
        <v>40</v>
      </c>
      <c r="G22" t="str">
        <f>IF($N22="","",IF(INDEX(KRI!$I:$I,$N22)="","",INDEX(KRI!$I:$I,$N22)))</f>
        <v/>
      </c>
      <c r="H22" s="9" t="str">
        <f>IF($N22="","",IF(INDEX(KRI!$J:$J,$N22)="","",INDEX(KRI!$J:$J,$N22)))</f>
        <v/>
      </c>
      <c r="I22" t="str">
        <f>IF($N22="","",INDEX(KRI!$M:$M,$N22)&amp;"")</f>
        <v>Non rilevato</v>
      </c>
      <c r="J22" t="str">
        <f t="shared" si="0"/>
        <v>—</v>
      </c>
      <c r="K22" t="str">
        <f t="shared" si="1"/>
        <v/>
      </c>
      <c r="N22">
        <f>IFERROR(_xlfn.AGGREGATE(15,6,ROW(KRI_Ciclo)/((KRI_Ciclo=cicloCorrente)*(KRI_In_Vigore="Sì")),17),"")</f>
        <v>18</v>
      </c>
    </row>
    <row r="23" spans="1:14" x14ac:dyDescent="0.4">
      <c r="A23" t="str">
        <f>IF($N23="","",INDEX(KRI!$B:$B,$N23)&amp;"")</f>
        <v>NFR-06-K3</v>
      </c>
      <c r="B23" t="str">
        <f>IF($N23="","",INDEX(KRI!$C:$C,$N23)&amp;"")</f>
        <v>NFR-06</v>
      </c>
      <c r="C23" t="str">
        <f>IF($N23="","",INDEX(KRI!$D:$D,$N23)&amp;"")</f>
        <v>Utenze privilegiate senza revisione degli accessi nel trimestre</v>
      </c>
      <c r="D23" t="str">
        <f>IF($N23="","",INDEX(KRI!$E:$E,$N23)&amp;"")</f>
        <v>n</v>
      </c>
      <c r="E23">
        <f>IF($N23="","",IF(INDEX(KRI!$G:$G,$N23)="","",INDEX(KRI!$G:$G,$N23)))</f>
        <v>5</v>
      </c>
      <c r="F23">
        <f>IF($N23="","",IF(INDEX(KRI!$H:$H,$N23)="","",INDEX(KRI!$H:$H,$N23)))</f>
        <v>15</v>
      </c>
      <c r="G23" t="str">
        <f>IF($N23="","",IF(INDEX(KRI!$I:$I,$N23)="","",INDEX(KRI!$I:$I,$N23)))</f>
        <v/>
      </c>
      <c r="H23" s="9" t="str">
        <f>IF($N23="","",IF(INDEX(KRI!$J:$J,$N23)="","",INDEX(KRI!$J:$J,$N23)))</f>
        <v/>
      </c>
      <c r="I23" t="str">
        <f>IF($N23="","",INDEX(KRI!$M:$M,$N23)&amp;"")</f>
        <v>Non rilevato</v>
      </c>
      <c r="J23" t="str">
        <f t="shared" si="0"/>
        <v>—</v>
      </c>
      <c r="K23" t="str">
        <f t="shared" si="1"/>
        <v/>
      </c>
      <c r="N23">
        <f>IFERROR(_xlfn.AGGREGATE(15,6,ROW(KRI_Ciclo)/((KRI_Ciclo=cicloCorrente)*(KRI_In_Vigore="Sì")),18),"")</f>
        <v>19</v>
      </c>
    </row>
    <row r="24" spans="1:14" x14ac:dyDescent="0.4">
      <c r="A24" t="str">
        <f>IF($N24="","",INDEX(KRI!$B:$B,$N24)&amp;"")</f>
        <v>NFR-07-K1</v>
      </c>
      <c r="B24" t="str">
        <f>IF($N24="","",INDEX(KRI!$C:$C,$N24)&amp;"")</f>
        <v>NFR-07</v>
      </c>
      <c r="C24" t="str">
        <f>IF($N24="","",INDEX(KRI!$D:$D,$N24)&amp;"")</f>
        <v>Fornitori di pagamento critici senza test di ripristino da ransomware</v>
      </c>
      <c r="D24" t="str">
        <f>IF($N24="","",INDEX(KRI!$E:$E,$N24)&amp;"")</f>
        <v>n</v>
      </c>
      <c r="E24">
        <f>IF($N24="","",IF(INDEX(KRI!$G:$G,$N24)="","",INDEX(KRI!$G:$G,$N24)))</f>
        <v>1</v>
      </c>
      <c r="F24">
        <f>IF($N24="","",IF(INDEX(KRI!$H:$H,$N24)="","",INDEX(KRI!$H:$H,$N24)))</f>
        <v>2</v>
      </c>
      <c r="G24" t="str">
        <f>IF($N24="","",IF(INDEX(KRI!$I:$I,$N24)="","",INDEX(KRI!$I:$I,$N24)))</f>
        <v/>
      </c>
      <c r="H24" s="9" t="str">
        <f>IF($N24="","",IF(INDEX(KRI!$J:$J,$N24)="","",INDEX(KRI!$J:$J,$N24)))</f>
        <v/>
      </c>
      <c r="I24" t="str">
        <f>IF($N24="","",INDEX(KRI!$M:$M,$N24)&amp;"")</f>
        <v>Non rilevato</v>
      </c>
      <c r="J24" t="str">
        <f t="shared" si="0"/>
        <v>—</v>
      </c>
      <c r="K24" t="str">
        <f t="shared" si="1"/>
        <v/>
      </c>
      <c r="N24">
        <f>IFERROR(_xlfn.AGGREGATE(15,6,ROW(KRI_Ciclo)/((KRI_Ciclo=cicloCorrente)*(KRI_In_Vigore="Sì")),19),"")</f>
        <v>20</v>
      </c>
    </row>
    <row r="25" spans="1:14" x14ac:dyDescent="0.4">
      <c r="A25" t="str">
        <f>IF($N25="","",INDEX(KRI!$B:$B,$N25)&amp;"")</f>
        <v>NFR-07-K2</v>
      </c>
      <c r="B25" t="str">
        <f>IF($N25="","",INDEX(KRI!$C:$C,$N25)&amp;"")</f>
        <v>NFR-07</v>
      </c>
      <c r="C25" t="str">
        <f>IF($N25="","",INDEX(KRI!$D:$D,$N25)&amp;"")</f>
        <v>Ore di indisponibilita' del gateway di pagamento nel trimestre</v>
      </c>
      <c r="D25" t="str">
        <f>IF($N25="","",INDEX(KRI!$E:$E,$N25)&amp;"")</f>
        <v>ore</v>
      </c>
      <c r="E25">
        <f>IF($N25="","",IF(INDEX(KRI!$G:$G,$N25)="","",INDEX(KRI!$G:$G,$N25)))</f>
        <v>4</v>
      </c>
      <c r="F25">
        <f>IF($N25="","",IF(INDEX(KRI!$H:$H,$N25)="","",INDEX(KRI!$H:$H,$N25)))</f>
        <v>12</v>
      </c>
      <c r="G25" t="str">
        <f>IF($N25="","",IF(INDEX(KRI!$I:$I,$N25)="","",INDEX(KRI!$I:$I,$N25)))</f>
        <v/>
      </c>
      <c r="H25" s="9" t="str">
        <f>IF($N25="","",IF(INDEX(KRI!$J:$J,$N25)="","",INDEX(KRI!$J:$J,$N25)))</f>
        <v/>
      </c>
      <c r="I25" t="str">
        <f>IF($N25="","",INDEX(KRI!$M:$M,$N25)&amp;"")</f>
        <v>Non rilevato</v>
      </c>
      <c r="J25" t="str">
        <f t="shared" si="0"/>
        <v>—</v>
      </c>
      <c r="K25" t="str">
        <f t="shared" si="1"/>
        <v/>
      </c>
      <c r="N25">
        <f>IFERROR(_xlfn.AGGREGATE(15,6,ROW(KRI_Ciclo)/((KRI_Ciclo=cicloCorrente)*(KRI_In_Vigore="Sì")),20),"")</f>
        <v>21</v>
      </c>
    </row>
    <row r="26" spans="1:14" x14ac:dyDescent="0.4">
      <c r="A26" t="str">
        <f>IF($N26="","",INDEX(KRI!$B:$B,$N26)&amp;"")</f>
        <v>NFR-07-K3</v>
      </c>
      <c r="B26" t="str">
        <f>IF($N26="","",INDEX(KRI!$C:$C,$N26)&amp;"")</f>
        <v>NFR-07</v>
      </c>
      <c r="C26" t="str">
        <f>IF($N26="","",INDEX(KRI!$D:$D,$N26)&amp;"")</f>
        <v>Vulnerabilita' critiche aperte oltre 30 giorni presso il fornitore</v>
      </c>
      <c r="D26" t="str">
        <f>IF($N26="","",INDEX(KRI!$E:$E,$N26)&amp;"")</f>
        <v>n</v>
      </c>
      <c r="E26">
        <f>IF($N26="","",IF(INDEX(KRI!$G:$G,$N26)="","",INDEX(KRI!$G:$G,$N26)))</f>
        <v>2</v>
      </c>
      <c r="F26">
        <f>IF($N26="","",IF(INDEX(KRI!$H:$H,$N26)="","",INDEX(KRI!$H:$H,$N26)))</f>
        <v>5</v>
      </c>
      <c r="G26" t="str">
        <f>IF($N26="","",IF(INDEX(KRI!$I:$I,$N26)="","",INDEX(KRI!$I:$I,$N26)))</f>
        <v/>
      </c>
      <c r="H26" s="9" t="str">
        <f>IF($N26="","",IF(INDEX(KRI!$J:$J,$N26)="","",INDEX(KRI!$J:$J,$N26)))</f>
        <v/>
      </c>
      <c r="I26" t="str">
        <f>IF($N26="","",INDEX(KRI!$M:$M,$N26)&amp;"")</f>
        <v>Non rilevato</v>
      </c>
      <c r="J26" t="str">
        <f t="shared" si="0"/>
        <v>—</v>
      </c>
      <c r="K26" t="str">
        <f t="shared" si="1"/>
        <v/>
      </c>
      <c r="N26">
        <f>IFERROR(_xlfn.AGGREGATE(15,6,ROW(KRI_Ciclo)/((KRI_Ciclo=cicloCorrente)*(KRI_In_Vigore="Sì")),21),"")</f>
        <v>22</v>
      </c>
    </row>
    <row r="27" spans="1:14" x14ac:dyDescent="0.4">
      <c r="A27" t="str">
        <f>IF($N27="","",INDEX(KRI!$B:$B,$N27)&amp;"")</f>
        <v>NFR-08-K1</v>
      </c>
      <c r="B27" t="str">
        <f>IF($N27="","",INDEX(KRI!$C:$C,$N27)&amp;"")</f>
        <v>NFR-08</v>
      </c>
      <c r="C27" t="str">
        <f>IF($N27="","",INDEX(KRI!$D:$D,$N27)&amp;"")</f>
        <v>Accessi ai dati clienti senza pratica associata</v>
      </c>
      <c r="D27" t="str">
        <f>IF($N27="","",INDEX(KRI!$E:$E,$N27)&amp;"")</f>
        <v>n/mese</v>
      </c>
      <c r="E27">
        <f>IF($N27="","",IF(INDEX(KRI!$G:$G,$N27)="","",INDEX(KRI!$G:$G,$N27)))</f>
        <v>20</v>
      </c>
      <c r="F27">
        <f>IF($N27="","",IF(INDEX(KRI!$H:$H,$N27)="","",INDEX(KRI!$H:$H,$N27)))</f>
        <v>50</v>
      </c>
      <c r="G27" t="str">
        <f>IF($N27="","",IF(INDEX(KRI!$I:$I,$N27)="","",INDEX(KRI!$I:$I,$N27)))</f>
        <v/>
      </c>
      <c r="H27" s="9" t="str">
        <f>IF($N27="","",IF(INDEX(KRI!$J:$J,$N27)="","",INDEX(KRI!$J:$J,$N27)))</f>
        <v/>
      </c>
      <c r="I27" t="str">
        <f>IF($N27="","",INDEX(KRI!$M:$M,$N27)&amp;"")</f>
        <v>Non rilevato</v>
      </c>
      <c r="J27" t="str">
        <f t="shared" si="0"/>
        <v>—</v>
      </c>
      <c r="K27" t="str">
        <f t="shared" si="1"/>
        <v/>
      </c>
      <c r="N27">
        <f>IFERROR(_xlfn.AGGREGATE(15,6,ROW(KRI_Ciclo)/((KRI_Ciclo=cicloCorrente)*(KRI_In_Vigore="Sì")),22),"")</f>
        <v>23</v>
      </c>
    </row>
    <row r="28" spans="1:14" x14ac:dyDescent="0.4">
      <c r="A28" t="str">
        <f>IF($N28="","",INDEX(KRI!$B:$B,$N28)&amp;"")</f>
        <v>NFR-08-K2</v>
      </c>
      <c r="B28" t="str">
        <f>IF($N28="","",INDEX(KRI!$C:$C,$N28)&amp;"")</f>
        <v>NFR-08</v>
      </c>
      <c r="C28" t="str">
        <f>IF($N28="","",INDEX(KRI!$D:$D,$N28)&amp;"")</f>
        <v>Utenze con profili di accesso non rivisti nell'anno</v>
      </c>
      <c r="D28" t="str">
        <f>IF($N28="","",INDEX(KRI!$E:$E,$N28)&amp;"")</f>
        <v>%</v>
      </c>
      <c r="E28">
        <f>IF($N28="","",IF(INDEX(KRI!$G:$G,$N28)="","",INDEX(KRI!$G:$G,$N28)))</f>
        <v>5</v>
      </c>
      <c r="F28">
        <f>IF($N28="","",IF(INDEX(KRI!$H:$H,$N28)="","",INDEX(KRI!$H:$H,$N28)))</f>
        <v>15</v>
      </c>
      <c r="G28" t="str">
        <f>IF($N28="","",IF(INDEX(KRI!$I:$I,$N28)="","",INDEX(KRI!$I:$I,$N28)))</f>
        <v/>
      </c>
      <c r="H28" s="9" t="str">
        <f>IF($N28="","",IF(INDEX(KRI!$J:$J,$N28)="","",INDEX(KRI!$J:$J,$N28)))</f>
        <v/>
      </c>
      <c r="I28" t="str">
        <f>IF($N28="","",INDEX(KRI!$M:$M,$N28)&amp;"")</f>
        <v>Non rilevato</v>
      </c>
      <c r="J28" t="str">
        <f t="shared" si="0"/>
        <v>—</v>
      </c>
      <c r="K28" t="str">
        <f t="shared" si="1"/>
        <v/>
      </c>
      <c r="N28">
        <f>IFERROR(_xlfn.AGGREGATE(15,6,ROW(KRI_Ciclo)/((KRI_Ciclo=cicloCorrente)*(KRI_In_Vigore="Sì")),23),"")</f>
        <v>24</v>
      </c>
    </row>
    <row r="29" spans="1:14" x14ac:dyDescent="0.4">
      <c r="A29" t="str">
        <f>IF($N29="","",INDEX(KRI!$B:$B,$N29)&amp;"")</f>
        <v>NFR-08-K3</v>
      </c>
      <c r="B29" t="str">
        <f>IF($N29="","",INDEX(KRI!$C:$C,$N29)&amp;"")</f>
        <v>NFR-08</v>
      </c>
      <c r="C29" t="str">
        <f>IF($N29="","",INDEX(KRI!$D:$D,$N29)&amp;"")</f>
        <v>Accessi impropri accertati nel trimestre</v>
      </c>
      <c r="D29" t="str">
        <f>IF($N29="","",INDEX(KRI!$E:$E,$N29)&amp;"")</f>
        <v>n</v>
      </c>
      <c r="E29">
        <f>IF($N29="","",IF(INDEX(KRI!$G:$G,$N29)="","",INDEX(KRI!$G:$G,$N29)))</f>
        <v>1</v>
      </c>
      <c r="F29">
        <f>IF($N29="","",IF(INDEX(KRI!$H:$H,$N29)="","",INDEX(KRI!$H:$H,$N29)))</f>
        <v>3</v>
      </c>
      <c r="G29" t="str">
        <f>IF($N29="","",IF(INDEX(KRI!$I:$I,$N29)="","",INDEX(KRI!$I:$I,$N29)))</f>
        <v/>
      </c>
      <c r="H29" s="9" t="str">
        <f>IF($N29="","",IF(INDEX(KRI!$J:$J,$N29)="","",INDEX(KRI!$J:$J,$N29)))</f>
        <v/>
      </c>
      <c r="I29" t="str">
        <f>IF($N29="","",INDEX(KRI!$M:$M,$N29)&amp;"")</f>
        <v>Non rilevato</v>
      </c>
      <c r="J29" t="str">
        <f t="shared" si="0"/>
        <v>—</v>
      </c>
      <c r="K29" t="str">
        <f t="shared" si="1"/>
        <v/>
      </c>
      <c r="N29">
        <f>IFERROR(_xlfn.AGGREGATE(15,6,ROW(KRI_Ciclo)/((KRI_Ciclo=cicloCorrente)*(KRI_In_Vigore="Sì")),24),"")</f>
        <v>25</v>
      </c>
    </row>
    <row r="30" spans="1:14" x14ac:dyDescent="0.4">
      <c r="A30" t="str">
        <f>IF($N30="","",INDEX(KRI!$B:$B,$N30)&amp;"")</f>
        <v>NFR-09-K1</v>
      </c>
      <c r="B30" t="str">
        <f>IF($N30="","",INDEX(KRI!$C:$C,$N30)&amp;"")</f>
        <v>NFR-09</v>
      </c>
      <c r="C30" t="str">
        <f>IF($N30="","",INDEX(KRI!$D:$D,$N30)&amp;"")</f>
        <v>Pagamenti bloccati dal filtro sanzioni ogni 10.000 verso paesi di transito</v>
      </c>
      <c r="D30" t="str">
        <f>IF($N30="","",INDEX(KRI!$E:$E,$N30)&amp;"")</f>
        <v>n/10k</v>
      </c>
      <c r="E30">
        <f>IF($N30="","",IF(INDEX(KRI!$G:$G,$N30)="","",INDEX(KRI!$G:$G,$N30)))</f>
        <v>2</v>
      </c>
      <c r="F30">
        <f>IF($N30="","",IF(INDEX(KRI!$H:$H,$N30)="","",INDEX(KRI!$H:$H,$N30)))</f>
        <v>5</v>
      </c>
      <c r="G30" t="str">
        <f>IF($N30="","",IF(INDEX(KRI!$I:$I,$N30)="","",INDEX(KRI!$I:$I,$N30)))</f>
        <v/>
      </c>
      <c r="H30" s="9" t="str">
        <f>IF($N30="","",IF(INDEX(KRI!$J:$J,$N30)="","",INDEX(KRI!$J:$J,$N30)))</f>
        <v/>
      </c>
      <c r="I30" t="str">
        <f>IF($N30="","",INDEX(KRI!$M:$M,$N30)&amp;"")</f>
        <v>Non rilevato</v>
      </c>
      <c r="J30" t="str">
        <f t="shared" si="0"/>
        <v>—</v>
      </c>
      <c r="K30" t="str">
        <f t="shared" si="1"/>
        <v/>
      </c>
      <c r="N30">
        <f>IFERROR(_xlfn.AGGREGATE(15,6,ROW(KRI_Ciclo)/((KRI_Ciclo=cicloCorrente)*(KRI_In_Vigore="Sì")),25),"")</f>
        <v>26</v>
      </c>
    </row>
    <row r="31" spans="1:14" x14ac:dyDescent="0.4">
      <c r="A31" t="str">
        <f>IF($N31="","",INDEX(KRI!$B:$B,$N31)&amp;"")</f>
        <v>NFR-09-K2</v>
      </c>
      <c r="B31" t="str">
        <f>IF($N31="","",INDEX(KRI!$C:$C,$N31)&amp;"")</f>
        <v>NFR-09</v>
      </c>
      <c r="C31" t="str">
        <f>IF($N31="","",INDEX(KRI!$D:$D,$N31)&amp;"")</f>
        <v>Clienti corporate ad alto rischio senza due diligence rafforzata aggiornata</v>
      </c>
      <c r="D31" t="str">
        <f>IF($N31="","",INDEX(KRI!$E:$E,$N31)&amp;"")</f>
        <v>%</v>
      </c>
      <c r="E31">
        <f>IF($N31="","",IF(INDEX(KRI!$G:$G,$N31)="","",INDEX(KRI!$G:$G,$N31)))</f>
        <v>5</v>
      </c>
      <c r="F31">
        <f>IF($N31="","",IF(INDEX(KRI!$H:$H,$N31)="","",INDEX(KRI!$H:$H,$N31)))</f>
        <v>15</v>
      </c>
      <c r="G31" t="str">
        <f>IF($N31="","",IF(INDEX(KRI!$I:$I,$N31)="","",INDEX(KRI!$I:$I,$N31)))</f>
        <v/>
      </c>
      <c r="H31" s="9" t="str">
        <f>IF($N31="","",IF(INDEX(KRI!$J:$J,$N31)="","",INDEX(KRI!$J:$J,$N31)))</f>
        <v/>
      </c>
      <c r="I31" t="str">
        <f>IF($N31="","",INDEX(KRI!$M:$M,$N31)&amp;"")</f>
        <v>Non rilevato</v>
      </c>
      <c r="J31" t="str">
        <f t="shared" si="0"/>
        <v>—</v>
      </c>
      <c r="K31" t="str">
        <f t="shared" si="1"/>
        <v/>
      </c>
      <c r="N31">
        <f>IFERROR(_xlfn.AGGREGATE(15,6,ROW(KRI_Ciclo)/((KRI_Ciclo=cicloCorrente)*(KRI_In_Vigore="Sì")),26),"")</f>
        <v>27</v>
      </c>
    </row>
    <row r="32" spans="1:14" x14ac:dyDescent="0.4">
      <c r="A32" t="str">
        <f>IF($N32="","",INDEX(KRI!$B:$B,$N32)&amp;"")</f>
        <v>NFR-09-K3</v>
      </c>
      <c r="B32" t="str">
        <f>IF($N32="","",INDEX(KRI!$C:$C,$N32)&amp;"")</f>
        <v>NFR-09</v>
      </c>
      <c r="C32" t="str">
        <f>IF($N32="","",INDEX(KRI!$D:$D,$N32)&amp;"")</f>
        <v>Liste sanzioni recepite oltre 24 ore dalla pubblicazione</v>
      </c>
      <c r="D32" t="str">
        <f>IF($N32="","",INDEX(KRI!$E:$E,$N32)&amp;"")</f>
        <v>n</v>
      </c>
      <c r="E32">
        <f>IF($N32="","",IF(INDEX(KRI!$G:$G,$N32)="","",INDEX(KRI!$G:$G,$N32)))</f>
        <v>1</v>
      </c>
      <c r="F32">
        <f>IF($N32="","",IF(INDEX(KRI!$H:$H,$N32)="","",INDEX(KRI!$H:$H,$N32)))</f>
        <v>3</v>
      </c>
      <c r="G32" t="str">
        <f>IF($N32="","",IF(INDEX(KRI!$I:$I,$N32)="","",INDEX(KRI!$I:$I,$N32)))</f>
        <v/>
      </c>
      <c r="H32" s="9" t="str">
        <f>IF($N32="","",IF(INDEX(KRI!$J:$J,$N32)="","",INDEX(KRI!$J:$J,$N32)))</f>
        <v/>
      </c>
      <c r="I32" t="str">
        <f>IF($N32="","",INDEX(KRI!$M:$M,$N32)&amp;"")</f>
        <v>Non rilevato</v>
      </c>
      <c r="J32" t="str">
        <f t="shared" si="0"/>
        <v>—</v>
      </c>
      <c r="K32" t="str">
        <f t="shared" si="1"/>
        <v/>
      </c>
      <c r="N32">
        <f>IFERROR(_xlfn.AGGREGATE(15,6,ROW(KRI_Ciclo)/((KRI_Ciclo=cicloCorrente)*(KRI_In_Vigore="Sì")),27),"")</f>
        <v>28</v>
      </c>
    </row>
    <row r="33" spans="1:14" x14ac:dyDescent="0.4">
      <c r="A33" t="str">
        <f>IF($N33="","",INDEX(KRI!$B:$B,$N33)&amp;"")</f>
        <v>NFR-10-K1</v>
      </c>
      <c r="B33" t="str">
        <f>IF($N33="","",INDEX(KRI!$C:$C,$N33)&amp;"")</f>
        <v>NFR-10</v>
      </c>
      <c r="C33" t="str">
        <f>IF($N33="","",INDEX(KRI!$D:$D,$N33)&amp;"")</f>
        <v>Risposte del chatbot contestate ogni 1.000 conversazioni</v>
      </c>
      <c r="D33" t="str">
        <f>IF($N33="","",INDEX(KRI!$E:$E,$N33)&amp;"")</f>
        <v>n/1000</v>
      </c>
      <c r="E33">
        <f>IF($N33="","",IF(INDEX(KRI!$G:$G,$N33)="","",INDEX(KRI!$G:$G,$N33)))</f>
        <v>2</v>
      </c>
      <c r="F33">
        <f>IF($N33="","",IF(INDEX(KRI!$H:$H,$N33)="","",INDEX(KRI!$H:$H,$N33)))</f>
        <v>5</v>
      </c>
      <c r="G33" t="str">
        <f>IF($N33="","",IF(INDEX(KRI!$I:$I,$N33)="","",INDEX(KRI!$I:$I,$N33)))</f>
        <v/>
      </c>
      <c r="H33" s="9" t="str">
        <f>IF($N33="","",IF(INDEX(KRI!$J:$J,$N33)="","",INDEX(KRI!$J:$J,$N33)))</f>
        <v/>
      </c>
      <c r="I33" t="str">
        <f>IF($N33="","",INDEX(KRI!$M:$M,$N33)&amp;"")</f>
        <v>Non rilevato</v>
      </c>
      <c r="J33" t="str">
        <f t="shared" si="0"/>
        <v>—</v>
      </c>
      <c r="K33" t="str">
        <f t="shared" si="1"/>
        <v/>
      </c>
      <c r="N33">
        <f>IFERROR(_xlfn.AGGREGATE(15,6,ROW(KRI_Ciclo)/((KRI_Ciclo=cicloCorrente)*(KRI_In_Vigore="Sì")),28),"")</f>
        <v>29</v>
      </c>
    </row>
    <row r="34" spans="1:14" x14ac:dyDescent="0.4">
      <c r="A34" t="str">
        <f>IF($N34="","",INDEX(KRI!$B:$B,$N34)&amp;"")</f>
        <v>NFR-10-K2</v>
      </c>
      <c r="B34" t="str">
        <f>IF($N34="","",INDEX(KRI!$C:$C,$N34)&amp;"")</f>
        <v>NFR-10</v>
      </c>
      <c r="C34" t="str">
        <f>IF($N34="","",INDEX(KRI!$D:$D,$N34)&amp;"")</f>
        <v>Reclami con rimborso originati da informazioni del chatbot</v>
      </c>
      <c r="D34" t="str">
        <f>IF($N34="","",INDEX(KRI!$E:$E,$N34)&amp;"")</f>
        <v>n</v>
      </c>
      <c r="E34">
        <f>IF($N34="","",IF(INDEX(KRI!$G:$G,$N34)="","",INDEX(KRI!$G:$G,$N34)))</f>
        <v>2</v>
      </c>
      <c r="F34">
        <f>IF($N34="","",IF(INDEX(KRI!$H:$H,$N34)="","",INDEX(KRI!$H:$H,$N34)))</f>
        <v>6</v>
      </c>
      <c r="G34" t="str">
        <f>IF($N34="","",IF(INDEX(KRI!$I:$I,$N34)="","",INDEX(KRI!$I:$I,$N34)))</f>
        <v/>
      </c>
      <c r="H34" s="9" t="str">
        <f>IF($N34="","",IF(INDEX(KRI!$J:$J,$N34)="","",INDEX(KRI!$J:$J,$N34)))</f>
        <v/>
      </c>
      <c r="I34" t="str">
        <f>IF($N34="","",INDEX(KRI!$M:$M,$N34)&amp;"")</f>
        <v>Non rilevato</v>
      </c>
      <c r="J34" t="str">
        <f t="shared" si="0"/>
        <v>—</v>
      </c>
      <c r="K34" t="str">
        <f t="shared" si="1"/>
        <v/>
      </c>
      <c r="N34">
        <f>IFERROR(_xlfn.AGGREGATE(15,6,ROW(KRI_Ciclo)/((KRI_Ciclo=cicloCorrente)*(KRI_In_Vigore="Sì")),29),"")</f>
        <v>30</v>
      </c>
    </row>
    <row r="35" spans="1:14" x14ac:dyDescent="0.4">
      <c r="A35" t="str">
        <f>IF($N35="","",INDEX(KRI!$B:$B,$N35)&amp;"")</f>
        <v>NFR-10-K3</v>
      </c>
      <c r="B35" t="str">
        <f>IF($N35="","",INDEX(KRI!$C:$C,$N35)&amp;"")</f>
        <v>NFR-10</v>
      </c>
      <c r="C35" t="str">
        <f>IF($N35="","",INDEX(KRI!$D:$D,$N35)&amp;"")</f>
        <v>Quota di risposte del chatbot non campionate dal controllo qualita'</v>
      </c>
      <c r="D35" t="str">
        <f>IF($N35="","",INDEX(KRI!$E:$E,$N35)&amp;"")</f>
        <v>%</v>
      </c>
      <c r="E35">
        <f>IF($N35="","",IF(INDEX(KRI!$G:$G,$N35)="","",INDEX(KRI!$G:$G,$N35)))</f>
        <v>20</v>
      </c>
      <c r="F35">
        <f>IF($N35="","",IF(INDEX(KRI!$H:$H,$N35)="","",INDEX(KRI!$H:$H,$N35)))</f>
        <v>50</v>
      </c>
      <c r="G35" t="str">
        <f>IF($N35="","",IF(INDEX(KRI!$I:$I,$N35)="","",INDEX(KRI!$I:$I,$N35)))</f>
        <v/>
      </c>
      <c r="H35" s="9" t="str">
        <f>IF($N35="","",IF(INDEX(KRI!$J:$J,$N35)="","",INDEX(KRI!$J:$J,$N35)))</f>
        <v/>
      </c>
      <c r="I35" t="str">
        <f>IF($N35="","",INDEX(KRI!$M:$M,$N35)&amp;"")</f>
        <v>Non rilevato</v>
      </c>
      <c r="J35" t="str">
        <f t="shared" si="0"/>
        <v>—</v>
      </c>
      <c r="K35" t="str">
        <f t="shared" si="1"/>
        <v/>
      </c>
      <c r="N35">
        <f>IFERROR(_xlfn.AGGREGATE(15,6,ROW(KRI_Ciclo)/((KRI_Ciclo=cicloCorrente)*(KRI_In_Vigore="Sì")),30),"")</f>
        <v>31</v>
      </c>
    </row>
    <row r="36" spans="1:14" x14ac:dyDescent="0.4">
      <c r="A36" t="str">
        <f>IF($N36="","",INDEX(KRI!$B:$B,$N36)&amp;"")</f>
        <v>NFR-11-K1</v>
      </c>
      <c r="B36" t="str">
        <f>IF($N36="","",INDEX(KRI!$C:$C,$N36)&amp;"")</f>
        <v>NFR-11</v>
      </c>
      <c r="C36" t="str">
        <f>IF($N36="","",INDEX(KRI!$D:$D,$N36)&amp;"")</f>
        <v>Componenti del sistema di pagamento fuori supporto</v>
      </c>
      <c r="D36" t="str">
        <f>IF($N36="","",INDEX(KRI!$E:$E,$N36)&amp;"")</f>
        <v>n</v>
      </c>
      <c r="E36">
        <f>IF($N36="","",IF(INDEX(KRI!$G:$G,$N36)="","",INDEX(KRI!$G:$G,$N36)))</f>
        <v>3</v>
      </c>
      <c r="F36">
        <f>IF($N36="","",IF(INDEX(KRI!$H:$H,$N36)="","",INDEX(KRI!$H:$H,$N36)))</f>
        <v>8</v>
      </c>
      <c r="G36" t="str">
        <f>IF($N36="","",IF(INDEX(KRI!$I:$I,$N36)="","",INDEX(KRI!$I:$I,$N36)))</f>
        <v/>
      </c>
      <c r="H36" s="9" t="str">
        <f>IF($N36="","",IF(INDEX(KRI!$J:$J,$N36)="","",INDEX(KRI!$J:$J,$N36)))</f>
        <v/>
      </c>
      <c r="I36" t="str">
        <f>IF($N36="","",INDEX(KRI!$M:$M,$N36)&amp;"")</f>
        <v>Non rilevato</v>
      </c>
      <c r="J36" t="str">
        <f t="shared" si="0"/>
        <v>—</v>
      </c>
      <c r="K36" t="str">
        <f t="shared" si="1"/>
        <v/>
      </c>
      <c r="N36">
        <f>IFERROR(_xlfn.AGGREGATE(15,6,ROW(KRI_Ciclo)/((KRI_Ciclo=cicloCorrente)*(KRI_In_Vigore="Sì")),31),"")</f>
        <v>32</v>
      </c>
    </row>
    <row r="37" spans="1:14" x14ac:dyDescent="0.4">
      <c r="A37" t="str">
        <f>IF($N37="","",INDEX(KRI!$B:$B,$N37)&amp;"")</f>
        <v>NFR-11-K2</v>
      </c>
      <c r="B37" t="str">
        <f>IF($N37="","",INDEX(KRI!$C:$C,$N37)&amp;"")</f>
        <v>NFR-11</v>
      </c>
      <c r="C37" t="str">
        <f>IF($N37="","",INDEX(KRI!$D:$D,$N37)&amp;"")</f>
        <v>Vulnerabilita' senza patch disponibile sui sistemi legacy</v>
      </c>
      <c r="D37" t="str">
        <f>IF($N37="","",INDEX(KRI!$E:$E,$N37)&amp;"")</f>
        <v>n</v>
      </c>
      <c r="E37">
        <f>IF($N37="","",IF(INDEX(KRI!$G:$G,$N37)="","",INDEX(KRI!$G:$G,$N37)))</f>
        <v>2</v>
      </c>
      <c r="F37">
        <f>IF($N37="","",IF(INDEX(KRI!$H:$H,$N37)="","",INDEX(KRI!$H:$H,$N37)))</f>
        <v>6</v>
      </c>
      <c r="G37" t="str">
        <f>IF($N37="","",IF(INDEX(KRI!$I:$I,$N37)="","",INDEX(KRI!$I:$I,$N37)))</f>
        <v/>
      </c>
      <c r="H37" s="9" t="str">
        <f>IF($N37="","",IF(INDEX(KRI!$J:$J,$N37)="","",INDEX(KRI!$J:$J,$N37)))</f>
        <v/>
      </c>
      <c r="I37" t="str">
        <f>IF($N37="","",INDEX(KRI!$M:$M,$N37)&amp;"")</f>
        <v>Non rilevato</v>
      </c>
      <c r="J37" t="str">
        <f t="shared" si="0"/>
        <v>—</v>
      </c>
      <c r="K37" t="str">
        <f t="shared" si="1"/>
        <v/>
      </c>
      <c r="N37">
        <f>IFERROR(_xlfn.AGGREGATE(15,6,ROW(KRI_Ciclo)/((KRI_Ciclo=cicloCorrente)*(KRI_In_Vigore="Sì")),32),"")</f>
        <v>33</v>
      </c>
    </row>
    <row r="38" spans="1:14" x14ac:dyDescent="0.4">
      <c r="A38" t="str">
        <f>IF($N38="","",INDEX(KRI!$B:$B,$N38)&amp;"")</f>
        <v>NFR-11-K3</v>
      </c>
      <c r="B38" t="str">
        <f>IF($N38="","",INDEX(KRI!$C:$C,$N38)&amp;"")</f>
        <v>NFR-11</v>
      </c>
      <c r="C38" t="str">
        <f>IF($N38="","",INDEX(KRI!$D:$D,$N38)&amp;"")</f>
        <v>Presidi della piattaforma legacy coperti da una sola persona</v>
      </c>
      <c r="D38" t="str">
        <f>IF($N38="","",INDEX(KRI!$E:$E,$N38)&amp;"")</f>
        <v>n</v>
      </c>
      <c r="E38">
        <f>IF($N38="","",IF(INDEX(KRI!$G:$G,$N38)="","",INDEX(KRI!$G:$G,$N38)))</f>
        <v>1</v>
      </c>
      <c r="F38">
        <f>IF($N38="","",IF(INDEX(KRI!$H:$H,$N38)="","",INDEX(KRI!$H:$H,$N38)))</f>
        <v>3</v>
      </c>
      <c r="G38" t="str">
        <f>IF($N38="","",IF(INDEX(KRI!$I:$I,$N38)="","",INDEX(KRI!$I:$I,$N38)))</f>
        <v/>
      </c>
      <c r="H38" s="9" t="str">
        <f>IF($N38="","",IF(INDEX(KRI!$J:$J,$N38)="","",INDEX(KRI!$J:$J,$N38)))</f>
        <v/>
      </c>
      <c r="I38" t="str">
        <f>IF($N38="","",INDEX(KRI!$M:$M,$N38)&amp;"")</f>
        <v>Non rilevato</v>
      </c>
      <c r="J38" t="str">
        <f t="shared" ref="J38:J65" si="2">IF($A38="","",IF(COUNTIFS(KRI_KRI_ID,$A38,KRI_Ciclo,cicloPrecedente,KRI_Valore_Corrente,"&lt;&gt;")=0,"—",SUMIFS(KRI_Valore_Corrente,KRI_KRI_ID,$A38,KRI_Ciclo,cicloPrecedente)))</f>
        <v>—</v>
      </c>
      <c r="K38" t="str">
        <f t="shared" ref="K38:K65" si="3">IF(OR(G38="",NOT(ISNUMBER(J38))),"",IF(G38&gt;J38,"▲ peggiora",IF(G38&lt;J38,"▼ migliora","= invariato")))</f>
        <v/>
      </c>
      <c r="N38">
        <f>IFERROR(_xlfn.AGGREGATE(15,6,ROW(KRI_Ciclo)/((KRI_Ciclo=cicloCorrente)*(KRI_In_Vigore="Sì")),33),"")</f>
        <v>34</v>
      </c>
    </row>
    <row r="39" spans="1:14" x14ac:dyDescent="0.4">
      <c r="A39" t="str">
        <f>IF($N39="","",INDEX(KRI!$B:$B,$N39)&amp;"")</f>
        <v>NFR-12-K1</v>
      </c>
      <c r="B39" t="str">
        <f>IF($N39="","",INDEX(KRI!$C:$C,$N39)&amp;"")</f>
        <v>NFR-12</v>
      </c>
      <c r="C39" t="str">
        <f>IF($N39="","",INDEX(KRI!$D:$D,$N39)&amp;"")</f>
        <v>Differenze di riconciliazione sui bonifici istantanei aperte oltre 1 giorno</v>
      </c>
      <c r="D39" t="str">
        <f>IF($N39="","",INDEX(KRI!$E:$E,$N39)&amp;"")</f>
        <v>n</v>
      </c>
      <c r="E39">
        <f>IF($N39="","",IF(INDEX(KRI!$G:$G,$N39)="","",INDEX(KRI!$G:$G,$N39)))</f>
        <v>10</v>
      </c>
      <c r="F39">
        <f>IF($N39="","",IF(INDEX(KRI!$H:$H,$N39)="","",INDEX(KRI!$H:$H,$N39)))</f>
        <v>30</v>
      </c>
      <c r="G39" t="str">
        <f>IF($N39="","",IF(INDEX(KRI!$I:$I,$N39)="","",INDEX(KRI!$I:$I,$N39)))</f>
        <v/>
      </c>
      <c r="H39" s="9" t="str">
        <f>IF($N39="","",IF(INDEX(KRI!$J:$J,$N39)="","",INDEX(KRI!$J:$J,$N39)))</f>
        <v/>
      </c>
      <c r="I39" t="str">
        <f>IF($N39="","",INDEX(KRI!$M:$M,$N39)&amp;"")</f>
        <v>Non rilevato</v>
      </c>
      <c r="J39" t="str">
        <f t="shared" si="2"/>
        <v>—</v>
      </c>
      <c r="K39" t="str">
        <f t="shared" si="3"/>
        <v/>
      </c>
      <c r="N39">
        <f>IFERROR(_xlfn.AGGREGATE(15,6,ROW(KRI_Ciclo)/((KRI_Ciclo=cicloCorrente)*(KRI_In_Vigore="Sì")),34),"")</f>
        <v>35</v>
      </c>
    </row>
    <row r="40" spans="1:14" x14ac:dyDescent="0.4">
      <c r="A40" t="str">
        <f>IF($N40="","",INDEX(KRI!$B:$B,$N40)&amp;"")</f>
        <v>NFR-12-K2</v>
      </c>
      <c r="B40" t="str">
        <f>IF($N40="","",INDEX(KRI!$C:$C,$N40)&amp;"")</f>
        <v>NFR-12</v>
      </c>
      <c r="C40" t="str">
        <f>IF($N40="","",INDEX(KRI!$D:$D,$N40)&amp;"")</f>
        <v>Rimborsi indebiti per errori di esecuzione nel trimestre</v>
      </c>
      <c r="D40" t="str">
        <f>IF($N40="","",INDEX(KRI!$E:$E,$N40)&amp;"")</f>
        <v>n</v>
      </c>
      <c r="E40">
        <f>IF($N40="","",IF(INDEX(KRI!$G:$G,$N40)="","",INDEX(KRI!$G:$G,$N40)))</f>
        <v>3</v>
      </c>
      <c r="F40">
        <f>IF($N40="","",IF(INDEX(KRI!$H:$H,$N40)="","",INDEX(KRI!$H:$H,$N40)))</f>
        <v>10</v>
      </c>
      <c r="G40" t="str">
        <f>IF($N40="","",IF(INDEX(KRI!$I:$I,$N40)="","",INDEX(KRI!$I:$I,$N40)))</f>
        <v/>
      </c>
      <c r="H40" s="9" t="str">
        <f>IF($N40="","",IF(INDEX(KRI!$J:$J,$N40)="","",INDEX(KRI!$J:$J,$N40)))</f>
        <v/>
      </c>
      <c r="I40" t="str">
        <f>IF($N40="","",INDEX(KRI!$M:$M,$N40)&amp;"")</f>
        <v>Non rilevato</v>
      </c>
      <c r="J40" t="str">
        <f t="shared" si="2"/>
        <v>—</v>
      </c>
      <c r="K40" t="str">
        <f t="shared" si="3"/>
        <v/>
      </c>
      <c r="N40">
        <f>IFERROR(_xlfn.AGGREGATE(15,6,ROW(KRI_Ciclo)/((KRI_Ciclo=cicloCorrente)*(KRI_In_Vigore="Sì")),35),"")</f>
        <v>36</v>
      </c>
    </row>
    <row r="41" spans="1:14" x14ac:dyDescent="0.4">
      <c r="A41" t="str">
        <f>IF($N41="","",INDEX(KRI!$B:$B,$N41)&amp;"")</f>
        <v>NFR-12-K3</v>
      </c>
      <c r="B41" t="str">
        <f>IF($N41="","",INDEX(KRI!$C:$C,$N41)&amp;"")</f>
        <v>NFR-12</v>
      </c>
      <c r="C41" t="str">
        <f>IF($N41="","",INDEX(KRI!$D:$D,$N41)&amp;"")</f>
        <v>Tempo medio di risoluzione delle eccezioni sui pagamenti istantanei</v>
      </c>
      <c r="D41" t="str">
        <f>IF($N41="","",INDEX(KRI!$E:$E,$N41)&amp;"")</f>
        <v>ore</v>
      </c>
      <c r="E41">
        <f>IF($N41="","",IF(INDEX(KRI!$G:$G,$N41)="","",INDEX(KRI!$G:$G,$N41)))</f>
        <v>4</v>
      </c>
      <c r="F41">
        <f>IF($N41="","",IF(INDEX(KRI!$H:$H,$N41)="","",INDEX(KRI!$H:$H,$N41)))</f>
        <v>12</v>
      </c>
      <c r="G41" t="str">
        <f>IF($N41="","",IF(INDEX(KRI!$I:$I,$N41)="","",INDEX(KRI!$I:$I,$N41)))</f>
        <v/>
      </c>
      <c r="H41" s="9" t="str">
        <f>IF($N41="","",IF(INDEX(KRI!$J:$J,$N41)="","",INDEX(KRI!$J:$J,$N41)))</f>
        <v/>
      </c>
      <c r="I41" t="str">
        <f>IF($N41="","",INDEX(KRI!$M:$M,$N41)&amp;"")</f>
        <v>Non rilevato</v>
      </c>
      <c r="J41" t="str">
        <f t="shared" si="2"/>
        <v>—</v>
      </c>
      <c r="K41" t="str">
        <f t="shared" si="3"/>
        <v/>
      </c>
      <c r="N41">
        <f>IFERROR(_xlfn.AGGREGATE(15,6,ROW(KRI_Ciclo)/((KRI_Ciclo=cicloCorrente)*(KRI_In_Vigore="Sì")),36),"")</f>
        <v>37</v>
      </c>
    </row>
    <row r="42" spans="1:14" x14ac:dyDescent="0.4">
      <c r="A42" t="str">
        <f>IF($N42="","",INDEX(KRI!$B:$B,$N42)&amp;"")</f>
        <v/>
      </c>
      <c r="B42" t="str">
        <f>IF($N42="","",INDEX(KRI!$C:$C,$N42)&amp;"")</f>
        <v/>
      </c>
      <c r="C42" t="str">
        <f>IF($N42="","",INDEX(KRI!$D:$D,$N42)&amp;"")</f>
        <v/>
      </c>
      <c r="D42" t="str">
        <f>IF($N42="","",INDEX(KRI!$E:$E,$N42)&amp;"")</f>
        <v/>
      </c>
      <c r="E42" t="str">
        <f>IF($N42="","",IF(INDEX(KRI!$G:$G,$N42)="","",INDEX(KRI!$G:$G,$N42)))</f>
        <v/>
      </c>
      <c r="F42" t="str">
        <f>IF($N42="","",IF(INDEX(KRI!$H:$H,$N42)="","",INDEX(KRI!$H:$H,$N42)))</f>
        <v/>
      </c>
      <c r="G42" t="str">
        <f>IF($N42="","",IF(INDEX(KRI!$I:$I,$N42)="","",INDEX(KRI!$I:$I,$N42)))</f>
        <v/>
      </c>
      <c r="H42" s="9" t="str">
        <f>IF($N42="","",IF(INDEX(KRI!$J:$J,$N42)="","",INDEX(KRI!$J:$J,$N42)))</f>
        <v/>
      </c>
      <c r="I42" t="str">
        <f>IF($N42="","",INDEX(KRI!$M:$M,$N42)&amp;"")</f>
        <v/>
      </c>
      <c r="J42" t="str">
        <f t="shared" si="2"/>
        <v/>
      </c>
      <c r="K42" t="str">
        <f t="shared" si="3"/>
        <v/>
      </c>
      <c r="N42" t="str">
        <f>IFERROR(_xlfn.AGGREGATE(15,6,ROW(KRI_Ciclo)/((KRI_Ciclo=cicloCorrente)*(KRI_In_Vigore="Sì")),37),"")</f>
        <v/>
      </c>
    </row>
    <row r="43" spans="1:14" x14ac:dyDescent="0.4">
      <c r="A43" t="str">
        <f>IF($N43="","",INDEX(KRI!$B:$B,$N43)&amp;"")</f>
        <v/>
      </c>
      <c r="B43" t="str">
        <f>IF($N43="","",INDEX(KRI!$C:$C,$N43)&amp;"")</f>
        <v/>
      </c>
      <c r="C43" t="str">
        <f>IF($N43="","",INDEX(KRI!$D:$D,$N43)&amp;"")</f>
        <v/>
      </c>
      <c r="D43" t="str">
        <f>IF($N43="","",INDEX(KRI!$E:$E,$N43)&amp;"")</f>
        <v/>
      </c>
      <c r="E43" t="str">
        <f>IF($N43="","",IF(INDEX(KRI!$G:$G,$N43)="","",INDEX(KRI!$G:$G,$N43)))</f>
        <v/>
      </c>
      <c r="F43" t="str">
        <f>IF($N43="","",IF(INDEX(KRI!$H:$H,$N43)="","",INDEX(KRI!$H:$H,$N43)))</f>
        <v/>
      </c>
      <c r="G43" t="str">
        <f>IF($N43="","",IF(INDEX(KRI!$I:$I,$N43)="","",INDEX(KRI!$I:$I,$N43)))</f>
        <v/>
      </c>
      <c r="H43" s="9" t="str">
        <f>IF($N43="","",IF(INDEX(KRI!$J:$J,$N43)="","",INDEX(KRI!$J:$J,$N43)))</f>
        <v/>
      </c>
      <c r="I43" t="str">
        <f>IF($N43="","",INDEX(KRI!$M:$M,$N43)&amp;"")</f>
        <v/>
      </c>
      <c r="J43" t="str">
        <f t="shared" si="2"/>
        <v/>
      </c>
      <c r="K43" t="str">
        <f t="shared" si="3"/>
        <v/>
      </c>
      <c r="N43" t="str">
        <f>IFERROR(_xlfn.AGGREGATE(15,6,ROW(KRI_Ciclo)/((KRI_Ciclo=cicloCorrente)*(KRI_In_Vigore="Sì")),38),"")</f>
        <v/>
      </c>
    </row>
    <row r="44" spans="1:14" x14ac:dyDescent="0.4">
      <c r="A44" t="str">
        <f>IF($N44="","",INDEX(KRI!$B:$B,$N44)&amp;"")</f>
        <v/>
      </c>
      <c r="B44" t="str">
        <f>IF($N44="","",INDEX(KRI!$C:$C,$N44)&amp;"")</f>
        <v/>
      </c>
      <c r="C44" t="str">
        <f>IF($N44="","",INDEX(KRI!$D:$D,$N44)&amp;"")</f>
        <v/>
      </c>
      <c r="D44" t="str">
        <f>IF($N44="","",INDEX(KRI!$E:$E,$N44)&amp;"")</f>
        <v/>
      </c>
      <c r="E44" t="str">
        <f>IF($N44="","",IF(INDEX(KRI!$G:$G,$N44)="","",INDEX(KRI!$G:$G,$N44)))</f>
        <v/>
      </c>
      <c r="F44" t="str">
        <f>IF($N44="","",IF(INDEX(KRI!$H:$H,$N44)="","",INDEX(KRI!$H:$H,$N44)))</f>
        <v/>
      </c>
      <c r="G44" t="str">
        <f>IF($N44="","",IF(INDEX(KRI!$I:$I,$N44)="","",INDEX(KRI!$I:$I,$N44)))</f>
        <v/>
      </c>
      <c r="H44" s="9" t="str">
        <f>IF($N44="","",IF(INDEX(KRI!$J:$J,$N44)="","",INDEX(KRI!$J:$J,$N44)))</f>
        <v/>
      </c>
      <c r="I44" t="str">
        <f>IF($N44="","",INDEX(KRI!$M:$M,$N44)&amp;"")</f>
        <v/>
      </c>
      <c r="J44" t="str">
        <f t="shared" si="2"/>
        <v/>
      </c>
      <c r="K44" t="str">
        <f t="shared" si="3"/>
        <v/>
      </c>
      <c r="N44" t="str">
        <f>IFERROR(_xlfn.AGGREGATE(15,6,ROW(KRI_Ciclo)/((KRI_Ciclo=cicloCorrente)*(KRI_In_Vigore="Sì")),39),"")</f>
        <v/>
      </c>
    </row>
    <row r="45" spans="1:14" x14ac:dyDescent="0.4">
      <c r="A45" t="str">
        <f>IF($N45="","",INDEX(KRI!$B:$B,$N45)&amp;"")</f>
        <v/>
      </c>
      <c r="B45" t="str">
        <f>IF($N45="","",INDEX(KRI!$C:$C,$N45)&amp;"")</f>
        <v/>
      </c>
      <c r="C45" t="str">
        <f>IF($N45="","",INDEX(KRI!$D:$D,$N45)&amp;"")</f>
        <v/>
      </c>
      <c r="D45" t="str">
        <f>IF($N45="","",INDEX(KRI!$E:$E,$N45)&amp;"")</f>
        <v/>
      </c>
      <c r="E45" t="str">
        <f>IF($N45="","",IF(INDEX(KRI!$G:$G,$N45)="","",INDEX(KRI!$G:$G,$N45)))</f>
        <v/>
      </c>
      <c r="F45" t="str">
        <f>IF($N45="","",IF(INDEX(KRI!$H:$H,$N45)="","",INDEX(KRI!$H:$H,$N45)))</f>
        <v/>
      </c>
      <c r="G45" t="str">
        <f>IF($N45="","",IF(INDEX(KRI!$I:$I,$N45)="","",INDEX(KRI!$I:$I,$N45)))</f>
        <v/>
      </c>
      <c r="H45" s="9" t="str">
        <f>IF($N45="","",IF(INDEX(KRI!$J:$J,$N45)="","",INDEX(KRI!$J:$J,$N45)))</f>
        <v/>
      </c>
      <c r="I45" t="str">
        <f>IF($N45="","",INDEX(KRI!$M:$M,$N45)&amp;"")</f>
        <v/>
      </c>
      <c r="J45" t="str">
        <f t="shared" si="2"/>
        <v/>
      </c>
      <c r="K45" t="str">
        <f t="shared" si="3"/>
        <v/>
      </c>
      <c r="N45" t="str">
        <f>IFERROR(_xlfn.AGGREGATE(15,6,ROW(KRI_Ciclo)/((KRI_Ciclo=cicloCorrente)*(KRI_In_Vigore="Sì")),40),"")</f>
        <v/>
      </c>
    </row>
    <row r="46" spans="1:14" x14ac:dyDescent="0.4">
      <c r="A46" t="str">
        <f>IF($N46="","",INDEX(KRI!$B:$B,$N46)&amp;"")</f>
        <v/>
      </c>
      <c r="B46" t="str">
        <f>IF($N46="","",INDEX(KRI!$C:$C,$N46)&amp;"")</f>
        <v/>
      </c>
      <c r="C46" t="str">
        <f>IF($N46="","",INDEX(KRI!$D:$D,$N46)&amp;"")</f>
        <v/>
      </c>
      <c r="D46" t="str">
        <f>IF($N46="","",INDEX(KRI!$E:$E,$N46)&amp;"")</f>
        <v/>
      </c>
      <c r="E46" t="str">
        <f>IF($N46="","",IF(INDEX(KRI!$G:$G,$N46)="","",INDEX(KRI!$G:$G,$N46)))</f>
        <v/>
      </c>
      <c r="F46" t="str">
        <f>IF($N46="","",IF(INDEX(KRI!$H:$H,$N46)="","",INDEX(KRI!$H:$H,$N46)))</f>
        <v/>
      </c>
      <c r="G46" t="str">
        <f>IF($N46="","",IF(INDEX(KRI!$I:$I,$N46)="","",INDEX(KRI!$I:$I,$N46)))</f>
        <v/>
      </c>
      <c r="H46" s="9" t="str">
        <f>IF($N46="","",IF(INDEX(KRI!$J:$J,$N46)="","",INDEX(KRI!$J:$J,$N46)))</f>
        <v/>
      </c>
      <c r="I46" t="str">
        <f>IF($N46="","",INDEX(KRI!$M:$M,$N46)&amp;"")</f>
        <v/>
      </c>
      <c r="J46" t="str">
        <f t="shared" si="2"/>
        <v/>
      </c>
      <c r="K46" t="str">
        <f t="shared" si="3"/>
        <v/>
      </c>
      <c r="N46" t="str">
        <f>IFERROR(_xlfn.AGGREGATE(15,6,ROW(KRI_Ciclo)/((KRI_Ciclo=cicloCorrente)*(KRI_In_Vigore="Sì")),41),"")</f>
        <v/>
      </c>
    </row>
    <row r="47" spans="1:14" x14ac:dyDescent="0.4">
      <c r="A47" t="str">
        <f>IF($N47="","",INDEX(KRI!$B:$B,$N47)&amp;"")</f>
        <v/>
      </c>
      <c r="B47" t="str">
        <f>IF($N47="","",INDEX(KRI!$C:$C,$N47)&amp;"")</f>
        <v/>
      </c>
      <c r="C47" t="str">
        <f>IF($N47="","",INDEX(KRI!$D:$D,$N47)&amp;"")</f>
        <v/>
      </c>
      <c r="D47" t="str">
        <f>IF($N47="","",INDEX(KRI!$E:$E,$N47)&amp;"")</f>
        <v/>
      </c>
      <c r="E47" t="str">
        <f>IF($N47="","",IF(INDEX(KRI!$G:$G,$N47)="","",INDEX(KRI!$G:$G,$N47)))</f>
        <v/>
      </c>
      <c r="F47" t="str">
        <f>IF($N47="","",IF(INDEX(KRI!$H:$H,$N47)="","",INDEX(KRI!$H:$H,$N47)))</f>
        <v/>
      </c>
      <c r="G47" t="str">
        <f>IF($N47="","",IF(INDEX(KRI!$I:$I,$N47)="","",INDEX(KRI!$I:$I,$N47)))</f>
        <v/>
      </c>
      <c r="H47" s="9" t="str">
        <f>IF($N47="","",IF(INDEX(KRI!$J:$J,$N47)="","",INDEX(KRI!$J:$J,$N47)))</f>
        <v/>
      </c>
      <c r="I47" t="str">
        <f>IF($N47="","",INDEX(KRI!$M:$M,$N47)&amp;"")</f>
        <v/>
      </c>
      <c r="J47" t="str">
        <f t="shared" si="2"/>
        <v/>
      </c>
      <c r="K47" t="str">
        <f t="shared" si="3"/>
        <v/>
      </c>
      <c r="N47" t="str">
        <f>IFERROR(_xlfn.AGGREGATE(15,6,ROW(KRI_Ciclo)/((KRI_Ciclo=cicloCorrente)*(KRI_In_Vigore="Sì")),42),"")</f>
        <v/>
      </c>
    </row>
    <row r="48" spans="1:14" x14ac:dyDescent="0.4">
      <c r="A48" t="str">
        <f>IF($N48="","",INDEX(KRI!$B:$B,$N48)&amp;"")</f>
        <v/>
      </c>
      <c r="B48" t="str">
        <f>IF($N48="","",INDEX(KRI!$C:$C,$N48)&amp;"")</f>
        <v/>
      </c>
      <c r="C48" t="str">
        <f>IF($N48="","",INDEX(KRI!$D:$D,$N48)&amp;"")</f>
        <v/>
      </c>
      <c r="D48" t="str">
        <f>IF($N48="","",INDEX(KRI!$E:$E,$N48)&amp;"")</f>
        <v/>
      </c>
      <c r="E48" t="str">
        <f>IF($N48="","",IF(INDEX(KRI!$G:$G,$N48)="","",INDEX(KRI!$G:$G,$N48)))</f>
        <v/>
      </c>
      <c r="F48" t="str">
        <f>IF($N48="","",IF(INDEX(KRI!$H:$H,$N48)="","",INDEX(KRI!$H:$H,$N48)))</f>
        <v/>
      </c>
      <c r="G48" t="str">
        <f>IF($N48="","",IF(INDEX(KRI!$I:$I,$N48)="","",INDEX(KRI!$I:$I,$N48)))</f>
        <v/>
      </c>
      <c r="H48" s="9" t="str">
        <f>IF($N48="","",IF(INDEX(KRI!$J:$J,$N48)="","",INDEX(KRI!$J:$J,$N48)))</f>
        <v/>
      </c>
      <c r="I48" t="str">
        <f>IF($N48="","",INDEX(KRI!$M:$M,$N48)&amp;"")</f>
        <v/>
      </c>
      <c r="J48" t="str">
        <f t="shared" si="2"/>
        <v/>
      </c>
      <c r="K48" t="str">
        <f t="shared" si="3"/>
        <v/>
      </c>
      <c r="N48" t="str">
        <f>IFERROR(_xlfn.AGGREGATE(15,6,ROW(KRI_Ciclo)/((KRI_Ciclo=cicloCorrente)*(KRI_In_Vigore="Sì")),43),"")</f>
        <v/>
      </c>
    </row>
    <row r="49" spans="1:14" x14ac:dyDescent="0.4">
      <c r="A49" t="str">
        <f>IF($N49="","",INDEX(KRI!$B:$B,$N49)&amp;"")</f>
        <v/>
      </c>
      <c r="B49" t="str">
        <f>IF($N49="","",INDEX(KRI!$C:$C,$N49)&amp;"")</f>
        <v/>
      </c>
      <c r="C49" t="str">
        <f>IF($N49="","",INDEX(KRI!$D:$D,$N49)&amp;"")</f>
        <v/>
      </c>
      <c r="D49" t="str">
        <f>IF($N49="","",INDEX(KRI!$E:$E,$N49)&amp;"")</f>
        <v/>
      </c>
      <c r="E49" t="str">
        <f>IF($N49="","",IF(INDEX(KRI!$G:$G,$N49)="","",INDEX(KRI!$G:$G,$N49)))</f>
        <v/>
      </c>
      <c r="F49" t="str">
        <f>IF($N49="","",IF(INDEX(KRI!$H:$H,$N49)="","",INDEX(KRI!$H:$H,$N49)))</f>
        <v/>
      </c>
      <c r="G49" t="str">
        <f>IF($N49="","",IF(INDEX(KRI!$I:$I,$N49)="","",INDEX(KRI!$I:$I,$N49)))</f>
        <v/>
      </c>
      <c r="H49" s="9" t="str">
        <f>IF($N49="","",IF(INDEX(KRI!$J:$J,$N49)="","",INDEX(KRI!$J:$J,$N49)))</f>
        <v/>
      </c>
      <c r="I49" t="str">
        <f>IF($N49="","",INDEX(KRI!$M:$M,$N49)&amp;"")</f>
        <v/>
      </c>
      <c r="J49" t="str">
        <f t="shared" si="2"/>
        <v/>
      </c>
      <c r="K49" t="str">
        <f t="shared" si="3"/>
        <v/>
      </c>
      <c r="N49" t="str">
        <f>IFERROR(_xlfn.AGGREGATE(15,6,ROW(KRI_Ciclo)/((KRI_Ciclo=cicloCorrente)*(KRI_In_Vigore="Sì")),44),"")</f>
        <v/>
      </c>
    </row>
    <row r="50" spans="1:14" x14ac:dyDescent="0.4">
      <c r="A50" t="str">
        <f>IF($N50="","",INDEX(KRI!$B:$B,$N50)&amp;"")</f>
        <v/>
      </c>
      <c r="B50" t="str">
        <f>IF($N50="","",INDEX(KRI!$C:$C,$N50)&amp;"")</f>
        <v/>
      </c>
      <c r="C50" t="str">
        <f>IF($N50="","",INDEX(KRI!$D:$D,$N50)&amp;"")</f>
        <v/>
      </c>
      <c r="D50" t="str">
        <f>IF($N50="","",INDEX(KRI!$E:$E,$N50)&amp;"")</f>
        <v/>
      </c>
      <c r="E50" t="str">
        <f>IF($N50="","",IF(INDEX(KRI!$G:$G,$N50)="","",INDEX(KRI!$G:$G,$N50)))</f>
        <v/>
      </c>
      <c r="F50" t="str">
        <f>IF($N50="","",IF(INDEX(KRI!$H:$H,$N50)="","",INDEX(KRI!$H:$H,$N50)))</f>
        <v/>
      </c>
      <c r="G50" t="str">
        <f>IF($N50="","",IF(INDEX(KRI!$I:$I,$N50)="","",INDEX(KRI!$I:$I,$N50)))</f>
        <v/>
      </c>
      <c r="H50" s="9" t="str">
        <f>IF($N50="","",IF(INDEX(KRI!$J:$J,$N50)="","",INDEX(KRI!$J:$J,$N50)))</f>
        <v/>
      </c>
      <c r="I50" t="str">
        <f>IF($N50="","",INDEX(KRI!$M:$M,$N50)&amp;"")</f>
        <v/>
      </c>
      <c r="J50" t="str">
        <f t="shared" si="2"/>
        <v/>
      </c>
      <c r="K50" t="str">
        <f t="shared" si="3"/>
        <v/>
      </c>
      <c r="N50" t="str">
        <f>IFERROR(_xlfn.AGGREGATE(15,6,ROW(KRI_Ciclo)/((KRI_Ciclo=cicloCorrente)*(KRI_In_Vigore="Sì")),45),"")</f>
        <v/>
      </c>
    </row>
    <row r="51" spans="1:14" x14ac:dyDescent="0.4">
      <c r="A51" t="str">
        <f>IF($N51="","",INDEX(KRI!$B:$B,$N51)&amp;"")</f>
        <v/>
      </c>
      <c r="B51" t="str">
        <f>IF($N51="","",INDEX(KRI!$C:$C,$N51)&amp;"")</f>
        <v/>
      </c>
      <c r="C51" t="str">
        <f>IF($N51="","",INDEX(KRI!$D:$D,$N51)&amp;"")</f>
        <v/>
      </c>
      <c r="D51" t="str">
        <f>IF($N51="","",INDEX(KRI!$E:$E,$N51)&amp;"")</f>
        <v/>
      </c>
      <c r="E51" t="str">
        <f>IF($N51="","",IF(INDEX(KRI!$G:$G,$N51)="","",INDEX(KRI!$G:$G,$N51)))</f>
        <v/>
      </c>
      <c r="F51" t="str">
        <f>IF($N51="","",IF(INDEX(KRI!$H:$H,$N51)="","",INDEX(KRI!$H:$H,$N51)))</f>
        <v/>
      </c>
      <c r="G51" t="str">
        <f>IF($N51="","",IF(INDEX(KRI!$I:$I,$N51)="","",INDEX(KRI!$I:$I,$N51)))</f>
        <v/>
      </c>
      <c r="H51" s="9" t="str">
        <f>IF($N51="","",IF(INDEX(KRI!$J:$J,$N51)="","",INDEX(KRI!$J:$J,$N51)))</f>
        <v/>
      </c>
      <c r="I51" t="str">
        <f>IF($N51="","",INDEX(KRI!$M:$M,$N51)&amp;"")</f>
        <v/>
      </c>
      <c r="J51" t="str">
        <f t="shared" si="2"/>
        <v/>
      </c>
      <c r="K51" t="str">
        <f t="shared" si="3"/>
        <v/>
      </c>
      <c r="N51" t="str">
        <f>IFERROR(_xlfn.AGGREGATE(15,6,ROW(KRI_Ciclo)/((KRI_Ciclo=cicloCorrente)*(KRI_In_Vigore="Sì")),46),"")</f>
        <v/>
      </c>
    </row>
    <row r="52" spans="1:14" x14ac:dyDescent="0.4">
      <c r="A52" t="str">
        <f>IF($N52="","",INDEX(KRI!$B:$B,$N52)&amp;"")</f>
        <v/>
      </c>
      <c r="B52" t="str">
        <f>IF($N52="","",INDEX(KRI!$C:$C,$N52)&amp;"")</f>
        <v/>
      </c>
      <c r="C52" t="str">
        <f>IF($N52="","",INDEX(KRI!$D:$D,$N52)&amp;"")</f>
        <v/>
      </c>
      <c r="D52" t="str">
        <f>IF($N52="","",INDEX(KRI!$E:$E,$N52)&amp;"")</f>
        <v/>
      </c>
      <c r="E52" t="str">
        <f>IF($N52="","",IF(INDEX(KRI!$G:$G,$N52)="","",INDEX(KRI!$G:$G,$N52)))</f>
        <v/>
      </c>
      <c r="F52" t="str">
        <f>IF($N52="","",IF(INDEX(KRI!$H:$H,$N52)="","",INDEX(KRI!$H:$H,$N52)))</f>
        <v/>
      </c>
      <c r="G52" t="str">
        <f>IF($N52="","",IF(INDEX(KRI!$I:$I,$N52)="","",INDEX(KRI!$I:$I,$N52)))</f>
        <v/>
      </c>
      <c r="H52" s="9" t="str">
        <f>IF($N52="","",IF(INDEX(KRI!$J:$J,$N52)="","",INDEX(KRI!$J:$J,$N52)))</f>
        <v/>
      </c>
      <c r="I52" t="str">
        <f>IF($N52="","",INDEX(KRI!$M:$M,$N52)&amp;"")</f>
        <v/>
      </c>
      <c r="J52" t="str">
        <f t="shared" si="2"/>
        <v/>
      </c>
      <c r="K52" t="str">
        <f t="shared" si="3"/>
        <v/>
      </c>
      <c r="N52" t="str">
        <f>IFERROR(_xlfn.AGGREGATE(15,6,ROW(KRI_Ciclo)/((KRI_Ciclo=cicloCorrente)*(KRI_In_Vigore="Sì")),47),"")</f>
        <v/>
      </c>
    </row>
    <row r="53" spans="1:14" x14ac:dyDescent="0.4">
      <c r="A53" t="str">
        <f>IF($N53="","",INDEX(KRI!$B:$B,$N53)&amp;"")</f>
        <v/>
      </c>
      <c r="B53" t="str">
        <f>IF($N53="","",INDEX(KRI!$C:$C,$N53)&amp;"")</f>
        <v/>
      </c>
      <c r="C53" t="str">
        <f>IF($N53="","",INDEX(KRI!$D:$D,$N53)&amp;"")</f>
        <v/>
      </c>
      <c r="D53" t="str">
        <f>IF($N53="","",INDEX(KRI!$E:$E,$N53)&amp;"")</f>
        <v/>
      </c>
      <c r="E53" t="str">
        <f>IF($N53="","",IF(INDEX(KRI!$G:$G,$N53)="","",INDEX(KRI!$G:$G,$N53)))</f>
        <v/>
      </c>
      <c r="F53" t="str">
        <f>IF($N53="","",IF(INDEX(KRI!$H:$H,$N53)="","",INDEX(KRI!$H:$H,$N53)))</f>
        <v/>
      </c>
      <c r="G53" t="str">
        <f>IF($N53="","",IF(INDEX(KRI!$I:$I,$N53)="","",INDEX(KRI!$I:$I,$N53)))</f>
        <v/>
      </c>
      <c r="H53" s="9" t="str">
        <f>IF($N53="","",IF(INDEX(KRI!$J:$J,$N53)="","",INDEX(KRI!$J:$J,$N53)))</f>
        <v/>
      </c>
      <c r="I53" t="str">
        <f>IF($N53="","",INDEX(KRI!$M:$M,$N53)&amp;"")</f>
        <v/>
      </c>
      <c r="J53" t="str">
        <f t="shared" si="2"/>
        <v/>
      </c>
      <c r="K53" t="str">
        <f t="shared" si="3"/>
        <v/>
      </c>
      <c r="N53" t="str">
        <f>IFERROR(_xlfn.AGGREGATE(15,6,ROW(KRI_Ciclo)/((KRI_Ciclo=cicloCorrente)*(KRI_In_Vigore="Sì")),48),"")</f>
        <v/>
      </c>
    </row>
    <row r="54" spans="1:14" x14ac:dyDescent="0.4">
      <c r="A54" t="str">
        <f>IF($N54="","",INDEX(KRI!$B:$B,$N54)&amp;"")</f>
        <v/>
      </c>
      <c r="B54" t="str">
        <f>IF($N54="","",INDEX(KRI!$C:$C,$N54)&amp;"")</f>
        <v/>
      </c>
      <c r="C54" t="str">
        <f>IF($N54="","",INDEX(KRI!$D:$D,$N54)&amp;"")</f>
        <v/>
      </c>
      <c r="D54" t="str">
        <f>IF($N54="","",INDEX(KRI!$E:$E,$N54)&amp;"")</f>
        <v/>
      </c>
      <c r="E54" t="str">
        <f>IF($N54="","",IF(INDEX(KRI!$G:$G,$N54)="","",INDEX(KRI!$G:$G,$N54)))</f>
        <v/>
      </c>
      <c r="F54" t="str">
        <f>IF($N54="","",IF(INDEX(KRI!$H:$H,$N54)="","",INDEX(KRI!$H:$H,$N54)))</f>
        <v/>
      </c>
      <c r="G54" t="str">
        <f>IF($N54="","",IF(INDEX(KRI!$I:$I,$N54)="","",INDEX(KRI!$I:$I,$N54)))</f>
        <v/>
      </c>
      <c r="H54" s="9" t="str">
        <f>IF($N54="","",IF(INDEX(KRI!$J:$J,$N54)="","",INDEX(KRI!$J:$J,$N54)))</f>
        <v/>
      </c>
      <c r="I54" t="str">
        <f>IF($N54="","",INDEX(KRI!$M:$M,$N54)&amp;"")</f>
        <v/>
      </c>
      <c r="J54" t="str">
        <f t="shared" si="2"/>
        <v/>
      </c>
      <c r="K54" t="str">
        <f t="shared" si="3"/>
        <v/>
      </c>
      <c r="N54" t="str">
        <f>IFERROR(_xlfn.AGGREGATE(15,6,ROW(KRI_Ciclo)/((KRI_Ciclo=cicloCorrente)*(KRI_In_Vigore="Sì")),49),"")</f>
        <v/>
      </c>
    </row>
    <row r="55" spans="1:14" x14ac:dyDescent="0.4">
      <c r="A55" t="str">
        <f>IF($N55="","",INDEX(KRI!$B:$B,$N55)&amp;"")</f>
        <v/>
      </c>
      <c r="B55" t="str">
        <f>IF($N55="","",INDEX(KRI!$C:$C,$N55)&amp;"")</f>
        <v/>
      </c>
      <c r="C55" t="str">
        <f>IF($N55="","",INDEX(KRI!$D:$D,$N55)&amp;"")</f>
        <v/>
      </c>
      <c r="D55" t="str">
        <f>IF($N55="","",INDEX(KRI!$E:$E,$N55)&amp;"")</f>
        <v/>
      </c>
      <c r="E55" t="str">
        <f>IF($N55="","",IF(INDEX(KRI!$G:$G,$N55)="","",INDEX(KRI!$G:$G,$N55)))</f>
        <v/>
      </c>
      <c r="F55" t="str">
        <f>IF($N55="","",IF(INDEX(KRI!$H:$H,$N55)="","",INDEX(KRI!$H:$H,$N55)))</f>
        <v/>
      </c>
      <c r="G55" t="str">
        <f>IF($N55="","",IF(INDEX(KRI!$I:$I,$N55)="","",INDEX(KRI!$I:$I,$N55)))</f>
        <v/>
      </c>
      <c r="H55" s="9" t="str">
        <f>IF($N55="","",IF(INDEX(KRI!$J:$J,$N55)="","",INDEX(KRI!$J:$J,$N55)))</f>
        <v/>
      </c>
      <c r="I55" t="str">
        <f>IF($N55="","",INDEX(KRI!$M:$M,$N55)&amp;"")</f>
        <v/>
      </c>
      <c r="J55" t="str">
        <f t="shared" si="2"/>
        <v/>
      </c>
      <c r="K55" t="str">
        <f t="shared" si="3"/>
        <v/>
      </c>
      <c r="N55" t="str">
        <f>IFERROR(_xlfn.AGGREGATE(15,6,ROW(KRI_Ciclo)/((KRI_Ciclo=cicloCorrente)*(KRI_In_Vigore="Sì")),50),"")</f>
        <v/>
      </c>
    </row>
    <row r="56" spans="1:14" x14ac:dyDescent="0.4">
      <c r="A56" t="str">
        <f>IF($N56="","",INDEX(KRI!$B:$B,$N56)&amp;"")</f>
        <v/>
      </c>
      <c r="B56" t="str">
        <f>IF($N56="","",INDEX(KRI!$C:$C,$N56)&amp;"")</f>
        <v/>
      </c>
      <c r="C56" t="str">
        <f>IF($N56="","",INDEX(KRI!$D:$D,$N56)&amp;"")</f>
        <v/>
      </c>
      <c r="D56" t="str">
        <f>IF($N56="","",INDEX(KRI!$E:$E,$N56)&amp;"")</f>
        <v/>
      </c>
      <c r="E56" t="str">
        <f>IF($N56="","",IF(INDEX(KRI!$G:$G,$N56)="","",INDEX(KRI!$G:$G,$N56)))</f>
        <v/>
      </c>
      <c r="F56" t="str">
        <f>IF($N56="","",IF(INDEX(KRI!$H:$H,$N56)="","",INDEX(KRI!$H:$H,$N56)))</f>
        <v/>
      </c>
      <c r="G56" t="str">
        <f>IF($N56="","",IF(INDEX(KRI!$I:$I,$N56)="","",INDEX(KRI!$I:$I,$N56)))</f>
        <v/>
      </c>
      <c r="H56" s="9" t="str">
        <f>IF($N56="","",IF(INDEX(KRI!$J:$J,$N56)="","",INDEX(KRI!$J:$J,$N56)))</f>
        <v/>
      </c>
      <c r="I56" t="str">
        <f>IF($N56="","",INDEX(KRI!$M:$M,$N56)&amp;"")</f>
        <v/>
      </c>
      <c r="J56" t="str">
        <f t="shared" si="2"/>
        <v/>
      </c>
      <c r="K56" t="str">
        <f t="shared" si="3"/>
        <v/>
      </c>
      <c r="N56" t="str">
        <f>IFERROR(_xlfn.AGGREGATE(15,6,ROW(KRI_Ciclo)/((KRI_Ciclo=cicloCorrente)*(KRI_In_Vigore="Sì")),51),"")</f>
        <v/>
      </c>
    </row>
    <row r="57" spans="1:14" x14ac:dyDescent="0.4">
      <c r="A57" t="str">
        <f>IF($N57="","",INDEX(KRI!$B:$B,$N57)&amp;"")</f>
        <v/>
      </c>
      <c r="B57" t="str">
        <f>IF($N57="","",INDEX(KRI!$C:$C,$N57)&amp;"")</f>
        <v/>
      </c>
      <c r="C57" t="str">
        <f>IF($N57="","",INDEX(KRI!$D:$D,$N57)&amp;"")</f>
        <v/>
      </c>
      <c r="D57" t="str">
        <f>IF($N57="","",INDEX(KRI!$E:$E,$N57)&amp;"")</f>
        <v/>
      </c>
      <c r="E57" t="str">
        <f>IF($N57="","",IF(INDEX(KRI!$G:$G,$N57)="","",INDEX(KRI!$G:$G,$N57)))</f>
        <v/>
      </c>
      <c r="F57" t="str">
        <f>IF($N57="","",IF(INDEX(KRI!$H:$H,$N57)="","",INDEX(KRI!$H:$H,$N57)))</f>
        <v/>
      </c>
      <c r="G57" t="str">
        <f>IF($N57="","",IF(INDEX(KRI!$I:$I,$N57)="","",INDEX(KRI!$I:$I,$N57)))</f>
        <v/>
      </c>
      <c r="H57" s="9" t="str">
        <f>IF($N57="","",IF(INDEX(KRI!$J:$J,$N57)="","",INDEX(KRI!$J:$J,$N57)))</f>
        <v/>
      </c>
      <c r="I57" t="str">
        <f>IF($N57="","",INDEX(KRI!$M:$M,$N57)&amp;"")</f>
        <v/>
      </c>
      <c r="J57" t="str">
        <f t="shared" si="2"/>
        <v/>
      </c>
      <c r="K57" t="str">
        <f t="shared" si="3"/>
        <v/>
      </c>
      <c r="N57" t="str">
        <f>IFERROR(_xlfn.AGGREGATE(15,6,ROW(KRI_Ciclo)/((KRI_Ciclo=cicloCorrente)*(KRI_In_Vigore="Sì")),52),"")</f>
        <v/>
      </c>
    </row>
    <row r="58" spans="1:14" x14ac:dyDescent="0.4">
      <c r="A58" t="str">
        <f>IF($N58="","",INDEX(KRI!$B:$B,$N58)&amp;"")</f>
        <v/>
      </c>
      <c r="B58" t="str">
        <f>IF($N58="","",INDEX(KRI!$C:$C,$N58)&amp;"")</f>
        <v/>
      </c>
      <c r="C58" t="str">
        <f>IF($N58="","",INDEX(KRI!$D:$D,$N58)&amp;"")</f>
        <v/>
      </c>
      <c r="D58" t="str">
        <f>IF($N58="","",INDEX(KRI!$E:$E,$N58)&amp;"")</f>
        <v/>
      </c>
      <c r="E58" t="str">
        <f>IF($N58="","",IF(INDEX(KRI!$G:$G,$N58)="","",INDEX(KRI!$G:$G,$N58)))</f>
        <v/>
      </c>
      <c r="F58" t="str">
        <f>IF($N58="","",IF(INDEX(KRI!$H:$H,$N58)="","",INDEX(KRI!$H:$H,$N58)))</f>
        <v/>
      </c>
      <c r="G58" t="str">
        <f>IF($N58="","",IF(INDEX(KRI!$I:$I,$N58)="","",INDEX(KRI!$I:$I,$N58)))</f>
        <v/>
      </c>
      <c r="H58" s="9" t="str">
        <f>IF($N58="","",IF(INDEX(KRI!$J:$J,$N58)="","",INDEX(KRI!$J:$J,$N58)))</f>
        <v/>
      </c>
      <c r="I58" t="str">
        <f>IF($N58="","",INDEX(KRI!$M:$M,$N58)&amp;"")</f>
        <v/>
      </c>
      <c r="J58" t="str">
        <f t="shared" si="2"/>
        <v/>
      </c>
      <c r="K58" t="str">
        <f t="shared" si="3"/>
        <v/>
      </c>
      <c r="N58" t="str">
        <f>IFERROR(_xlfn.AGGREGATE(15,6,ROW(KRI_Ciclo)/((KRI_Ciclo=cicloCorrente)*(KRI_In_Vigore="Sì")),53),"")</f>
        <v/>
      </c>
    </row>
    <row r="59" spans="1:14" x14ac:dyDescent="0.4">
      <c r="A59" t="str">
        <f>IF($N59="","",INDEX(KRI!$B:$B,$N59)&amp;"")</f>
        <v/>
      </c>
      <c r="B59" t="str">
        <f>IF($N59="","",INDEX(KRI!$C:$C,$N59)&amp;"")</f>
        <v/>
      </c>
      <c r="C59" t="str">
        <f>IF($N59="","",INDEX(KRI!$D:$D,$N59)&amp;"")</f>
        <v/>
      </c>
      <c r="D59" t="str">
        <f>IF($N59="","",INDEX(KRI!$E:$E,$N59)&amp;"")</f>
        <v/>
      </c>
      <c r="E59" t="str">
        <f>IF($N59="","",IF(INDEX(KRI!$G:$G,$N59)="","",INDEX(KRI!$G:$G,$N59)))</f>
        <v/>
      </c>
      <c r="F59" t="str">
        <f>IF($N59="","",IF(INDEX(KRI!$H:$H,$N59)="","",INDEX(KRI!$H:$H,$N59)))</f>
        <v/>
      </c>
      <c r="G59" t="str">
        <f>IF($N59="","",IF(INDEX(KRI!$I:$I,$N59)="","",INDEX(KRI!$I:$I,$N59)))</f>
        <v/>
      </c>
      <c r="H59" s="9" t="str">
        <f>IF($N59="","",IF(INDEX(KRI!$J:$J,$N59)="","",INDEX(KRI!$J:$J,$N59)))</f>
        <v/>
      </c>
      <c r="I59" t="str">
        <f>IF($N59="","",INDEX(KRI!$M:$M,$N59)&amp;"")</f>
        <v/>
      </c>
      <c r="J59" t="str">
        <f t="shared" si="2"/>
        <v/>
      </c>
      <c r="K59" t="str">
        <f t="shared" si="3"/>
        <v/>
      </c>
      <c r="N59" t="str">
        <f>IFERROR(_xlfn.AGGREGATE(15,6,ROW(KRI_Ciclo)/((KRI_Ciclo=cicloCorrente)*(KRI_In_Vigore="Sì")),54),"")</f>
        <v/>
      </c>
    </row>
    <row r="60" spans="1:14" x14ac:dyDescent="0.4">
      <c r="A60" t="str">
        <f>IF($N60="","",INDEX(KRI!$B:$B,$N60)&amp;"")</f>
        <v/>
      </c>
      <c r="B60" t="str">
        <f>IF($N60="","",INDEX(KRI!$C:$C,$N60)&amp;"")</f>
        <v/>
      </c>
      <c r="C60" t="str">
        <f>IF($N60="","",INDEX(KRI!$D:$D,$N60)&amp;"")</f>
        <v/>
      </c>
      <c r="D60" t="str">
        <f>IF($N60="","",INDEX(KRI!$E:$E,$N60)&amp;"")</f>
        <v/>
      </c>
      <c r="E60" t="str">
        <f>IF($N60="","",IF(INDEX(KRI!$G:$G,$N60)="","",INDEX(KRI!$G:$G,$N60)))</f>
        <v/>
      </c>
      <c r="F60" t="str">
        <f>IF($N60="","",IF(INDEX(KRI!$H:$H,$N60)="","",INDEX(KRI!$H:$H,$N60)))</f>
        <v/>
      </c>
      <c r="G60" t="str">
        <f>IF($N60="","",IF(INDEX(KRI!$I:$I,$N60)="","",INDEX(KRI!$I:$I,$N60)))</f>
        <v/>
      </c>
      <c r="H60" s="9" t="str">
        <f>IF($N60="","",IF(INDEX(KRI!$J:$J,$N60)="","",INDEX(KRI!$J:$J,$N60)))</f>
        <v/>
      </c>
      <c r="I60" t="str">
        <f>IF($N60="","",INDEX(KRI!$M:$M,$N60)&amp;"")</f>
        <v/>
      </c>
      <c r="J60" t="str">
        <f t="shared" si="2"/>
        <v/>
      </c>
      <c r="K60" t="str">
        <f t="shared" si="3"/>
        <v/>
      </c>
      <c r="N60" t="str">
        <f>IFERROR(_xlfn.AGGREGATE(15,6,ROW(KRI_Ciclo)/((KRI_Ciclo=cicloCorrente)*(KRI_In_Vigore="Sì")),55),"")</f>
        <v/>
      </c>
    </row>
    <row r="61" spans="1:14" x14ac:dyDescent="0.4">
      <c r="A61" t="str">
        <f>IF($N61="","",INDEX(KRI!$B:$B,$N61)&amp;"")</f>
        <v/>
      </c>
      <c r="B61" t="str">
        <f>IF($N61="","",INDEX(KRI!$C:$C,$N61)&amp;"")</f>
        <v/>
      </c>
      <c r="C61" t="str">
        <f>IF($N61="","",INDEX(KRI!$D:$D,$N61)&amp;"")</f>
        <v/>
      </c>
      <c r="D61" t="str">
        <f>IF($N61="","",INDEX(KRI!$E:$E,$N61)&amp;"")</f>
        <v/>
      </c>
      <c r="E61" t="str">
        <f>IF($N61="","",IF(INDEX(KRI!$G:$G,$N61)="","",INDEX(KRI!$G:$G,$N61)))</f>
        <v/>
      </c>
      <c r="F61" t="str">
        <f>IF($N61="","",IF(INDEX(KRI!$H:$H,$N61)="","",INDEX(KRI!$H:$H,$N61)))</f>
        <v/>
      </c>
      <c r="G61" t="str">
        <f>IF($N61="","",IF(INDEX(KRI!$I:$I,$N61)="","",INDEX(KRI!$I:$I,$N61)))</f>
        <v/>
      </c>
      <c r="H61" s="9" t="str">
        <f>IF($N61="","",IF(INDEX(KRI!$J:$J,$N61)="","",INDEX(KRI!$J:$J,$N61)))</f>
        <v/>
      </c>
      <c r="I61" t="str">
        <f>IF($N61="","",INDEX(KRI!$M:$M,$N61)&amp;"")</f>
        <v/>
      </c>
      <c r="J61" t="str">
        <f t="shared" si="2"/>
        <v/>
      </c>
      <c r="K61" t="str">
        <f t="shared" si="3"/>
        <v/>
      </c>
      <c r="N61" t="str">
        <f>IFERROR(_xlfn.AGGREGATE(15,6,ROW(KRI_Ciclo)/((KRI_Ciclo=cicloCorrente)*(KRI_In_Vigore="Sì")),56),"")</f>
        <v/>
      </c>
    </row>
    <row r="62" spans="1:14" x14ac:dyDescent="0.4">
      <c r="A62" t="str">
        <f>IF($N62="","",INDEX(KRI!$B:$B,$N62)&amp;"")</f>
        <v/>
      </c>
      <c r="B62" t="str">
        <f>IF($N62="","",INDEX(KRI!$C:$C,$N62)&amp;"")</f>
        <v/>
      </c>
      <c r="C62" t="str">
        <f>IF($N62="","",INDEX(KRI!$D:$D,$N62)&amp;"")</f>
        <v/>
      </c>
      <c r="D62" t="str">
        <f>IF($N62="","",INDEX(KRI!$E:$E,$N62)&amp;"")</f>
        <v/>
      </c>
      <c r="E62" t="str">
        <f>IF($N62="","",IF(INDEX(KRI!$G:$G,$N62)="","",INDEX(KRI!$G:$G,$N62)))</f>
        <v/>
      </c>
      <c r="F62" t="str">
        <f>IF($N62="","",IF(INDEX(KRI!$H:$H,$N62)="","",INDEX(KRI!$H:$H,$N62)))</f>
        <v/>
      </c>
      <c r="G62" t="str">
        <f>IF($N62="","",IF(INDEX(KRI!$I:$I,$N62)="","",INDEX(KRI!$I:$I,$N62)))</f>
        <v/>
      </c>
      <c r="H62" s="9" t="str">
        <f>IF($N62="","",IF(INDEX(KRI!$J:$J,$N62)="","",INDEX(KRI!$J:$J,$N62)))</f>
        <v/>
      </c>
      <c r="I62" t="str">
        <f>IF($N62="","",INDEX(KRI!$M:$M,$N62)&amp;"")</f>
        <v/>
      </c>
      <c r="J62" t="str">
        <f t="shared" si="2"/>
        <v/>
      </c>
      <c r="K62" t="str">
        <f t="shared" si="3"/>
        <v/>
      </c>
      <c r="N62" t="str">
        <f>IFERROR(_xlfn.AGGREGATE(15,6,ROW(KRI_Ciclo)/((KRI_Ciclo=cicloCorrente)*(KRI_In_Vigore="Sì")),57),"")</f>
        <v/>
      </c>
    </row>
    <row r="63" spans="1:14" x14ac:dyDescent="0.4">
      <c r="A63" t="str">
        <f>IF($N63="","",INDEX(KRI!$B:$B,$N63)&amp;"")</f>
        <v/>
      </c>
      <c r="B63" t="str">
        <f>IF($N63="","",INDEX(KRI!$C:$C,$N63)&amp;"")</f>
        <v/>
      </c>
      <c r="C63" t="str">
        <f>IF($N63="","",INDEX(KRI!$D:$D,$N63)&amp;"")</f>
        <v/>
      </c>
      <c r="D63" t="str">
        <f>IF($N63="","",INDEX(KRI!$E:$E,$N63)&amp;"")</f>
        <v/>
      </c>
      <c r="E63" t="str">
        <f>IF($N63="","",IF(INDEX(KRI!$G:$G,$N63)="","",INDEX(KRI!$G:$G,$N63)))</f>
        <v/>
      </c>
      <c r="F63" t="str">
        <f>IF($N63="","",IF(INDEX(KRI!$H:$H,$N63)="","",INDEX(KRI!$H:$H,$N63)))</f>
        <v/>
      </c>
      <c r="G63" t="str">
        <f>IF($N63="","",IF(INDEX(KRI!$I:$I,$N63)="","",INDEX(KRI!$I:$I,$N63)))</f>
        <v/>
      </c>
      <c r="H63" s="9" t="str">
        <f>IF($N63="","",IF(INDEX(KRI!$J:$J,$N63)="","",INDEX(KRI!$J:$J,$N63)))</f>
        <v/>
      </c>
      <c r="I63" t="str">
        <f>IF($N63="","",INDEX(KRI!$M:$M,$N63)&amp;"")</f>
        <v/>
      </c>
      <c r="J63" t="str">
        <f t="shared" si="2"/>
        <v/>
      </c>
      <c r="K63" t="str">
        <f t="shared" si="3"/>
        <v/>
      </c>
      <c r="N63" t="str">
        <f>IFERROR(_xlfn.AGGREGATE(15,6,ROW(KRI_Ciclo)/((KRI_Ciclo=cicloCorrente)*(KRI_In_Vigore="Sì")),58),"")</f>
        <v/>
      </c>
    </row>
    <row r="64" spans="1:14" x14ac:dyDescent="0.4">
      <c r="A64" t="str">
        <f>IF($N64="","",INDEX(KRI!$B:$B,$N64)&amp;"")</f>
        <v/>
      </c>
      <c r="B64" t="str">
        <f>IF($N64="","",INDEX(KRI!$C:$C,$N64)&amp;"")</f>
        <v/>
      </c>
      <c r="C64" t="str">
        <f>IF($N64="","",INDEX(KRI!$D:$D,$N64)&amp;"")</f>
        <v/>
      </c>
      <c r="D64" t="str">
        <f>IF($N64="","",INDEX(KRI!$E:$E,$N64)&amp;"")</f>
        <v/>
      </c>
      <c r="E64" t="str">
        <f>IF($N64="","",IF(INDEX(KRI!$G:$G,$N64)="","",INDEX(KRI!$G:$G,$N64)))</f>
        <v/>
      </c>
      <c r="F64" t="str">
        <f>IF($N64="","",IF(INDEX(KRI!$H:$H,$N64)="","",INDEX(KRI!$H:$H,$N64)))</f>
        <v/>
      </c>
      <c r="G64" t="str">
        <f>IF($N64="","",IF(INDEX(KRI!$I:$I,$N64)="","",INDEX(KRI!$I:$I,$N64)))</f>
        <v/>
      </c>
      <c r="H64" s="9" t="str">
        <f>IF($N64="","",IF(INDEX(KRI!$J:$J,$N64)="","",INDEX(KRI!$J:$J,$N64)))</f>
        <v/>
      </c>
      <c r="I64" t="str">
        <f>IF($N64="","",INDEX(KRI!$M:$M,$N64)&amp;"")</f>
        <v/>
      </c>
      <c r="J64" t="str">
        <f t="shared" si="2"/>
        <v/>
      </c>
      <c r="K64" t="str">
        <f t="shared" si="3"/>
        <v/>
      </c>
      <c r="N64" t="str">
        <f>IFERROR(_xlfn.AGGREGATE(15,6,ROW(KRI_Ciclo)/((KRI_Ciclo=cicloCorrente)*(KRI_In_Vigore="Sì")),59),"")</f>
        <v/>
      </c>
    </row>
    <row r="65" spans="1:14" x14ac:dyDescent="0.4">
      <c r="A65" t="str">
        <f>IF($N65="","",INDEX(KRI!$B:$B,$N65)&amp;"")</f>
        <v/>
      </c>
      <c r="B65" t="str">
        <f>IF($N65="","",INDEX(KRI!$C:$C,$N65)&amp;"")</f>
        <v/>
      </c>
      <c r="C65" t="str">
        <f>IF($N65="","",INDEX(KRI!$D:$D,$N65)&amp;"")</f>
        <v/>
      </c>
      <c r="D65" t="str">
        <f>IF($N65="","",INDEX(KRI!$E:$E,$N65)&amp;"")</f>
        <v/>
      </c>
      <c r="E65" t="str">
        <f>IF($N65="","",IF(INDEX(KRI!$G:$G,$N65)="","",INDEX(KRI!$G:$G,$N65)))</f>
        <v/>
      </c>
      <c r="F65" t="str">
        <f>IF($N65="","",IF(INDEX(KRI!$H:$H,$N65)="","",INDEX(KRI!$H:$H,$N65)))</f>
        <v/>
      </c>
      <c r="G65" t="str">
        <f>IF($N65="","",IF(INDEX(KRI!$I:$I,$N65)="","",INDEX(KRI!$I:$I,$N65)))</f>
        <v/>
      </c>
      <c r="H65" s="9" t="str">
        <f>IF($N65="","",IF(INDEX(KRI!$J:$J,$N65)="","",INDEX(KRI!$J:$J,$N65)))</f>
        <v/>
      </c>
      <c r="I65" t="str">
        <f>IF($N65="","",INDEX(KRI!$M:$M,$N65)&amp;"")</f>
        <v/>
      </c>
      <c r="J65" t="str">
        <f t="shared" si="2"/>
        <v/>
      </c>
      <c r="K65" t="str">
        <f t="shared" si="3"/>
        <v/>
      </c>
      <c r="N65" t="str">
        <f>IFERROR(_xlfn.AGGREGATE(15,6,ROW(KRI_Ciclo)/((KRI_Ciclo=cicloCorrente)*(KRI_In_Vigore="Sì")),60),"")</f>
        <v/>
      </c>
    </row>
  </sheetData>
  <conditionalFormatting sqref="I6:I65">
    <cfRule type="expression" dxfId="11" priority="1">
      <formula>I6="Rosso"</formula>
    </cfRule>
    <cfRule type="expression" dxfId="10" priority="2">
      <formula>I6="Ambra"</formula>
    </cfRule>
    <cfRule type="expression" dxfId="9" priority="3">
      <formula>I6="Verde"</formula>
    </cfRule>
    <cfRule type="expression" dxfId="8" priority="4">
      <formula>I6="SOGLIE INVERTITE — correggere"</formula>
    </cfRule>
  </conditionalFormatting>
  <conditionalFormatting sqref="K6:K65">
    <cfRule type="expression" dxfId="7" priority="5">
      <formula>LEFT(K6,1)="▲"</formula>
    </cfRule>
    <cfRule type="expression" dxfId="6" priority="6">
      <formula>LEFT(K6,1)="▼"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61"/>
  <sheetViews>
    <sheetView workbookViewId="0"/>
  </sheetViews>
  <sheetFormatPr defaultRowHeight="14.6" x14ac:dyDescent="0.4"/>
  <cols>
    <col min="1" max="1" width="20" customWidth="1"/>
    <col min="2" max="6" width="14" customWidth="1"/>
    <col min="7" max="7" width="30" customWidth="1"/>
    <col min="8" max="8" width="44" customWidth="1"/>
    <col min="10" max="10" width="13" hidden="1" customWidth="1"/>
    <col min="12" max="12" width="13" hidden="1" customWidth="1"/>
  </cols>
  <sheetData>
    <row r="1" spans="1:12" ht="18.45" x14ac:dyDescent="0.5">
      <c r="A1" s="1" t="s">
        <v>274</v>
      </c>
    </row>
    <row r="2" spans="1:12" x14ac:dyDescent="0.4">
      <c r="A2" s="3" t="s">
        <v>275</v>
      </c>
    </row>
    <row r="3" spans="1:12" x14ac:dyDescent="0.4">
      <c r="A3" t="s">
        <v>109</v>
      </c>
      <c r="B3" s="7" t="s">
        <v>110</v>
      </c>
      <c r="J3">
        <f>IFERROR(_xlfn.AGGREGATE(14,6,ROW(KRI_KRI_ID)/(KRI_KRI_ID=$B$3),1),"")</f>
        <v>2</v>
      </c>
    </row>
    <row r="4" spans="1:12" x14ac:dyDescent="0.4">
      <c r="A4" t="s">
        <v>14</v>
      </c>
      <c r="B4" t="str">
        <f>IF($J$3="","KRI non presente nello storico",INDEX(KRI!$D:$D,$J$3)&amp;"")</f>
        <v>Tentativi di frode APP per 10.000 bonifici istantanei</v>
      </c>
    </row>
    <row r="5" spans="1:12" x14ac:dyDescent="0.4">
      <c r="A5" t="s">
        <v>95</v>
      </c>
      <c r="B5" t="str">
        <f>IF($J$3="","",INDEX(KRI!$C:$C,$J$3)&amp;"")</f>
        <v>NFR-01</v>
      </c>
    </row>
    <row r="6" spans="1:12" x14ac:dyDescent="0.4">
      <c r="A6" t="s">
        <v>267</v>
      </c>
      <c r="B6" t="str">
        <f>IF($J$3="","",INDEX(KRI!$E:$E,$J$3)&amp;"")</f>
        <v>n/10k</v>
      </c>
    </row>
    <row r="7" spans="1:12" x14ac:dyDescent="0.4">
      <c r="A7" t="s">
        <v>276</v>
      </c>
      <c r="B7" t="str">
        <f>IF($J$3="","",INDEX(KRI!$F:$F,$J$3)&amp;"")</f>
        <v>Sistema antifrode transazionale</v>
      </c>
    </row>
    <row r="8" spans="1:12" x14ac:dyDescent="0.4">
      <c r="A8" t="s">
        <v>277</v>
      </c>
      <c r="B8" t="str">
        <f>IF($J$3="","",INDEX(KRI!$O:$O,$J$3)&amp;"")</f>
        <v>2026Q3</v>
      </c>
    </row>
    <row r="9" spans="1:12" x14ac:dyDescent="0.4">
      <c r="A9" t="s">
        <v>278</v>
      </c>
      <c r="B9" t="str">
        <f>IF($J$3="","",INDEX(KRI!$A:$A,$J$3)&amp;" — in vigore: "&amp;INDEX(KRI!$N:$N,$J$3))</f>
        <v>2026Q3 — in vigore: Sì</v>
      </c>
    </row>
    <row r="11" spans="1:12" x14ac:dyDescent="0.4">
      <c r="A11" s="2" t="s">
        <v>178</v>
      </c>
      <c r="B11" s="2" t="s">
        <v>270</v>
      </c>
      <c r="C11" s="2" t="s">
        <v>268</v>
      </c>
      <c r="D11" s="2" t="s">
        <v>269</v>
      </c>
      <c r="E11" s="2" t="s">
        <v>93</v>
      </c>
      <c r="F11" s="2" t="s">
        <v>271</v>
      </c>
      <c r="G11" s="2" t="s">
        <v>279</v>
      </c>
      <c r="H11" s="2" t="s">
        <v>209</v>
      </c>
    </row>
    <row r="12" spans="1:12" x14ac:dyDescent="0.4">
      <c r="A12" t="str">
        <f>Parametri!$B$20</f>
        <v>2024Q4</v>
      </c>
      <c r="B12" t="e">
        <f t="shared" ref="B12:B19" si="0">IF($A12="",NA(),IF(COUNTIFS(KRI_KRI_ID,$B$3,KRI_Ciclo,$A12,KRI_Valore_Corrente,"&lt;&gt;")=0,NA(),SUMIFS(KRI_Valore_Corrente,KRI_KRI_ID,$B$3,KRI_Ciclo,$A12)))</f>
        <v>#N/A</v>
      </c>
      <c r="C12" t="e">
        <f t="shared" ref="C12:C19" si="1">IF($A12="",NA(),IF(COUNTIFS(KRI_KRI_ID,$B$3,KRI_Ciclo,$A12)=0,NA(),SUMIFS(KRI_Soglia_Attenzione,KRI_KRI_ID,$B$3,KRI_Ciclo,$A12)))</f>
        <v>#N/A</v>
      </c>
      <c r="D12" t="e">
        <f t="shared" ref="D12:D19" si="2">IF($A12="",NA(),IF(COUNTIFS(KRI_KRI_ID,$B$3,KRI_Ciclo,$A12)=0,NA(),SUMIFS(KRI_Soglia_Allerta,KRI_KRI_ID,$B$3,KRI_Ciclo,$A12)))</f>
        <v>#N/A</v>
      </c>
      <c r="E12" t="str">
        <f t="shared" ref="E12:E19" si="3">IFERROR(INDEX(KRI_Stato,MATCH($A12&amp;"|"&amp;$B$3,KRI_Chiave,0)),"—")</f>
        <v>—</v>
      </c>
      <c r="F12" s="9" t="str">
        <f t="shared" ref="F12:F19" si="4">IFERROR(IF(INDEX(KRI_Data_Rilevazione,MATCH($A12&amp;"|"&amp;$B$3,KRI_Chiave,0))="","",INDEX(KRI_Data_Rilevazione,MATCH($A12&amp;"|"&amp;$B$3,KRI_Chiave,0))),"")</f>
        <v/>
      </c>
      <c r="G12" t="str">
        <f t="shared" ref="G12:G19" si="5">IFERROR(INDEX(KRI_Fonte_Rilevazione,MATCH($A12&amp;"|"&amp;$B$3,KRI_Chiave,0))&amp;"","")</f>
        <v/>
      </c>
      <c r="H12" t="str">
        <f t="shared" ref="H12:H19" si="6">IFERROR(INDEX(KRI_Nota_Rilevazione,MATCH($A12&amp;"|"&amp;$B$3,KRI_Chiave,0))&amp;"","")</f>
        <v/>
      </c>
      <c r="L12" t="str">
        <f>IFERROR(INDEX(KRI_KRI_ID,_xlfn.AGGREGATE(15,6,(ROW(KRI_KRI_ID)-1)/((KRI_Ciclo_Definizione=KRI_Ciclo)*(KRI_KRI_ID&lt;&gt;"")),1)),"")</f>
        <v>NFR-01-K1</v>
      </c>
    </row>
    <row r="13" spans="1:12" x14ac:dyDescent="0.4">
      <c r="A13" t="str">
        <f>Parametri!$B$21</f>
        <v>2025Q1</v>
      </c>
      <c r="B13" t="e">
        <f t="shared" si="0"/>
        <v>#N/A</v>
      </c>
      <c r="C13" t="e">
        <f t="shared" si="1"/>
        <v>#N/A</v>
      </c>
      <c r="D13" t="e">
        <f t="shared" si="2"/>
        <v>#N/A</v>
      </c>
      <c r="E13" t="str">
        <f t="shared" si="3"/>
        <v>—</v>
      </c>
      <c r="F13" s="9" t="str">
        <f t="shared" si="4"/>
        <v/>
      </c>
      <c r="G13" t="str">
        <f t="shared" si="5"/>
        <v/>
      </c>
      <c r="H13" t="str">
        <f t="shared" si="6"/>
        <v/>
      </c>
      <c r="L13" t="str">
        <f>IFERROR(INDEX(KRI_KRI_ID,_xlfn.AGGREGATE(15,6,(ROW(KRI_KRI_ID)-1)/((KRI_Ciclo_Definizione=KRI_Ciclo)*(KRI_KRI_ID&lt;&gt;"")),2)),"")</f>
        <v>NFR-01-K2</v>
      </c>
    </row>
    <row r="14" spans="1:12" x14ac:dyDescent="0.4">
      <c r="A14" t="str">
        <f>Parametri!$B$22</f>
        <v>2025Q2</v>
      </c>
      <c r="B14" t="e">
        <f t="shared" si="0"/>
        <v>#N/A</v>
      </c>
      <c r="C14" t="e">
        <f t="shared" si="1"/>
        <v>#N/A</v>
      </c>
      <c r="D14" t="e">
        <f t="shared" si="2"/>
        <v>#N/A</v>
      </c>
      <c r="E14" t="str">
        <f t="shared" si="3"/>
        <v>—</v>
      </c>
      <c r="F14" s="9" t="str">
        <f t="shared" si="4"/>
        <v/>
      </c>
      <c r="G14" t="str">
        <f t="shared" si="5"/>
        <v/>
      </c>
      <c r="H14" t="str">
        <f t="shared" si="6"/>
        <v/>
      </c>
      <c r="L14" t="str">
        <f>IFERROR(INDEX(KRI_KRI_ID,_xlfn.AGGREGATE(15,6,(ROW(KRI_KRI_ID)-1)/((KRI_Ciclo_Definizione=KRI_Ciclo)*(KRI_KRI_ID&lt;&gt;"")),3)),"")</f>
        <v>NFR-01-K3</v>
      </c>
    </row>
    <row r="15" spans="1:12" x14ac:dyDescent="0.4">
      <c r="A15" t="str">
        <f>Parametri!$B$23</f>
        <v>2025Q3</v>
      </c>
      <c r="B15" t="e">
        <f t="shared" si="0"/>
        <v>#N/A</v>
      </c>
      <c r="C15" t="e">
        <f t="shared" si="1"/>
        <v>#N/A</v>
      </c>
      <c r="D15" t="e">
        <f t="shared" si="2"/>
        <v>#N/A</v>
      </c>
      <c r="E15" t="str">
        <f t="shared" si="3"/>
        <v>—</v>
      </c>
      <c r="F15" s="9" t="str">
        <f t="shared" si="4"/>
        <v/>
      </c>
      <c r="G15" t="str">
        <f t="shared" si="5"/>
        <v/>
      </c>
      <c r="H15" t="str">
        <f t="shared" si="6"/>
        <v/>
      </c>
      <c r="L15" t="str">
        <f>IFERROR(INDEX(KRI_KRI_ID,_xlfn.AGGREGATE(15,6,(ROW(KRI_KRI_ID)-1)/((KRI_Ciclo_Definizione=KRI_Ciclo)*(KRI_KRI_ID&lt;&gt;"")),4)),"")</f>
        <v>NFR-02-K1</v>
      </c>
    </row>
    <row r="16" spans="1:12" x14ac:dyDescent="0.4">
      <c r="A16" t="str">
        <f>Parametri!$B$24</f>
        <v>2025Q4</v>
      </c>
      <c r="B16" t="e">
        <f t="shared" si="0"/>
        <v>#N/A</v>
      </c>
      <c r="C16" t="e">
        <f t="shared" si="1"/>
        <v>#N/A</v>
      </c>
      <c r="D16" t="e">
        <f t="shared" si="2"/>
        <v>#N/A</v>
      </c>
      <c r="E16" t="str">
        <f t="shared" si="3"/>
        <v>—</v>
      </c>
      <c r="F16" s="9" t="str">
        <f t="shared" si="4"/>
        <v/>
      </c>
      <c r="G16" t="str">
        <f t="shared" si="5"/>
        <v/>
      </c>
      <c r="H16" t="str">
        <f t="shared" si="6"/>
        <v/>
      </c>
      <c r="L16" t="str">
        <f>IFERROR(INDEX(KRI_KRI_ID,_xlfn.AGGREGATE(15,6,(ROW(KRI_KRI_ID)-1)/((KRI_Ciclo_Definizione=KRI_Ciclo)*(KRI_KRI_ID&lt;&gt;"")),5)),"")</f>
        <v>NFR-02-K2</v>
      </c>
    </row>
    <row r="17" spans="1:12" x14ac:dyDescent="0.4">
      <c r="A17" t="str">
        <f>Parametri!$B$25</f>
        <v>2026Q1</v>
      </c>
      <c r="B17" t="e">
        <f t="shared" si="0"/>
        <v>#N/A</v>
      </c>
      <c r="C17" t="e">
        <f t="shared" si="1"/>
        <v>#N/A</v>
      </c>
      <c r="D17" t="e">
        <f t="shared" si="2"/>
        <v>#N/A</v>
      </c>
      <c r="E17" t="str">
        <f t="shared" si="3"/>
        <v>—</v>
      </c>
      <c r="F17" s="9" t="str">
        <f t="shared" si="4"/>
        <v/>
      </c>
      <c r="G17" t="str">
        <f t="shared" si="5"/>
        <v/>
      </c>
      <c r="H17" t="str">
        <f t="shared" si="6"/>
        <v/>
      </c>
      <c r="L17" t="str">
        <f>IFERROR(INDEX(KRI_KRI_ID,_xlfn.AGGREGATE(15,6,(ROW(KRI_KRI_ID)-1)/((KRI_Ciclo_Definizione=KRI_Ciclo)*(KRI_KRI_ID&lt;&gt;"")),6)),"")</f>
        <v>NFR-02-K3</v>
      </c>
    </row>
    <row r="18" spans="1:12" x14ac:dyDescent="0.4">
      <c r="A18" t="str">
        <f>Parametri!$B$26</f>
        <v>2026Q2</v>
      </c>
      <c r="B18" t="e">
        <f t="shared" si="0"/>
        <v>#N/A</v>
      </c>
      <c r="C18" t="e">
        <f t="shared" si="1"/>
        <v>#N/A</v>
      </c>
      <c r="D18" t="e">
        <f t="shared" si="2"/>
        <v>#N/A</v>
      </c>
      <c r="E18" t="str">
        <f t="shared" si="3"/>
        <v>—</v>
      </c>
      <c r="F18" s="9" t="str">
        <f t="shared" si="4"/>
        <v/>
      </c>
      <c r="G18" t="str">
        <f t="shared" si="5"/>
        <v/>
      </c>
      <c r="H18" t="str">
        <f t="shared" si="6"/>
        <v/>
      </c>
      <c r="L18" t="str">
        <f>IFERROR(INDEX(KRI_KRI_ID,_xlfn.AGGREGATE(15,6,(ROW(KRI_KRI_ID)-1)/((KRI_Ciclo_Definizione=KRI_Ciclo)*(KRI_KRI_ID&lt;&gt;"")),7)),"")</f>
        <v>NFR-03-K1</v>
      </c>
    </row>
    <row r="19" spans="1:12" x14ac:dyDescent="0.4">
      <c r="A19" t="str">
        <f>Parametri!$B$27</f>
        <v>2026Q3</v>
      </c>
      <c r="B19">
        <f t="shared" si="0"/>
        <v>4.8</v>
      </c>
      <c r="C19">
        <f t="shared" si="1"/>
        <v>3</v>
      </c>
      <c r="D19">
        <f t="shared" si="2"/>
        <v>6</v>
      </c>
      <c r="E19" t="str">
        <f t="shared" si="3"/>
        <v>Ambra</v>
      </c>
      <c r="F19" s="9">
        <f t="shared" si="4"/>
        <v>46295</v>
      </c>
      <c r="G19" t="str">
        <f t="shared" si="5"/>
        <v>Rettifica del validatore (Corrado)</v>
      </c>
      <c r="H19" t="str">
        <f t="shared" si="6"/>
        <v/>
      </c>
      <c r="L19" t="str">
        <f>IFERROR(INDEX(KRI_KRI_ID,_xlfn.AGGREGATE(15,6,(ROW(KRI_KRI_ID)-1)/((KRI_Ciclo_Definizione=KRI_Ciclo)*(KRI_KRI_ID&lt;&gt;"")),8)),"")</f>
        <v>NFR-03-K2</v>
      </c>
    </row>
    <row r="20" spans="1:12" x14ac:dyDescent="0.4">
      <c r="L20" t="str">
        <f>IFERROR(INDEX(KRI_KRI_ID,_xlfn.AGGREGATE(15,6,(ROW(KRI_KRI_ID)-1)/((KRI_Ciclo_Definizione=KRI_Ciclo)*(KRI_KRI_ID&lt;&gt;"")),9)),"")</f>
        <v>NFR-03-K3</v>
      </c>
    </row>
    <row r="21" spans="1:12" x14ac:dyDescent="0.4">
      <c r="L21" t="str">
        <f>IFERROR(INDEX(KRI_KRI_ID,_xlfn.AGGREGATE(15,6,(ROW(KRI_KRI_ID)-1)/((KRI_Ciclo_Definizione=KRI_Ciclo)*(KRI_KRI_ID&lt;&gt;"")),10)),"")</f>
        <v>NFR-04-K1</v>
      </c>
    </row>
    <row r="22" spans="1:12" x14ac:dyDescent="0.4">
      <c r="L22" t="str">
        <f>IFERROR(INDEX(KRI_KRI_ID,_xlfn.AGGREGATE(15,6,(ROW(KRI_KRI_ID)-1)/((KRI_Ciclo_Definizione=KRI_Ciclo)*(KRI_KRI_ID&lt;&gt;"")),11)),"")</f>
        <v>NFR-04-K2</v>
      </c>
    </row>
    <row r="23" spans="1:12" x14ac:dyDescent="0.4">
      <c r="L23" t="str">
        <f>IFERROR(INDEX(KRI_KRI_ID,_xlfn.AGGREGATE(15,6,(ROW(KRI_KRI_ID)-1)/((KRI_Ciclo_Definizione=KRI_Ciclo)*(KRI_KRI_ID&lt;&gt;"")),12)),"")</f>
        <v>NFR-04-K3</v>
      </c>
    </row>
    <row r="24" spans="1:12" x14ac:dyDescent="0.4">
      <c r="L24" t="str">
        <f>IFERROR(INDEX(KRI_KRI_ID,_xlfn.AGGREGATE(15,6,(ROW(KRI_KRI_ID)-1)/((KRI_Ciclo_Definizione=KRI_Ciclo)*(KRI_KRI_ID&lt;&gt;"")),13)),"")</f>
        <v>NFR-05-K1</v>
      </c>
    </row>
    <row r="25" spans="1:12" x14ac:dyDescent="0.4">
      <c r="L25" t="str">
        <f>IFERROR(INDEX(KRI_KRI_ID,_xlfn.AGGREGATE(15,6,(ROW(KRI_KRI_ID)-1)/((KRI_Ciclo_Definizione=KRI_Ciclo)*(KRI_KRI_ID&lt;&gt;"")),14)),"")</f>
        <v>NFR-05-K2</v>
      </c>
    </row>
    <row r="26" spans="1:12" x14ac:dyDescent="0.4">
      <c r="L26" t="str">
        <f>IFERROR(INDEX(KRI_KRI_ID,_xlfn.AGGREGATE(15,6,(ROW(KRI_KRI_ID)-1)/((KRI_Ciclo_Definizione=KRI_Ciclo)*(KRI_KRI_ID&lt;&gt;"")),15)),"")</f>
        <v>NFR-05-K3</v>
      </c>
    </row>
    <row r="27" spans="1:12" x14ac:dyDescent="0.4">
      <c r="L27" t="str">
        <f>IFERROR(INDEX(KRI_KRI_ID,_xlfn.AGGREGATE(15,6,(ROW(KRI_KRI_ID)-1)/((KRI_Ciclo_Definizione=KRI_Ciclo)*(KRI_KRI_ID&lt;&gt;"")),16)),"")</f>
        <v>NFR-06-K1</v>
      </c>
    </row>
    <row r="28" spans="1:12" x14ac:dyDescent="0.4">
      <c r="L28" t="str">
        <f>IFERROR(INDEX(KRI_KRI_ID,_xlfn.AGGREGATE(15,6,(ROW(KRI_KRI_ID)-1)/((KRI_Ciclo_Definizione=KRI_Ciclo)*(KRI_KRI_ID&lt;&gt;"")),17)),"")</f>
        <v>NFR-06-K2</v>
      </c>
    </row>
    <row r="29" spans="1:12" x14ac:dyDescent="0.4">
      <c r="L29" t="str">
        <f>IFERROR(INDEX(KRI_KRI_ID,_xlfn.AGGREGATE(15,6,(ROW(KRI_KRI_ID)-1)/((KRI_Ciclo_Definizione=KRI_Ciclo)*(KRI_KRI_ID&lt;&gt;"")),18)),"")</f>
        <v>NFR-06-K3</v>
      </c>
    </row>
    <row r="30" spans="1:12" x14ac:dyDescent="0.4">
      <c r="L30" t="str">
        <f>IFERROR(INDEX(KRI_KRI_ID,_xlfn.AGGREGATE(15,6,(ROW(KRI_KRI_ID)-1)/((KRI_Ciclo_Definizione=KRI_Ciclo)*(KRI_KRI_ID&lt;&gt;"")),19)),"")</f>
        <v>NFR-07-K1</v>
      </c>
    </row>
    <row r="31" spans="1:12" x14ac:dyDescent="0.4">
      <c r="L31" t="str">
        <f>IFERROR(INDEX(KRI_KRI_ID,_xlfn.AGGREGATE(15,6,(ROW(KRI_KRI_ID)-1)/((KRI_Ciclo_Definizione=KRI_Ciclo)*(KRI_KRI_ID&lt;&gt;"")),20)),"")</f>
        <v>NFR-07-K2</v>
      </c>
    </row>
    <row r="32" spans="1:12" x14ac:dyDescent="0.4">
      <c r="L32" t="str">
        <f>IFERROR(INDEX(KRI_KRI_ID,_xlfn.AGGREGATE(15,6,(ROW(KRI_KRI_ID)-1)/((KRI_Ciclo_Definizione=KRI_Ciclo)*(KRI_KRI_ID&lt;&gt;"")),21)),"")</f>
        <v>NFR-07-K3</v>
      </c>
    </row>
    <row r="33" spans="12:12" x14ac:dyDescent="0.4">
      <c r="L33" t="str">
        <f>IFERROR(INDEX(KRI_KRI_ID,_xlfn.AGGREGATE(15,6,(ROW(KRI_KRI_ID)-1)/((KRI_Ciclo_Definizione=KRI_Ciclo)*(KRI_KRI_ID&lt;&gt;"")),22)),"")</f>
        <v>NFR-08-K1</v>
      </c>
    </row>
    <row r="34" spans="12:12" x14ac:dyDescent="0.4">
      <c r="L34" t="str">
        <f>IFERROR(INDEX(KRI_KRI_ID,_xlfn.AGGREGATE(15,6,(ROW(KRI_KRI_ID)-1)/((KRI_Ciclo_Definizione=KRI_Ciclo)*(KRI_KRI_ID&lt;&gt;"")),23)),"")</f>
        <v>NFR-08-K2</v>
      </c>
    </row>
    <row r="35" spans="12:12" x14ac:dyDescent="0.4">
      <c r="L35" t="str">
        <f>IFERROR(INDEX(KRI_KRI_ID,_xlfn.AGGREGATE(15,6,(ROW(KRI_KRI_ID)-1)/((KRI_Ciclo_Definizione=KRI_Ciclo)*(KRI_KRI_ID&lt;&gt;"")),24)),"")</f>
        <v>NFR-08-K3</v>
      </c>
    </row>
    <row r="36" spans="12:12" x14ac:dyDescent="0.4">
      <c r="L36" t="str">
        <f>IFERROR(INDEX(KRI_KRI_ID,_xlfn.AGGREGATE(15,6,(ROW(KRI_KRI_ID)-1)/((KRI_Ciclo_Definizione=KRI_Ciclo)*(KRI_KRI_ID&lt;&gt;"")),25)),"")</f>
        <v>NFR-09-K1</v>
      </c>
    </row>
    <row r="37" spans="12:12" x14ac:dyDescent="0.4">
      <c r="L37" t="str">
        <f>IFERROR(INDEX(KRI_KRI_ID,_xlfn.AGGREGATE(15,6,(ROW(KRI_KRI_ID)-1)/((KRI_Ciclo_Definizione=KRI_Ciclo)*(KRI_KRI_ID&lt;&gt;"")),26)),"")</f>
        <v>NFR-09-K2</v>
      </c>
    </row>
    <row r="38" spans="12:12" x14ac:dyDescent="0.4">
      <c r="L38" t="str">
        <f>IFERROR(INDEX(KRI_KRI_ID,_xlfn.AGGREGATE(15,6,(ROW(KRI_KRI_ID)-1)/((KRI_Ciclo_Definizione=KRI_Ciclo)*(KRI_KRI_ID&lt;&gt;"")),27)),"")</f>
        <v>NFR-09-K3</v>
      </c>
    </row>
    <row r="39" spans="12:12" x14ac:dyDescent="0.4">
      <c r="L39" t="str">
        <f>IFERROR(INDEX(KRI_KRI_ID,_xlfn.AGGREGATE(15,6,(ROW(KRI_KRI_ID)-1)/((KRI_Ciclo_Definizione=KRI_Ciclo)*(KRI_KRI_ID&lt;&gt;"")),28)),"")</f>
        <v>NFR-10-K1</v>
      </c>
    </row>
    <row r="40" spans="12:12" x14ac:dyDescent="0.4">
      <c r="L40" t="str">
        <f>IFERROR(INDEX(KRI_KRI_ID,_xlfn.AGGREGATE(15,6,(ROW(KRI_KRI_ID)-1)/((KRI_Ciclo_Definizione=KRI_Ciclo)*(KRI_KRI_ID&lt;&gt;"")),29)),"")</f>
        <v>NFR-10-K2</v>
      </c>
    </row>
    <row r="41" spans="12:12" x14ac:dyDescent="0.4">
      <c r="L41" t="str">
        <f>IFERROR(INDEX(KRI_KRI_ID,_xlfn.AGGREGATE(15,6,(ROW(KRI_KRI_ID)-1)/((KRI_Ciclo_Definizione=KRI_Ciclo)*(KRI_KRI_ID&lt;&gt;"")),30)),"")</f>
        <v>NFR-10-K3</v>
      </c>
    </row>
    <row r="42" spans="12:12" x14ac:dyDescent="0.4">
      <c r="L42" t="str">
        <f>IFERROR(INDEX(KRI_KRI_ID,_xlfn.AGGREGATE(15,6,(ROW(KRI_KRI_ID)-1)/((KRI_Ciclo_Definizione=KRI_Ciclo)*(KRI_KRI_ID&lt;&gt;"")),31)),"")</f>
        <v>NFR-11-K1</v>
      </c>
    </row>
    <row r="43" spans="12:12" x14ac:dyDescent="0.4">
      <c r="L43" t="str">
        <f>IFERROR(INDEX(KRI_KRI_ID,_xlfn.AGGREGATE(15,6,(ROW(KRI_KRI_ID)-1)/((KRI_Ciclo_Definizione=KRI_Ciclo)*(KRI_KRI_ID&lt;&gt;"")),32)),"")</f>
        <v>NFR-11-K2</v>
      </c>
    </row>
    <row r="44" spans="12:12" x14ac:dyDescent="0.4">
      <c r="L44" t="str">
        <f>IFERROR(INDEX(KRI_KRI_ID,_xlfn.AGGREGATE(15,6,(ROW(KRI_KRI_ID)-1)/((KRI_Ciclo_Definizione=KRI_Ciclo)*(KRI_KRI_ID&lt;&gt;"")),33)),"")</f>
        <v>NFR-11-K3</v>
      </c>
    </row>
    <row r="45" spans="12:12" x14ac:dyDescent="0.4">
      <c r="L45" t="str">
        <f>IFERROR(INDEX(KRI_KRI_ID,_xlfn.AGGREGATE(15,6,(ROW(KRI_KRI_ID)-1)/((KRI_Ciclo_Definizione=KRI_Ciclo)*(KRI_KRI_ID&lt;&gt;"")),34)),"")</f>
        <v>NFR-12-K1</v>
      </c>
    </row>
    <row r="46" spans="12:12" x14ac:dyDescent="0.4">
      <c r="L46" t="str">
        <f>IFERROR(INDEX(KRI_KRI_ID,_xlfn.AGGREGATE(15,6,(ROW(KRI_KRI_ID)-1)/((KRI_Ciclo_Definizione=KRI_Ciclo)*(KRI_KRI_ID&lt;&gt;"")),35)),"")</f>
        <v>NFR-12-K2</v>
      </c>
    </row>
    <row r="47" spans="12:12" x14ac:dyDescent="0.4">
      <c r="L47" t="str">
        <f>IFERROR(INDEX(KRI_KRI_ID,_xlfn.AGGREGATE(15,6,(ROW(KRI_KRI_ID)-1)/((KRI_Ciclo_Definizione=KRI_Ciclo)*(KRI_KRI_ID&lt;&gt;"")),36)),"")</f>
        <v>NFR-12-K3</v>
      </c>
    </row>
    <row r="48" spans="12:12" x14ac:dyDescent="0.4">
      <c r="L48" t="str">
        <f>IFERROR(INDEX(KRI_KRI_ID,_xlfn.AGGREGATE(15,6,(ROW(KRI_KRI_ID)-1)/((KRI_Ciclo_Definizione=KRI_Ciclo)*(KRI_KRI_ID&lt;&gt;"")),37)),"")</f>
        <v/>
      </c>
    </row>
    <row r="49" spans="12:12" x14ac:dyDescent="0.4">
      <c r="L49" t="str">
        <f>IFERROR(INDEX(KRI_KRI_ID,_xlfn.AGGREGATE(15,6,(ROW(KRI_KRI_ID)-1)/((KRI_Ciclo_Definizione=KRI_Ciclo)*(KRI_KRI_ID&lt;&gt;"")),38)),"")</f>
        <v/>
      </c>
    </row>
    <row r="50" spans="12:12" x14ac:dyDescent="0.4">
      <c r="L50" t="str">
        <f>IFERROR(INDEX(KRI_KRI_ID,_xlfn.AGGREGATE(15,6,(ROW(KRI_KRI_ID)-1)/((KRI_Ciclo_Definizione=KRI_Ciclo)*(KRI_KRI_ID&lt;&gt;"")),39)),"")</f>
        <v/>
      </c>
    </row>
    <row r="51" spans="12:12" x14ac:dyDescent="0.4">
      <c r="L51" t="str">
        <f>IFERROR(INDEX(KRI_KRI_ID,_xlfn.AGGREGATE(15,6,(ROW(KRI_KRI_ID)-1)/((KRI_Ciclo_Definizione=KRI_Ciclo)*(KRI_KRI_ID&lt;&gt;"")),40)),"")</f>
        <v/>
      </c>
    </row>
    <row r="52" spans="12:12" x14ac:dyDescent="0.4">
      <c r="L52" t="str">
        <f>IFERROR(INDEX(KRI_KRI_ID,_xlfn.AGGREGATE(15,6,(ROW(KRI_KRI_ID)-1)/((KRI_Ciclo_Definizione=KRI_Ciclo)*(KRI_KRI_ID&lt;&gt;"")),41)),"")</f>
        <v/>
      </c>
    </row>
    <row r="53" spans="12:12" x14ac:dyDescent="0.4">
      <c r="L53" t="str">
        <f>IFERROR(INDEX(KRI_KRI_ID,_xlfn.AGGREGATE(15,6,(ROW(KRI_KRI_ID)-1)/((KRI_Ciclo_Definizione=KRI_Ciclo)*(KRI_KRI_ID&lt;&gt;"")),42)),"")</f>
        <v/>
      </c>
    </row>
    <row r="54" spans="12:12" x14ac:dyDescent="0.4">
      <c r="L54" t="str">
        <f>IFERROR(INDEX(KRI_KRI_ID,_xlfn.AGGREGATE(15,6,(ROW(KRI_KRI_ID)-1)/((KRI_Ciclo_Definizione=KRI_Ciclo)*(KRI_KRI_ID&lt;&gt;"")),43)),"")</f>
        <v/>
      </c>
    </row>
    <row r="55" spans="12:12" x14ac:dyDescent="0.4">
      <c r="L55" t="str">
        <f>IFERROR(INDEX(KRI_KRI_ID,_xlfn.AGGREGATE(15,6,(ROW(KRI_KRI_ID)-1)/((KRI_Ciclo_Definizione=KRI_Ciclo)*(KRI_KRI_ID&lt;&gt;"")),44)),"")</f>
        <v/>
      </c>
    </row>
    <row r="56" spans="12:12" x14ac:dyDescent="0.4">
      <c r="L56" t="str">
        <f>IFERROR(INDEX(KRI_KRI_ID,_xlfn.AGGREGATE(15,6,(ROW(KRI_KRI_ID)-1)/((KRI_Ciclo_Definizione=KRI_Ciclo)*(KRI_KRI_ID&lt;&gt;"")),45)),"")</f>
        <v/>
      </c>
    </row>
    <row r="57" spans="12:12" x14ac:dyDescent="0.4">
      <c r="L57" t="str">
        <f>IFERROR(INDEX(KRI_KRI_ID,_xlfn.AGGREGATE(15,6,(ROW(KRI_KRI_ID)-1)/((KRI_Ciclo_Definizione=KRI_Ciclo)*(KRI_KRI_ID&lt;&gt;"")),46)),"")</f>
        <v/>
      </c>
    </row>
    <row r="58" spans="12:12" x14ac:dyDescent="0.4">
      <c r="L58" t="str">
        <f>IFERROR(INDEX(KRI_KRI_ID,_xlfn.AGGREGATE(15,6,(ROW(KRI_KRI_ID)-1)/((KRI_Ciclo_Definizione=KRI_Ciclo)*(KRI_KRI_ID&lt;&gt;"")),47)),"")</f>
        <v/>
      </c>
    </row>
    <row r="59" spans="12:12" x14ac:dyDescent="0.4">
      <c r="L59" t="str">
        <f>IFERROR(INDEX(KRI_KRI_ID,_xlfn.AGGREGATE(15,6,(ROW(KRI_KRI_ID)-1)/((KRI_Ciclo_Definizione=KRI_Ciclo)*(KRI_KRI_ID&lt;&gt;"")),48)),"")</f>
        <v/>
      </c>
    </row>
    <row r="60" spans="12:12" x14ac:dyDescent="0.4">
      <c r="L60" t="str">
        <f>IFERROR(INDEX(KRI_KRI_ID,_xlfn.AGGREGATE(15,6,(ROW(KRI_KRI_ID)-1)/((KRI_Ciclo_Definizione=KRI_Ciclo)*(KRI_KRI_ID&lt;&gt;"")),49)),"")</f>
        <v/>
      </c>
    </row>
    <row r="61" spans="12:12" x14ac:dyDescent="0.4">
      <c r="L61" t="str">
        <f>IFERROR(INDEX(KRI_KRI_ID,_xlfn.AGGREGATE(15,6,(ROW(KRI_KRI_ID)-1)/((KRI_Ciclo_Definizione=KRI_Ciclo)*(KRI_KRI_ID&lt;&gt;"")),50)),"")</f>
        <v/>
      </c>
    </row>
    <row r="62" spans="12:12" x14ac:dyDescent="0.4">
      <c r="L62" t="str">
        <f>IFERROR(INDEX(KRI_KRI_ID,_xlfn.AGGREGATE(15,6,(ROW(KRI_KRI_ID)-1)/((KRI_Ciclo_Definizione=KRI_Ciclo)*(KRI_KRI_ID&lt;&gt;"")),51)),"")</f>
        <v/>
      </c>
    </row>
    <row r="63" spans="12:12" x14ac:dyDescent="0.4">
      <c r="L63" t="str">
        <f>IFERROR(INDEX(KRI_KRI_ID,_xlfn.AGGREGATE(15,6,(ROW(KRI_KRI_ID)-1)/((KRI_Ciclo_Definizione=KRI_Ciclo)*(KRI_KRI_ID&lt;&gt;"")),52)),"")</f>
        <v/>
      </c>
    </row>
    <row r="64" spans="12:12" x14ac:dyDescent="0.4">
      <c r="L64" t="str">
        <f>IFERROR(INDEX(KRI_KRI_ID,_xlfn.AGGREGATE(15,6,(ROW(KRI_KRI_ID)-1)/((KRI_Ciclo_Definizione=KRI_Ciclo)*(KRI_KRI_ID&lt;&gt;"")),53)),"")</f>
        <v/>
      </c>
    </row>
    <row r="65" spans="12:12" x14ac:dyDescent="0.4">
      <c r="L65" t="str">
        <f>IFERROR(INDEX(KRI_KRI_ID,_xlfn.AGGREGATE(15,6,(ROW(KRI_KRI_ID)-1)/((KRI_Ciclo_Definizione=KRI_Ciclo)*(KRI_KRI_ID&lt;&gt;"")),54)),"")</f>
        <v/>
      </c>
    </row>
    <row r="66" spans="12:12" x14ac:dyDescent="0.4">
      <c r="L66" t="str">
        <f>IFERROR(INDEX(KRI_KRI_ID,_xlfn.AGGREGATE(15,6,(ROW(KRI_KRI_ID)-1)/((KRI_Ciclo_Definizione=KRI_Ciclo)*(KRI_KRI_ID&lt;&gt;"")),55)),"")</f>
        <v/>
      </c>
    </row>
    <row r="67" spans="12:12" x14ac:dyDescent="0.4">
      <c r="L67" t="str">
        <f>IFERROR(INDEX(KRI_KRI_ID,_xlfn.AGGREGATE(15,6,(ROW(KRI_KRI_ID)-1)/((KRI_Ciclo_Definizione=KRI_Ciclo)*(KRI_KRI_ID&lt;&gt;"")),56)),"")</f>
        <v/>
      </c>
    </row>
    <row r="68" spans="12:12" x14ac:dyDescent="0.4">
      <c r="L68" t="str">
        <f>IFERROR(INDEX(KRI_KRI_ID,_xlfn.AGGREGATE(15,6,(ROW(KRI_KRI_ID)-1)/((KRI_Ciclo_Definizione=KRI_Ciclo)*(KRI_KRI_ID&lt;&gt;"")),57)),"")</f>
        <v/>
      </c>
    </row>
    <row r="69" spans="12:12" x14ac:dyDescent="0.4">
      <c r="L69" t="str">
        <f>IFERROR(INDEX(KRI_KRI_ID,_xlfn.AGGREGATE(15,6,(ROW(KRI_KRI_ID)-1)/((KRI_Ciclo_Definizione=KRI_Ciclo)*(KRI_KRI_ID&lt;&gt;"")),58)),"")</f>
        <v/>
      </c>
    </row>
    <row r="70" spans="12:12" x14ac:dyDescent="0.4">
      <c r="L70" t="str">
        <f>IFERROR(INDEX(KRI_KRI_ID,_xlfn.AGGREGATE(15,6,(ROW(KRI_KRI_ID)-1)/((KRI_Ciclo_Definizione=KRI_Ciclo)*(KRI_KRI_ID&lt;&gt;"")),59)),"")</f>
        <v/>
      </c>
    </row>
    <row r="71" spans="12:12" x14ac:dyDescent="0.4">
      <c r="L71" t="str">
        <f>IFERROR(INDEX(KRI_KRI_ID,_xlfn.AGGREGATE(15,6,(ROW(KRI_KRI_ID)-1)/((KRI_Ciclo_Definizione=KRI_Ciclo)*(KRI_KRI_ID&lt;&gt;"")),60)),"")</f>
        <v/>
      </c>
    </row>
    <row r="72" spans="12:12" x14ac:dyDescent="0.4">
      <c r="L72" t="str">
        <f>IFERROR(INDEX(KRI_KRI_ID,_xlfn.AGGREGATE(15,6,(ROW(KRI_KRI_ID)-1)/((KRI_Ciclo_Definizione=KRI_Ciclo)*(KRI_KRI_ID&lt;&gt;"")),61)),"")</f>
        <v/>
      </c>
    </row>
    <row r="73" spans="12:12" x14ac:dyDescent="0.4">
      <c r="L73" t="str">
        <f>IFERROR(INDEX(KRI_KRI_ID,_xlfn.AGGREGATE(15,6,(ROW(KRI_KRI_ID)-1)/((KRI_Ciclo_Definizione=KRI_Ciclo)*(KRI_KRI_ID&lt;&gt;"")),62)),"")</f>
        <v/>
      </c>
    </row>
    <row r="74" spans="12:12" x14ac:dyDescent="0.4">
      <c r="L74" t="str">
        <f>IFERROR(INDEX(KRI_KRI_ID,_xlfn.AGGREGATE(15,6,(ROW(KRI_KRI_ID)-1)/((KRI_Ciclo_Definizione=KRI_Ciclo)*(KRI_KRI_ID&lt;&gt;"")),63)),"")</f>
        <v/>
      </c>
    </row>
    <row r="75" spans="12:12" x14ac:dyDescent="0.4">
      <c r="L75" t="str">
        <f>IFERROR(INDEX(KRI_KRI_ID,_xlfn.AGGREGATE(15,6,(ROW(KRI_KRI_ID)-1)/((KRI_Ciclo_Definizione=KRI_Ciclo)*(KRI_KRI_ID&lt;&gt;"")),64)),"")</f>
        <v/>
      </c>
    </row>
    <row r="76" spans="12:12" x14ac:dyDescent="0.4">
      <c r="L76" t="str">
        <f>IFERROR(INDEX(KRI_KRI_ID,_xlfn.AGGREGATE(15,6,(ROW(KRI_KRI_ID)-1)/((KRI_Ciclo_Definizione=KRI_Ciclo)*(KRI_KRI_ID&lt;&gt;"")),65)),"")</f>
        <v/>
      </c>
    </row>
    <row r="77" spans="12:12" x14ac:dyDescent="0.4">
      <c r="L77" t="str">
        <f>IFERROR(INDEX(KRI_KRI_ID,_xlfn.AGGREGATE(15,6,(ROW(KRI_KRI_ID)-1)/((KRI_Ciclo_Definizione=KRI_Ciclo)*(KRI_KRI_ID&lt;&gt;"")),66)),"")</f>
        <v/>
      </c>
    </row>
    <row r="78" spans="12:12" x14ac:dyDescent="0.4">
      <c r="L78" t="str">
        <f>IFERROR(INDEX(KRI_KRI_ID,_xlfn.AGGREGATE(15,6,(ROW(KRI_KRI_ID)-1)/((KRI_Ciclo_Definizione=KRI_Ciclo)*(KRI_KRI_ID&lt;&gt;"")),67)),"")</f>
        <v/>
      </c>
    </row>
    <row r="79" spans="12:12" x14ac:dyDescent="0.4">
      <c r="L79" t="str">
        <f>IFERROR(INDEX(KRI_KRI_ID,_xlfn.AGGREGATE(15,6,(ROW(KRI_KRI_ID)-1)/((KRI_Ciclo_Definizione=KRI_Ciclo)*(KRI_KRI_ID&lt;&gt;"")),68)),"")</f>
        <v/>
      </c>
    </row>
    <row r="80" spans="12:12" x14ac:dyDescent="0.4">
      <c r="L80" t="str">
        <f>IFERROR(INDEX(KRI_KRI_ID,_xlfn.AGGREGATE(15,6,(ROW(KRI_KRI_ID)-1)/((KRI_Ciclo_Definizione=KRI_Ciclo)*(KRI_KRI_ID&lt;&gt;"")),69)),"")</f>
        <v/>
      </c>
    </row>
    <row r="81" spans="12:12" x14ac:dyDescent="0.4">
      <c r="L81" t="str">
        <f>IFERROR(INDEX(KRI_KRI_ID,_xlfn.AGGREGATE(15,6,(ROW(KRI_KRI_ID)-1)/((KRI_Ciclo_Definizione=KRI_Ciclo)*(KRI_KRI_ID&lt;&gt;"")),70)),"")</f>
        <v/>
      </c>
    </row>
    <row r="82" spans="12:12" x14ac:dyDescent="0.4">
      <c r="L82" t="str">
        <f>IFERROR(INDEX(KRI_KRI_ID,_xlfn.AGGREGATE(15,6,(ROW(KRI_KRI_ID)-1)/((KRI_Ciclo_Definizione=KRI_Ciclo)*(KRI_KRI_ID&lt;&gt;"")),71)),"")</f>
        <v/>
      </c>
    </row>
    <row r="83" spans="12:12" x14ac:dyDescent="0.4">
      <c r="L83" t="str">
        <f>IFERROR(INDEX(KRI_KRI_ID,_xlfn.AGGREGATE(15,6,(ROW(KRI_KRI_ID)-1)/((KRI_Ciclo_Definizione=KRI_Ciclo)*(KRI_KRI_ID&lt;&gt;"")),72)),"")</f>
        <v/>
      </c>
    </row>
    <row r="84" spans="12:12" x14ac:dyDescent="0.4">
      <c r="L84" t="str">
        <f>IFERROR(INDEX(KRI_KRI_ID,_xlfn.AGGREGATE(15,6,(ROW(KRI_KRI_ID)-1)/((KRI_Ciclo_Definizione=KRI_Ciclo)*(KRI_KRI_ID&lt;&gt;"")),73)),"")</f>
        <v/>
      </c>
    </row>
    <row r="85" spans="12:12" x14ac:dyDescent="0.4">
      <c r="L85" t="str">
        <f>IFERROR(INDEX(KRI_KRI_ID,_xlfn.AGGREGATE(15,6,(ROW(KRI_KRI_ID)-1)/((KRI_Ciclo_Definizione=KRI_Ciclo)*(KRI_KRI_ID&lt;&gt;"")),74)),"")</f>
        <v/>
      </c>
    </row>
    <row r="86" spans="12:12" x14ac:dyDescent="0.4">
      <c r="L86" t="str">
        <f>IFERROR(INDEX(KRI_KRI_ID,_xlfn.AGGREGATE(15,6,(ROW(KRI_KRI_ID)-1)/((KRI_Ciclo_Definizione=KRI_Ciclo)*(KRI_KRI_ID&lt;&gt;"")),75)),"")</f>
        <v/>
      </c>
    </row>
    <row r="87" spans="12:12" x14ac:dyDescent="0.4">
      <c r="L87" t="str">
        <f>IFERROR(INDEX(KRI_KRI_ID,_xlfn.AGGREGATE(15,6,(ROW(KRI_KRI_ID)-1)/((KRI_Ciclo_Definizione=KRI_Ciclo)*(KRI_KRI_ID&lt;&gt;"")),76)),"")</f>
        <v/>
      </c>
    </row>
    <row r="88" spans="12:12" x14ac:dyDescent="0.4">
      <c r="L88" t="str">
        <f>IFERROR(INDEX(KRI_KRI_ID,_xlfn.AGGREGATE(15,6,(ROW(KRI_KRI_ID)-1)/((KRI_Ciclo_Definizione=KRI_Ciclo)*(KRI_KRI_ID&lt;&gt;"")),77)),"")</f>
        <v/>
      </c>
    </row>
    <row r="89" spans="12:12" x14ac:dyDescent="0.4">
      <c r="L89" t="str">
        <f>IFERROR(INDEX(KRI_KRI_ID,_xlfn.AGGREGATE(15,6,(ROW(KRI_KRI_ID)-1)/((KRI_Ciclo_Definizione=KRI_Ciclo)*(KRI_KRI_ID&lt;&gt;"")),78)),"")</f>
        <v/>
      </c>
    </row>
    <row r="90" spans="12:12" x14ac:dyDescent="0.4">
      <c r="L90" t="str">
        <f>IFERROR(INDEX(KRI_KRI_ID,_xlfn.AGGREGATE(15,6,(ROW(KRI_KRI_ID)-1)/((KRI_Ciclo_Definizione=KRI_Ciclo)*(KRI_KRI_ID&lt;&gt;"")),79)),"")</f>
        <v/>
      </c>
    </row>
    <row r="91" spans="12:12" x14ac:dyDescent="0.4">
      <c r="L91" t="str">
        <f>IFERROR(INDEX(KRI_KRI_ID,_xlfn.AGGREGATE(15,6,(ROW(KRI_KRI_ID)-1)/((KRI_Ciclo_Definizione=KRI_Ciclo)*(KRI_KRI_ID&lt;&gt;"")),80)),"")</f>
        <v/>
      </c>
    </row>
    <row r="92" spans="12:12" x14ac:dyDescent="0.4">
      <c r="L92" t="str">
        <f>IFERROR(INDEX(KRI_KRI_ID,_xlfn.AGGREGATE(15,6,(ROW(KRI_KRI_ID)-1)/((KRI_Ciclo_Definizione=KRI_Ciclo)*(KRI_KRI_ID&lt;&gt;"")),81)),"")</f>
        <v/>
      </c>
    </row>
    <row r="93" spans="12:12" x14ac:dyDescent="0.4">
      <c r="L93" t="str">
        <f>IFERROR(INDEX(KRI_KRI_ID,_xlfn.AGGREGATE(15,6,(ROW(KRI_KRI_ID)-1)/((KRI_Ciclo_Definizione=KRI_Ciclo)*(KRI_KRI_ID&lt;&gt;"")),82)),"")</f>
        <v/>
      </c>
    </row>
    <row r="94" spans="12:12" x14ac:dyDescent="0.4">
      <c r="L94" t="str">
        <f>IFERROR(INDEX(KRI_KRI_ID,_xlfn.AGGREGATE(15,6,(ROW(KRI_KRI_ID)-1)/((KRI_Ciclo_Definizione=KRI_Ciclo)*(KRI_KRI_ID&lt;&gt;"")),83)),"")</f>
        <v/>
      </c>
    </row>
    <row r="95" spans="12:12" x14ac:dyDescent="0.4">
      <c r="L95" t="str">
        <f>IFERROR(INDEX(KRI_KRI_ID,_xlfn.AGGREGATE(15,6,(ROW(KRI_KRI_ID)-1)/((KRI_Ciclo_Definizione=KRI_Ciclo)*(KRI_KRI_ID&lt;&gt;"")),84)),"")</f>
        <v/>
      </c>
    </row>
    <row r="96" spans="12:12" x14ac:dyDescent="0.4">
      <c r="L96" t="str">
        <f>IFERROR(INDEX(KRI_KRI_ID,_xlfn.AGGREGATE(15,6,(ROW(KRI_KRI_ID)-1)/((KRI_Ciclo_Definizione=KRI_Ciclo)*(KRI_KRI_ID&lt;&gt;"")),85)),"")</f>
        <v/>
      </c>
    </row>
    <row r="97" spans="12:12" x14ac:dyDescent="0.4">
      <c r="L97" t="str">
        <f>IFERROR(INDEX(KRI_KRI_ID,_xlfn.AGGREGATE(15,6,(ROW(KRI_KRI_ID)-1)/((KRI_Ciclo_Definizione=KRI_Ciclo)*(KRI_KRI_ID&lt;&gt;"")),86)),"")</f>
        <v/>
      </c>
    </row>
    <row r="98" spans="12:12" x14ac:dyDescent="0.4">
      <c r="L98" t="str">
        <f>IFERROR(INDEX(KRI_KRI_ID,_xlfn.AGGREGATE(15,6,(ROW(KRI_KRI_ID)-1)/((KRI_Ciclo_Definizione=KRI_Ciclo)*(KRI_KRI_ID&lt;&gt;"")),87)),"")</f>
        <v/>
      </c>
    </row>
    <row r="99" spans="12:12" x14ac:dyDescent="0.4">
      <c r="L99" t="str">
        <f>IFERROR(INDEX(KRI_KRI_ID,_xlfn.AGGREGATE(15,6,(ROW(KRI_KRI_ID)-1)/((KRI_Ciclo_Definizione=KRI_Ciclo)*(KRI_KRI_ID&lt;&gt;"")),88)),"")</f>
        <v/>
      </c>
    </row>
    <row r="100" spans="12:12" x14ac:dyDescent="0.4">
      <c r="L100" t="str">
        <f>IFERROR(INDEX(KRI_KRI_ID,_xlfn.AGGREGATE(15,6,(ROW(KRI_KRI_ID)-1)/((KRI_Ciclo_Definizione=KRI_Ciclo)*(KRI_KRI_ID&lt;&gt;"")),89)),"")</f>
        <v/>
      </c>
    </row>
    <row r="101" spans="12:12" x14ac:dyDescent="0.4">
      <c r="L101" t="str">
        <f>IFERROR(INDEX(KRI_KRI_ID,_xlfn.AGGREGATE(15,6,(ROW(KRI_KRI_ID)-1)/((KRI_Ciclo_Definizione=KRI_Ciclo)*(KRI_KRI_ID&lt;&gt;"")),90)),"")</f>
        <v/>
      </c>
    </row>
    <row r="102" spans="12:12" x14ac:dyDescent="0.4">
      <c r="L102" t="str">
        <f>IFERROR(INDEX(KRI_KRI_ID,_xlfn.AGGREGATE(15,6,(ROW(KRI_KRI_ID)-1)/((KRI_Ciclo_Definizione=KRI_Ciclo)*(KRI_KRI_ID&lt;&gt;"")),91)),"")</f>
        <v/>
      </c>
    </row>
    <row r="103" spans="12:12" x14ac:dyDescent="0.4">
      <c r="L103" t="str">
        <f>IFERROR(INDEX(KRI_KRI_ID,_xlfn.AGGREGATE(15,6,(ROW(KRI_KRI_ID)-1)/((KRI_Ciclo_Definizione=KRI_Ciclo)*(KRI_KRI_ID&lt;&gt;"")),92)),"")</f>
        <v/>
      </c>
    </row>
    <row r="104" spans="12:12" x14ac:dyDescent="0.4">
      <c r="L104" t="str">
        <f>IFERROR(INDEX(KRI_KRI_ID,_xlfn.AGGREGATE(15,6,(ROW(KRI_KRI_ID)-1)/((KRI_Ciclo_Definizione=KRI_Ciclo)*(KRI_KRI_ID&lt;&gt;"")),93)),"")</f>
        <v/>
      </c>
    </row>
    <row r="105" spans="12:12" x14ac:dyDescent="0.4">
      <c r="L105" t="str">
        <f>IFERROR(INDEX(KRI_KRI_ID,_xlfn.AGGREGATE(15,6,(ROW(KRI_KRI_ID)-1)/((KRI_Ciclo_Definizione=KRI_Ciclo)*(KRI_KRI_ID&lt;&gt;"")),94)),"")</f>
        <v/>
      </c>
    </row>
    <row r="106" spans="12:12" x14ac:dyDescent="0.4">
      <c r="L106" t="str">
        <f>IFERROR(INDEX(KRI_KRI_ID,_xlfn.AGGREGATE(15,6,(ROW(KRI_KRI_ID)-1)/((KRI_Ciclo_Definizione=KRI_Ciclo)*(KRI_KRI_ID&lt;&gt;"")),95)),"")</f>
        <v/>
      </c>
    </row>
    <row r="107" spans="12:12" x14ac:dyDescent="0.4">
      <c r="L107" t="str">
        <f>IFERROR(INDEX(KRI_KRI_ID,_xlfn.AGGREGATE(15,6,(ROW(KRI_KRI_ID)-1)/((KRI_Ciclo_Definizione=KRI_Ciclo)*(KRI_KRI_ID&lt;&gt;"")),96)),"")</f>
        <v/>
      </c>
    </row>
    <row r="108" spans="12:12" x14ac:dyDescent="0.4">
      <c r="L108" t="str">
        <f>IFERROR(INDEX(KRI_KRI_ID,_xlfn.AGGREGATE(15,6,(ROW(KRI_KRI_ID)-1)/((KRI_Ciclo_Definizione=KRI_Ciclo)*(KRI_KRI_ID&lt;&gt;"")),97)),"")</f>
        <v/>
      </c>
    </row>
    <row r="109" spans="12:12" x14ac:dyDescent="0.4">
      <c r="L109" t="str">
        <f>IFERROR(INDEX(KRI_KRI_ID,_xlfn.AGGREGATE(15,6,(ROW(KRI_KRI_ID)-1)/((KRI_Ciclo_Definizione=KRI_Ciclo)*(KRI_KRI_ID&lt;&gt;"")),98)),"")</f>
        <v/>
      </c>
    </row>
    <row r="110" spans="12:12" x14ac:dyDescent="0.4">
      <c r="L110" t="str">
        <f>IFERROR(INDEX(KRI_KRI_ID,_xlfn.AGGREGATE(15,6,(ROW(KRI_KRI_ID)-1)/((KRI_Ciclo_Definizione=KRI_Ciclo)*(KRI_KRI_ID&lt;&gt;"")),99)),"")</f>
        <v/>
      </c>
    </row>
    <row r="111" spans="12:12" x14ac:dyDescent="0.4">
      <c r="L111" t="str">
        <f>IFERROR(INDEX(KRI_KRI_ID,_xlfn.AGGREGATE(15,6,(ROW(KRI_KRI_ID)-1)/((KRI_Ciclo_Definizione=KRI_Ciclo)*(KRI_KRI_ID&lt;&gt;"")),100)),"")</f>
        <v/>
      </c>
    </row>
    <row r="112" spans="12:12" x14ac:dyDescent="0.4">
      <c r="L112" t="str">
        <f>IFERROR(INDEX(KRI_KRI_ID,_xlfn.AGGREGATE(15,6,(ROW(KRI_KRI_ID)-1)/((KRI_Ciclo_Definizione=KRI_Ciclo)*(KRI_KRI_ID&lt;&gt;"")),101)),"")</f>
        <v/>
      </c>
    </row>
    <row r="113" spans="12:12" x14ac:dyDescent="0.4">
      <c r="L113" t="str">
        <f>IFERROR(INDEX(KRI_KRI_ID,_xlfn.AGGREGATE(15,6,(ROW(KRI_KRI_ID)-1)/((KRI_Ciclo_Definizione=KRI_Ciclo)*(KRI_KRI_ID&lt;&gt;"")),102)),"")</f>
        <v/>
      </c>
    </row>
    <row r="114" spans="12:12" x14ac:dyDescent="0.4">
      <c r="L114" t="str">
        <f>IFERROR(INDEX(KRI_KRI_ID,_xlfn.AGGREGATE(15,6,(ROW(KRI_KRI_ID)-1)/((KRI_Ciclo_Definizione=KRI_Ciclo)*(KRI_KRI_ID&lt;&gt;"")),103)),"")</f>
        <v/>
      </c>
    </row>
    <row r="115" spans="12:12" x14ac:dyDescent="0.4">
      <c r="L115" t="str">
        <f>IFERROR(INDEX(KRI_KRI_ID,_xlfn.AGGREGATE(15,6,(ROW(KRI_KRI_ID)-1)/((KRI_Ciclo_Definizione=KRI_Ciclo)*(KRI_KRI_ID&lt;&gt;"")),104)),"")</f>
        <v/>
      </c>
    </row>
    <row r="116" spans="12:12" x14ac:dyDescent="0.4">
      <c r="L116" t="str">
        <f>IFERROR(INDEX(KRI_KRI_ID,_xlfn.AGGREGATE(15,6,(ROW(KRI_KRI_ID)-1)/((KRI_Ciclo_Definizione=KRI_Ciclo)*(KRI_KRI_ID&lt;&gt;"")),105)),"")</f>
        <v/>
      </c>
    </row>
    <row r="117" spans="12:12" x14ac:dyDescent="0.4">
      <c r="L117" t="str">
        <f>IFERROR(INDEX(KRI_KRI_ID,_xlfn.AGGREGATE(15,6,(ROW(KRI_KRI_ID)-1)/((KRI_Ciclo_Definizione=KRI_Ciclo)*(KRI_KRI_ID&lt;&gt;"")),106)),"")</f>
        <v/>
      </c>
    </row>
    <row r="118" spans="12:12" x14ac:dyDescent="0.4">
      <c r="L118" t="str">
        <f>IFERROR(INDEX(KRI_KRI_ID,_xlfn.AGGREGATE(15,6,(ROW(KRI_KRI_ID)-1)/((KRI_Ciclo_Definizione=KRI_Ciclo)*(KRI_KRI_ID&lt;&gt;"")),107)),"")</f>
        <v/>
      </c>
    </row>
    <row r="119" spans="12:12" x14ac:dyDescent="0.4">
      <c r="L119" t="str">
        <f>IFERROR(INDEX(KRI_KRI_ID,_xlfn.AGGREGATE(15,6,(ROW(KRI_KRI_ID)-1)/((KRI_Ciclo_Definizione=KRI_Ciclo)*(KRI_KRI_ID&lt;&gt;"")),108)),"")</f>
        <v/>
      </c>
    </row>
    <row r="120" spans="12:12" x14ac:dyDescent="0.4">
      <c r="L120" t="str">
        <f>IFERROR(INDEX(KRI_KRI_ID,_xlfn.AGGREGATE(15,6,(ROW(KRI_KRI_ID)-1)/((KRI_Ciclo_Definizione=KRI_Ciclo)*(KRI_KRI_ID&lt;&gt;"")),109)),"")</f>
        <v/>
      </c>
    </row>
    <row r="121" spans="12:12" x14ac:dyDescent="0.4">
      <c r="L121" t="str">
        <f>IFERROR(INDEX(KRI_KRI_ID,_xlfn.AGGREGATE(15,6,(ROW(KRI_KRI_ID)-1)/((KRI_Ciclo_Definizione=KRI_Ciclo)*(KRI_KRI_ID&lt;&gt;"")),110)),"")</f>
        <v/>
      </c>
    </row>
    <row r="122" spans="12:12" x14ac:dyDescent="0.4">
      <c r="L122" t="str">
        <f>IFERROR(INDEX(KRI_KRI_ID,_xlfn.AGGREGATE(15,6,(ROW(KRI_KRI_ID)-1)/((KRI_Ciclo_Definizione=KRI_Ciclo)*(KRI_KRI_ID&lt;&gt;"")),111)),"")</f>
        <v/>
      </c>
    </row>
    <row r="123" spans="12:12" x14ac:dyDescent="0.4">
      <c r="L123" t="str">
        <f>IFERROR(INDEX(KRI_KRI_ID,_xlfn.AGGREGATE(15,6,(ROW(KRI_KRI_ID)-1)/((KRI_Ciclo_Definizione=KRI_Ciclo)*(KRI_KRI_ID&lt;&gt;"")),112)),"")</f>
        <v/>
      </c>
    </row>
    <row r="124" spans="12:12" x14ac:dyDescent="0.4">
      <c r="L124" t="str">
        <f>IFERROR(INDEX(KRI_KRI_ID,_xlfn.AGGREGATE(15,6,(ROW(KRI_KRI_ID)-1)/((KRI_Ciclo_Definizione=KRI_Ciclo)*(KRI_KRI_ID&lt;&gt;"")),113)),"")</f>
        <v/>
      </c>
    </row>
    <row r="125" spans="12:12" x14ac:dyDescent="0.4">
      <c r="L125" t="str">
        <f>IFERROR(INDEX(KRI_KRI_ID,_xlfn.AGGREGATE(15,6,(ROW(KRI_KRI_ID)-1)/((KRI_Ciclo_Definizione=KRI_Ciclo)*(KRI_KRI_ID&lt;&gt;"")),114)),"")</f>
        <v/>
      </c>
    </row>
    <row r="126" spans="12:12" x14ac:dyDescent="0.4">
      <c r="L126" t="str">
        <f>IFERROR(INDEX(KRI_KRI_ID,_xlfn.AGGREGATE(15,6,(ROW(KRI_KRI_ID)-1)/((KRI_Ciclo_Definizione=KRI_Ciclo)*(KRI_KRI_ID&lt;&gt;"")),115)),"")</f>
        <v/>
      </c>
    </row>
    <row r="127" spans="12:12" x14ac:dyDescent="0.4">
      <c r="L127" t="str">
        <f>IFERROR(INDEX(KRI_KRI_ID,_xlfn.AGGREGATE(15,6,(ROW(KRI_KRI_ID)-1)/((KRI_Ciclo_Definizione=KRI_Ciclo)*(KRI_KRI_ID&lt;&gt;"")),116)),"")</f>
        <v/>
      </c>
    </row>
    <row r="128" spans="12:12" x14ac:dyDescent="0.4">
      <c r="L128" t="str">
        <f>IFERROR(INDEX(KRI_KRI_ID,_xlfn.AGGREGATE(15,6,(ROW(KRI_KRI_ID)-1)/((KRI_Ciclo_Definizione=KRI_Ciclo)*(KRI_KRI_ID&lt;&gt;"")),117)),"")</f>
        <v/>
      </c>
    </row>
    <row r="129" spans="12:12" x14ac:dyDescent="0.4">
      <c r="L129" t="str">
        <f>IFERROR(INDEX(KRI_KRI_ID,_xlfn.AGGREGATE(15,6,(ROW(KRI_KRI_ID)-1)/((KRI_Ciclo_Definizione=KRI_Ciclo)*(KRI_KRI_ID&lt;&gt;"")),118)),"")</f>
        <v/>
      </c>
    </row>
    <row r="130" spans="12:12" x14ac:dyDescent="0.4">
      <c r="L130" t="str">
        <f>IFERROR(INDEX(KRI_KRI_ID,_xlfn.AGGREGATE(15,6,(ROW(KRI_KRI_ID)-1)/((KRI_Ciclo_Definizione=KRI_Ciclo)*(KRI_KRI_ID&lt;&gt;"")),119)),"")</f>
        <v/>
      </c>
    </row>
    <row r="131" spans="12:12" x14ac:dyDescent="0.4">
      <c r="L131" t="str">
        <f>IFERROR(INDEX(KRI_KRI_ID,_xlfn.AGGREGATE(15,6,(ROW(KRI_KRI_ID)-1)/((KRI_Ciclo_Definizione=KRI_Ciclo)*(KRI_KRI_ID&lt;&gt;"")),120)),"")</f>
        <v/>
      </c>
    </row>
    <row r="132" spans="12:12" x14ac:dyDescent="0.4">
      <c r="L132" t="str">
        <f>IFERROR(INDEX(KRI_KRI_ID,_xlfn.AGGREGATE(15,6,(ROW(KRI_KRI_ID)-1)/((KRI_Ciclo_Definizione=KRI_Ciclo)*(KRI_KRI_ID&lt;&gt;"")),121)),"")</f>
        <v/>
      </c>
    </row>
    <row r="133" spans="12:12" x14ac:dyDescent="0.4">
      <c r="L133" t="str">
        <f>IFERROR(INDEX(KRI_KRI_ID,_xlfn.AGGREGATE(15,6,(ROW(KRI_KRI_ID)-1)/((KRI_Ciclo_Definizione=KRI_Ciclo)*(KRI_KRI_ID&lt;&gt;"")),122)),"")</f>
        <v/>
      </c>
    </row>
    <row r="134" spans="12:12" x14ac:dyDescent="0.4">
      <c r="L134" t="str">
        <f>IFERROR(INDEX(KRI_KRI_ID,_xlfn.AGGREGATE(15,6,(ROW(KRI_KRI_ID)-1)/((KRI_Ciclo_Definizione=KRI_Ciclo)*(KRI_KRI_ID&lt;&gt;"")),123)),"")</f>
        <v/>
      </c>
    </row>
    <row r="135" spans="12:12" x14ac:dyDescent="0.4">
      <c r="L135" t="str">
        <f>IFERROR(INDEX(KRI_KRI_ID,_xlfn.AGGREGATE(15,6,(ROW(KRI_KRI_ID)-1)/((KRI_Ciclo_Definizione=KRI_Ciclo)*(KRI_KRI_ID&lt;&gt;"")),124)),"")</f>
        <v/>
      </c>
    </row>
    <row r="136" spans="12:12" x14ac:dyDescent="0.4">
      <c r="L136" t="str">
        <f>IFERROR(INDEX(KRI_KRI_ID,_xlfn.AGGREGATE(15,6,(ROW(KRI_KRI_ID)-1)/((KRI_Ciclo_Definizione=KRI_Ciclo)*(KRI_KRI_ID&lt;&gt;"")),125)),"")</f>
        <v/>
      </c>
    </row>
    <row r="137" spans="12:12" x14ac:dyDescent="0.4">
      <c r="L137" t="str">
        <f>IFERROR(INDEX(KRI_KRI_ID,_xlfn.AGGREGATE(15,6,(ROW(KRI_KRI_ID)-1)/((KRI_Ciclo_Definizione=KRI_Ciclo)*(KRI_KRI_ID&lt;&gt;"")),126)),"")</f>
        <v/>
      </c>
    </row>
    <row r="138" spans="12:12" x14ac:dyDescent="0.4">
      <c r="L138" t="str">
        <f>IFERROR(INDEX(KRI_KRI_ID,_xlfn.AGGREGATE(15,6,(ROW(KRI_KRI_ID)-1)/((KRI_Ciclo_Definizione=KRI_Ciclo)*(KRI_KRI_ID&lt;&gt;"")),127)),"")</f>
        <v/>
      </c>
    </row>
    <row r="139" spans="12:12" x14ac:dyDescent="0.4">
      <c r="L139" t="str">
        <f>IFERROR(INDEX(KRI_KRI_ID,_xlfn.AGGREGATE(15,6,(ROW(KRI_KRI_ID)-1)/((KRI_Ciclo_Definizione=KRI_Ciclo)*(KRI_KRI_ID&lt;&gt;"")),128)),"")</f>
        <v/>
      </c>
    </row>
    <row r="140" spans="12:12" x14ac:dyDescent="0.4">
      <c r="L140" t="str">
        <f>IFERROR(INDEX(KRI_KRI_ID,_xlfn.AGGREGATE(15,6,(ROW(KRI_KRI_ID)-1)/((KRI_Ciclo_Definizione=KRI_Ciclo)*(KRI_KRI_ID&lt;&gt;"")),129)),"")</f>
        <v/>
      </c>
    </row>
    <row r="141" spans="12:12" x14ac:dyDescent="0.4">
      <c r="L141" t="str">
        <f>IFERROR(INDEX(KRI_KRI_ID,_xlfn.AGGREGATE(15,6,(ROW(KRI_KRI_ID)-1)/((KRI_Ciclo_Definizione=KRI_Ciclo)*(KRI_KRI_ID&lt;&gt;"")),130)),"")</f>
        <v/>
      </c>
    </row>
    <row r="142" spans="12:12" x14ac:dyDescent="0.4">
      <c r="L142" t="str">
        <f>IFERROR(INDEX(KRI_KRI_ID,_xlfn.AGGREGATE(15,6,(ROW(KRI_KRI_ID)-1)/((KRI_Ciclo_Definizione=KRI_Ciclo)*(KRI_KRI_ID&lt;&gt;"")),131)),"")</f>
        <v/>
      </c>
    </row>
    <row r="143" spans="12:12" x14ac:dyDescent="0.4">
      <c r="L143" t="str">
        <f>IFERROR(INDEX(KRI_KRI_ID,_xlfn.AGGREGATE(15,6,(ROW(KRI_KRI_ID)-1)/((KRI_Ciclo_Definizione=KRI_Ciclo)*(KRI_KRI_ID&lt;&gt;"")),132)),"")</f>
        <v/>
      </c>
    </row>
    <row r="144" spans="12:12" x14ac:dyDescent="0.4">
      <c r="L144" t="str">
        <f>IFERROR(INDEX(KRI_KRI_ID,_xlfn.AGGREGATE(15,6,(ROW(KRI_KRI_ID)-1)/((KRI_Ciclo_Definizione=KRI_Ciclo)*(KRI_KRI_ID&lt;&gt;"")),133)),"")</f>
        <v/>
      </c>
    </row>
    <row r="145" spans="12:12" x14ac:dyDescent="0.4">
      <c r="L145" t="str">
        <f>IFERROR(INDEX(KRI_KRI_ID,_xlfn.AGGREGATE(15,6,(ROW(KRI_KRI_ID)-1)/((KRI_Ciclo_Definizione=KRI_Ciclo)*(KRI_KRI_ID&lt;&gt;"")),134)),"")</f>
        <v/>
      </c>
    </row>
    <row r="146" spans="12:12" x14ac:dyDescent="0.4">
      <c r="L146" t="str">
        <f>IFERROR(INDEX(KRI_KRI_ID,_xlfn.AGGREGATE(15,6,(ROW(KRI_KRI_ID)-1)/((KRI_Ciclo_Definizione=KRI_Ciclo)*(KRI_KRI_ID&lt;&gt;"")),135)),"")</f>
        <v/>
      </c>
    </row>
    <row r="147" spans="12:12" x14ac:dyDescent="0.4">
      <c r="L147" t="str">
        <f>IFERROR(INDEX(KRI_KRI_ID,_xlfn.AGGREGATE(15,6,(ROW(KRI_KRI_ID)-1)/((KRI_Ciclo_Definizione=KRI_Ciclo)*(KRI_KRI_ID&lt;&gt;"")),136)),"")</f>
        <v/>
      </c>
    </row>
    <row r="148" spans="12:12" x14ac:dyDescent="0.4">
      <c r="L148" t="str">
        <f>IFERROR(INDEX(KRI_KRI_ID,_xlfn.AGGREGATE(15,6,(ROW(KRI_KRI_ID)-1)/((KRI_Ciclo_Definizione=KRI_Ciclo)*(KRI_KRI_ID&lt;&gt;"")),137)),"")</f>
        <v/>
      </c>
    </row>
    <row r="149" spans="12:12" x14ac:dyDescent="0.4">
      <c r="L149" t="str">
        <f>IFERROR(INDEX(KRI_KRI_ID,_xlfn.AGGREGATE(15,6,(ROW(KRI_KRI_ID)-1)/((KRI_Ciclo_Definizione=KRI_Ciclo)*(KRI_KRI_ID&lt;&gt;"")),138)),"")</f>
        <v/>
      </c>
    </row>
    <row r="150" spans="12:12" x14ac:dyDescent="0.4">
      <c r="L150" t="str">
        <f>IFERROR(INDEX(KRI_KRI_ID,_xlfn.AGGREGATE(15,6,(ROW(KRI_KRI_ID)-1)/((KRI_Ciclo_Definizione=KRI_Ciclo)*(KRI_KRI_ID&lt;&gt;"")),139)),"")</f>
        <v/>
      </c>
    </row>
    <row r="151" spans="12:12" x14ac:dyDescent="0.4">
      <c r="L151" t="str">
        <f>IFERROR(INDEX(KRI_KRI_ID,_xlfn.AGGREGATE(15,6,(ROW(KRI_KRI_ID)-1)/((KRI_Ciclo_Definizione=KRI_Ciclo)*(KRI_KRI_ID&lt;&gt;"")),140)),"")</f>
        <v/>
      </c>
    </row>
    <row r="152" spans="12:12" x14ac:dyDescent="0.4">
      <c r="L152" t="str">
        <f>IFERROR(INDEX(KRI_KRI_ID,_xlfn.AGGREGATE(15,6,(ROW(KRI_KRI_ID)-1)/((KRI_Ciclo_Definizione=KRI_Ciclo)*(KRI_KRI_ID&lt;&gt;"")),141)),"")</f>
        <v/>
      </c>
    </row>
    <row r="153" spans="12:12" x14ac:dyDescent="0.4">
      <c r="L153" t="str">
        <f>IFERROR(INDEX(KRI_KRI_ID,_xlfn.AGGREGATE(15,6,(ROW(KRI_KRI_ID)-1)/((KRI_Ciclo_Definizione=KRI_Ciclo)*(KRI_KRI_ID&lt;&gt;"")),142)),"")</f>
        <v/>
      </c>
    </row>
    <row r="154" spans="12:12" x14ac:dyDescent="0.4">
      <c r="L154" t="str">
        <f>IFERROR(INDEX(KRI_KRI_ID,_xlfn.AGGREGATE(15,6,(ROW(KRI_KRI_ID)-1)/((KRI_Ciclo_Definizione=KRI_Ciclo)*(KRI_KRI_ID&lt;&gt;"")),143)),"")</f>
        <v/>
      </c>
    </row>
    <row r="155" spans="12:12" x14ac:dyDescent="0.4">
      <c r="L155" t="str">
        <f>IFERROR(INDEX(KRI_KRI_ID,_xlfn.AGGREGATE(15,6,(ROW(KRI_KRI_ID)-1)/((KRI_Ciclo_Definizione=KRI_Ciclo)*(KRI_KRI_ID&lt;&gt;"")),144)),"")</f>
        <v/>
      </c>
    </row>
    <row r="156" spans="12:12" x14ac:dyDescent="0.4">
      <c r="L156" t="str">
        <f>IFERROR(INDEX(KRI_KRI_ID,_xlfn.AGGREGATE(15,6,(ROW(KRI_KRI_ID)-1)/((KRI_Ciclo_Definizione=KRI_Ciclo)*(KRI_KRI_ID&lt;&gt;"")),145)),"")</f>
        <v/>
      </c>
    </row>
    <row r="157" spans="12:12" x14ac:dyDescent="0.4">
      <c r="L157" t="str">
        <f>IFERROR(INDEX(KRI_KRI_ID,_xlfn.AGGREGATE(15,6,(ROW(KRI_KRI_ID)-1)/((KRI_Ciclo_Definizione=KRI_Ciclo)*(KRI_KRI_ID&lt;&gt;"")),146)),"")</f>
        <v/>
      </c>
    </row>
    <row r="158" spans="12:12" x14ac:dyDescent="0.4">
      <c r="L158" t="str">
        <f>IFERROR(INDEX(KRI_KRI_ID,_xlfn.AGGREGATE(15,6,(ROW(KRI_KRI_ID)-1)/((KRI_Ciclo_Definizione=KRI_Ciclo)*(KRI_KRI_ID&lt;&gt;"")),147)),"")</f>
        <v/>
      </c>
    </row>
    <row r="159" spans="12:12" x14ac:dyDescent="0.4">
      <c r="L159" t="str">
        <f>IFERROR(INDEX(KRI_KRI_ID,_xlfn.AGGREGATE(15,6,(ROW(KRI_KRI_ID)-1)/((KRI_Ciclo_Definizione=KRI_Ciclo)*(KRI_KRI_ID&lt;&gt;"")),148)),"")</f>
        <v/>
      </c>
    </row>
    <row r="160" spans="12:12" x14ac:dyDescent="0.4">
      <c r="L160" t="str">
        <f>IFERROR(INDEX(KRI_KRI_ID,_xlfn.AGGREGATE(15,6,(ROW(KRI_KRI_ID)-1)/((KRI_Ciclo_Definizione=KRI_Ciclo)*(KRI_KRI_ID&lt;&gt;"")),149)),"")</f>
        <v/>
      </c>
    </row>
    <row r="161" spans="12:12" x14ac:dyDescent="0.4">
      <c r="L161" t="str">
        <f>IFERROR(INDEX(KRI_KRI_ID,_xlfn.AGGREGATE(15,6,(ROW(KRI_KRI_ID)-1)/((KRI_Ciclo_Definizione=KRI_Ciclo)*(KRI_KRI_ID&lt;&gt;"")),150)),"")</f>
        <v/>
      </c>
    </row>
  </sheetData>
  <conditionalFormatting sqref="B12:D19">
    <cfRule type="expression" dxfId="5" priority="1">
      <formula>ISNA(B12)</formula>
    </cfRule>
  </conditionalFormatting>
  <conditionalFormatting sqref="E12:E19">
    <cfRule type="expression" dxfId="4" priority="2">
      <formula>E12="Rosso"</formula>
    </cfRule>
    <cfRule type="expression" dxfId="3" priority="3">
      <formula>E12="Ambra"</formula>
    </cfRule>
    <cfRule type="expression" dxfId="2" priority="4">
      <formula>E12="Verde"</formula>
    </cfRule>
    <cfRule type="expression" dxfId="1" priority="5">
      <formula>E12="SOGLIE INVERTITE — correggere"</formula>
    </cfRule>
  </conditionalFormatting>
  <dataValidations count="1">
    <dataValidation type="list" allowBlank="1" sqref="B3" xr:uid="{00000000-0002-0000-0D00-000000000000}">
      <formula1>elencoKRI</formula1>
    </dataValidation>
  </dataValidation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0"/>
  <sheetViews>
    <sheetView workbookViewId="0"/>
  </sheetViews>
  <sheetFormatPr defaultRowHeight="14.6" x14ac:dyDescent="0.4"/>
  <cols>
    <col min="1" max="1" width="12" customWidth="1"/>
    <col min="2" max="2" width="50" customWidth="1"/>
    <col min="3" max="5" width="18" customWidth="1"/>
    <col min="6" max="6" width="24" customWidth="1"/>
    <col min="7" max="9" width="12" customWidth="1"/>
    <col min="10" max="10" width="40" customWidth="1"/>
  </cols>
  <sheetData>
    <row r="1" spans="1:10" ht="18.45" x14ac:dyDescent="0.5">
      <c r="A1" s="1" t="s">
        <v>280</v>
      </c>
    </row>
    <row r="2" spans="1:10" x14ac:dyDescent="0.4">
      <c r="A2" s="3" t="s">
        <v>281</v>
      </c>
    </row>
    <row r="4" spans="1:10" ht="30" customHeight="1" x14ac:dyDescent="0.4">
      <c r="A4" s="5" t="s">
        <v>282</v>
      </c>
      <c r="B4" s="5" t="s">
        <v>55</v>
      </c>
      <c r="C4" s="5" t="s">
        <v>283</v>
      </c>
      <c r="D4" s="5" t="s">
        <v>284</v>
      </c>
      <c r="E4" s="5" t="s">
        <v>11</v>
      </c>
      <c r="F4" s="5" t="s">
        <v>285</v>
      </c>
      <c r="G4" s="5" t="s">
        <v>286</v>
      </c>
      <c r="H4" s="5" t="s">
        <v>287</v>
      </c>
      <c r="I4" s="5" t="s">
        <v>288</v>
      </c>
      <c r="J4" s="5" t="s">
        <v>289</v>
      </c>
    </row>
    <row r="5" spans="1:10" x14ac:dyDescent="0.4">
      <c r="A5" t="s">
        <v>76</v>
      </c>
      <c r="B5" t="s">
        <v>125</v>
      </c>
      <c r="C5">
        <f>_xlfn.MAXIFS(NW_Imp_L1_01,NW_Settimana,"&gt;="&amp;inizioFinestra4,NW_Settimana,"&lt;="&amp;settimanaCorrente)</f>
        <v>0</v>
      </c>
      <c r="D5">
        <f>COUNTIFS(NW_Imp_L1_01,"&gt;=2",NW_Settimana,"&gt;="&amp;inizioFinestra4,NW_Settimana,"&lt;="&amp;settimanaCorrente)</f>
        <v>0</v>
      </c>
      <c r="E5">
        <f t="shared" ref="E5:E11" si="0">COUNTIF(ANA_Event_Type,A5)</f>
        <v>2</v>
      </c>
      <c r="F5" t="str">
        <f t="shared" ref="F5:F11" si="1">IF(AND(D5&gt;0,E5=0),"AREA NON PRESIDIATA",IF(E5=0,"Nessun rischio censito","Presidiata"))</f>
        <v>Presidiata</v>
      </c>
      <c r="G5">
        <f>COUNTIFS(NW_Imp_L1_01,1,NW_Settimana,"&gt;="&amp;inizioFinestra4,NW_Settimana,"&lt;="&amp;settimanaCorrente)</f>
        <v>0</v>
      </c>
      <c r="H5">
        <f>COUNTIFS(NW_Imp_L1_01,2,NW_Settimana,"&gt;="&amp;inizioFinestra4,NW_Settimana,"&lt;="&amp;settimanaCorrente)</f>
        <v>0</v>
      </c>
      <c r="I5">
        <f>COUNTIFS(NW_Imp_L1_01,3,NW_Settimana,"&gt;="&amp;inizioFinestra4,NW_Settimana,"&lt;="&amp;settimanaCorrente)</f>
        <v>0</v>
      </c>
      <c r="J5" t="str">
        <f t="shared" ref="J5:J11" si="2">IF(F5="AREA NON PRESIDIATA","NON PRESIDIATA ► ","")&amp;A5&amp;" "&amp;B5</f>
        <v>L1-01 Frode interna</v>
      </c>
    </row>
    <row r="6" spans="1:10" x14ac:dyDescent="0.4">
      <c r="A6" t="s">
        <v>77</v>
      </c>
      <c r="B6" t="s">
        <v>126</v>
      </c>
      <c r="C6">
        <f>_xlfn.MAXIFS(NW_Imp_L1_02,NW_Settimana,"&gt;="&amp;inizioFinestra4,NW_Settimana,"&lt;="&amp;settimanaCorrente)</f>
        <v>3</v>
      </c>
      <c r="D6">
        <f>COUNTIFS(NW_Imp_L1_02,"&gt;=2",NW_Settimana,"&gt;="&amp;inizioFinestra4,NW_Settimana,"&lt;="&amp;settimanaCorrente)</f>
        <v>3</v>
      </c>
      <c r="E6">
        <f t="shared" si="0"/>
        <v>1</v>
      </c>
      <c r="F6" t="str">
        <f t="shared" si="1"/>
        <v>Presidiata</v>
      </c>
      <c r="G6">
        <f>COUNTIFS(NW_Imp_L1_02,1,NW_Settimana,"&gt;="&amp;inizioFinestra4,NW_Settimana,"&lt;="&amp;settimanaCorrente)</f>
        <v>0</v>
      </c>
      <c r="H6">
        <f>COUNTIFS(NW_Imp_L1_02,2,NW_Settimana,"&gt;="&amp;inizioFinestra4,NW_Settimana,"&lt;="&amp;settimanaCorrente)</f>
        <v>2</v>
      </c>
      <c r="I6">
        <f>COUNTIFS(NW_Imp_L1_02,3,NW_Settimana,"&gt;="&amp;inizioFinestra4,NW_Settimana,"&lt;="&amp;settimanaCorrente)</f>
        <v>1</v>
      </c>
      <c r="J6" t="str">
        <f t="shared" si="2"/>
        <v>L1-02 Frode esterna</v>
      </c>
    </row>
    <row r="7" spans="1:10" x14ac:dyDescent="0.4">
      <c r="A7" t="s">
        <v>78</v>
      </c>
      <c r="B7" t="s">
        <v>127</v>
      </c>
      <c r="C7">
        <f>_xlfn.MAXIFS(NW_Imp_L1_03,NW_Settimana,"&gt;="&amp;inizioFinestra4,NW_Settimana,"&lt;="&amp;settimanaCorrente)</f>
        <v>2</v>
      </c>
      <c r="D7">
        <f>COUNTIFS(NW_Imp_L1_03,"&gt;=2",NW_Settimana,"&gt;="&amp;inizioFinestra4,NW_Settimana,"&lt;="&amp;settimanaCorrente)</f>
        <v>1</v>
      </c>
      <c r="E7">
        <f t="shared" si="0"/>
        <v>0</v>
      </c>
      <c r="F7" t="str">
        <f t="shared" si="1"/>
        <v>AREA NON PRESIDIATA</v>
      </c>
      <c r="G7">
        <f>COUNTIFS(NW_Imp_L1_03,1,NW_Settimana,"&gt;="&amp;inizioFinestra4,NW_Settimana,"&lt;="&amp;settimanaCorrente)</f>
        <v>0</v>
      </c>
      <c r="H7">
        <f>COUNTIFS(NW_Imp_L1_03,2,NW_Settimana,"&gt;="&amp;inizioFinestra4,NW_Settimana,"&lt;="&amp;settimanaCorrente)</f>
        <v>1</v>
      </c>
      <c r="I7">
        <f>COUNTIFS(NW_Imp_L1_03,3,NW_Settimana,"&gt;="&amp;inizioFinestra4,NW_Settimana,"&lt;="&amp;settimanaCorrente)</f>
        <v>0</v>
      </c>
      <c r="J7" t="str">
        <f t="shared" si="2"/>
        <v>NON PRESIDIATA ► L1-03 Rapporti di impiego e sicurezza sul lavoro</v>
      </c>
    </row>
    <row r="8" spans="1:10" x14ac:dyDescent="0.4">
      <c r="A8" t="s">
        <v>79</v>
      </c>
      <c r="B8" t="s">
        <v>128</v>
      </c>
      <c r="C8">
        <f>_xlfn.MAXIFS(NW_Imp_L1_04,NW_Settimana,"&gt;="&amp;inizioFinestra4,NW_Settimana,"&lt;="&amp;settimanaCorrente)</f>
        <v>2</v>
      </c>
      <c r="D8">
        <f>COUNTIFS(NW_Imp_L1_04,"&gt;=2",NW_Settimana,"&gt;="&amp;inizioFinestra4,NW_Settimana,"&lt;="&amp;settimanaCorrente)</f>
        <v>1</v>
      </c>
      <c r="E8">
        <f t="shared" si="0"/>
        <v>3</v>
      </c>
      <c r="F8" t="str">
        <f t="shared" si="1"/>
        <v>Presidiata</v>
      </c>
      <c r="G8">
        <f>COUNTIFS(NW_Imp_L1_04,1,NW_Settimana,"&gt;="&amp;inizioFinestra4,NW_Settimana,"&lt;="&amp;settimanaCorrente)</f>
        <v>1</v>
      </c>
      <c r="H8">
        <f>COUNTIFS(NW_Imp_L1_04,2,NW_Settimana,"&gt;="&amp;inizioFinestra4,NW_Settimana,"&lt;="&amp;settimanaCorrente)</f>
        <v>1</v>
      </c>
      <c r="I8">
        <f>COUNTIFS(NW_Imp_L1_04,3,NW_Settimana,"&gt;="&amp;inizioFinestra4,NW_Settimana,"&lt;="&amp;settimanaCorrente)</f>
        <v>0</v>
      </c>
      <c r="J8" t="str">
        <f t="shared" si="2"/>
        <v>L1-04 Clientela, prodotti e prassi professionali</v>
      </c>
    </row>
    <row r="9" spans="1:10" x14ac:dyDescent="0.4">
      <c r="A9" t="s">
        <v>80</v>
      </c>
      <c r="B9" t="s">
        <v>131</v>
      </c>
      <c r="C9">
        <f>_xlfn.MAXIFS(NW_Imp_L1_05,NW_Settimana,"&gt;="&amp;inizioFinestra4,NW_Settimana,"&lt;="&amp;settimanaCorrente)</f>
        <v>0</v>
      </c>
      <c r="D9">
        <f>COUNTIFS(NW_Imp_L1_05,"&gt;=2",NW_Settimana,"&gt;="&amp;inizioFinestra4,NW_Settimana,"&lt;="&amp;settimanaCorrente)</f>
        <v>0</v>
      </c>
      <c r="E9">
        <f t="shared" si="0"/>
        <v>1</v>
      </c>
      <c r="F9" t="str">
        <f t="shared" si="1"/>
        <v>Presidiata</v>
      </c>
      <c r="G9">
        <f>COUNTIFS(NW_Imp_L1_05,1,NW_Settimana,"&gt;="&amp;inizioFinestra4,NW_Settimana,"&lt;="&amp;settimanaCorrente)</f>
        <v>0</v>
      </c>
      <c r="H9">
        <f>COUNTIFS(NW_Imp_L1_05,2,NW_Settimana,"&gt;="&amp;inizioFinestra4,NW_Settimana,"&lt;="&amp;settimanaCorrente)</f>
        <v>0</v>
      </c>
      <c r="I9">
        <f>COUNTIFS(NW_Imp_L1_05,3,NW_Settimana,"&gt;="&amp;inizioFinestra4,NW_Settimana,"&lt;="&amp;settimanaCorrente)</f>
        <v>0</v>
      </c>
      <c r="J9" t="str">
        <f t="shared" si="2"/>
        <v>L1-05 Danni a beni materiali</v>
      </c>
    </row>
    <row r="10" spans="1:10" x14ac:dyDescent="0.4">
      <c r="A10" t="s">
        <v>81</v>
      </c>
      <c r="B10" t="s">
        <v>133</v>
      </c>
      <c r="C10">
        <f>_xlfn.MAXIFS(NW_Imp_L1_06,NW_Settimana,"&gt;="&amp;inizioFinestra4,NW_Settimana,"&lt;="&amp;settimanaCorrente)</f>
        <v>1</v>
      </c>
      <c r="D10">
        <f>COUNTIFS(NW_Imp_L1_06,"&gt;=2",NW_Settimana,"&gt;="&amp;inizioFinestra4,NW_Settimana,"&lt;="&amp;settimanaCorrente)</f>
        <v>0</v>
      </c>
      <c r="E10">
        <f t="shared" si="0"/>
        <v>3</v>
      </c>
      <c r="F10" t="str">
        <f t="shared" si="1"/>
        <v>Presidiata</v>
      </c>
      <c r="G10">
        <f>COUNTIFS(NW_Imp_L1_06,1,NW_Settimana,"&gt;="&amp;inizioFinestra4,NW_Settimana,"&lt;="&amp;settimanaCorrente)</f>
        <v>2</v>
      </c>
      <c r="H10">
        <f>COUNTIFS(NW_Imp_L1_06,2,NW_Settimana,"&gt;="&amp;inizioFinestra4,NW_Settimana,"&lt;="&amp;settimanaCorrente)</f>
        <v>0</v>
      </c>
      <c r="I10">
        <f>COUNTIFS(NW_Imp_L1_06,3,NW_Settimana,"&gt;="&amp;inizioFinestra4,NW_Settimana,"&lt;="&amp;settimanaCorrente)</f>
        <v>0</v>
      </c>
      <c r="J10" t="str">
        <f t="shared" si="2"/>
        <v>L1-06 Interruzione dell'operativita' e disfunzione dei sistemi</v>
      </c>
    </row>
    <row r="11" spans="1:10" x14ac:dyDescent="0.4">
      <c r="A11" t="s">
        <v>82</v>
      </c>
      <c r="B11" t="s">
        <v>135</v>
      </c>
      <c r="C11">
        <f>_xlfn.MAXIFS(NW_Imp_L1_07,NW_Settimana,"&gt;="&amp;inizioFinestra4,NW_Settimana,"&lt;="&amp;settimanaCorrente)</f>
        <v>1</v>
      </c>
      <c r="D11">
        <f>COUNTIFS(NW_Imp_L1_07,"&gt;=2",NW_Settimana,"&gt;="&amp;inizioFinestra4,NW_Settimana,"&lt;="&amp;settimanaCorrente)</f>
        <v>0</v>
      </c>
      <c r="E11">
        <f t="shared" si="0"/>
        <v>2</v>
      </c>
      <c r="F11" t="str">
        <f t="shared" si="1"/>
        <v>Presidiata</v>
      </c>
      <c r="G11">
        <f>COUNTIFS(NW_Imp_L1_07,1,NW_Settimana,"&gt;="&amp;inizioFinestra4,NW_Settimana,"&lt;="&amp;settimanaCorrente)</f>
        <v>1</v>
      </c>
      <c r="H11">
        <f>COUNTIFS(NW_Imp_L1_07,2,NW_Settimana,"&gt;="&amp;inizioFinestra4,NW_Settimana,"&lt;="&amp;settimanaCorrente)</f>
        <v>0</v>
      </c>
      <c r="I11">
        <f>COUNTIFS(NW_Imp_L1_07,3,NW_Settimana,"&gt;="&amp;inizioFinestra4,NW_Settimana,"&lt;="&amp;settimanaCorrente)</f>
        <v>0</v>
      </c>
      <c r="J11" t="str">
        <f t="shared" si="2"/>
        <v>L1-07 Esecuzione, consegna e gestione dei processi</v>
      </c>
    </row>
    <row r="13" spans="1:10" x14ac:dyDescent="0.4">
      <c r="A13" t="s">
        <v>290</v>
      </c>
      <c r="D13">
        <f>COUNTIFS(NW_Rischio_ID,"NON PRESIDIATO",NW_Settimana,"&gt;="&amp;inizioFinestra4,NW_Settimana,"&lt;="&amp;settimanaCorrente)</f>
        <v>5</v>
      </c>
    </row>
    <row r="15" spans="1:10" x14ac:dyDescent="0.4">
      <c r="A15" s="2" t="s">
        <v>291</v>
      </c>
    </row>
    <row r="16" spans="1:10" x14ac:dyDescent="0.4">
      <c r="A16" s="2" t="s">
        <v>211</v>
      </c>
      <c r="B16" s="2" t="s">
        <v>292</v>
      </c>
      <c r="C16" s="2" t="s">
        <v>293</v>
      </c>
      <c r="D16" s="2" t="s">
        <v>294</v>
      </c>
      <c r="E16" s="2" t="s">
        <v>295</v>
      </c>
    </row>
    <row r="17" spans="1:5" x14ac:dyDescent="0.4">
      <c r="A17" s="9">
        <f>Parametri!$B$34</f>
        <v>46230</v>
      </c>
      <c r="B17">
        <f t="shared" ref="B17:B28" si="3">COUNTIFS(NW_Settimana,A17)</f>
        <v>0</v>
      </c>
      <c r="C17">
        <f t="shared" ref="C17:C28" si="4">COUNTIFS(NW_Settimana,A17,NW_Segnale,"Peggiorativo")</f>
        <v>0</v>
      </c>
      <c r="D17">
        <f t="shared" ref="D17:D28" si="5">COUNTIFS(NW_Settimana,A17,NW_Segnale,"Migliorativo")</f>
        <v>0</v>
      </c>
      <c r="E17">
        <f t="shared" ref="E17:E28" si="6">C17-D17</f>
        <v>0</v>
      </c>
    </row>
    <row r="18" spans="1:5" x14ac:dyDescent="0.4">
      <c r="A18" s="9">
        <f>Parametri!$B$35</f>
        <v>46237</v>
      </c>
      <c r="B18">
        <f t="shared" si="3"/>
        <v>0</v>
      </c>
      <c r="C18">
        <f t="shared" si="4"/>
        <v>0</v>
      </c>
      <c r="D18">
        <f t="shared" si="5"/>
        <v>0</v>
      </c>
      <c r="E18">
        <f t="shared" si="6"/>
        <v>0</v>
      </c>
    </row>
    <row r="19" spans="1:5" x14ac:dyDescent="0.4">
      <c r="A19" s="9">
        <f>Parametri!$B$36</f>
        <v>46244</v>
      </c>
      <c r="B19">
        <f t="shared" si="3"/>
        <v>0</v>
      </c>
      <c r="C19">
        <f t="shared" si="4"/>
        <v>0</v>
      </c>
      <c r="D19">
        <f t="shared" si="5"/>
        <v>0</v>
      </c>
      <c r="E19">
        <f t="shared" si="6"/>
        <v>0</v>
      </c>
    </row>
    <row r="20" spans="1:5" x14ac:dyDescent="0.4">
      <c r="A20" s="9">
        <f>Parametri!$B$37</f>
        <v>46251</v>
      </c>
      <c r="B20">
        <f t="shared" si="3"/>
        <v>0</v>
      </c>
      <c r="C20">
        <f t="shared" si="4"/>
        <v>0</v>
      </c>
      <c r="D20">
        <f t="shared" si="5"/>
        <v>0</v>
      </c>
      <c r="E20">
        <f t="shared" si="6"/>
        <v>0</v>
      </c>
    </row>
    <row r="21" spans="1:5" x14ac:dyDescent="0.4">
      <c r="A21" s="9">
        <f>Parametri!$B$38</f>
        <v>46258</v>
      </c>
      <c r="B21">
        <f t="shared" si="3"/>
        <v>0</v>
      </c>
      <c r="C21">
        <f t="shared" si="4"/>
        <v>0</v>
      </c>
      <c r="D21">
        <f t="shared" si="5"/>
        <v>0</v>
      </c>
      <c r="E21">
        <f t="shared" si="6"/>
        <v>0</v>
      </c>
    </row>
    <row r="22" spans="1:5" x14ac:dyDescent="0.4">
      <c r="A22" s="9">
        <f>Parametri!$B$39</f>
        <v>46265</v>
      </c>
      <c r="B22">
        <f t="shared" si="3"/>
        <v>0</v>
      </c>
      <c r="C22">
        <f t="shared" si="4"/>
        <v>0</v>
      </c>
      <c r="D22">
        <f t="shared" si="5"/>
        <v>0</v>
      </c>
      <c r="E22">
        <f t="shared" si="6"/>
        <v>0</v>
      </c>
    </row>
    <row r="23" spans="1:5" x14ac:dyDescent="0.4">
      <c r="A23" s="9">
        <f>Parametri!$B$40</f>
        <v>46272</v>
      </c>
      <c r="B23">
        <f t="shared" si="3"/>
        <v>0</v>
      </c>
      <c r="C23">
        <f t="shared" si="4"/>
        <v>0</v>
      </c>
      <c r="D23">
        <f t="shared" si="5"/>
        <v>0</v>
      </c>
      <c r="E23">
        <f t="shared" si="6"/>
        <v>0</v>
      </c>
    </row>
    <row r="24" spans="1:5" x14ac:dyDescent="0.4">
      <c r="A24" s="9">
        <f>Parametri!$B$41</f>
        <v>46279</v>
      </c>
      <c r="B24">
        <f t="shared" si="3"/>
        <v>0</v>
      </c>
      <c r="C24">
        <f t="shared" si="4"/>
        <v>0</v>
      </c>
      <c r="D24">
        <f t="shared" si="5"/>
        <v>0</v>
      </c>
      <c r="E24">
        <f t="shared" si="6"/>
        <v>0</v>
      </c>
    </row>
    <row r="25" spans="1:5" x14ac:dyDescent="0.4">
      <c r="A25" s="9">
        <f>Parametri!$B$42</f>
        <v>46286</v>
      </c>
      <c r="B25">
        <f t="shared" si="3"/>
        <v>0</v>
      </c>
      <c r="C25">
        <f t="shared" si="4"/>
        <v>0</v>
      </c>
      <c r="D25">
        <f t="shared" si="5"/>
        <v>0</v>
      </c>
      <c r="E25">
        <f t="shared" si="6"/>
        <v>0</v>
      </c>
    </row>
    <row r="26" spans="1:5" x14ac:dyDescent="0.4">
      <c r="A26" s="9">
        <f>Parametri!$B$43</f>
        <v>46293</v>
      </c>
      <c r="B26">
        <f t="shared" si="3"/>
        <v>0</v>
      </c>
      <c r="C26">
        <f t="shared" si="4"/>
        <v>0</v>
      </c>
      <c r="D26">
        <f t="shared" si="5"/>
        <v>0</v>
      </c>
      <c r="E26">
        <f t="shared" si="6"/>
        <v>0</v>
      </c>
    </row>
    <row r="27" spans="1:5" x14ac:dyDescent="0.4">
      <c r="A27" s="9">
        <f>Parametri!$B$44</f>
        <v>46300</v>
      </c>
      <c r="B27">
        <f t="shared" si="3"/>
        <v>5</v>
      </c>
      <c r="C27">
        <f t="shared" si="4"/>
        <v>4</v>
      </c>
      <c r="D27">
        <f t="shared" si="5"/>
        <v>0</v>
      </c>
      <c r="E27">
        <f t="shared" si="6"/>
        <v>4</v>
      </c>
    </row>
    <row r="28" spans="1:5" x14ac:dyDescent="0.4">
      <c r="A28" s="9">
        <f>Parametri!$B$45</f>
        <v>46307</v>
      </c>
      <c r="B28">
        <f t="shared" si="3"/>
        <v>0</v>
      </c>
      <c r="C28">
        <f t="shared" si="4"/>
        <v>0</v>
      </c>
      <c r="D28">
        <f t="shared" si="5"/>
        <v>0</v>
      </c>
      <c r="E28">
        <f t="shared" si="6"/>
        <v>0</v>
      </c>
    </row>
    <row r="30" spans="1:5" x14ac:dyDescent="0.4">
      <c r="A30" s="3" t="s">
        <v>296</v>
      </c>
    </row>
  </sheetData>
  <conditionalFormatting sqref="F5:F11">
    <cfRule type="expression" dxfId="0" priority="1">
      <formula>F5="AREA NON PRESIDIATA"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108</vt:i4>
      </vt:variant>
    </vt:vector>
  </HeadingPairs>
  <TitlesOfParts>
    <vt:vector size="123" baseType="lpstr">
      <vt:lpstr>Leggimi</vt:lpstr>
      <vt:lpstr>Dashboard</vt:lpstr>
      <vt:lpstr>Radar_Mosca</vt:lpstr>
      <vt:lpstr>Validazione</vt:lpstr>
      <vt:lpstr>Parametri</vt:lpstr>
      <vt:lpstr>RiskRegister</vt:lpstr>
      <vt:lpstr>Trend</vt:lpstr>
      <vt:lpstr>Delta</vt:lpstr>
      <vt:lpstr>NewsLog</vt:lpstr>
      <vt:lpstr>Approfondimento</vt:lpstr>
      <vt:lpstr>Azioni</vt:lpstr>
      <vt:lpstr>KRI</vt:lpstr>
      <vt:lpstr>KRI_Correnti</vt:lpstr>
      <vt:lpstr>Andamento_KRI</vt:lpstr>
      <vt:lpstr>Analisi_News</vt:lpstr>
      <vt:lpstr>ANA_Driver</vt:lpstr>
      <vt:lpstr>ANA_Event_Type</vt:lpstr>
      <vt:lpstr>ANA_ID</vt:lpstr>
      <vt:lpstr>ANA_Nome</vt:lpstr>
      <vt:lpstr>ANA_Owner</vt:lpstr>
      <vt:lpstr>anagrafica</vt:lpstr>
      <vt:lpstr>anniProssimita</vt:lpstr>
      <vt:lpstr>AZ_Ciclo</vt:lpstr>
      <vt:lpstr>AZ_Data_Decisione</vt:lpstr>
      <vt:lpstr>AZ_Decisa_Da</vt:lpstr>
      <vt:lpstr>AZ_Descrizione</vt:lpstr>
      <vt:lpstr>AZ_Dimensione</vt:lpstr>
      <vt:lpstr>AZ_ID_Azione</vt:lpstr>
      <vt:lpstr>AZ_ID_Rischio</vt:lpstr>
      <vt:lpstr>AZ_Mesi_Orizzonte</vt:lpstr>
      <vt:lpstr>AZ_Orizzonte</vt:lpstr>
      <vt:lpstr>AZ_Owner</vt:lpstr>
      <vt:lpstr>AZ_Razionale</vt:lpstr>
      <vt:lpstr>AZ_Stato</vt:lpstr>
      <vt:lpstr>AZ_Validazione</vt:lpstr>
      <vt:lpstr>cicliTrend</vt:lpstr>
      <vt:lpstr>cicloCorrente</vt:lpstr>
      <vt:lpstr>cicloMeno2</vt:lpstr>
      <vt:lpstr>cicloPrecedente</vt:lpstr>
      <vt:lpstr>codiciL1</vt:lpstr>
      <vt:lpstr>inizioFinestra4</vt:lpstr>
      <vt:lpstr>KRI_Chiave</vt:lpstr>
      <vt:lpstr>KRI_Ciclo</vt:lpstr>
      <vt:lpstr>KRI_Ciclo_Aggiornamento</vt:lpstr>
      <vt:lpstr>KRI_Ciclo_Definizione</vt:lpstr>
      <vt:lpstr>KRI_Data_Rilevazione</vt:lpstr>
      <vt:lpstr>KRI_Fonte_Dati</vt:lpstr>
      <vt:lpstr>KRI_Fonte_Rilevazione</vt:lpstr>
      <vt:lpstr>KRI_ID_Rischio</vt:lpstr>
      <vt:lpstr>KRI_In_Vigore</vt:lpstr>
      <vt:lpstr>KRI_KRI_ID</vt:lpstr>
      <vt:lpstr>KRI_Nome</vt:lpstr>
      <vt:lpstr>KRI_Nota_Rilevazione</vt:lpstr>
      <vt:lpstr>KRI_Razionale</vt:lpstr>
      <vt:lpstr>KRI_Soglia_Allerta</vt:lpstr>
      <vt:lpstr>KRI_Soglia_Attenzione</vt:lpstr>
      <vt:lpstr>KRI_Stato</vt:lpstr>
      <vt:lpstr>KRI_Unita</vt:lpstr>
      <vt:lpstr>KRI_Validazione</vt:lpstr>
      <vt:lpstr>KRI_Valore_Corrente</vt:lpstr>
      <vt:lpstr>moscaX</vt:lpstr>
      <vt:lpstr>moscaYDefault</vt:lpstr>
      <vt:lpstr>NW_Codice_Fonte</vt:lpstr>
      <vt:lpstr>NW_Data</vt:lpstr>
      <vt:lpstr>NW_Fonte</vt:lpstr>
      <vt:lpstr>NW_ID_Notizia</vt:lpstr>
      <vt:lpstr>NW_Imp_L1_01</vt:lpstr>
      <vt:lpstr>NW_Imp_L1_02</vt:lpstr>
      <vt:lpstr>NW_Imp_L1_03</vt:lpstr>
      <vt:lpstr>NW_Imp_L1_04</vt:lpstr>
      <vt:lpstr>NW_Imp_L1_05</vt:lpstr>
      <vt:lpstr>NW_Imp_L1_06</vt:lpstr>
      <vt:lpstr>NW_Imp_L1_07</vt:lpstr>
      <vt:lpstr>NW_Rischio_ID</vt:lpstr>
      <vt:lpstr>NW_Segnale</vt:lpstr>
      <vt:lpstr>NW_Settimana</vt:lpstr>
      <vt:lpstr>NW_Sintesi</vt:lpstr>
      <vt:lpstr>NW_Titolo</vt:lpstr>
      <vt:lpstr>NW_Validazione</vt:lpstr>
      <vt:lpstr>pesoGap</vt:lpstr>
      <vt:lpstr>pesoProssimita</vt:lpstr>
      <vt:lpstr>pesoSeverity</vt:lpstr>
      <vt:lpstr>pesoVelocity</vt:lpstr>
      <vt:lpstr>RR_Approvato_Da</vt:lpstr>
      <vt:lpstr>RR_Chiave</vt:lpstr>
      <vt:lpstr>RR_Ciclo</vt:lpstr>
      <vt:lpstr>RR_Confidence</vt:lpstr>
      <vt:lpstr>RR_Data_Riferimento</vt:lpstr>
      <vt:lpstr>RR_Data_Scrittura</vt:lpstr>
      <vt:lpstr>RR_Data_Validazione</vt:lpstr>
      <vt:lpstr>RR_Descrizione</vt:lpstr>
      <vt:lpstr>RR_Driver</vt:lpstr>
      <vt:lpstr>RR_Esito</vt:lpstr>
      <vt:lpstr>RR_Event_Type</vt:lpstr>
      <vt:lpstr>RR_Fonti</vt:lpstr>
      <vt:lpstr>RR_Gap_Controlli</vt:lpstr>
      <vt:lpstr>RR_ID_Rischio</vt:lpstr>
      <vt:lpstr>RR_Nome</vt:lpstr>
      <vt:lpstr>RR_Owner</vt:lpstr>
      <vt:lpstr>RR_Probabilita</vt:lpstr>
      <vt:lpstr>RR_Prossimita</vt:lpstr>
      <vt:lpstr>RR_Razionale</vt:lpstr>
      <vt:lpstr>RR_Score_Composito</vt:lpstr>
      <vt:lpstr>RR_Severity</vt:lpstr>
      <vt:lpstr>RR_Validazione</vt:lpstr>
      <vt:lpstr>RR_Variazioni</vt:lpstr>
      <vt:lpstr>RR_Velocity</vt:lpstr>
      <vt:lpstr>settimanaCorrente</vt:lpstr>
      <vt:lpstr>settimane12</vt:lpstr>
      <vt:lpstr>sogliaDelta</vt:lpstr>
      <vt:lpstr>sogliaDirezione</vt:lpstr>
      <vt:lpstr>VAL_Campo</vt:lpstr>
      <vt:lpstr>VAL_Data_Validazione</vt:lpstr>
      <vt:lpstr>VAL_Decisione</vt:lpstr>
      <vt:lpstr>VAL_ID</vt:lpstr>
      <vt:lpstr>VAL_Motivazione</vt:lpstr>
      <vt:lpstr>VAL_Nome</vt:lpstr>
      <vt:lpstr>VAL_Oggetto</vt:lpstr>
      <vt:lpstr>VAL_Periodo</vt:lpstr>
      <vt:lpstr>VAL_Proposta_Agente</vt:lpstr>
      <vt:lpstr>VAL_Stato</vt:lpstr>
      <vt:lpstr>VAL_Validato_Da</vt:lpstr>
      <vt:lpstr>VAL_Valore_Validato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Corrado Grasso</cp:lastModifiedBy>
  <dcterms:created xsi:type="dcterms:W3CDTF">2026-09-23T18:58:20Z</dcterms:created>
  <dcterms:modified xsi:type="dcterms:W3CDTF">2026-09-25T07:29:15Z</dcterms:modified>
</cp:coreProperties>
</file>