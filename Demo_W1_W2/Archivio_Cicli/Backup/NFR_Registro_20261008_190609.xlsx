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C6EFA094-E320-46B6-98DB-3FDB4B2DACFF}"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RiskRegister!$L$6:$L$20016</definedName>
    <definedName name="RR_Approvato_Da">RiskRegister!$V$6:$V$20016</definedName>
    <definedName name="RR_Chiave">RiskRegister!$T$6:$T$20016</definedName>
    <definedName name="RR_Ciclo">RiskRegister!$A$6:$A$20016</definedName>
    <definedName name="RR_Data_Riferimento">RiskRegister!$B$6:$B$20016</definedName>
    <definedName name="RR_Data_Scrittura">RiskRegister!$U$6:$U$20016</definedName>
    <definedName name="RR_Data_Validazione">RiskRegister!$X$6:$X$20016</definedName>
    <definedName name="RR_Decisione_Stato">RiskRegister!$AC$6:$AC$20016</definedName>
    <definedName name="RR_Descrizione">RiskRegister!$N$6:$N$20016</definedName>
    <definedName name="RR_Driver">RiskRegister!$F$6:$F$20016</definedName>
    <definedName name="RR_Esito">RiskRegister!$M$6:$M$20016</definedName>
    <definedName name="RR_Event_Type">RiskRegister!$E$6:$E$20016</definedName>
    <definedName name="RR_Fonti">RiskRegister!$Q$6:$Q$20016</definedName>
    <definedName name="RR_ID_Rischio">RiskRegister!$C$6:$C$20016</definedName>
    <definedName name="RR_Impatto">RiskRegister!$G$6:$G$20016</definedName>
    <definedName name="RR_Motivo_Stato">RiskRegister!$AA$6:$AA$20016</definedName>
    <definedName name="RR_Movimento">RiskRegister!$AB$6:$AB$20016</definedName>
    <definedName name="RR_Nome">RiskRegister!$D$6:$D$20016</definedName>
    <definedName name="RR_Ordine_Osservazione">RiskRegister!$AF$6:$AF$20016</definedName>
    <definedName name="RR_Orizzonte_Anni">RiskRegister!$AD$6:$AD$20016</definedName>
    <definedName name="RR_Owner">RiskRegister!$S$6:$S$20016</definedName>
    <definedName name="RR_Periodo_Valutazione">RiskRegister!$Y$6:$Y$20016</definedName>
    <definedName name="RR_Probabilita">RiskRegister!$K$6:$K$20016</definedName>
    <definedName name="RR_Prossimita">RiskRegister!$I$6:$I$20016</definedName>
    <definedName name="RR_Razionale">RiskRegister!$O$6:$O$20016</definedName>
    <definedName name="RR_Rilievi">RiskRegister!$R$6:$R$20016</definedName>
    <definedName name="RR_Score_Composito">RiskRegister!$J$6:$J$20016</definedName>
    <definedName name="RR_Segnale_Avvicinamento">RiskRegister!$AE$6:$AE$20016</definedName>
    <definedName name="RR_Stato">RiskRegister!$Z$6:$Z$20016</definedName>
    <definedName name="RR_Validazione">RiskRegister!$W$6:$W$20016</definedName>
    <definedName name="RR_Variazioni">RiskRegister!$P$6:$P$20016</definedName>
    <definedName name="RR_Velocity">RiskRegister!$H$6:$H$20016</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I_Straordinario">Sintesi_Cicli!$J$6:$J$20001</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Storico_Validazioni!$E$6:$E$20193</definedName>
    <definedName name="VAL_Data_Validazione">Storico_Validazioni!$K$6:$K$20193</definedName>
    <definedName name="VAL_Decisione">Storico_Validazioni!$G$6:$G$20193</definedName>
    <definedName name="VAL_ID">Storico_Validazioni!$C$6:$C$20193</definedName>
    <definedName name="VAL_Motivazione">Storico_Validazioni!$I$6:$I$20193</definedName>
    <definedName name="VAL_Nome">Storico_Validazioni!$D$6:$D$20193</definedName>
    <definedName name="VAL_Oggetto">Storico_Validazioni!$B$6:$B$20193</definedName>
    <definedName name="VAL_Periodo">Storico_Validazioni!$A$6:$A$20193</definedName>
    <definedName name="VAL_Proposta_Agente">Storico_Validazioni!$F$6:$F$20193</definedName>
    <definedName name="VAL_Stato">Storico_Validazioni!$L$6:$L$20193</definedName>
    <definedName name="VAL_Validato_Da">Storico_Validazioni!$J$6:$J$20193</definedName>
    <definedName name="VAL_Valore_Validato">Storico_Validazioni!$H$6:$H$20193</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B20" i="21" l="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S126" i="15"/>
  <c r="T125" i="15"/>
  <c r="T16" i="15" s="1"/>
  <c r="S125" i="15"/>
  <c r="S16" i="15" s="1"/>
  <c r="T124" i="15"/>
  <c r="T15" i="15" s="1"/>
  <c r="S124" i="15"/>
  <c r="S15" i="15" s="1"/>
  <c r="T123" i="15"/>
  <c r="T14" i="15" s="1"/>
  <c r="S123" i="15"/>
  <c r="S14" i="15" s="1"/>
  <c r="T122" i="15"/>
  <c r="S122" i="15"/>
  <c r="T121" i="15"/>
  <c r="S121" i="15"/>
  <c r="T120" i="15"/>
  <c r="S120" i="15"/>
  <c r="S12" i="15" s="1"/>
  <c r="T119" i="15"/>
  <c r="T11" i="15" s="1"/>
  <c r="S119" i="15"/>
  <c r="S11" i="15" s="1"/>
  <c r="T118" i="15"/>
  <c r="T10" i="15" s="1"/>
  <c r="S118" i="15"/>
  <c r="S10" i="15" s="1"/>
  <c r="T117" i="15"/>
  <c r="T9" i="15" s="1"/>
  <c r="S117" i="15"/>
  <c r="S9" i="15" s="1"/>
  <c r="T116" i="15"/>
  <c r="S116" i="15"/>
  <c r="T115" i="15"/>
  <c r="S115" i="15"/>
  <c r="T114" i="15"/>
  <c r="S114" i="15"/>
  <c r="T113" i="15"/>
  <c r="T7" i="15" s="1"/>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N21" i="15" s="1"/>
  <c r="T21" i="15"/>
  <c r="S21" i="15"/>
  <c r="O21" i="15" s="1"/>
  <c r="V20" i="15"/>
  <c r="U20" i="15"/>
  <c r="N20" i="15" s="1"/>
  <c r="T20" i="15"/>
  <c r="S20" i="15"/>
  <c r="O20" i="15" s="1"/>
  <c r="V19" i="15"/>
  <c r="U19" i="15"/>
  <c r="T19" i="15"/>
  <c r="S19" i="15"/>
  <c r="V18" i="15"/>
  <c r="U18" i="15"/>
  <c r="N18" i="15" s="1"/>
  <c r="S18" i="15"/>
  <c r="V17" i="15"/>
  <c r="U17" i="15"/>
  <c r="T17" i="15"/>
  <c r="S17" i="15"/>
  <c r="V16" i="15"/>
  <c r="U16" i="15"/>
  <c r="V15" i="15"/>
  <c r="U15" i="15"/>
  <c r="V14" i="15"/>
  <c r="U14" i="15"/>
  <c r="V13" i="15"/>
  <c r="U13" i="15"/>
  <c r="T13" i="15"/>
  <c r="S13" i="15"/>
  <c r="V12" i="15"/>
  <c r="U12" i="15"/>
  <c r="V11" i="15"/>
  <c r="U11" i="15"/>
  <c r="V10" i="15"/>
  <c r="U10" i="15"/>
  <c r="V9" i="15"/>
  <c r="U9" i="15"/>
  <c r="V8" i="15"/>
  <c r="U8" i="15"/>
  <c r="T8" i="15"/>
  <c r="S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I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Q15" i="11" s="1"/>
  <c r="AB14" i="11"/>
  <c r="Z14" i="11"/>
  <c r="E14" i="11" s="1"/>
  <c r="M14" i="11"/>
  <c r="O14" i="11" s="1"/>
  <c r="AB13" i="11"/>
  <c r="Z13" i="11"/>
  <c r="L13" i="11" s="1"/>
  <c r="M13" i="11"/>
  <c r="Q13" i="11" s="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A27" i="9"/>
  <c r="AD27" i="9" s="1"/>
  <c r="AA26" i="9"/>
  <c r="AD22" i="6" s="1"/>
  <c r="AA25" i="9"/>
  <c r="AG25" i="9" s="1"/>
  <c r="T21" i="3" s="1"/>
  <c r="AA24" i="9"/>
  <c r="AJ24" i="9" s="1"/>
  <c r="AL23" i="9"/>
  <c r="AK23" i="9"/>
  <c r="AJ23" i="9"/>
  <c r="AI23" i="9"/>
  <c r="AH23" i="9"/>
  <c r="AA23" i="9"/>
  <c r="AD23" i="9" s="1"/>
  <c r="AA22" i="9"/>
  <c r="L18" i="5" s="1"/>
  <c r="AA21" i="9"/>
  <c r="J30" i="2" s="1"/>
  <c r="K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19" i="6"/>
  <c r="AI19" i="6" s="1"/>
  <c r="L22" i="5"/>
  <c r="L21" i="5"/>
  <c r="L19" i="5"/>
  <c r="L8"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K57" i="4"/>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K37" i="4"/>
  <c r="AJ37"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N73" i="2"/>
  <c r="BL73" i="2"/>
  <c r="BH73" i="2"/>
  <c r="BI73" i="2" s="1"/>
  <c r="BH72" i="2"/>
  <c r="BH71" i="2"/>
  <c r="BK71" i="2" s="1"/>
  <c r="BH70" i="2"/>
  <c r="BP70" i="2" s="1"/>
  <c r="BH69" i="2"/>
  <c r="BI69" i="2" s="1"/>
  <c r="BH68" i="2"/>
  <c r="BI68" i="2" s="1"/>
  <c r="BH67" i="2"/>
  <c r="BO67" i="2" s="1"/>
  <c r="BH66" i="2"/>
  <c r="BH65" i="2"/>
  <c r="BO65" i="2" s="1"/>
  <c r="BH64" i="2"/>
  <c r="BN64" i="2" s="1"/>
  <c r="BN63" i="2"/>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P44" i="2"/>
  <c r="BN44"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J29" i="2"/>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M11" i="2"/>
  <c r="BL11" i="2"/>
  <c r="BJ11" i="2"/>
  <c r="BI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J5" i="2"/>
  <c r="G5" i="2"/>
  <c r="BO5" i="2" l="1"/>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AJ17" i="6" s="1"/>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J17"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AK21" i="9"/>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O17" i="11"/>
  <c r="BL21" i="2"/>
  <c r="J33" i="2"/>
  <c r="K33" i="2" s="1"/>
  <c r="D16" i="4"/>
  <c r="BO21" i="2"/>
  <c r="BK27" i="2"/>
  <c r="BO23" i="2"/>
  <c r="BM34" i="2"/>
  <c r="E15" i="4"/>
  <c r="AJ33" i="4"/>
  <c r="BL7" i="2"/>
  <c r="BK11" i="2"/>
  <c r="BP23" i="2"/>
  <c r="J28" i="2"/>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BJ38" i="2"/>
  <c r="BN38" i="2"/>
  <c r="BK38" i="2"/>
  <c r="A7" i="10"/>
  <c r="AJ11" i="9"/>
  <c r="AK11" i="9" s="1"/>
  <c r="AF11" i="9"/>
  <c r="L7" i="5"/>
  <c r="AI28" i="9"/>
  <c r="L24" i="5"/>
  <c r="AH28" i="9"/>
  <c r="A24" i="10"/>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O17" i="4"/>
  <c r="C18" i="4"/>
  <c r="G20" i="4"/>
  <c r="H20" i="4" s="1"/>
  <c r="K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J24" i="10"/>
  <c r="R19" i="11"/>
  <c r="S19" i="11"/>
  <c r="N18" i="11"/>
  <c r="P18" i="11"/>
  <c r="N15" i="11"/>
  <c r="N13" i="11"/>
  <c r="O13" i="11"/>
  <c r="P13" i="11"/>
  <c r="T12" i="15"/>
  <c r="O12" i="15" s="1"/>
  <c r="O8" i="15"/>
  <c r="O17" i="15"/>
  <c r="O15" i="15"/>
  <c r="O9" i="15"/>
  <c r="O18" i="15"/>
  <c r="O10" i="15"/>
  <c r="O13" i="15"/>
  <c r="O19" i="15"/>
  <c r="O16" i="15"/>
  <c r="N17" i="15"/>
  <c r="N15" i="15"/>
  <c r="O14" i="15"/>
  <c r="O11"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I43" i="13" s="1"/>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I41" i="13" s="1"/>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I39" i="13" s="1"/>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I37" i="13" s="1"/>
  <c r="F39" i="13"/>
  <c r="F46" i="13"/>
  <c r="D71" i="13"/>
  <c r="D87" i="13"/>
  <c r="J89" i="13"/>
  <c r="A94" i="13"/>
  <c r="F97" i="13"/>
  <c r="J116" i="13"/>
  <c r="D119" i="13"/>
  <c r="G7" i="13"/>
  <c r="F71" i="13"/>
  <c r="A74" i="13"/>
  <c r="C94" i="13"/>
  <c r="H97" i="13"/>
  <c r="I97" i="13" s="1"/>
  <c r="A102" i="13"/>
  <c r="F121" i="13"/>
  <c r="E135" i="13"/>
  <c r="E144" i="13"/>
  <c r="C146" i="13"/>
  <c r="J147" i="13"/>
  <c r="H150" i="13"/>
  <c r="I150" i="13" s="1"/>
  <c r="M24" i="5"/>
  <c r="U24" i="5" s="1"/>
  <c r="AC11" i="4"/>
  <c r="J11" i="4" s="1"/>
  <c r="K18" i="4"/>
  <c r="Q18" i="4" s="1"/>
  <c r="L26" i="7"/>
  <c r="A26" i="7" s="1"/>
  <c r="F21" i="4"/>
  <c r="M23" i="5"/>
  <c r="O23" i="5"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K28" i="2"/>
  <c r="AB18" i="9"/>
  <c r="B14" i="10" s="1"/>
  <c r="AC18" i="9"/>
  <c r="AD18" i="9"/>
  <c r="L14" i="5"/>
  <c r="AE18" i="9"/>
  <c r="B14" i="4"/>
  <c r="AG18" i="9"/>
  <c r="T14" i="3" s="1"/>
  <c r="AH18" i="9"/>
  <c r="AI18" i="9"/>
  <c r="I13" i="4"/>
  <c r="K26" i="2"/>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E12" i="6"/>
  <c r="AG11" i="9"/>
  <c r="T7" i="3" s="1"/>
  <c r="AI23" i="6"/>
  <c r="J23" i="10"/>
  <c r="AB11" i="9"/>
  <c r="B7" i="10" s="1"/>
  <c r="A6" i="2"/>
  <c r="AJ10" i="9"/>
  <c r="AK10" i="9" s="1"/>
  <c r="AJ23" i="6"/>
  <c r="A6" i="10"/>
  <c r="F6" i="10" s="1"/>
  <c r="AF19" i="6"/>
  <c r="AC10" i="9"/>
  <c r="AD10" i="9"/>
  <c r="J19" i="2"/>
  <c r="K19" i="2" s="1"/>
  <c r="AH19" i="6"/>
  <c r="AE10" i="9"/>
  <c r="AJ19" i="6"/>
  <c r="AF10" i="9"/>
  <c r="C6" i="4"/>
  <c r="AG10" i="9"/>
  <c r="AG19" i="6"/>
  <c r="L6" i="5"/>
  <c r="G6" i="4"/>
  <c r="H6" i="4" s="1"/>
  <c r="AH10" i="9"/>
  <c r="K5" i="4"/>
  <c r="U5" i="4" s="1"/>
  <c r="Z21" i="14"/>
  <c r="Z22" i="14"/>
  <c r="Z20" i="14"/>
  <c r="Z19" i="14"/>
  <c r="Z25" i="14"/>
  <c r="Z24" i="14"/>
  <c r="Z18" i="14"/>
  <c r="Z23" i="14"/>
  <c r="F24" i="10"/>
  <c r="A5" i="2"/>
  <c r="AH17" i="6"/>
  <c r="AF21" i="6"/>
  <c r="AB9" i="9"/>
  <c r="B5" i="10" s="1"/>
  <c r="H24" i="10"/>
  <c r="DP5" i="2"/>
  <c r="AG9" i="9"/>
  <c r="T5" i="3" s="1"/>
  <c r="AE17" i="6"/>
  <c r="AG21" i="6"/>
  <c r="AD9" i="9"/>
  <c r="L5" i="5"/>
  <c r="AE23" i="6"/>
  <c r="AF17" i="6"/>
  <c r="AE16" i="6"/>
  <c r="AF23" i="6"/>
  <c r="D6" i="10"/>
  <c r="AG17" i="6"/>
  <c r="AI17" i="6"/>
  <c r="AH16" i="6"/>
  <c r="AG23" i="6"/>
  <c r="C24" i="10"/>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F5" i="4"/>
  <c r="AC6" i="4"/>
  <c r="J6" i="4" s="1"/>
  <c r="E6" i="4"/>
  <c r="D6" i="4"/>
  <c r="B6" i="4"/>
  <c r="AK11" i="4"/>
  <c r="AI11" i="4"/>
  <c r="AJ11" i="4"/>
  <c r="AG11" i="4"/>
  <c r="AF11" i="4"/>
  <c r="AH11" i="4"/>
  <c r="AE11" i="4"/>
  <c r="K15"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P17" i="4"/>
  <c r="D17" i="4"/>
  <c r="CL17" i="4"/>
  <c r="C17" i="4"/>
  <c r="G17" i="4"/>
  <c r="H17" i="4" s="1"/>
  <c r="K17" i="4" s="1"/>
  <c r="W17" i="4" s="1"/>
  <c r="AC17" i="4"/>
  <c r="N17" i="4"/>
  <c r="M17" i="4"/>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F23" i="4" s="1"/>
  <c r="G23" i="4"/>
  <c r="H23" i="4" s="1"/>
  <c r="B23" i="4"/>
  <c r="P23" i="4"/>
  <c r="I23" i="4"/>
  <c r="CL23" i="4"/>
  <c r="AC23" i="4"/>
  <c r="AH25" i="4"/>
  <c r="AG25" i="4"/>
  <c r="AL25" i="4"/>
  <c r="AE25" i="4"/>
  <c r="AK25" i="4"/>
  <c r="AF62" i="4"/>
  <c r="AE62" i="4"/>
  <c r="AK62" i="4"/>
  <c r="AI62" i="4"/>
  <c r="AJ62" i="4"/>
  <c r="AI8" i="6"/>
  <c r="AJ8" i="6" s="1"/>
  <c r="AF8" i="6"/>
  <c r="AG8" i="6"/>
  <c r="AE8" i="6"/>
  <c r="AH10"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F6" i="6"/>
  <c r="AI6" i="6"/>
  <c r="AJ6" i="6" s="1"/>
  <c r="AH6" i="6"/>
  <c r="AC18" i="4"/>
  <c r="E18" i="4"/>
  <c r="F18" i="4" s="1"/>
  <c r="O18" i="4"/>
  <c r="CL20" i="4"/>
  <c r="E20" i="4"/>
  <c r="F20" i="4" s="1"/>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F15" i="4" s="1"/>
  <c r="CL21" i="4"/>
  <c r="J21" i="4"/>
  <c r="K21" i="4" s="1"/>
  <c r="Y21" i="4" s="1"/>
  <c r="O21" i="4"/>
  <c r="AC21" i="4"/>
  <c r="P24" i="4"/>
  <c r="D24" i="4"/>
  <c r="F24" i="4" s="1"/>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E7" i="10"/>
  <c r="J7" i="10"/>
  <c r="D7" i="10"/>
  <c r="F7" i="10"/>
  <c r="H7" i="10"/>
  <c r="C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E11" i="10"/>
  <c r="J11" i="10"/>
  <c r="AF24" i="9"/>
  <c r="AH24" i="9"/>
  <c r="AG24" i="9"/>
  <c r="T20" i="3" s="1"/>
  <c r="AI24" i="9"/>
  <c r="AC24" i="9"/>
  <c r="AL24" i="9"/>
  <c r="AD24" i="9"/>
  <c r="AN24" i="9"/>
  <c r="AE24" i="9"/>
  <c r="C11" i="10"/>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M21" i="5" s="1"/>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G24" i="10"/>
  <c r="E24" i="10"/>
  <c r="I24" i="10"/>
  <c r="D24" i="10"/>
  <c r="A15" i="10"/>
  <c r="AH19" i="9"/>
  <c r="AG19" i="9"/>
  <c r="AF19" i="9"/>
  <c r="AI19" i="9"/>
  <c r="AC19" i="9"/>
  <c r="M15" i="5" s="1"/>
  <c r="I13" i="11"/>
  <c r="C23" i="10"/>
  <c r="O12" i="11"/>
  <c r="P12" i="11"/>
  <c r="T12" i="11"/>
  <c r="Q12" i="11"/>
  <c r="AE19" i="9"/>
  <c r="AL21" i="9"/>
  <c r="AE21" i="9"/>
  <c r="AD21" i="9"/>
  <c r="M17" i="5" s="1"/>
  <c r="AB21" i="9"/>
  <c r="B17" i="10" s="1"/>
  <c r="AN21" i="9"/>
  <c r="AJ21" i="9"/>
  <c r="H12" i="10"/>
  <c r="E12" i="10"/>
  <c r="N12" i="11"/>
  <c r="P16" i="11"/>
  <c r="O16" i="11"/>
  <c r="N16" i="11"/>
  <c r="T16" i="11"/>
  <c r="R16" i="11"/>
  <c r="E23" i="10"/>
  <c r="H23" i="10"/>
  <c r="G23" i="10"/>
  <c r="F23" i="10"/>
  <c r="G6" i="10"/>
  <c r="C6" i="10"/>
  <c r="A17" i="10"/>
  <c r="I19" i="10"/>
  <c r="E19" i="10"/>
  <c r="D19" i="10"/>
  <c r="H19" i="10"/>
  <c r="I23" i="10"/>
  <c r="R12" i="11"/>
  <c r="Q16" i="11"/>
  <c r="E13" i="11"/>
  <c r="G13" i="11"/>
  <c r="A13" i="11"/>
  <c r="J13" i="11" s="1"/>
  <c r="F13" i="11"/>
  <c r="T15" i="11"/>
  <c r="P15" i="11"/>
  <c r="O15" i="11"/>
  <c r="I33" i="11"/>
  <c r="E9" i="10"/>
  <c r="D9" i="10"/>
  <c r="E33" i="11"/>
  <c r="C33" i="11"/>
  <c r="F33" i="11"/>
  <c r="D33" i="11"/>
  <c r="H33" i="11"/>
  <c r="G33" i="11"/>
  <c r="B33" i="11"/>
  <c r="A33" i="11"/>
  <c r="J33" i="11" s="1"/>
  <c r="F9" i="10"/>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K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I40" i="13" s="1"/>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I34" i="13" s="1"/>
  <c r="G34" i="13"/>
  <c r="D34" i="13"/>
  <c r="B34" i="13"/>
  <c r="B36" i="13"/>
  <c r="J36" i="13"/>
  <c r="I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I38" i="13" s="1"/>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I35" i="13" s="1"/>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I46" i="13" s="1"/>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G9" i="10" l="1"/>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U18" i="4"/>
  <c r="Y18" i="4"/>
  <c r="W18" i="4"/>
  <c r="Z18" i="4"/>
  <c r="AA18" i="4"/>
  <c r="AB18" i="4" s="1"/>
  <c r="L18" i="4"/>
  <c r="X18" i="4"/>
  <c r="V18" i="4"/>
  <c r="K11" i="4"/>
  <c r="Z11" i="4" s="1"/>
  <c r="M5" i="5"/>
  <c r="Z5" i="5" s="1"/>
  <c r="AA19" i="5"/>
  <c r="AN19" i="5"/>
  <c r="F12" i="4"/>
  <c r="H19" i="7"/>
  <c r="C26" i="7"/>
  <c r="Z23" i="5"/>
  <c r="K8" i="4"/>
  <c r="Y8" i="4" s="1"/>
  <c r="H26" i="7"/>
  <c r="AL11" i="9"/>
  <c r="AQ23" i="5"/>
  <c r="AC23" i="5"/>
  <c r="AF23" i="5"/>
  <c r="AG23" i="5"/>
  <c r="Q5" i="4"/>
  <c r="R5" i="4" s="1"/>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X5" i="4"/>
  <c r="W5" i="4"/>
  <c r="F8" i="4"/>
  <c r="U17" i="4"/>
  <c r="K12" i="4"/>
  <c r="L12" i="4" s="1"/>
  <c r="V5" i="4"/>
  <c r="M20" i="5"/>
  <c r="AL20" i="5" s="1"/>
  <c r="X17" i="4"/>
  <c r="Z17" i="4"/>
  <c r="M16" i="5"/>
  <c r="O16" i="5" s="1"/>
  <c r="Z16" i="5" s="1"/>
  <c r="F13" i="4"/>
  <c r="X13" i="4" s="1"/>
  <c r="AA17" i="4"/>
  <c r="AB17" i="4" s="1"/>
  <c r="Z5" i="4"/>
  <c r="M10" i="5"/>
  <c r="Z10" i="5" s="1"/>
  <c r="M18" i="5"/>
  <c r="X18" i="5" s="1"/>
  <c r="F17" i="4"/>
  <c r="M22" i="5"/>
  <c r="AQ22" i="5" s="1"/>
  <c r="L5" i="4"/>
  <c r="J15" i="7"/>
  <c r="D15" i="7"/>
  <c r="B15" i="7"/>
  <c r="C15" i="7"/>
  <c r="I15" i="7"/>
  <c r="H15" i="7"/>
  <c r="G15" i="7"/>
  <c r="F15" i="7"/>
  <c r="K17" i="7"/>
  <c r="F17" i="7"/>
  <c r="J17" i="7"/>
  <c r="I17" i="7"/>
  <c r="G17" i="7"/>
  <c r="D25" i="7"/>
  <c r="K15" i="7"/>
  <c r="C16" i="7"/>
  <c r="E21" i="7"/>
  <c r="Z23" i="4"/>
  <c r="V22" i="4"/>
  <c r="M6" i="5"/>
  <c r="AH6" i="5" s="1"/>
  <c r="K10" i="7"/>
  <c r="F10" i="7"/>
  <c r="C10" i="7"/>
  <c r="B10" i="7"/>
  <c r="J10" i="7"/>
  <c r="I10" i="7"/>
  <c r="G10" i="7"/>
  <c r="D10" i="7"/>
  <c r="F9" i="4"/>
  <c r="M9" i="5"/>
  <c r="AB9" i="5" s="1"/>
  <c r="J25" i="7"/>
  <c r="I25" i="7"/>
  <c r="C25" i="7"/>
  <c r="I21" i="7"/>
  <c r="Y5" i="4"/>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P11" i="4" s="1"/>
  <c r="AE5" i="6"/>
  <c r="N9" i="4"/>
  <c r="P9" i="4" s="1"/>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Z14" i="4"/>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Q20" i="4"/>
  <c r="Z20" i="4"/>
  <c r="Y20" i="4"/>
  <c r="V20" i="4"/>
  <c r="L20" i="4"/>
  <c r="AA20" i="4"/>
  <c r="U20" i="4"/>
  <c r="Y15" i="4"/>
  <c r="X15" i="4"/>
  <c r="W15" i="4"/>
  <c r="U15" i="4"/>
  <c r="Z15" i="4"/>
  <c r="Q15" i="4"/>
  <c r="L15" i="4"/>
  <c r="V15" i="4"/>
  <c r="F12" i="14"/>
  <c r="E12" i="14"/>
  <c r="D12" i="14"/>
  <c r="C12" i="14"/>
  <c r="N12" i="14"/>
  <c r="B12" i="14"/>
  <c r="M12" i="14"/>
  <c r="A12" i="14"/>
  <c r="O12" i="14" s="1"/>
  <c r="L12" i="14"/>
  <c r="K12" i="14"/>
  <c r="J12" i="14"/>
  <c r="I12" i="14"/>
  <c r="H12" i="14"/>
  <c r="G12" i="14"/>
  <c r="K33" i="11"/>
  <c r="AL20" i="9"/>
  <c r="V21" i="4"/>
  <c r="Q17" i="4"/>
  <c r="L17" i="4"/>
  <c r="Y17" i="4"/>
  <c r="V17"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AO17" i="5"/>
  <c r="AC17" i="5"/>
  <c r="AL17" i="5"/>
  <c r="Y17" i="5"/>
  <c r="AG17" i="5"/>
  <c r="S17" i="5"/>
  <c r="AN17" i="5"/>
  <c r="X17" i="5"/>
  <c r="AB17" i="5"/>
  <c r="AK17" i="5"/>
  <c r="T17" i="5"/>
  <c r="AE17" i="5"/>
  <c r="Z17" i="5"/>
  <c r="AQ17" i="5"/>
  <c r="AH17" i="5"/>
  <c r="AF17" i="5"/>
  <c r="AD17" i="5"/>
  <c r="AA17" i="5"/>
  <c r="W17" i="5"/>
  <c r="V17" i="5"/>
  <c r="U17" i="5"/>
  <c r="O17" i="5"/>
  <c r="AP17" i="5"/>
  <c r="AM17" i="5"/>
  <c r="AJ17" i="5"/>
  <c r="AI17" i="5"/>
  <c r="N17" i="5"/>
  <c r="P17" i="5" s="1"/>
  <c r="K27" i="11"/>
  <c r="I8" i="10"/>
  <c r="D8" i="10"/>
  <c r="C8" i="10"/>
  <c r="F8" i="10"/>
  <c r="J8" i="10"/>
  <c r="E8" i="10"/>
  <c r="H8" i="10"/>
  <c r="G8" i="10"/>
  <c r="L23" i="4"/>
  <c r="W23" i="4"/>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Q22" i="4"/>
  <c r="L22" i="4"/>
  <c r="Z22"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R18" i="4"/>
  <c r="S18" i="4"/>
  <c r="BM18" i="4" s="1"/>
  <c r="F7" i="4"/>
  <c r="AG21" i="5"/>
  <c r="U21" i="5"/>
  <c r="AP21" i="5"/>
  <c r="AC21" i="5"/>
  <c r="O21" i="5"/>
  <c r="AJ21" i="5"/>
  <c r="V21" i="5"/>
  <c r="AN21" i="5"/>
  <c r="Y21" i="5"/>
  <c r="AM21" i="5"/>
  <c r="W21" i="5"/>
  <c r="AA21" i="5"/>
  <c r="AK21" i="5"/>
  <c r="AF21" i="5"/>
  <c r="X21" i="5"/>
  <c r="AL21" i="5"/>
  <c r="AI21" i="5"/>
  <c r="N21" i="5"/>
  <c r="P21" i="5" s="1"/>
  <c r="AQ21" i="5"/>
  <c r="AO21" i="5"/>
  <c r="AH21" i="5"/>
  <c r="AE21" i="5"/>
  <c r="AB21" i="5"/>
  <c r="Z21" i="5"/>
  <c r="T21" i="5"/>
  <c r="AD21" i="5"/>
  <c r="S21" i="5"/>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X20" i="4"/>
  <c r="K16" i="4"/>
  <c r="X22"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AM15" i="5"/>
  <c r="AA15" i="5"/>
  <c r="N15" i="5"/>
  <c r="P15" i="5" s="1"/>
  <c r="AQ15" i="5"/>
  <c r="AD15" i="5"/>
  <c r="AF15" i="5"/>
  <c r="AG15" i="5"/>
  <c r="O15" i="5"/>
  <c r="AE15" i="5" s="1"/>
  <c r="AK15" i="5"/>
  <c r="T15" i="5"/>
  <c r="AB15" i="5"/>
  <c r="AP15" i="5"/>
  <c r="X15" i="5"/>
  <c r="U15" i="5"/>
  <c r="AI15" i="5"/>
  <c r="AH15" i="5"/>
  <c r="AN15" i="5"/>
  <c r="AL15" i="5"/>
  <c r="AJ15" i="5"/>
  <c r="AC15" i="5"/>
  <c r="Z15" i="5"/>
  <c r="Y15" i="5"/>
  <c r="V15" i="5"/>
  <c r="S15" i="5"/>
  <c r="AO15" i="5"/>
  <c r="W15" i="5"/>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Y23" i="4"/>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W20" i="4"/>
  <c r="L13" i="4"/>
  <c r="Q13" i="4"/>
  <c r="Y13" i="4"/>
  <c r="W13" i="4"/>
  <c r="U13" i="4"/>
  <c r="Q24" i="4"/>
  <c r="X24" i="4"/>
  <c r="L24" i="4"/>
  <c r="Y24" i="4"/>
  <c r="U24" i="4"/>
  <c r="AA24" i="4"/>
  <c r="Z24" i="4"/>
  <c r="W24" i="4"/>
  <c r="K21" i="2"/>
  <c r="AA22" i="4" l="1"/>
  <c r="AB22" i="4" s="1"/>
  <c r="U22" i="4"/>
  <c r="Y22" i="4"/>
  <c r="W14" i="4"/>
  <c r="P15" i="4"/>
  <c r="L14" i="4"/>
  <c r="Q14" i="4"/>
  <c r="Y14" i="4"/>
  <c r="U14" i="4"/>
  <c r="AA14" i="4" s="1"/>
  <c r="AB14" i="4" s="1"/>
  <c r="X14" i="4"/>
  <c r="U23" i="4"/>
  <c r="Q23" i="4"/>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T18" i="2"/>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R11" i="4" s="1"/>
  <c r="CK11" i="4" s="1"/>
  <c r="U8" i="4"/>
  <c r="L11" i="4"/>
  <c r="U11" i="4"/>
  <c r="V8" i="4"/>
  <c r="W11" i="4"/>
  <c r="U10" i="4"/>
  <c r="AN10" i="5"/>
  <c r="AQ10" i="5"/>
  <c r="AA10" i="5"/>
  <c r="AP10" i="5"/>
  <c r="AA6" i="5"/>
  <c r="S5" i="4"/>
  <c r="CM5" i="4" s="1"/>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A5" i="4"/>
  <c r="T5" i="2" s="1"/>
  <c r="AF22" i="5"/>
  <c r="W22" i="5"/>
  <c r="AK20" i="5"/>
  <c r="W20" i="5"/>
  <c r="AJ22" i="5"/>
  <c r="AM22" i="5"/>
  <c r="AM20" i="5"/>
  <c r="AN20" i="5"/>
  <c r="V13" i="5"/>
  <c r="N9" i="5"/>
  <c r="P9" i="5" s="1"/>
  <c r="AO20" i="5"/>
  <c r="AC20" i="5"/>
  <c r="W9" i="5"/>
  <c r="U20" i="5"/>
  <c r="Y20" i="5"/>
  <c r="AL22" i="5"/>
  <c r="S20" i="5"/>
  <c r="V20" i="5"/>
  <c r="AK10" i="5"/>
  <c r="AQ9" i="5"/>
  <c r="AM9" i="5"/>
  <c r="V10" i="4"/>
  <c r="Z10" i="4"/>
  <c r="T17" i="2"/>
  <c r="AP6" i="5"/>
  <c r="AN6" i="5"/>
  <c r="AE13" i="5"/>
  <c r="AC9" i="5"/>
  <c r="T22" i="2"/>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CW18" i="2"/>
  <c r="BC18" i="4"/>
  <c r="DD18" i="2"/>
  <c r="DN18" i="2"/>
  <c r="BD18" i="4"/>
  <c r="CA18" i="4"/>
  <c r="BR18" i="4"/>
  <c r="BN18" i="4"/>
  <c r="P10" i="4"/>
  <c r="DG18" i="2"/>
  <c r="DC18" i="2"/>
  <c r="CC18" i="4"/>
  <c r="CO18" i="2"/>
  <c r="AZ18" i="4"/>
  <c r="BZ18" i="2"/>
  <c r="DI18" i="2"/>
  <c r="CF18" i="2"/>
  <c r="BO18" i="4"/>
  <c r="CI18" i="2"/>
  <c r="CH18" i="4"/>
  <c r="DJ18" i="2"/>
  <c r="CF18" i="4"/>
  <c r="BB18" i="4"/>
  <c r="BU18" i="4"/>
  <c r="CA18" i="2"/>
  <c r="CH18" i="2"/>
  <c r="CJ18" i="4"/>
  <c r="BY18" i="2"/>
  <c r="BW18" i="4"/>
  <c r="AV18" i="4"/>
  <c r="CT18" i="2"/>
  <c r="BL18" i="4"/>
  <c r="CI18" i="4"/>
  <c r="CD18" i="2"/>
  <c r="CG18" i="4"/>
  <c r="AA15" i="4"/>
  <c r="AN19" i="9" s="1"/>
  <c r="AA13" i="4"/>
  <c r="T13" i="2" s="1"/>
  <c r="AB24" i="4"/>
  <c r="T24" i="2"/>
  <c r="AM28" i="9"/>
  <c r="AM26" i="9"/>
  <c r="AM19" i="9"/>
  <c r="AM16" i="9"/>
  <c r="CM18" i="4"/>
  <c r="DQ18" i="2"/>
  <c r="P14" i="4"/>
  <c r="R23" i="4"/>
  <c r="S23" i="4"/>
  <c r="AB20" i="4"/>
  <c r="T20" i="2"/>
  <c r="CE18" i="4"/>
  <c r="CQ18" i="2"/>
  <c r="AW18" i="4"/>
  <c r="CS18" i="2"/>
  <c r="AU18" i="4"/>
  <c r="CL18" i="2"/>
  <c r="BI18" i="4"/>
  <c r="AB21" i="4"/>
  <c r="T21" i="2"/>
  <c r="Q7" i="4"/>
  <c r="Y7" i="4"/>
  <c r="L7" i="4"/>
  <c r="V7" i="4"/>
  <c r="Z7" i="4"/>
  <c r="U7" i="4"/>
  <c r="W7" i="4"/>
  <c r="X7" i="4"/>
  <c r="AM24" i="9"/>
  <c r="AM27" i="9"/>
  <c r="CK18" i="4"/>
  <c r="DO18" i="2"/>
  <c r="CG18" i="2"/>
  <c r="DK18" i="2"/>
  <c r="BK18" i="4"/>
  <c r="DF18" i="2"/>
  <c r="BQ18" i="4"/>
  <c r="CX18" i="2"/>
  <c r="BV18" i="4"/>
  <c r="CK5" i="4"/>
  <c r="DO5" i="2"/>
  <c r="AM13" i="9"/>
  <c r="AM10" i="9"/>
  <c r="AM22" i="9"/>
  <c r="AM15" i="9"/>
  <c r="Q16" i="4"/>
  <c r="L16" i="4"/>
  <c r="U16" i="4"/>
  <c r="Y16" i="4"/>
  <c r="X16" i="4"/>
  <c r="V16" i="4"/>
  <c r="Z16" i="4"/>
  <c r="W16" i="4"/>
  <c r="DA18" i="2"/>
  <c r="CB18" i="2"/>
  <c r="CM18" i="2"/>
  <c r="BF18" i="4"/>
  <c r="BX18" i="4"/>
  <c r="AY18" i="4"/>
  <c r="BA18" i="4"/>
  <c r="S21" i="4"/>
  <c r="R21" i="4"/>
  <c r="R17" i="4"/>
  <c r="S17" i="4"/>
  <c r="S24" i="4"/>
  <c r="R24" i="4"/>
  <c r="U13" i="3"/>
  <c r="U21" i="3"/>
  <c r="U7" i="3"/>
  <c r="U6" i="3"/>
  <c r="U12" i="3"/>
  <c r="U11" i="3"/>
  <c r="U10" i="3"/>
  <c r="U14" i="3"/>
  <c r="U5" i="3"/>
  <c r="U20" i="3"/>
  <c r="U9" i="3"/>
  <c r="U24" i="3"/>
  <c r="U8" i="3"/>
  <c r="U23" i="3"/>
  <c r="U16" i="3"/>
  <c r="U19" i="3"/>
  <c r="U17" i="3"/>
  <c r="U22" i="3"/>
  <c r="U15" i="3"/>
  <c r="U18" i="3"/>
  <c r="R15" i="4"/>
  <c r="S15" i="4"/>
  <c r="R20" i="4"/>
  <c r="S20" i="4"/>
  <c r="CJ18" i="2"/>
  <c r="DL18" i="2"/>
  <c r="BS18" i="4"/>
  <c r="CU18" i="2"/>
  <c r="BZ18" i="4"/>
  <c r="CD18" i="4"/>
  <c r="BY18" i="4"/>
  <c r="AM11" i="9"/>
  <c r="AM25" i="9"/>
  <c r="R22" i="4"/>
  <c r="S22" i="4"/>
  <c r="DF22" i="2" s="1"/>
  <c r="CY18" i="2"/>
  <c r="CK18" i="2"/>
  <c r="CC18" i="2"/>
  <c r="CE18" i="2"/>
  <c r="DH18" i="2"/>
  <c r="BH18" i="4"/>
  <c r="BE18" i="4"/>
  <c r="L19" i="4"/>
  <c r="Y19" i="4"/>
  <c r="X19" i="4"/>
  <c r="Q19" i="4"/>
  <c r="AA19" i="4"/>
  <c r="V19" i="4"/>
  <c r="W19" i="4"/>
  <c r="Z19" i="4"/>
  <c r="U19" i="4"/>
  <c r="CZ18" i="2"/>
  <c r="CN18" i="2"/>
  <c r="CV18" i="2"/>
  <c r="CR18" i="2"/>
  <c r="BJ18" i="4"/>
  <c r="CB18" i="4"/>
  <c r="BT18"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DB18" i="2"/>
  <c r="CP18" i="2"/>
  <c r="DM18" i="2"/>
  <c r="DE18" i="2"/>
  <c r="BP18" i="4"/>
  <c r="AX18" i="4"/>
  <c r="BG18" i="4"/>
  <c r="R14" i="4" l="1"/>
  <c r="R6" i="4"/>
  <c r="T23" i="2"/>
  <c r="DQ5" i="2"/>
  <c r="R8" i="4"/>
  <c r="CK8" i="4" s="1"/>
  <c r="S11" i="4"/>
  <c r="CM11" i="4" s="1"/>
  <c r="AA11" i="4"/>
  <c r="AB11" i="4" s="1"/>
  <c r="AA8" i="4"/>
  <c r="AN12" i="9" s="1"/>
  <c r="BQ5" i="4"/>
  <c r="BE5" i="4"/>
  <c r="CS5" i="2"/>
  <c r="BH5" i="4"/>
  <c r="CA5" i="4"/>
  <c r="R12" i="4"/>
  <c r="CK12" i="4" s="1"/>
  <c r="CA5" i="2"/>
  <c r="DB5" i="2"/>
  <c r="DD5" i="2"/>
  <c r="DL5" i="2"/>
  <c r="BG5" i="4"/>
  <c r="AB5" i="4"/>
  <c r="BO5" i="4"/>
  <c r="CE5" i="4"/>
  <c r="DH5" i="2"/>
  <c r="AA12" i="4"/>
  <c r="T12" i="2" s="1"/>
  <c r="G20" i="9"/>
  <c r="E20" i="9"/>
  <c r="BY5" i="2"/>
  <c r="CX5" i="2"/>
  <c r="CQ5" i="2"/>
  <c r="BF5" i="4"/>
  <c r="CY5" i="2"/>
  <c r="CU5" i="2"/>
  <c r="BZ5" i="4"/>
  <c r="CB5" i="4"/>
  <c r="AX5" i="4"/>
  <c r="BK5" i="4"/>
  <c r="CD5" i="4"/>
  <c r="BT5" i="4"/>
  <c r="CE5" i="2"/>
  <c r="BV5" i="4"/>
  <c r="CT5" i="2"/>
  <c r="BI5" i="4"/>
  <c r="BU5" i="4"/>
  <c r="DM5" i="2"/>
  <c r="BX5" i="4"/>
  <c r="DI5" i="2"/>
  <c r="CG5" i="2"/>
  <c r="CZ5" i="2"/>
  <c r="DG5" i="2"/>
  <c r="BP5" i="4"/>
  <c r="CL5" i="2"/>
  <c r="CD5" i="2"/>
  <c r="CV5" i="2"/>
  <c r="AY5" i="4"/>
  <c r="CH5" i="4"/>
  <c r="BB5" i="4"/>
  <c r="CJ5" i="2"/>
  <c r="CR5" i="2"/>
  <c r="CW5" i="2"/>
  <c r="BM5" i="4"/>
  <c r="CP5" i="2"/>
  <c r="CO5" i="2"/>
  <c r="CI5" i="4"/>
  <c r="CC5" i="4"/>
  <c r="DA5" i="2"/>
  <c r="AN9" i="9"/>
  <c r="DC5" i="2"/>
  <c r="BC5" i="4"/>
  <c r="BR5" i="4"/>
  <c r="CI5" i="2"/>
  <c r="CM5" i="2"/>
  <c r="CN5" i="2"/>
  <c r="BN5" i="4"/>
  <c r="BY5" i="4"/>
  <c r="AZ5" i="4"/>
  <c r="AV5" i="4"/>
  <c r="BA5" i="4"/>
  <c r="AW5" i="4"/>
  <c r="BJ5" i="4"/>
  <c r="CF5" i="4"/>
  <c r="CH5" i="2"/>
  <c r="DF5" i="2"/>
  <c r="CK5" i="2"/>
  <c r="CC5" i="2"/>
  <c r="DE5" i="2"/>
  <c r="DN5" i="2"/>
  <c r="R20" i="9"/>
  <c r="H20" i="9"/>
  <c r="J20" i="9" s="1"/>
  <c r="D20" i="9"/>
  <c r="CJ5" i="4"/>
  <c r="CB5" i="2"/>
  <c r="BZ5" i="2"/>
  <c r="CF5" i="2"/>
  <c r="BW5" i="4"/>
  <c r="BL5" i="4"/>
  <c r="Q20" i="9"/>
  <c r="T20" i="9"/>
  <c r="F20" i="9"/>
  <c r="AU5" i="4"/>
  <c r="BS5" i="4"/>
  <c r="DJ5" i="2"/>
  <c r="DK5" i="2"/>
  <c r="CG5" i="4"/>
  <c r="BD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I21" i="9"/>
  <c r="H21" i="9"/>
  <c r="J21" i="9"/>
  <c r="T21" i="9"/>
  <c r="S12" i="4"/>
  <c r="CK22" i="2"/>
  <c r="CE22" i="2"/>
  <c r="CC22" i="4"/>
  <c r="CX22" i="2"/>
  <c r="CV22" i="2"/>
  <c r="DL22" i="2"/>
  <c r="R10" i="4"/>
  <c r="CK10" i="4" s="1"/>
  <c r="BF22" i="4"/>
  <c r="BI22" i="4"/>
  <c r="CM22" i="2"/>
  <c r="AZ22" i="4"/>
  <c r="CO22" i="2"/>
  <c r="DK22" i="2"/>
  <c r="CR22" i="2"/>
  <c r="DN22" i="2"/>
  <c r="S14" i="4"/>
  <c r="CS14" i="2" s="1"/>
  <c r="Q17" i="5"/>
  <c r="F28" i="5" s="1"/>
  <c r="CH22" i="4"/>
  <c r="AX22" i="4"/>
  <c r="BY22" i="4"/>
  <c r="DB22" i="2"/>
  <c r="BE22" i="4"/>
  <c r="AY22" i="4"/>
  <c r="DH22" i="2"/>
  <c r="BK22" i="4"/>
  <c r="BD22" i="4"/>
  <c r="BO22" i="4"/>
  <c r="BG22" i="4"/>
  <c r="CB22" i="2"/>
  <c r="CI22" i="2"/>
  <c r="BX22" i="4"/>
  <c r="CE22" i="4"/>
  <c r="AA16" i="4"/>
  <c r="AB16" i="4" s="1"/>
  <c r="CB22" i="4"/>
  <c r="BH22" i="4"/>
  <c r="BN22" i="4"/>
  <c r="DE22" i="2"/>
  <c r="BV22" i="4"/>
  <c r="CQ22" i="2"/>
  <c r="CH22" i="2"/>
  <c r="DG22" i="2"/>
  <c r="BC22" i="4"/>
  <c r="CW22" i="2"/>
  <c r="CT22" i="2"/>
  <c r="DI22" i="2"/>
  <c r="CA22" i="2"/>
  <c r="CA22" i="4"/>
  <c r="BZ22" i="2"/>
  <c r="CJ22" i="2"/>
  <c r="CG22" i="2"/>
  <c r="CD22" i="2"/>
  <c r="DJ22" i="2"/>
  <c r="AN18" i="9"/>
  <c r="AN17" i="9"/>
  <c r="AB13" i="4"/>
  <c r="T15" i="2"/>
  <c r="AB15" i="4"/>
  <c r="T14" i="2"/>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G17" i="3"/>
  <c r="V17" i="3"/>
  <c r="B17" i="3"/>
  <c r="U62" i="2" s="1"/>
  <c r="X17" i="3"/>
  <c r="A17" i="3"/>
  <c r="K17" i="3"/>
  <c r="J17" i="3"/>
  <c r="Z17" i="3"/>
  <c r="I17" i="3"/>
  <c r="AD17" i="3" s="1"/>
  <c r="H17" i="3"/>
  <c r="AB17" i="3" s="1"/>
  <c r="E17" i="3"/>
  <c r="Y17" i="3"/>
  <c r="W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M22" i="4"/>
  <c r="DQ22" i="2"/>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DC22" i="2"/>
  <c r="CC22" i="2"/>
  <c r="BL22" i="4"/>
  <c r="BW22" i="4"/>
  <c r="CG22" i="4"/>
  <c r="BB22" i="4"/>
  <c r="BA22" i="4"/>
  <c r="CK22" i="4"/>
  <c r="DO22" i="2"/>
  <c r="CM15" i="4"/>
  <c r="DQ15" i="2"/>
  <c r="BH15" i="4"/>
  <c r="BX15" i="4"/>
  <c r="BD15" i="4"/>
  <c r="CM15" i="2"/>
  <c r="BC15" i="4"/>
  <c r="DB15" i="2"/>
  <c r="CC15" i="2"/>
  <c r="AV15" i="4"/>
  <c r="BI15" i="4"/>
  <c r="BM15" i="4"/>
  <c r="CA15" i="2"/>
  <c r="DE15" i="2"/>
  <c r="CK15" i="2"/>
  <c r="CQ15" i="2"/>
  <c r="CJ15" i="4"/>
  <c r="BR15" i="4"/>
  <c r="BE15" i="4"/>
  <c r="BZ15" i="4"/>
  <c r="CP15" i="2"/>
  <c r="BU15" i="4"/>
  <c r="CI15" i="2"/>
  <c r="BW15" i="4"/>
  <c r="AZ15" i="4"/>
  <c r="CE15" i="4"/>
  <c r="DJ15" i="2"/>
  <c r="CB15" i="2"/>
  <c r="BQ15" i="4"/>
  <c r="DN15" i="2"/>
  <c r="BJ15" i="4"/>
  <c r="CH15" i="4"/>
  <c r="BA15" i="4"/>
  <c r="CX15" i="2"/>
  <c r="BY15" i="2"/>
  <c r="CW15" i="2"/>
  <c r="CH15" i="2"/>
  <c r="AW15" i="4"/>
  <c r="BO15" i="4"/>
  <c r="DM15" i="2"/>
  <c r="CL15" i="2"/>
  <c r="DD15" i="2"/>
  <c r="DI15" i="2"/>
  <c r="DH15" i="2"/>
  <c r="CD15" i="4"/>
  <c r="AX15" i="4"/>
  <c r="DA15" i="2"/>
  <c r="BZ15" i="2"/>
  <c r="CO15" i="2"/>
  <c r="CV15" i="2"/>
  <c r="CE15" i="2"/>
  <c r="BP15" i="4"/>
  <c r="CG15" i="4"/>
  <c r="CC15" i="4"/>
  <c r="BL15" i="4"/>
  <c r="DC15" i="2"/>
  <c r="CT15" i="2"/>
  <c r="BS15" i="4"/>
  <c r="BB15" i="4"/>
  <c r="BN15" i="4"/>
  <c r="AY15" i="4"/>
  <c r="DL15" i="2"/>
  <c r="CN15" i="2"/>
  <c r="CS15" i="2"/>
  <c r="DG15" i="2"/>
  <c r="CF15" i="4"/>
  <c r="BK15" i="4"/>
  <c r="BF15" i="4"/>
  <c r="DK15" i="2"/>
  <c r="CG15" i="2"/>
  <c r="CJ15" i="2"/>
  <c r="DF15" i="2"/>
  <c r="BT15" i="4"/>
  <c r="AU15" i="4"/>
  <c r="BV15" i="4"/>
  <c r="CY15" i="2"/>
  <c r="BG15" i="4"/>
  <c r="CI15" i="4"/>
  <c r="CR15" i="2"/>
  <c r="BY15" i="4"/>
  <c r="CA15" i="4"/>
  <c r="CB15" i="4"/>
  <c r="CU15" i="2"/>
  <c r="CZ15" i="2"/>
  <c r="CF15" i="2"/>
  <c r="CD15"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CP22" i="2"/>
  <c r="CS22" i="2"/>
  <c r="BT22" i="4"/>
  <c r="CF22" i="4"/>
  <c r="BP22" i="4"/>
  <c r="BS22" i="4"/>
  <c r="BM22" i="4"/>
  <c r="D25" i="9"/>
  <c r="T25" i="9"/>
  <c r="G25" i="9"/>
  <c r="F25" i="9"/>
  <c r="J25" i="9"/>
  <c r="E25" i="9"/>
  <c r="Q25" i="9"/>
  <c r="A25" i="9"/>
  <c r="C25" i="9"/>
  <c r="B25" i="9"/>
  <c r="R25" i="9"/>
  <c r="L25" i="9"/>
  <c r="I25" i="9"/>
  <c r="H25" i="9"/>
  <c r="K25" i="9"/>
  <c r="M25" i="9"/>
  <c r="CK15" i="4"/>
  <c r="DO15" i="2"/>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CM20" i="4"/>
  <c r="DQ20" i="2"/>
  <c r="CG20" i="4"/>
  <c r="BT20" i="4"/>
  <c r="DJ20" i="2"/>
  <c r="CT20" i="2"/>
  <c r="CS20" i="2"/>
  <c r="CO20" i="2"/>
  <c r="CL20" i="2"/>
  <c r="BK20" i="4"/>
  <c r="CP20" i="2"/>
  <c r="BL20" i="4"/>
  <c r="CH20" i="4"/>
  <c r="CE20" i="2"/>
  <c r="CA20" i="2"/>
  <c r="DC20" i="2"/>
  <c r="BY20" i="4"/>
  <c r="BR20" i="4"/>
  <c r="AY20" i="4"/>
  <c r="CW20" i="2"/>
  <c r="CG20" i="2"/>
  <c r="CB20" i="2"/>
  <c r="CF20" i="2"/>
  <c r="BA20" i="4"/>
  <c r="DN20" i="2"/>
  <c r="AW20" i="4"/>
  <c r="CI20" i="4"/>
  <c r="CM20" i="2"/>
  <c r="DK20" i="2"/>
  <c r="DE20" i="2"/>
  <c r="BH20" i="4"/>
  <c r="BM20" i="4"/>
  <c r="BC20" i="4"/>
  <c r="BS20" i="4"/>
  <c r="CJ20" i="2"/>
  <c r="DD20" i="2"/>
  <c r="BU20" i="4"/>
  <c r="BY20" i="2"/>
  <c r="BX20" i="4"/>
  <c r="DB20" i="2"/>
  <c r="CE20" i="4"/>
  <c r="AZ20" i="4"/>
  <c r="CX20" i="2"/>
  <c r="CR20" i="2"/>
  <c r="CK20" i="2"/>
  <c r="BD20" i="4"/>
  <c r="AX20" i="4"/>
  <c r="CD20" i="2"/>
  <c r="CC20" i="4"/>
  <c r="AU20" i="4"/>
  <c r="DM20" i="2"/>
  <c r="BO20" i="4"/>
  <c r="BN20" i="4"/>
  <c r="BZ20" i="4"/>
  <c r="CF20" i="4"/>
  <c r="BG20" i="4"/>
  <c r="DH20" i="2"/>
  <c r="CV20" i="2"/>
  <c r="DI20" i="2"/>
  <c r="DA20" i="2"/>
  <c r="CY20" i="2"/>
  <c r="BJ20" i="4"/>
  <c r="BQ20" i="4"/>
  <c r="BP20" i="4"/>
  <c r="CU20" i="2"/>
  <c r="CC20" i="2"/>
  <c r="CQ20" i="2"/>
  <c r="BF20" i="4"/>
  <c r="BW20" i="4"/>
  <c r="BV20" i="4"/>
  <c r="CJ20" i="4"/>
  <c r="CD20" i="4"/>
  <c r="CA20" i="4"/>
  <c r="CI20" i="2"/>
  <c r="AV20" i="4"/>
  <c r="BB20" i="4"/>
  <c r="BI20" i="4"/>
  <c r="CH20" i="2"/>
  <c r="CB20" i="4"/>
  <c r="BZ20" i="2"/>
  <c r="CZ20" i="2"/>
  <c r="BE20" i="4"/>
  <c r="DG20" i="2"/>
  <c r="DL20" i="2"/>
  <c r="DF20" i="2"/>
  <c r="CN20" i="2"/>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DA22" i="2"/>
  <c r="DM22" i="2"/>
  <c r="CI22" i="4"/>
  <c r="BY22" i="2"/>
  <c r="BQ22" i="4"/>
  <c r="CJ22" i="4"/>
  <c r="BZ22" i="4"/>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CK24" i="4"/>
  <c r="DO24" i="2"/>
  <c r="R26" i="9"/>
  <c r="F26" i="9"/>
  <c r="L26" i="9"/>
  <c r="K26" i="9"/>
  <c r="G26" i="9"/>
  <c r="C26" i="9"/>
  <c r="M26" i="9"/>
  <c r="J26" i="9"/>
  <c r="E26" i="9"/>
  <c r="D26" i="9"/>
  <c r="A26" i="9"/>
  <c r="T26" i="9"/>
  <c r="H26" i="9"/>
  <c r="B26" i="9"/>
  <c r="Q26" i="9"/>
  <c r="I26" i="9"/>
  <c r="Q13" i="5"/>
  <c r="Q24" i="5"/>
  <c r="CF22" i="2"/>
  <c r="AU22" i="4"/>
  <c r="CN22" i="2"/>
  <c r="CL22" i="2"/>
  <c r="AW22" i="4"/>
  <c r="AV22" i="4"/>
  <c r="BR22" i="4"/>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CZ22" i="2"/>
  <c r="CU22" i="2"/>
  <c r="DD22" i="2"/>
  <c r="CY22" i="2"/>
  <c r="BU22" i="4"/>
  <c r="BJ22" i="4"/>
  <c r="CD22" i="4"/>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CK23" i="4"/>
  <c r="DO23" i="2"/>
  <c r="CK17" i="4"/>
  <c r="DO17" i="2"/>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CK14" i="4"/>
  <c r="DO14" i="2"/>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6" i="4"/>
  <c r="DO6" i="2"/>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K43" i="6" s="1"/>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CM17" i="4"/>
  <c r="DQ17" i="2"/>
  <c r="BH17" i="4"/>
  <c r="CW17" i="2"/>
  <c r="BO17" i="4"/>
  <c r="BI17" i="4"/>
  <c r="CH17" i="2"/>
  <c r="AZ17" i="4"/>
  <c r="CT17" i="2"/>
  <c r="AV17" i="4"/>
  <c r="CK17" i="2"/>
  <c r="CB17" i="4"/>
  <c r="DN17" i="2"/>
  <c r="CD17" i="4"/>
  <c r="DG17" i="2"/>
  <c r="CE17" i="2"/>
  <c r="BY17" i="4"/>
  <c r="BY17" i="2"/>
  <c r="BG17" i="4"/>
  <c r="DA17" i="2"/>
  <c r="BX17" i="4"/>
  <c r="CQ17" i="2"/>
  <c r="DB17" i="2"/>
  <c r="BL17" i="4"/>
  <c r="BZ17" i="4"/>
  <c r="BW17" i="4"/>
  <c r="CN17" i="2"/>
  <c r="BV17" i="4"/>
  <c r="DE17" i="2"/>
  <c r="CJ17" i="2"/>
  <c r="AY17" i="4"/>
  <c r="BK17" i="4"/>
  <c r="BE17" i="4"/>
  <c r="CA17" i="2"/>
  <c r="BQ17" i="4"/>
  <c r="DF17" i="2"/>
  <c r="CI17" i="2"/>
  <c r="CG17" i="4"/>
  <c r="AW17" i="4"/>
  <c r="CC17" i="4"/>
  <c r="BF17" i="4"/>
  <c r="BC17" i="4"/>
  <c r="CO17" i="2"/>
  <c r="CG17" i="2"/>
  <c r="BR17" i="4"/>
  <c r="BS17" i="4"/>
  <c r="BU17" i="4"/>
  <c r="DM17" i="2"/>
  <c r="DJ17" i="2"/>
  <c r="CL17" i="2"/>
  <c r="CF17" i="2"/>
  <c r="BD17" i="4"/>
  <c r="BA17" i="4"/>
  <c r="BN17" i="4"/>
  <c r="CZ17" i="2"/>
  <c r="CS17" i="2"/>
  <c r="CJ17" i="4"/>
  <c r="DK17" i="2"/>
  <c r="CA17" i="4"/>
  <c r="CI17" i="4"/>
  <c r="DC17" i="2"/>
  <c r="CM17" i="2"/>
  <c r="CB17" i="2"/>
  <c r="CX17" i="2"/>
  <c r="CD17" i="2"/>
  <c r="CF17" i="4"/>
  <c r="AX17" i="4"/>
  <c r="AU17" i="4"/>
  <c r="CC17" i="2"/>
  <c r="CE17" i="4"/>
  <c r="CR17" i="2"/>
  <c r="DL17" i="2"/>
  <c r="BT17" i="4"/>
  <c r="DI17" i="2"/>
  <c r="CH17" i="4"/>
  <c r="BJ17" i="4"/>
  <c r="CY17" i="2"/>
  <c r="BB17" i="4"/>
  <c r="CV17" i="2"/>
  <c r="BM17" i="4"/>
  <c r="BP17" i="4"/>
  <c r="CP17" i="2"/>
  <c r="BZ17" i="2"/>
  <c r="DH17" i="2"/>
  <c r="CU17" i="2"/>
  <c r="DD17" i="2"/>
  <c r="DO8" i="2" l="1"/>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<sst xmlns="http://schemas.openxmlformats.org/spreadsheetml/2006/main" count="8219" uniqueCount="1656">
  <si>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</si>
  <si>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</si>
  <si>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</si>
  <si>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</si>
  <si>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</si>
  <si>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</si>
  <si>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</si>
  <si>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</si>
  <si>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</si>
  <si>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</si>
  <si>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</si>
  <si>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</si>
  <si>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</si>
  <si>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</si>
  <si>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</si>
  <si>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</si>
  <si>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</si>
  <si>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</si>
  <si>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</si>
  <si>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</si>
  <si>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</si>
  <si>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</si>
  <si>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</si>
  <si>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</si>
  <si>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</si>
  <si>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</si>
  <si>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</si>
  <si>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</si>
  <si>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</si>
  <si>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</si>
  <si>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</si>
  <si>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</si>
  <si>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</si>
  <si>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</si>
  <si>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</si>
  <si>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</si>
  <si>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</si>
  <si>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</si>
  <si>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</si>
  <si>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</si>
  <si>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</si>
  <si>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</si>
  <si>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</si>
  <si>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</si>
  <si>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</si>
  <si>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</si>
  <si>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</si>
  <si>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</si>
  <si>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</si>
  <si>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</si>
  <si>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</si>
  <si>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</si>
  <si>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</si>
  <si>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</si>
  <si>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</si>
  <si>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</si>
  <si>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</si>
  <si>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</si>
  <si>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</si>
  <si>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</si>
  <si>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</si>
  <si>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</si>
  <si>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</si>
  <si>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</si>
  <si>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</si>
  <si>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</si>
  <si>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</si>
  <si>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</si>
  <si>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</si>
  <si>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</si>
  <si>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</si>
  <si>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</si>
  <si>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</si>
  <si>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</si>
  <si>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</si>
  <si>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</si>
  <si>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</si>
  <si>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</si>
  <si>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</si>
  <si>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</si>
  <si>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</si>
  <si>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</si>
  <si>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</si>
  <si>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</si>
  <si>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</si>
  <si>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</si>
  <si>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</si>
  <si>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</si>
  <si>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</si>
  <si>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</si>
  <si>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</si>
  <si>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</si>
  <si>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</si>
  <si>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</si>
  <si>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</si>
  <si>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</si>
  <si>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</si>
  <si>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</si>
  <si>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</si>
  <si>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</si>
  <si>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</si>
  <si>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</si>
  <si>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</si>
  <si>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</si>
  <si>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</si>
  <si>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</si>
  <si>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</si>
  <si>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</si>
  <si>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</si>
  <si>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</si>
  <si>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</si>
  <si>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</si>
  <si>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</si>
  <si>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</si>
  <si>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</si>
  <si>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</si>
  <si>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</si>
  <si>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</si>
  <si>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</si>
  <si>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</si>
  <si>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</si>
  <si>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</si>
  <si>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</si>
  <si>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</si>
  <si>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</si>
  <si>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</si>
  <si>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</si>
  <si>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</si>
  <si>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</si>
  <si>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</si>
  <si>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</si>
  <si>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</si>
  <si>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</si>
  <si>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</si>
  <si>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</si>
  <si>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</si>
  <si>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</si>
  <si>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</si>
  <si>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</si>
  <si>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</si>
  <si>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</si>
  <si>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</si>
  <si>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</si>
  <si>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</si>
  <si>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</si>
  <si>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</si>
  <si>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</si>
  <si>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</si>
  <si>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</si>
  <si>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</si>
  <si>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</si>
  <si>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</si>
  <si>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</si>
  <si>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</si>
  <si>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</si>
  <si>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</si>
  <si>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</si>
  <si>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</si>
  <si>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</si>
  <si>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</si>
  <si>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</si>
  <si>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</si>
  <si>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</si>
  <si>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</si>
  <si>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</si>
  <si>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</si>
  <si>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</si>
  <si>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</si>
  <si>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</si>
  <si>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</si>
  <si>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</si>
  <si>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</si>
  <si>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</si>
  <si>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</si>
  <si>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</si>
  <si>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</si>
  <si>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</si>
  <si>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</si>
  <si>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</si>
  <si>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</si>
  <si>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</si>
  <si>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</si>
  <si>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</si>
  <si>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</si>
  <si>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</si>
  <si>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</si>
  <si>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</si>
  <si>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</si>
  <si>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</si>
  <si>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</si>
  <si>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</si>
  <si>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</si>
  <si>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</si>
  <si>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</si>
  <si>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</si>
  <si>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</si>
  <si>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</si>
  <si>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</si>
  <si>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</si>
  <si>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</si>
  <si>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</si>
  <si>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</si>
  <si>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</si>
  <si>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</si>
  <si>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</si>
  <si>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</si>
  <si>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</si>
  <si>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</si>
  <si>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</si>
  <si>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</si>
  <si>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</si>
  <si>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</si>
  <si>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</si>
  <si>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</si>
  <si>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</si>
  <si>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</si>
  <si>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</si>
  <si>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</si>
  <si>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</si>
  <si>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</si>
  <si>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</si>
  <si>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</si>
  <si>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</si>
  <si>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</si>
  <si>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</si>
  <si>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</si>
  <si>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</si>
  <si>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</si>
  <si>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</si>
  <si>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</si>
  <si>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</si>
  <si>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</si>
  <si>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</si>
  <si>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</si>
  <si>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</si>
  <si>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</si>
  <si>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</si>
  <si>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</si>
  <si>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</si>
  <si>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</si>
  <si>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</si>
  <si>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</si>
  <si>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</si>
  <si>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</si>
  <si>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</si>
  <si>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</si>
  <si>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</si>
  <si>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</si>
  <si>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</si>
  <si>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</si>
  <si>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</si>
  <si>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</si>
  <si>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</si>
  <si>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</si>
  <si>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</si>
  <si>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</si>
  <si>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</si>
  <si>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</si>
  <si>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</si>
  <si>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</si>
  <si>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</si>
  <si>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</si>
  <si>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</si>
  <si>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</si>
  <si>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</si>
  <si>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</si>
  <si>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</si>
  <si>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</si>
  <si>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</si>
  <si>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</si>
  <si>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</si>
  <si>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</si>
  <si>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</si>
  <si>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</si>
  <si>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</si>
  <si>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</si>
  <si>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</si>
  <si>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</si>
  <si>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</si>
  <si>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</si>
  <si>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</si>
  <si>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</si>
  <si>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</si>
  <si>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</si>
  <si>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</si>
  <si>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</si>
  <si>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</si>
  <si>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</si>
  <si>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</si>
  <si>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</si>
  <si>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</si>
  <si>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</si>
  <si>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</si>
  <si>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</si>
  <si>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</si>
  <si>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</si>
  <si>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</si>
  <si>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</si>
  <si>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</si>
  <si>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</si>
  <si>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</si>
  <si>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</si>
  <si>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</si>
  <si>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</si>
  <si>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</si>
  <si>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</si>
  <si>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</si>
  <si>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</si>
  <si>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</si>
  <si>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</si>
  <si>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</si>
  <si>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</si>
  <si>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</si>
  <si>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</si>
  <si>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</si>
  <si>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</si>
  <si>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</si>
  <si>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</si>
  <si>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</si>
  <si>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</si>
  <si>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</si>
  <si>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</si>
  <si>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</si>
  <si>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</si>
  <si>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</si>
  <si>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</si>
  <si>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</si>
  <si>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</si>
  <si>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</si>
  <si>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</si>
  <si>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</si>
  <si>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</si>
  <si>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</si>
  <si>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</si>
  <si>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</si>
  <si>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</si>
  <si>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</si>
  <si>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</si>
  <si>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</si>
  <si>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</si>
  <si>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</si>
  <si>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</si>
  <si>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</si>
  <si>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</si>
  <si>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</si>
  <si>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</si>
  <si>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</si>
  <si>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</si>
  <si>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</si>
  <si>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</si>
  <si>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</si>
  <si>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</si>
  <si>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</si>
  <si>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</si>
  <si>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</si>
  <si>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</si>
  <si>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</si>
  <si>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</si>
  <si>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</si>
  <si>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</si>
  <si>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</si>
  <si>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</si>
  <si>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</si>
  <si>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</si>
  <si>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</si>
  <si>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</si>
  <si>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</si>
  <si>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</si>
  <si>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</si>
  <si>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</si>
  <si>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</si>
  <si>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</si>
  <si>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</si>
  <si>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</si>
  <si>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</si>
  <si>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</si>
  <si>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</si>
  <si>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</si>
  <si>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</si>
  <si>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</si>
  <si>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</si>
  <si>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</si>
  <si>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</si>
  <si>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</si>
  <si>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</si>
  <si>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</si>
  <si>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</si>
  <si>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</si>
  <si>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</si>
  <si>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</si>
  <si>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</si>
  <si>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</si>
  <si>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</si>
  <si>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</si>
  <si>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</si>
  <si>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</si>
  <si>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</si>
  <si>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</si>
  <si>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</si>
  <si>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</si>
  <si>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</si>
  <si>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</si>
  <si>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</si>
  <si>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</si>
  <si>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</si>
  <si>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</si>
  <si>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</si>
  <si>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</si>
  <si>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</si>
  <si>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</si>
  <si>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</si>
  <si>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</si>
  <si>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</si>
  <si>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</si>
  <si>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</si>
  <si>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</si>
  <si>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</si>
  <si>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</si>
  <si>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</si>
  <si>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</si>
  <si>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</si>
  <si>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</si>
  <si>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</si>
  <si>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</si>
  <si>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</si>
  <si>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</si>
  <si>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</si>
  <si>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</si>
  <si>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</si>
  <si>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</si>
  <si>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</si>
  <si>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</si>
  <si>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</si>
  <si>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</si>
  <si>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</si>
  <si>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</si>
  <si>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</si>
  <si>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</si>
  <si>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</si>
  <si>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</si>
  <si>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</si>
  <si>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</si>
  <si>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</si>
  <si>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</si>
  <si>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</si>
  <si>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</si>
  <si>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</si>
  <si>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</si>
  <si>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</si>
  <si>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</si>
  <si>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</si>
  <si>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</si>
  <si>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</si>
  <si>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</si>
  <si>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</si>
  <si>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</si>
  <si>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</si>
  <si>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</si>
  <si>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</si>
  <si>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</si>
  <si>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</si>
  <si>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</si>
  <si>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</si>
  <si>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</si>
  <si>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</si>
  <si>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</si>
  <si>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</si>
  <si>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</si>
  <si>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</si>
  <si>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</si>
  <si>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</si>
  <si>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</si>
  <si>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</si>
  <si>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</si>
  <si>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</si>
  <si>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</si>
  <si>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</si>
  <si>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</si>
  <si>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</si>
  <si>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</si>
  <si>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</si>
  <si>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</si>
  <si>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</si>
  <si>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</si>
  <si>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</si>
  <si>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</si>
  <si>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</si>
  <si>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</si>
  <si>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</si>
  <si>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</si>
  <si>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</si>
  <si>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</si>
  <si>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</si>
  <si>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</si>
  <si>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</si>
  <si>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</si>
  <si>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</si>
  <si>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</si>
  <si>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</si>
  <si>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</si>
  <si>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</si>
  <si>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</si>
  <si>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</si>
  <si>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</si>
  <si>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</si>
  <si>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</si>
  <si>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</si>
  <si>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</si>
  <si>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</si>
  <si>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</si>
  <si>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</si>
  <si>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</si>
  <si>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</si>
  <si>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</si>
  <si>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</si>
  <si>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</si>
  <si>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</si>
  <si>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</si>
  <si>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</si>
  <si>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</si>
  <si>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</si>
  <si>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</si>
  <si>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</si>
  <si>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</si>
  <si>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</si>
  <si>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</si>
  <si>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</si>
  <si>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</si>
  <si>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</si>
  <si>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</si>
  <si>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</si>
  <si>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</si>
  <si>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</si>
  <si>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</si>
  <si>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</si>
  <si>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</si>
  <si>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</si>
  <si>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</si>
  <si>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</si>
  <si>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</si>
  <si>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</si>
  <si>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</si>
  <si>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</si>
  <si>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</si>
  <si>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</si>
  <si>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</si>
  <si>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</si>
  <si>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</si>
  <si>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</si>
  <si>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</si>
  <si>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</si>
  <si>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</si>
  <si>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</si>
  <si>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</si>
  <si>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</si>
  <si>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</si>
  <si>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</si>
  <si>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</si>
  <si>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</si>
  <si>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</si>
  <si>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</si>
  <si>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</si>
  <si>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</si>
  <si>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</si>
  <si>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</si>
  <si>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</si>
  <si>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</si>
  <si>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</si>
  <si>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</si>
  <si>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</si>
  <si>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</si>
  <si>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</si>
  <si>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</si>
  <si>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</si>
  <si>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</si>
  <si>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</si>
  <si>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</si>
  <si>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</si>
  <si>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</si>
  <si>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</si>
  <si>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</si>
  <si>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</si>
  <si>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</si>
  <si>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</si>
  <si>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</si>
  <si>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</si>
  <si>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</si>
  <si>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</si>
  <si>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</si>
  <si>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</si>
  <si>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</si>
  <si>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</si>
  <si>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</si>
  <si>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</si>
  <si>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</si>
  <si>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</si>
  <si>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</si>
  <si>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</si>
  <si>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</si>
  <si>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</si>
  <si>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</si>
  <si>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</si>
  <si>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</si>
  <si>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</si>
  <si>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</si>
  <si>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</si>
  <si>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</si>
  <si>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</si>
  <si>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</si>
  <si>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</si>
  <si>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</si>
  <si>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</si>
  <si>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</si>
  <si>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</si>
  <si>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</si>
  <si>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</si>
  <si>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</si>
  <si>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</si>
  <si>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</si>
  <si>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</si>
  <si>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</si>
  <si>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</si>
  <si>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</si>
  <si>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</si>
  <si>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</si>
  <si>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</si>
  <si>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</si>
  <si>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2024Q4</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</si>
  <si>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</si>
  <si>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</si>
  <si>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</si>
  <si>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</si>
  <si>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</si>
  <si>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</si>
  <si>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</si>
  <si>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</si>
  <si>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</si>
  <si>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</si>
  <si>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</si>
  <si>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</si>
  <si>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</si>
  <si>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</si>
  <si>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</si>
  <si>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</si>
  <si>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</si>
  <si>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</si>
  <si>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</si>
  <si>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</si>
  <si>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</si>
  <si>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</si>
  <si>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</si>
  <si>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</si>
  <si>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</si>
  <si>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</si>
  <si>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</si>
  <si>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</si>
  <si>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</si>
  <si>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</si>
  <si>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</si>
  <si>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</si>
  <si>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</si>
  <si>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</si>
  <si>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</si>
  <si>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</si>
  <si>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</si>
  <si>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</si>
  <si>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</si>
  <si>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</si>
  <si>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</si>
  <si>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</si>
  <si>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</si>
  <si>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</si>
  <si>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</si>
  <si>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</si>
  <si>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</si>
  <si>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</si>
  <si>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</si>
  <si>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</si>
  <si>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</si>
  <si>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</si>
  <si>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</si>
  <si>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</si>
  <si>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</si>
  <si>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</si>
  <si>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</si>
  <si>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</si>
  <si>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</si>
  <si>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</si>
  <si>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</si>
  <si>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</si>
  <si>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</si>
  <si>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</si>
  <si>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</si>
  <si>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</si>
  <si>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</si>
  <si>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</si>
  <si>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</si>
  <si>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</si>
  <si>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</si>
  <si>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</si>
  <si>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</si>
  <si>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</si>
  <si>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</si>
  <si>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</si>
  <si>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</si>
  <si>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</si>
  <si>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</si>
  <si>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</si>
  <si>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</si>
  <si>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</si>
  <si>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</si>
  <si>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</si>
  <si>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</si>
  <si>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</si>
  <si>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</si>
  <si>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</si>
  <si>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</si>
  <si>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</si>
  <si>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</si>
  <si>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</si>
  <si>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</si>
  <si>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</si>
  <si>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</si>
  <si>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</si>
  <si>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</si>
  <si>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</si>
  <si>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</si>
  <si>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</si>
  <si>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</si>
  <si>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</si>
  <si>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</si>
  <si>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</si>
  <si>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</si>
  <si>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</si>
  <si>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</si>
  <si>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</si>
  <si>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</si>
  <si>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</si>
  <si>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</si>
  <si>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</si>
  <si>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</si>
  <si>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</si>
  <si>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</si>
  <si>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</si>
  <si>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</si>
  <si>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</si>
  <si>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</si>
  <si>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</si>
  <si>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</si>
  <si>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</si>
  <si>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</si>
  <si>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</si>
  <si>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</si>
  <si>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</si>
  <si>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</si>
  <si>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</si>
  <si>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</si>
  <si>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</si>
  <si>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</si>
  <si>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</si>
  <si>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</si>
  <si>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</si>
  <si>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</si>
  <si>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</si>
  <si>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</si>
  <si>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</si>
  <si>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</si>
  <si>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</si>
  <si>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</si>
  <si>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</si>
  <si>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</si>
  <si>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</si>
  <si>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</si>
  <si>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</si>
  <si>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</si>
  <si>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</si>
  <si>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</si>
  <si>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</si>
  <si>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</si>
  <si>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</si>
  <si>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</si>
  <si>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</si>
  <si>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</si>
  <si>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</si>
  <si>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</si>
  <si>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</si>
  <si>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</si>
  <si>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</si>
  <si>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</si>
  <si>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</si>
  <si>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</si>
  <si>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</si>
  <si>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</si>
  <si>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</si>
  <si>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</si>
  <si>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</si>
  <si>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</si>
  <si>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</si>
  <si>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</si>
  <si>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</si>
  <si>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</si>
  <si>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</si>
  <si>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</si>
  <si>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</si>
  <si>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</si>
  <si>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</si>
  <si>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</si>
  <si>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</si>
  <si>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</si>
  <si>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</si>
  <si>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</si>
  <si>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</si>
  <si>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</si>
  <si>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</si>
  <si>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</si>
  <si>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</si>
  <si>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</si>
  <si>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</si>
  <si>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</si>
  <si>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</si>
  <si>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</si>
  <si>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</si>
  <si>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</si>
  <si>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</si>
  <si>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</si>
  <si>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</si>
  <si>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</si>
  <si>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</si>
  <si>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</si>
  <si>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</si>
  <si>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</si>
  <si>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</si>
  <si>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</si>
  <si>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</si>
  <si>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</si>
  <si>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</si>
  <si>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</si>
  <si>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</si>
  <si>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</si>
  <si>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</si>
  <si>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</si>
  <si>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</si>
  <si>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</si>
  <si>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</si>
  <si>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</si>
  <si>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</si>
  <si>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</si>
  <si>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</si>
  <si>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</si>
  <si>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</si>
  <si>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</si>
  <si>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</si>
  <si>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</si>
  <si>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</si>
  <si>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</si>
  <si>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</si>
  <si>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</si>
  <si>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</si>
  <si>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</si>
  <si>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</si>
  <si>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</si>
  <si>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</si>
  <si>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</si>
  <si>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</si>
  <si>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</si>
  <si>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</si>
  <si>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</si>
  <si>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</si>
  <si>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</si>
  <si>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</si>
  <si>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</si>
  <si>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</si>
  <si>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</si>
  <si>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</si>
  <si>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</si>
  <si>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</si>
  <si>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</si>
  <si>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</si>
  <si>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</si>
  <si>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</si>
  <si>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</si>
  <si>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</si>
  <si>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</si>
  <si>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</si>
  <si>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</si>
  <si>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</si>
  <si>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</si>
  <si>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</si>
  <si>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</si>
  <si>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</si>
  <si>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</si>
  <si>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</si>
  <si>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</si>
  <si>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</si>
  <si>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</si>
  <si>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</si>
  <si>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</si>
  <si>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</si>
  <si>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</si>
  <si>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</si>
  <si>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</si>
  <si>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</si>
  <si>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</si>
  <si>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</si>
  <si>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</si>
  <si>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</si>
  <si>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</si>
  <si>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</si>
  <si>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</si>
  <si>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</si>
  <si>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</si>
  <si>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</si>
  <si>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</si>
  <si>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</si>
  <si>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</si>
  <si>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</si>
  <si>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</si>
  <si>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</si>
  <si>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</si>
  <si>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</si>
  <si>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</si>
  <si>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</si>
  <si>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</si>
  <si>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</si>
  <si>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</si>
  <si>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</si>
  <si>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</si>
  <si>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</si>
  <si>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</si>
  <si>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</si>
  <si>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</si>
  <si>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</si>
  <si>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</si>
  <si>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</si>
  <si>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</si>
  <si>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</si>
  <si>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</si>
  <si>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</si>
  <si>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</si>
  <si>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</si>
  <si>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</si>
  <si>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</si>
  <si>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</si>
  <si>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</si>
  <si>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</si>
  <si>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</si>
  <si>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</si>
  <si>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</si>
  <si>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</si>
  <si>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</si>
  <si>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</si>
  <si>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</si>
  <si>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</si>
  <si>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</si>
  <si>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</si>
  <si>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</si>
  <si>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</si>
  <si>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</si>
  <si>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</si>
  <si>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</si>
  <si>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</si>
  <si>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</si>
  <si>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</si>
  <si>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</si>
  <si>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</si>
  <si>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</si>
  <si>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</si>
  <si>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</si>
  <si>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</si>
  <si>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</si>
  <si>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</si>
  <si>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</si>
  <si>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</si>
  <si>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</si>
  <si>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</si>
  <si>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</si>
  <si>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</si>
  <si>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</si>
  <si>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</si>
  <si>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</si>
  <si>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</si>
  <si>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</si>
  <si>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</si>
  <si>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</si>
  <si>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</si>
  <si>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</si>
  <si>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</si>
  <si>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</si>
  <si>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</si>
  <si>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</si>
  <si>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</si>
  <si>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</si>
  <si>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</si>
  <si>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</si>
  <si>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</si>
  <si>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</si>
  <si>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</si>
  <si>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</si>
  <si>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</si>
  <si>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</si>
  <si>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</si>
  <si>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</si>
  <si>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</si>
  <si>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</si>
  <si>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</si>
  <si>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</si>
  <si>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</si>
  <si>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</si>
  <si>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</si>
  <si>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</si>
  <si>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</si>
  <si>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</si>
  <si>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</si>
  <si>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</si>
  <si>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</si>
  <si>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</si>
  <si>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</si>
  <si>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</si>
  <si>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</si>
  <si>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</si>
  <si>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</si>
  <si>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</si>
  <si>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</si>
  <si>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</si>
  <si>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</si>
  <si>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</si>
  <si>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</si>
  <si>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</si>
  <si>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</si>
  <si>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</si>
  <si>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</si>
  <si>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</si>
  <si>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</si>
  <si>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</si>
  <si>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</si>
  <si>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</si>
  <si>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</si>
  <si>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</si>
  <si>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</si>
  <si>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</si>
  <si>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</si>
  <si>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</si>
  <si>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</si>
  <si>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</si>
  <si>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</si>
  <si>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</si>
  <si>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</si>
  <si>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</si>
  <si>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</si>
  <si>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</si>
  <si>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</si>
  <si>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</si>
  <si>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</si>
  <si>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</si>
  <si>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</si>
  <si>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</si>
  <si>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</si>
  <si>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</si>
  <si>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</si>
  <si>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</si>
  <si>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</si>
  <si>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</si>
  <si>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</si>
  <si>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</si>
  <si>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</si>
  <si>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</si>
  <si>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</si>
  <si>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</si>
  <si>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</si>
  <si>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</si>
  <si>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</si>
  <si>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</si>
  <si>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</si>
  <si>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</si>
  <si>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</si>
  <si>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</si>
  <si>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</si>
  <si>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</si>
  <si>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</si>
  <si>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</si>
  <si>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</si>
  <si>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</si>
  <si>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</si>
  <si>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</si>
  <si>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</si>
  <si>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</si>
  <si>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</si>
  <si>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</si>
  <si>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</si>
  <si>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</si>
  <si>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</si>
  <si>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</si>
  <si>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</si>
  <si>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</si>
  <si>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</si>
  <si>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</si>
  <si>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</si>
  <si>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</si>
  <si>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</si>
  <si>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</si>
  <si>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</si>
  <si>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</si>
  <si>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</si>
  <si>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</si>
  <si>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</si>
  <si>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</si>
  <si>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</si>
  <si>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</si>
  <si>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</si>
  <si>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</si>
  <si>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</si>
  <si>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</si>
  <si>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</si>
  <si>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</si>
  <si>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</si>
  <si>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</si>
  <si>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</si>
  <si>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</si>
  <si>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</si>
  <si>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</si>
  <si>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</si>
  <si>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</si>
  <si>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</si>
  <si>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</si>
  <si>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</si>
  <si>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</si>
  <si>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</si>
  <si>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</si>
  <si>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</si>
  <si>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</si>
  <si>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</si>
  <si>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</si>
  <si>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</si>
  <si>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</si>
  <si>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</si>
  <si>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</si>
  <si>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</si>
  <si>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</si>
  <si>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</si>
  <si>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</si>
  <si>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</si>
  <si>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</si>
  <si>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</si>
  <si>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</si>
  <si>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</si>
  <si>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</si>
  <si>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</si>
  <si>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</si>
  <si>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</si>
  <si>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</si>
  <si>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</si>
  <si>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</si>
  <si>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</si>
  <si>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</si>
  <si>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</si>
  <si>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</si>
  <si>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</si>
  <si>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</si>
  <si>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</si>
  <si>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</si>
  <si>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</si>
  <si>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</si>
  <si>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</si>
  <si>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</si>
  <si>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</si>
  <si>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</si>
  <si>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</si>
  <si>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</si>
  <si>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</si>
  <si>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</si>
  <si>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</si>
  <si>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</si>
  <si>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</si>
  <si>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</si>
  <si>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</si>
  <si>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</si>
  <si>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</si>
  <si>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</si>
  <si>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</si>
  <si>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</si>
  <si>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</si>
  <si>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</si>
  <si>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</si>
  <si>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</si>
  <si>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</si>
  <si>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</si>
  <si>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</si>
  <si>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</si>
  <si>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</si>
  <si>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</si>
  <si>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</si>
  <si>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</si>
  <si>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</si>
  <si>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</si>
  <si>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</si>
  <si>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</si>
  <si>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</si>
  <si>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</si>
  <si>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</si>
  <si>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</si>
  <si>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</si>
  <si>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</si>
  <si>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</si>
  <si>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</si>
  <si>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</si>
  <si>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</si>
  <si>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</si>
  <si>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</si>
  <si>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</si>
  <si>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</si>
  <si>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</si>
  <si>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</si>
  <si>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</si>
  <si>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</si>
  <si>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</si>
  <si>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</si>
  <si>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</si>
  <si>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</si>
  <si>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</si>
  <si>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</si>
  <si>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</si>
  <si>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</si>
  <si>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</si>
  <si>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</si>
  <si>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</si>
  <si>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</si>
  <si>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</si>
  <si>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</si>
  <si>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</si>
  <si>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</si>
  <si>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</si>
  <si>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</si>
  <si>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</si>
  <si>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</si>
  <si>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</si>
  <si>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</si>
  <si>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</si>
  <si>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</si>
  <si>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</si>
  <si>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</si>
  <si>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</si>
  <si>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</si>
  <si>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</si>
  <si>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</si>
  <si>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</si>
  <si>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</si>
  <si>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</si>
  <si>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</si>
  <si>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</si>
  <si>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</si>
  <si>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</si>
  <si>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</si>
  <si>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</si>
  <si>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</si>
  <si>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</si>
  <si>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</si>
  <si>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</si>
  <si>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</si>
  <si>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</si>
  <si>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</si>
  <si>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</si>
  <si>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</si>
  <si>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</si>
  <si>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</si>
  <si>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</si>
  <si>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</si>
  <si>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</si>
  <si>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</si>
  <si>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</si>
  <si>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</si>
  <si>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</si>
  <si>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</si>
  <si>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</si>
  <si>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</si>
  <si>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</si>
  <si>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</si>
  <si>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</si>
  <si>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</si>
  <si>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</si>
  <si>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</si>
  <si>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</si>
  <si>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</si>
  <si>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</si>
  <si>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</si>
  <si>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</si>
  <si>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</si>
  <si>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</si>
  <si>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</si>
  <si>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</si>
  <si>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</si>
  <si>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</si>
  <si>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</si>
  <si>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</si>
  <si>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</si>
  <si>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</si>
  <si>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</si>
  <si>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</si>
  <si>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</si>
  <si>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</si>
  <si>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</si>
  <si>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</si>
  <si>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</si>
  <si>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</si>
  <si>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</si>
  <si>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</si>
  <si>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</si>
  <si>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</si>
  <si>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</si>
  <si>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</si>
  <si>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</si>
  <si>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</si>
  <si>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</si>
  <si>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</si>
  <si>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</si>
  <si>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</si>
  <si>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</si>
  <si>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</si>
  <si>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</si>
  <si>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</si>
  <si>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</si>
  <si>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</si>
  <si>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</si>
  <si>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</si>
  <si>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</si>
  <si>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</si>
  <si>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</si>
  <si>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</si>
  <si>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</si>
  <si>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</si>
  <si>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</si>
  <si>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</si>
  <si>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</si>
  <si>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</si>
  <si>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</si>
  <si>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</si>
  <si>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</si>
  <si>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</si>
  <si>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</si>
  <si>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</si>
  <si>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</si>
  <si>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</si>
  <si>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</si>
  <si>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</si>
  <si>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</si>
  <si>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</si>
  <si>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</si>
  <si>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</si>
  <si>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</si>
  <si>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</si>
  <si>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</si>
  <si>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</si>
  <si>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</si>
  <si>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</si>
  <si>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</si>
  <si>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</si>
  <si>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</si>
  <si>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</si>
  <si>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</si>
  <si>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</si>
  <si>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</si>
  <si>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</si>
  <si>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</si>
  <si>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</si>
  <si>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</si>
  <si>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</si>
  <si>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</si>
  <si>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</si>
  <si>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</si>
  <si>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</si>
  <si>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</si>
  <si>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</si>
  <si>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</si>
  <si>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</si>
  <si>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</si>
  <si>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</si>
  <si>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</si>
  <si>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</si>
  <si>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</si>
  <si>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</si>
  <si>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</si>
  <si>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</si>
  <si>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</si>
  <si>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</si>
  <si>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</si>
  <si>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</si>
  <si>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</si>
  <si>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</si>
  <si>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</si>
  <si>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</si>
  <si>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</si>
  <si>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</si>
  <si>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</si>
  <si>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</si>
  <si>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</si>
  <si>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</si>
  <si>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</si>
  <si>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</si>
  <si>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</si>
  <si>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</si>
  <si>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</si>
  <si>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</si>
  <si>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</si>
  <si>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</si>
  <si>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</si>
  <si>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</si>
  <si>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</si>
  <si>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</si>
  <si>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</si>
  <si>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</si>
  <si>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</si>
  <si>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</si>
  <si>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</si>
  <si>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</si>
  <si>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</si>
  <si>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</si>
  <si>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</si>
  <si>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</si>
  <si>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</si>
  <si>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</si>
  <si>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</si>
  <si>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</si>
  <si>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</si>
  <si>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</si>
  <si>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</si>
  <si>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</si>
  <si>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</si>
  <si>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</si>
  <si>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</si>
  <si>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</si>
  <si>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</si>
  <si>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</si>
  <si>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</si>
  <si>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</si>
  <si>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</si>
  <si>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</si>
  <si>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</si>
  <si>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</si>
  <si>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</si>
  <si>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</si>
  <si>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</si>
  <si>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</si>
  <si>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</si>
  <si>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</si>
  <si>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</si>
  <si>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</si>
  <si>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</si>
  <si>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</si>
  <si>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</si>
  <si>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</si>
  <si>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</si>
  <si>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</si>
  <si>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</si>
  <si>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</si>
  <si>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</si>
  <si>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</si>
  <si>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</si>
  <si>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</si>
  <si>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</si>
  <si>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</si>
  <si>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</si>
  <si>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</si>
  <si>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</si>
  <si>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</si>
  <si>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</si>
  <si>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</si>
  <si>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</si>
  <si>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</si>
  <si>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</si>
  <si>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</si>
  <si>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</si>
  <si>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</si>
  <si>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</si>
  <si>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</si>
  <si>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</si>
  <si>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</si>
  <si>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</si>
  <si>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</si>
  <si>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</si>
  <si>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</si>
  <si>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</si>
  <si>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</si>
  <si>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</si>
  <si>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</si>
  <si>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</si>
  <si>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</si>
  <si>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</si>
  <si>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</si>
  <si>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</si>
  <si>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</si>
  <si>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</si>
  <si>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</si>
  <si>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</si>
  <si>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</si>
  <si>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</si>
  <si>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</si>
  <si>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</si>
  <si>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</si>
  <si>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</si>
  <si>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</si>
  <si>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</si>
  <si>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</si>
  <si>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</si>
  <si>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</si>
  <si>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</si>
  <si>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</si>
  <si>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</si>
  <si>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</si>
  <si>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</si>
  <si>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</si>
  <si>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</si>
  <si>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</si>
  <si>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</si>
  <si>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</si>
  <si>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</si>
  <si>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</si>
  <si>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</si>
  <si>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</si>
  <si>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</si>
  <si>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</si>
  <si>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</si>
  <si>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</si>
  <si>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</si>
  <si>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</si>
  <si>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</si>
  <si>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</si>
  <si>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</si>
  <si>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</si>
  <si>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</si>
  <si>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</si>
  <si>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</si>
  <si>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</si>
  <si>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</si>
  <si>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</si>
  <si>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</si>
  <si>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</si>
  <si>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</si>
  <si>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</si>
  <si>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</si>
  <si>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</si>
  <si>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</si>
  <si>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</si>
  <si>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</si>
  <si>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</si>
  <si>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</si>
  <si>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</si>
  <si>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</si>
  <si>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</si>
  <si>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</si>
  <si>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</si>
  <si>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</si>
  <si>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</si>
  <si>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</si>
  <si>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</si>
  <si>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</si>
  <si>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</si>
  <si>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</si>
  <si>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</si>
  <si>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</si>
  <si>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</si>
  <si>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</si>
  <si>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</si>
  <si>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</si>
  <si>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</si>
  <si>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</si>
  <si>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</si>
  <si>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</si>
  <si>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</si>
  <si>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</si>
  <si>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</si>
  <si>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</si>
  <si>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</si>
  <si>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</si>
  <si>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</si>
  <si>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</si>
  <si>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</si>
  <si>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</si>
  <si>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</si>
  <si>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</si>
  <si>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</si>
  <si>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</si>
  <si>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</si>
  <si>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</si>
  <si>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</si>
  <si>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</si>
  <si>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</si>
  <si>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</si>
  <si>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</si>
  <si>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</si>
  <si>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</si>
  <si>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</si>
  <si>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</si>
  <si>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</si>
  <si>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</si>
  <si>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</si>
  <si>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</si>
  <si>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</si>
  <si>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</si>
  <si>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</si>
  <si>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</si>
  <si>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</si>
  <si>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</si>
  <si>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</si>
  <si>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</si>
  <si>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</si>
  <si>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</si>
  <si>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</si>
  <si>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</si>
  <si>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</si>
  <si>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</si>
  <si>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</si>
  <si>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</si>
  <si>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</si>
  <si>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</si>
  <si>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</si>
  <si>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</si>
  <si>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</si>
  <si>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</si>
  <si>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</si>
  <si>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</si>
  <si>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</si>
  <si>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</si>
  <si>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</si>
  <si>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</si>
  <si>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</si>
  <si>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</si>
  <si>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</si>
  <si>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</si>
  <si>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</si>
  <si>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</si>
  <si>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</si>
  <si>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</si>
  <si>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RISCHI — nessuna riga da validare</t>
  </si>
  <si>
    <t>KRI — nessuna riga da validare</t>
  </si>
  <si>
    <t>AZIONI — nessuna riga da validare</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</si>
  <si>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</si>
  <si>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</si>
  <si>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</si>
  <si>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</si>
  <si>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</si>
  <si>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</si>
  <si>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</si>
  <si>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</si>
  <si>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</si>
  <si>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</si>
  <si>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</si>
  <si>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</si>
  <si>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</si>
  <si>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</si>
  <si>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</si>
  <si>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</si>
  <si>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</si>
  <si>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</si>
  <si>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</si>
  <si>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</si>
  <si>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NOTIZIE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</si>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</sst>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20" fillId="0" borderId="0" xfId="0" applyFont="1" applyAlignment="1">
      <alignment vertical="top" wrapText="1"/>
    </xf>
    <xf numFmtId="0" fontId="0" fillId="0" borderId="0" xfId="0"/>
    <xf numFmtId="0" fontId="24" fillId="0" borderId="0" xfId="0" applyFont="1" applyAlignment="1">
      <alignment vertical="top" wrapText="1"/>
    </xf>
    <xf numFmtId="0" fontId="25" fillId="15" borderId="0" xfId="0" applyFont="1" applyFill="1" applyAlignment="1">
      <alignment horizontal="center" vertical="center" wrapText="1"/>
    </xf>
    <xf numFmtId="0" fontId="0" fillId="15" borderId="0" xfId="0" applyFill="1"/>
    <xf numFmtId="0" fontId="0" fillId="15" borderId="4" xfId="0" applyFill="1" applyBorder="1"/>
    <xf numFmtId="0" fontId="20" fillId="0" borderId="2" xfId="0" applyFont="1" applyBorder="1" applyAlignment="1">
      <alignment vertical="center" wrapText="1"/>
    </xf>
    <xf numFmtId="0" fontId="0" fillId="0" borderId="2" xfId="0" applyBorder="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16" fillId="0" borderId="1" xfId="0" applyFont="1" applyBorder="1"/>
    <xf numFmtId="0" fontId="0" fillId="0" borderId="1" xfId="0" applyBorder="1"/>
    <xf numFmtId="0" fontId="15" fillId="0" borderId="0" xfId="0" applyFont="1" applyAlignment="1">
      <alignment vertical="top" wrapText="1"/>
    </xf>
    <xf numFmtId="0" fontId="33" fillId="0" borderId="0" xfId="0" applyFont="1" applyAlignment="1">
      <alignment vertical="top"/>
    </xf>
    <xf numFmtId="0" fontId="19" fillId="0" borderId="0" xfId="0" applyFont="1"/>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2" fillId="15" borderId="0" xfId="0" applyFont="1" applyFill="1" applyAlignment="1">
      <alignment horizontal="center" vertical="center" wrapText="1"/>
    </xf>
    <xf numFmtId="0" fontId="25" fillId="0" borderId="0" xfId="0" applyFont="1"/>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25" fillId="11" borderId="0" xfId="0" applyFont="1" applyFill="1" applyAlignment="1">
      <alignment horizontal="center" vertical="center" wrapText="1"/>
    </xf>
    <xf numFmtId="0" fontId="27" fillId="15" borderId="0" xfId="0" applyFont="1" applyFill="1" applyAlignment="1">
      <alignment horizontal="center" vertical="center" wrapText="1"/>
    </xf>
    <xf numFmtId="0" fontId="25" fillId="13" borderId="0" xfId="0" applyFont="1" applyFill="1" applyAlignment="1">
      <alignment horizontal="center" vertical="center" wrapText="1"/>
    </xf>
    <xf numFmtId="0" fontId="22" fillId="13" borderId="0" xfId="0" applyFont="1" applyFill="1" applyAlignment="1">
      <alignment horizontal="center" vertical="center" wrapText="1"/>
    </xf>
    <xf numFmtId="0" fontId="22" fillId="11"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37" fillId="0" borderId="0" xfId="0" applyFont="1" applyAlignment="1">
      <alignment vertical="center" indent="1"/>
    </xf>
    <xf numFmtId="0" fontId="17" fillId="14" borderId="0" xfId="0" applyFont="1" applyFill="1" applyAlignment="1">
      <alignment horizontal="center" vertical="center" wrapTex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16" fillId="0" borderId="1" xfId="0" quotePrefix="1" applyFont="1" applyBorder="1"/>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39" fillId="13" borderId="2" xfId="0" quotePrefix="1" applyFont="1" applyFill="1" applyBorder="1" applyAlignment="1">
      <alignment horizontal="center" vertical="center" wrapText="1"/>
    </xf>
    <xf numFmtId="0" fontId="5" fillId="10" borderId="0" xfId="0" quotePrefix="1" applyFont="1" applyFill="1" applyAlignment="1">
      <alignment vertical="center" indent="1"/>
    </xf>
    <xf numFmtId="0" fontId="15" fillId="0" borderId="0" xfId="0" applyFont="1" applyAlignment="1">
      <alignment wrapTex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-2.1893509588046038</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0.40357777379926979</c:v>
                </c:pt>
              </c:numCache>
            </c:numRef>
          </c:xVal>
          <c:yVal>
            <c:numRef>
              <c:f>Quadro!$DQ$5</c:f>
              <c:numCache>
                <c:formatCode>General</c:formatCode>
                <c:ptCount val="1"/>
                <c:pt idx="0">
                  <c:v>-1.7028285235146918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-2.1143083967682941</c:v>
                </c:pt>
              </c:numCache>
            </c:numRef>
          </c:xVal>
          <c:yVal>
            <c:numRef>
              <c:f>Quadro!$DQ$6</c:f>
              <c:numCache>
                <c:formatCode>General</c:formatCode>
                <c:ptCount val="1"/>
                <c:pt idx="0">
                  <c:v>-0.7695453224827542</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-0.51888570917048915</c:v>
                </c:pt>
              </c:numCache>
            </c:numRef>
          </c:xVal>
          <c:yVal>
            <c:numRef>
              <c:f>Quadro!$DQ$12</c:f>
              <c:numCache>
                <c:formatCode>General</c:formatCode>
                <c:ptCount val="1"/>
                <c:pt idx="0">
                  <c:v>-2.1893509588046038</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-2.1893509588046038</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0.40357777379926979</c:v>
                </c:pt>
              </c:numCache>
            </c:numRef>
          </c:xVal>
          <c:yVal>
            <c:numRef>
              <c:f>Radar_Mosca!$CM$5</c:f>
              <c:numCache>
                <c:formatCode>General</c:formatCode>
                <c:ptCount val="1"/>
                <c:pt idx="0">
                  <c:v>-1.7028285235146918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-2.1143083967682941</c:v>
                </c:pt>
              </c:numCache>
            </c:numRef>
          </c:xVal>
          <c:yVal>
            <c:numRef>
              <c:f>Radar_Mosca!$CM$6</c:f>
              <c:numCache>
                <c:formatCode>General</c:formatCode>
                <c:ptCount val="1"/>
                <c:pt idx="0">
                  <c:v>-0.7695453224827542</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-0.51888570917048915</c:v>
                </c:pt>
              </c:numCache>
            </c:numRef>
          </c:xVal>
          <c:yVal>
            <c:numRef>
              <c:f>Radar_Mosca!$CM$12</c:f>
              <c:numCache>
                <c:formatCode>General</c:formatCode>
                <c:ptCount val="1"/>
                <c:pt idx="0">
                  <c:v>-2.1893509588046038</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59">
  <autoFilter ref="A5:AF59"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9">
  <autoFilter ref="A5:J9"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98">
  <autoFilter ref="A5:L398"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58" t="str">
        <f>"Horizon Scan NFR — Guida: come si usa questo workbook   ·   "&amp;etichettaCiclo</f>
        <v>Horizon Scan NFR — Guida: come si usa questo workbook   ·   Ciclo 2026Q3 · dati al 30/09/2026 · validato · Uso interno</v>
      </c>
      <c r="B1" s="159"/>
      <c r="C1" s="159"/>
      <c r="D1" s="159"/>
      <c r="E1" s="159"/>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39:E39"/>
    <mergeCell ref="A59:E59"/>
    <mergeCell ref="A48:E48"/>
    <mergeCell ref="A51:E51"/>
    <mergeCell ref="A1:E1"/>
    <mergeCell ref="A45:E45"/>
    <mergeCell ref="A3:E3"/>
    <mergeCell ref="A4:E4"/>
    <mergeCell ref="A44:E44"/>
    <mergeCell ref="A58:E58"/>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58" t="str">
        <f>"Horizon Scan NFR — Quadro d'insieme   ·   "&amp;etichettaCiclo</f>
        <v>Horizon Scan NFR — Quadro d'insieme   ·   Ciclo 2026Q3 · dati al 30/09/2026 · validato · Uso interno</v>
      </c>
      <c r="B1" s="159"/>
      <c r="C1" s="159"/>
      <c r="D1" s="159"/>
      <c r="E1" s="159"/>
      <c r="F1" s="159"/>
      <c r="G1" s="159"/>
      <c r="H1" s="159"/>
      <c r="I1" s="159"/>
      <c r="J1" s="159"/>
      <c r="K1" s="159"/>
      <c r="L1" s="159"/>
      <c r="M1" s="159"/>
      <c r="N1" s="159"/>
      <c r="O1" s="159"/>
    </row>
    <row r="2" spans="1:124" ht="72.55" customHeight="1" x14ac:dyDescent="0.4">
      <c r="A2" s="149"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72" t="s">
        <v>5</v>
      </c>
      <c r="B4" s="151"/>
      <c r="C4" s="152"/>
      <c r="D4" s="144" t="s">
        <v>6</v>
      </c>
      <c r="E4" s="145"/>
      <c r="F4" s="146"/>
      <c r="G4" s="172" t="s">
        <v>7</v>
      </c>
      <c r="H4" s="151"/>
      <c r="I4" s="152"/>
      <c r="J4" s="144" t="s">
        <v>8</v>
      </c>
      <c r="K4" s="145"/>
      <c r="L4" s="146"/>
      <c r="M4" s="170" t="s">
        <v>9</v>
      </c>
      <c r="N4" s="164"/>
      <c r="O4" s="165"/>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50">
        <f>coperturaValutati</f>
        <v>12</v>
      </c>
      <c r="B5" s="151"/>
      <c r="C5" s="152"/>
      <c r="D5" s="171" t="str">
        <f>$T$4&amp;" · "&amp;COUNTIF(Radar_Mosca!$AA$5:$AA$24,"Attenzione")</f>
        <v>1 · 8</v>
      </c>
      <c r="E5" s="145"/>
      <c r="F5" s="146"/>
      <c r="G5" s="150" t="str">
        <f>COUNTIFS(RR_Ciclo,cicloCorrente,RR_Stato,"Radar*",RR_Esito,"Variato")&amp;" · "&amp;COUNTIFS(RR_Ciclo,cicloCorrente,RR_Stato,"Radar*",RR_Esito,"Nuovo")</f>
        <v>2 · 0</v>
      </c>
      <c r="H5" s="151"/>
      <c r="I5" s="152"/>
      <c r="J5" s="171">
        <f>COUNTIFS(KRI_Ciclo,cicloCorrente,KRI_In_Vigore,"Sì",KRI_Stato,"Rosso")</f>
        <v>0</v>
      </c>
      <c r="K5" s="145"/>
      <c r="L5" s="146"/>
      <c r="M5" s="163" t="str">
        <f>IF(decisioniDaPrendere&gt;0,decisioniDaPrendere,"✓")</f>
        <v>✓</v>
      </c>
      <c r="N5" s="164"/>
      <c r="O5" s="165"/>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-1.7028285235146918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0.40357777379926979</v>
      </c>
      <c r="DP5" t="str">
        <f>IF(Radar_Mosca!$A5="","",MID(Radar_Mosca!$A5,5,3)&amp;IF(Radar_Mosca!$T5="Sì"," ◆",""))</f>
        <v>01 ◆</v>
      </c>
      <c r="DQ5">
        <f>IF(ISNUMBER(Radar_Mosca!$S5),Radar_Mosca!$S5,NA())</f>
        <v>-1.7028285235146918</v>
      </c>
      <c r="DR5" t="s">
        <v>2</v>
      </c>
      <c r="DS5">
        <v>-7</v>
      </c>
      <c r="DT5">
        <v>-8.0499999999999989</v>
      </c>
    </row>
    <row r="6" spans="1:124" ht="34" customHeight="1" x14ac:dyDescent="0.4">
      <c r="A6" s="173" t="str">
        <f>"su "&amp;coperturaAnagrafica&amp;" in anagrafica · "&amp;IF(coperturaValutati=coperturaAnagrafica,"completo","INCOMPLETO")</f>
        <v>su 12 in anagrafica · completo</v>
      </c>
      <c r="B6" s="151"/>
      <c r="C6" s="152"/>
      <c r="D6" s="161" t="str">
        <f>IF($T$4=0,"nessun rischio in attivazione","in attivazione: "&amp;_xlfn.TEXTJOIN(", ",TRUE,$T$5:$T$24))&amp;" · in monitoraggio "&amp;COUNTIF(Radar_Mosca!$AA$5:$AA$24,"Monitoraggio")</f>
        <v>in attivazione: NFR-01 · in monitoraggio 3</v>
      </c>
      <c r="E6" s="145"/>
      <c r="F6" s="146"/>
      <c r="G6" s="173" t="str">
        <f>"rispetto al "&amp;cicloPrecedente&amp;" · entrati nel radar "&amp;COUNTIFS(RR_Ciclo,cicloCorrente,RR_Movimento,"Entrato")&amp;", usciti "&amp;COUNTIFS(RR_Ciclo,cicloCorrente,RR_Movimento,"Uscito")&amp;" · in osservazione "&amp;COUNTIFS(RR_Ciclo,cicloCorrente,RR_Stato,"Osservazione")</f>
        <v>rispetto al 2026Q2 · entrati nel radar 0, usciti 0 · in osservazione 4</v>
      </c>
      <c r="H6" s="151"/>
      <c r="I6" s="152"/>
      <c r="J6" s="161" t="str">
        <f>"su "&amp;COUNTIFS(KRI_Ciclo,cicloCorrente,KRI_In_Vigore,"Sì")&amp;" in vigore"</f>
        <v>su 24 in vigore</v>
      </c>
      <c r="K6" s="145"/>
      <c r="L6" s="146"/>
      <c r="M6" s="174" t="str">
        <f>IF(decisioniDaPrendere&gt;0,"righe da validare: ciclo non validato","ciclo validato")</f>
        <v>ciclo validato</v>
      </c>
      <c r="N6" s="164"/>
      <c r="O6" s="165"/>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-0.7695453224827542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-2.1143083967682941</v>
      </c>
      <c r="DP6" t="str">
        <f>IF(Radar_Mosca!$A6="","",MID(Radar_Mosca!$A6,5,3)&amp;IF(Radar_Mosca!$T6="Sì"," ◆",""))</f>
        <v>02 ◆</v>
      </c>
      <c r="DQ6">
        <f>IF(ISNUMBER(Radar_Mosca!$S6),Radar_Mosca!$S6,NA())</f>
        <v>-0.7695453224827542</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3" t="s">
        <v>13</v>
      </c>
      <c r="B8" s="154"/>
      <c r="C8" s="154"/>
      <c r="D8" s="154"/>
      <c r="E8" s="154"/>
      <c r="F8" s="154"/>
      <c r="G8" s="154"/>
      <c r="H8" s="154"/>
      <c r="J8" s="153" t="s">
        <v>14</v>
      </c>
      <c r="K8" s="154"/>
      <c r="L8" s="154"/>
      <c r="M8" s="154"/>
      <c r="N8" s="154"/>
      <c r="O8" s="154"/>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62"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47" t="str">
        <f>IF(Classifica!$B$5="","",Classifica!$B$5&amp;"  "&amp;Classifica!$C$5&amp;IFERROR(IF(INDEX(ANA_Attenzione_Supervisore,Classifica!$U$5)="Sì","  ◆",""),""))</f>
        <v>NFR-01  Frodi su pagamenti istantanei abilitate da AI generativa  ◆</v>
      </c>
      <c r="C10" s="148"/>
      <c r="D10" s="148"/>
      <c r="E10" s="148"/>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47" t="str">
        <f>IF(Classifica!$B$6="","",Classifica!$B$6&amp;"  "&amp;Classifica!$C$6&amp;IFERROR(IF(INDEX(ANA_Attenzione_Supervisore,Classifica!$U$6)="Sì","  ◆",""),""))</f>
        <v>NFR-07  Ransomware presso un fornitore di servizi di pagamento  ◆</v>
      </c>
      <c r="C11" s="148"/>
      <c r="D11" s="148"/>
      <c r="E11" s="148"/>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47" t="str">
        <f>IF(Classifica!$B$7="","",Classifica!$B$7&amp;"  "&amp;Classifica!$C$7&amp;IFERROR(IF(INDEX(ANA_Attenzione_Supervisore,Classifica!$U$7)="Sì","  ◆",""),""))</f>
        <v>NFR-12  Errori operativi nei pagamenti istantanei obbligatori</v>
      </c>
      <c r="C12" s="148"/>
      <c r="D12" s="148"/>
      <c r="E12" s="148"/>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-2.1893509588046038</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-0.51888570917048915</v>
      </c>
      <c r="DP12" t="str">
        <f>IF(Radar_Mosca!$A12="","",MID(Radar_Mosca!$A12,5,3)&amp;IF(Radar_Mosca!$T12="Sì"," ◆",""))</f>
        <v>08</v>
      </c>
      <c r="DQ12">
        <f>IF(ISNUMBER(Radar_Mosca!$S12),Radar_Mosca!$S12,NA())</f>
        <v>-2.1893509588046038</v>
      </c>
      <c r="DR12" t="s">
        <v>29</v>
      </c>
      <c r="DS12">
        <v>4.8</v>
      </c>
      <c r="DT12">
        <v>-9.1</v>
      </c>
    </row>
    <row r="13" spans="1:124" ht="25" customHeight="1" x14ac:dyDescent="0.4">
      <c r="A13" s="14">
        <f>Classifica!$A$8</f>
        <v>4</v>
      </c>
      <c r="B13" s="147" t="str">
        <f>IF(Classifica!$B$8="","",Classifica!$B$8&amp;"  "&amp;Classifica!$C$8&amp;IFERROR(IF(INDEX(ANA_Attenzione_Supervisore,Classifica!$U$8)="Sì","  ◆",""),""))</f>
        <v>NFR-02  Concentrazione su un fornitore cloud critico  ◆</v>
      </c>
      <c r="C13" s="148"/>
      <c r="D13" s="148"/>
      <c r="E13" s="148"/>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47" t="str">
        <f>IF(Classifica!$B$9="","",Classifica!$B$9&amp;"  "&amp;Classifica!$C$9&amp;IFERROR(IF(INDEX(ANA_Attenzione_Supervisore,Classifica!$U$9)="Sì","  ◆",""),""))</f>
        <v>NFR-03  Greenwashing nella commercializzazione di prodotti ESG</v>
      </c>
      <c r="C14" s="148"/>
      <c r="D14" s="148"/>
      <c r="E14" s="148"/>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-0.45962666587138673</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3" t="s">
        <v>34</v>
      </c>
      <c r="B16" s="142"/>
      <c r="C16" s="168"/>
      <c r="D16" s="169"/>
      <c r="E16" s="169"/>
      <c r="F16" s="169"/>
      <c r="G16" s="169"/>
      <c r="H16" s="169"/>
      <c r="I16" s="169"/>
      <c r="J16" s="169"/>
      <c r="K16" s="169"/>
      <c r="L16" s="169"/>
      <c r="M16" s="169"/>
      <c r="N16" s="169"/>
      <c r="O16" s="169"/>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3" t="s">
        <v>35</v>
      </c>
      <c r="B17" s="154"/>
      <c r="C17" s="154"/>
      <c r="D17" s="154"/>
      <c r="E17" s="154"/>
      <c r="F17" s="154"/>
      <c r="G17" s="154"/>
      <c r="H17" s="154"/>
      <c r="J17" s="153" t="s">
        <v>36</v>
      </c>
      <c r="K17" s="154"/>
      <c r="L17" s="154"/>
      <c r="M17" s="154"/>
      <c r="N17" s="154"/>
      <c r="O17" s="154"/>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57"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57"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57"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57"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57"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57"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57"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57"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57"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57"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57"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57"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57" t="str">
        <f>IF(J30="","",INDEX(posNome,13)&amp;IF(INDEX(ANA_Attenzione_Supervisore,13)="Sì","  ◆",""))</f>
        <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57"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57"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57"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57"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57"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57"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57"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3" t="s">
        <v>38</v>
      </c>
      <c r="B40" s="154"/>
      <c r="C40" s="154"/>
      <c r="D40" s="154"/>
      <c r="E40" s="154"/>
      <c r="F40" s="154"/>
      <c r="G40" s="154"/>
      <c r="H40" s="154"/>
      <c r="I40" s="154"/>
      <c r="J40" s="154"/>
      <c r="K40" s="154"/>
      <c r="L40" s="154"/>
      <c r="M40" s="154"/>
      <c r="N40" s="154"/>
      <c r="O40" s="154"/>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56" t="s">
        <v>39</v>
      </c>
      <c r="B41" s="142"/>
      <c r="C41" s="142"/>
      <c r="D41" s="160"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v>
      </c>
      <c r="E41" s="142"/>
      <c r="F41" s="142"/>
      <c r="G41" s="142"/>
      <c r="H41" s="142"/>
      <c r="I41" s="142"/>
      <c r="J41" s="142"/>
      <c r="K41" s="142"/>
      <c r="L41" s="142"/>
      <c r="M41" s="142"/>
      <c r="N41" s="142"/>
      <c r="O41" s="142"/>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32.049999999999997" customHeight="1" x14ac:dyDescent="0.4">
      <c r="A42" s="156" t="s">
        <v>40</v>
      </c>
      <c r="B42" s="142"/>
      <c r="C42" s="142"/>
      <c r="D42" s="160" t="str">
        <f>IF(T42&gt;0,TRIM(MID(T41,T42+10,4000)),"—")</f>
        <v>aggiornare il presidio dei controlli di NFR-02 e NFR-06 e chiedere alla Funzione Compliance la revisione dei claim ESG (NFR-03). Entra nel registro, in osservazione, un rischio nuovo sui rapporti di impiego (NFR-16): oggi lontano, con il segnale che lo porterebbe nel radar.</v>
      </c>
      <c r="E42" s="142"/>
      <c r="F42" s="142"/>
      <c r="G42" s="142"/>
      <c r="H42" s="142"/>
      <c r="I42" s="142"/>
      <c r="J42" s="142"/>
      <c r="K42" s="142"/>
      <c r="L42" s="142"/>
      <c r="M42" s="142"/>
      <c r="N42" s="142"/>
      <c r="O42" s="142"/>
      <c r="T42">
        <f>IFERROR(SEARCH("DECISIONI:",T41),0)</f>
        <v>548</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56" t="s">
        <v>41</v>
      </c>
      <c r="B43" s="142"/>
      <c r="C43" s="142"/>
      <c r="D43" s="160"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56" t="s">
        <v>42</v>
      </c>
      <c r="B44" s="142"/>
      <c r="C44" s="142"/>
      <c r="D44" s="160"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56" t="s">
        <v>43</v>
      </c>
      <c r="B45" s="142"/>
      <c r="C45" s="142"/>
      <c r="D45" s="160"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3" t="s">
        <v>44</v>
      </c>
      <c r="B47" s="154"/>
      <c r="C47" s="154"/>
      <c r="D47" s="154"/>
      <c r="E47" s="154"/>
      <c r="F47" s="154"/>
      <c r="G47" s="154"/>
      <c r="H47" s="154"/>
      <c r="I47" s="154"/>
      <c r="J47" s="154"/>
      <c r="K47" s="154"/>
      <c r="L47" s="154"/>
      <c r="M47" s="154"/>
      <c r="N47" s="154"/>
      <c r="O47" s="154"/>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66" t="s">
        <v>18</v>
      </c>
      <c r="B49" s="167"/>
      <c r="C49" s="167"/>
      <c r="D49" s="26" t="s">
        <v>46</v>
      </c>
      <c r="E49" s="166" t="s">
        <v>47</v>
      </c>
      <c r="F49" s="167"/>
      <c r="G49" s="167"/>
      <c r="H49" s="167"/>
      <c r="I49" s="166" t="s">
        <v>48</v>
      </c>
      <c r="J49" s="167"/>
      <c r="K49" s="167"/>
      <c r="L49" s="167"/>
      <c r="M49" s="167"/>
      <c r="N49" s="167"/>
      <c r="O49" s="167"/>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3"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1"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42"/>
      <c r="G50" s="142"/>
      <c r="H50" s="142"/>
      <c r="I50" s="141"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3" t="str">
        <f>IF($V51="","",INDEX(Classifica!$B$5:$B$24,$V51)&amp;CHAR(10)&amp;INDEX(Classifica!$C$5:$C$24,$V51)&amp;IF(INDEX(ANA_Attenzione_Supervisore,INDEX(Classifica!$U$5:$U$24,$V51))="Sì",CHAR(10)&amp;"◆ attenzione del supervisore",""))</f>
        <v>NFR-07
Ransomware presso un fornitore di servizi di pagamento
◆ attenzione del supervisore</v>
      </c>
      <c r="B51" s="142"/>
      <c r="C51" s="142"/>
      <c r="D51" s="27" t="str">
        <f>IF($V51="","",INDEX(Radar_Mosca!$AA$5:$AA$24,INDEX(Classifica!$U$5:$U$24,$V51))&amp;"")</f>
        <v>Attenzione</v>
      </c>
      <c r="E51" s="141" t="str">
        <f t="shared" si="16"/>
        <v>2° per score composito (3,75); margine di Mosca sotto l'anno (0,75); tema all'attenzione del supervisore.</v>
      </c>
      <c r="F51" s="142"/>
      <c r="G51" s="142"/>
      <c r="H51" s="142"/>
      <c r="I51" s="141"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43" t="str">
        <f>IF($V52="","",INDEX(Classifica!$B$5:$B$24,$V52)&amp;CHAR(10)&amp;INDEX(Classifica!$C$5:$C$24,$V52)&amp;IF(INDEX(ANA_Attenzione_Supervisore,INDEX(Classifica!$U$5:$U$24,$V52))="Sì",CHAR(10)&amp;"◆ attenzione del supervisore",""))</f>
        <v>NFR-12
Errori operativi nei pagamenti istantanei obbligatori</v>
      </c>
      <c r="B52" s="142"/>
      <c r="C52" s="142"/>
      <c r="D52" s="27" t="str">
        <f>IF($V52="","",INDEX(Radar_Mosca!$AA$5:$AA$24,INDEX(Classifica!$U$5:$U$24,$V52))&amp;"")</f>
        <v>Attenzione</v>
      </c>
      <c r="E52" s="141" t="str">
        <f t="shared" si="16"/>
        <v>3° per score composito (3,65); margine di Mosca sotto l'anno (0,00).</v>
      </c>
      <c r="F52" s="142"/>
      <c r="G52" s="142"/>
      <c r="H52" s="142"/>
      <c r="I52" s="141"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43" t="str">
        <f>IF($V53="","",INDEX(Classifica!$B$5:$B$24,$V53)&amp;CHAR(10)&amp;INDEX(Classifica!$C$5:$C$24,$V53)&amp;IF(INDEX(ANA_Attenzione_Supervisore,INDEX(Classifica!$U$5:$U$24,$V53))="Sì",CHAR(10)&amp;"◆ attenzione del supervisore",""))</f>
        <v>NFR-02
Concentrazione su un fornitore cloud critico
◆ attenzione del supervisore</v>
      </c>
      <c r="B53" s="142"/>
      <c r="C53" s="142"/>
      <c r="D53" s="27" t="str">
        <f>IF($V53="","",INDEX(Radar_Mosca!$AA$5:$AA$24,INDEX(Classifica!$U$5:$U$24,$V53))&amp;"")</f>
        <v>Attenzione</v>
      </c>
      <c r="E53" s="141" t="str">
        <f t="shared" si="16"/>
        <v>tema all'attenzione del supervisore.</v>
      </c>
      <c r="F53" s="142"/>
      <c r="G53" s="142"/>
      <c r="H53" s="142"/>
      <c r="I53" s="141"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3"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41" t="str">
        <f t="shared" si="16"/>
        <v>variato nel ciclo: peggiora.</v>
      </c>
      <c r="F54" s="142"/>
      <c r="G54" s="142"/>
      <c r="H54" s="142"/>
      <c r="I54" s="141"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3"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41" t="str">
        <f t="shared" si="16"/>
        <v>presidio dei controlli assente.</v>
      </c>
      <c r="F55" s="142"/>
      <c r="G55" s="142"/>
      <c r="H55" s="142"/>
      <c r="I55" s="141"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3" t="str">
        <f>IF($V56="","",INDEX(Classifica!$B$5:$B$24,$V56)&amp;CHAR(10)&amp;INDEX(Classifica!$C$5:$C$24,$V56)&amp;IF(INDEX(ANA_Attenzione_Supervisore,INDEX(Classifica!$U$5:$U$24,$V56))="Sì",CHAR(10)&amp;"◆ attenzione del supervisore",""))</f>
        <v>NFR-10
Informazioni errate ai clienti da assistenti di AI generativa</v>
      </c>
      <c r="B56" s="142"/>
      <c r="C56" s="142"/>
      <c r="D56" s="27" t="str">
        <f>IF($V56="","",INDEX(Radar_Mosca!$AA$5:$AA$24,INDEX(Classifica!$U$5:$U$24,$V56))&amp;"")</f>
        <v>Monitoraggio</v>
      </c>
      <c r="E56" s="141" t="str">
        <f t="shared" si="16"/>
        <v>variato nel ciclo.</v>
      </c>
      <c r="F56" s="142"/>
      <c r="G56" s="142"/>
      <c r="H56" s="142"/>
      <c r="I56" s="141"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(2026-10-08)</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43" t="str">
        <f>IF($V57="","",INDEX(Classifica!$B$5:$B$24,$V57)&amp;CHAR(10)&amp;INDEX(Classifica!$C$5:$C$24,$V57)&amp;IF(INDEX(ANA_Attenzione_Supervisore,INDEX(Classifica!$U$5:$U$24,$V57))="Sì",CHAR(10)&amp;"◆ attenzione del supervisore",""))</f>
        <v>NFR-04
Eventi climatici estremi su sedi e data center</v>
      </c>
      <c r="B57" s="142"/>
      <c r="C57" s="142"/>
      <c r="D57" s="27" t="str">
        <f>IF($V57="","",INDEX(Radar_Mosca!$AA$5:$AA$24,INDEX(Classifica!$U$5:$U$24,$V57))&amp;"")</f>
        <v>Attenzione</v>
      </c>
      <c r="E57" s="141" t="str">
        <f t="shared" si="16"/>
        <v/>
      </c>
      <c r="F57" s="142"/>
      <c r="G57" s="142"/>
      <c r="H57" s="142"/>
      <c r="I57" s="141"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43" t="str">
        <f>IF($V58="","",INDEX(Classifica!$B$5:$B$24,$V58)&amp;CHAR(10)&amp;INDEX(Classifica!$C$5:$C$24,$V58)&amp;IF(INDEX(ANA_Attenzione_Supervisore,INDEX(Classifica!$U$5:$U$24,$V58))="Sì",CHAR(10)&amp;"◆ attenzione del supervisore",""))</f>
        <v>NFR-11
Fine del supporto dei sistemi di pagamento legacy</v>
      </c>
      <c r="B58" s="142"/>
      <c r="C58" s="142"/>
      <c r="D58" s="27" t="str">
        <f>IF($V58="","",INDEX(Radar_Mosca!$AA$5:$AA$24,INDEX(Classifica!$U$5:$U$24,$V58))&amp;"")</f>
        <v>Attenzione</v>
      </c>
      <c r="E58" s="141" t="str">
        <f t="shared" si="16"/>
        <v>AGIRE ORA: servono X + Y = 3,25 anni per decidere e mitigare, di cui 3 di adeguamento strutturale; ne restano Z = 1,5 prima che possa manifestarsi; presidio dei controlli assente.</v>
      </c>
      <c r="F58" s="142"/>
      <c r="G58" s="142"/>
      <c r="H58" s="142"/>
      <c r="I58" s="141"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42"/>
      <c r="K58" s="142"/>
      <c r="L58" s="142"/>
      <c r="M58" s="142"/>
      <c r="N58" s="142"/>
      <c r="O58" s="142"/>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43" t="str">
        <f>IF($V59="","",INDEX(Classifica!$B$5:$B$24,$V59)&amp;CHAR(10)&amp;INDEX(Classifica!$C$5:$C$24,$V59)&amp;IF(INDEX(ANA_Attenzione_Supervisore,INDEX(Classifica!$U$5:$U$24,$V59))="Sì",CHAR(10)&amp;"◆ attenzione del supervisore",""))</f>
        <v>NFR-08
Accessi impropri di dipendenti ai dati dei clienti</v>
      </c>
      <c r="B59" s="142"/>
      <c r="C59" s="142"/>
      <c r="D59" s="27" t="str">
        <f>IF($V59="","",INDEX(Radar_Mosca!$AA$5:$AA$24,INDEX(Classifica!$U$5:$U$24,$V59))&amp;"")</f>
        <v>Attenzione</v>
      </c>
      <c r="E59" s="141" t="str">
        <f t="shared" si="16"/>
        <v/>
      </c>
      <c r="F59" s="142"/>
      <c r="G59" s="142"/>
      <c r="H59" s="142"/>
      <c r="I59" s="141"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42"/>
      <c r="K59" s="142"/>
      <c r="L59" s="142"/>
      <c r="M59" s="142"/>
      <c r="N59" s="142"/>
      <c r="O59" s="142"/>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3"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1" t="str">
        <f t="shared" si="16"/>
        <v/>
      </c>
      <c r="F60" s="142"/>
      <c r="G60" s="142"/>
      <c r="H60" s="142"/>
      <c r="I60" s="141"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3"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1" t="str">
        <f t="shared" si="16"/>
        <v/>
      </c>
      <c r="F61" s="142"/>
      <c r="G61" s="142"/>
      <c r="H61" s="142"/>
      <c r="I61" s="141"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3"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1" t="str">
        <f t="shared" si="16"/>
        <v/>
      </c>
      <c r="F62" s="142"/>
      <c r="G62" s="142"/>
      <c r="H62" s="142"/>
      <c r="I62" s="141"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3"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1" t="str">
        <f t="shared" si="16"/>
        <v/>
      </c>
      <c r="F63" s="142"/>
      <c r="G63" s="142"/>
      <c r="H63" s="142"/>
      <c r="I63" s="141"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3"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1" t="str">
        <f t="shared" si="16"/>
        <v/>
      </c>
      <c r="F64" s="142"/>
      <c r="G64" s="142"/>
      <c r="H64" s="142"/>
      <c r="I64" s="141"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3"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1" t="str">
        <f t="shared" si="16"/>
        <v/>
      </c>
      <c r="F65" s="142"/>
      <c r="G65" s="142"/>
      <c r="H65" s="142"/>
      <c r="I65" s="141"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3"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1" t="str">
        <f t="shared" si="16"/>
        <v/>
      </c>
      <c r="F66" s="142"/>
      <c r="G66" s="142"/>
      <c r="H66" s="142"/>
      <c r="I66" s="141"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3"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1" t="str">
        <f t="shared" si="16"/>
        <v/>
      </c>
      <c r="F67" s="142"/>
      <c r="G67" s="142"/>
      <c r="H67" s="142"/>
      <c r="I67" s="141"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3"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1" t="str">
        <f t="shared" si="16"/>
        <v/>
      </c>
      <c r="F68" s="142"/>
      <c r="G68" s="142"/>
      <c r="H68" s="142"/>
      <c r="I68" s="141"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3"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1" t="str">
        <f t="shared" si="16"/>
        <v/>
      </c>
      <c r="F69" s="142"/>
      <c r="G69" s="142"/>
      <c r="H69" s="142"/>
      <c r="I69" s="141"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55"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55"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40:O40"/>
    <mergeCell ref="B14:E14"/>
    <mergeCell ref="K30:O30"/>
    <mergeCell ref="K32:O32"/>
    <mergeCell ref="A6:C6"/>
    <mergeCell ref="A50:C50"/>
    <mergeCell ref="D44:O44"/>
    <mergeCell ref="A59:C59"/>
    <mergeCell ref="A8:H8"/>
    <mergeCell ref="A17:H17"/>
    <mergeCell ref="A64:C64"/>
    <mergeCell ref="I66:O6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I52:O52"/>
    <mergeCell ref="E63:H63"/>
    <mergeCell ref="I56:O56"/>
    <mergeCell ref="E61:H61"/>
    <mergeCell ref="A57:C57"/>
    <mergeCell ref="I69:O69"/>
    <mergeCell ref="E62:H62"/>
    <mergeCell ref="D4:F4"/>
    <mergeCell ref="B10:E10"/>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58" t="str">
        <f>"Horizon Scan NFR — Classifica e lente di Mosca   ·   "&amp;etichettaCiclo</f>
        <v>Horizon Scan NFR — Classifica e lente di Mosca   ·   Ciclo 2026Q3 · dati al 30/09/2026 · validato · Uso interno</v>
      </c>
      <c r="B1" s="159"/>
      <c r="C1" s="159"/>
      <c r="D1" s="159"/>
      <c r="E1" s="159"/>
      <c r="F1" s="159"/>
      <c r="G1" s="159"/>
      <c r="H1" s="159"/>
      <c r="I1" s="159"/>
      <c r="J1" s="159"/>
      <c r="K1" s="159"/>
    </row>
    <row r="2" spans="1:38" ht="45.55" customHeight="1" x14ac:dyDescent="0.4">
      <c r="A2" s="149"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55"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58" t="str">
        <f>"Horizon Scan NFR — Radar di Mosca: quanto presto agire, e quanto e' grande ogni rischio   ·   "&amp;etichettaCiclo</f>
        <v>Horizon Scan NFR — Radar di Mosca: quanto presto agire, e quanto e' grande ogni rischio   ·   Ciclo 2026Q3 · dati al 30/09/2026 · validato · Uso interno</v>
      </c>
      <c r="B1" s="159"/>
      <c r="C1" s="159"/>
      <c r="D1" s="159"/>
      <c r="E1" s="159"/>
      <c r="F1" s="159"/>
      <c r="G1" s="159"/>
      <c r="H1" s="159"/>
      <c r="I1" s="159"/>
      <c r="J1" s="159"/>
      <c r="K1" s="159"/>
      <c r="L1" s="159"/>
    </row>
    <row r="2" spans="1:94" ht="45.55" customHeight="1" x14ac:dyDescent="0.4">
      <c r="A2" s="149"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IF($A5="",NA(),MAX(IF(COUNTIFS(AZ_ID_Rischio,$A5,AZ_Ciclo,$AC5,AZ_Stato,"&lt;&gt;Respinta",AZ_Mesi_Orizzonte,"&gt;0")=0,moscaYDefault,_xlfn.MAXIFS(AZ_Mesi_Orizzonte,AZ_ID_Rischio,$A5,AZ_Ciclo,$AC5,AZ_Stato,"&lt;&gt;Respinta")/12),N(Parametri!$M4)))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1.75</v>
      </c>
      <c r="R5" s="29">
        <f t="shared" ref="R5:R24" si="12">IF(AND(ISNUMBER(Q5),ISNUMBER(P5)),Q5*SIN(P5),NA())</f>
        <v>0.40357777379926979</v>
      </c>
      <c r="S5" s="29">
        <f t="shared" ref="S5:S24" si="13">IF(AND(ISNUMBER(Q5),ISNUMBER(P5)),Q5*COS(P5),NA())</f>
        <v>-1.7028285235146918</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C5" t="str">
        <f t="shared" ref="AC5:AC24" si="20">IF($A5="","",IFERROR(IF(INDEX(RR_Periodo_Valutazione,MATCH(cicloCorrente&amp;"|"&amp;$A5,RR_Chiave,0))="",cicloCorrente,INDEX(RR_Periodo_Valutazione,MATCH(cicloCorrente&amp;"|"&amp;$A5,RR_Chiave,0))&amp;""),cicloCorrente))</f>
        <v>2026Q3</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-1.7028285235146918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0.40357777379926979</v>
      </c>
      <c r="CL5" t="str">
        <f t="shared" ref="CL5:CL24" si="34">IF($A5="","",$A5&amp;IF($T5="Sì"," ◆",""))</f>
        <v>NFR-01 ◆</v>
      </c>
      <c r="CM5">
        <f t="shared" ref="CM5:CM24" si="35">IF(ISNUMBER($S5),$S5,NA())</f>
        <v>-1.7028285235146918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1</v>
      </c>
      <c r="K6" s="29">
        <f t="shared" si="6"/>
        <v>0.25</v>
      </c>
      <c r="L6" t="str">
        <f t="shared" si="7"/>
        <v>Agire entro l'anno</v>
      </c>
      <c r="M6">
        <f t="shared" si="8"/>
        <v>6</v>
      </c>
      <c r="N6">
        <f>IF($A6="",NA(),COUNTIF($C$4:C5,C6))</f>
        <v>0</v>
      </c>
      <c r="O6">
        <f t="shared" si="9"/>
        <v>2</v>
      </c>
      <c r="P6" s="29">
        <f t="shared" si="10"/>
        <v>4.3633231299858242</v>
      </c>
      <c r="Q6" s="29">
        <f t="shared" si="11"/>
        <v>2.25</v>
      </c>
      <c r="R6" s="29">
        <f t="shared" si="12"/>
        <v>-2.1143083967682941</v>
      </c>
      <c r="S6" s="29">
        <f t="shared" si="13"/>
        <v>-0.7695453224827542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C6" t="str">
        <f t="shared" si="20"/>
        <v>2026Q3</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f t="shared" si="31"/>
        <v>-0.7695453224827542</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-2.1143083967682941</v>
      </c>
      <c r="CL6" t="str">
        <f t="shared" si="34"/>
        <v>NFR-02 ◆</v>
      </c>
      <c r="CM6">
        <f t="shared" si="35"/>
        <v>-0.7695453224827542</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2026Q3</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2026Q3</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C9" t="str">
        <f t="shared" si="20"/>
        <v>2026Q3</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C10" t="str">
        <f t="shared" si="20"/>
        <v>2026Q3</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2026Q3</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1</v>
      </c>
      <c r="K12" s="29">
        <f t="shared" si="6"/>
        <v>0.25</v>
      </c>
      <c r="L12" t="str">
        <f t="shared" si="7"/>
        <v>Agire entro l'anno</v>
      </c>
      <c r="M12">
        <f t="shared" si="8"/>
        <v>4</v>
      </c>
      <c r="N12">
        <f>IF($A12="",NA(),COUNTIF($C$4:C11,C12))</f>
        <v>2</v>
      </c>
      <c r="O12">
        <f t="shared" si="9"/>
        <v>3</v>
      </c>
      <c r="P12" s="29">
        <f t="shared" si="10"/>
        <v>3.37430322052237</v>
      </c>
      <c r="Q12" s="29">
        <f t="shared" si="11"/>
        <v>2.25</v>
      </c>
      <c r="R12" s="29">
        <f t="shared" si="12"/>
        <v>-0.51888570917048915</v>
      </c>
      <c r="S12" s="29">
        <f t="shared" si="13"/>
        <v>-2.1893509588046038</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C12" t="str">
        <f t="shared" si="20"/>
        <v>2026Q3</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f t="shared" si="30"/>
        <v>-2.1893509588046038</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t="e">
        <f t="shared" si="32"/>
        <v>#N/A</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-0.51888570917048915</v>
      </c>
      <c r="CL12" t="str">
        <f t="shared" si="34"/>
        <v>NFR-08</v>
      </c>
      <c r="CM12">
        <f t="shared" si="35"/>
        <v>-2.1893509588046038</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2026Q3</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2026Q3</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C15" t="str">
        <f t="shared" si="20"/>
        <v>2026Q3</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t="e">
        <f t="shared" si="36"/>
        <v>#N/A</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f t="shared" si="38"/>
        <v>-0.45962666587138673</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2026Q3</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IF($A17="",NA(),MAX(IF(COUNTIFS(AZ_ID_Rischio,$A17,AZ_Ciclo,$AC17,AZ_Stato,"&lt;&gt;Respinta",AZ_Mesi_Orizzonte,"&gt;0")=0,moscaYDefault,_xlfn.MAXIFS(AZ_Mesi_Orizzonte,AZ_ID_Rischio,$A17,AZ_Ciclo,$AC17,AZ_Stato,"&lt;&gt;Respinta")/12),N(Parametri!$M16)))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C17" t="str">
        <f t="shared" si="20"/>
        <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t="e">
        <f t="shared" si="39"/>
        <v>#N/A</v>
      </c>
      <c r="CE17" t="e">
        <f t="shared" si="39"/>
        <v>#N/A</v>
      </c>
      <c r="CF17" t="e">
        <f t="shared" si="39"/>
        <v>#N/A</v>
      </c>
      <c r="CG17" t="e">
        <f t="shared" si="39"/>
        <v>#N/A</v>
      </c>
      <c r="CH17" t="e">
        <f t="shared" si="39"/>
        <v>#N/A</v>
      </c>
      <c r="CI17" t="e">
        <f t="shared" si="39"/>
        <v>#N/A</v>
      </c>
      <c r="CJ17" t="e">
        <f t="shared" si="39"/>
        <v>#N/A</v>
      </c>
      <c r="CK17" t="e">
        <f t="shared" si="33"/>
        <v>#N/A</v>
      </c>
      <c r="CL17" t="str">
        <f t="shared" si="34"/>
        <v/>
      </c>
      <c r="CM17" t="e">
        <f t="shared" si="35"/>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55"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58" t="str">
        <f>"Horizon Scan NFR — Matrice di gravita'   ·   "&amp;etichettaCiclo</f>
        <v>Horizon Scan NFR — Matrice di gravita'   ·   Ciclo 2026Q3 · dati al 30/09/2026 · validato · Uso interno</v>
      </c>
      <c r="B1" s="159"/>
      <c r="C1" s="159"/>
      <c r="D1" s="159"/>
      <c r="E1" s="159"/>
      <c r="F1" s="159"/>
      <c r="G1" s="159"/>
    </row>
    <row r="2" spans="1:43" ht="45.55" customHeight="1" x14ac:dyDescent="0.4">
      <c r="A2" s="149"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3" t="s">
        <v>240</v>
      </c>
      <c r="B14" s="154"/>
      <c r="C14" s="154"/>
      <c r="D14" s="154"/>
      <c r="E14" s="154"/>
      <c r="F14" s="154"/>
      <c r="G14" s="154"/>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48"/>
      <c r="C16" s="181" t="str">
        <f>IF($Q$5="","",INDEX(posNome,$Q$5)&amp;IF(INDEX(ANA_Attenzione_Supervisore,$Q$5)="Sì","  ◆",""))</f>
        <v>Frodi su pagamenti istantanei abilitate da AI generativa  ◆</v>
      </c>
      <c r="D16" s="148"/>
      <c r="E16" s="148"/>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NFR-07</v>
      </c>
      <c r="B17" s="148"/>
      <c r="C17" s="181" t="str">
        <f>IF($Q$6="","",INDEX(posNome,$Q$6)&amp;IF(INDEX(ANA_Attenzione_Supervisore,$Q$6)="Sì","  ◆",""))</f>
        <v>Ransomware presso un fornitore di servizi di pagamento  ◆</v>
      </c>
      <c r="D17" s="148"/>
      <c r="E17" s="148"/>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NFR-12</v>
      </c>
      <c r="B18" s="148"/>
      <c r="C18" s="181" t="str">
        <f>IF($Q$7="","",INDEX(posNome,$Q$7)&amp;IF(INDEX(ANA_Attenzione_Supervisore,$Q$7)="Sì","  ◆",""))</f>
        <v>Errori operativi nei pagamenti istantanei obbligatori</v>
      </c>
      <c r="D18" s="148"/>
      <c r="E18" s="148"/>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NFR-03</v>
      </c>
      <c r="B19" s="148"/>
      <c r="C19" s="181" t="str">
        <f>IF($Q$8="","",INDEX(posNome,$Q$8)&amp;IF(INDEX(ANA_Attenzione_Supervisore,$Q$8)="Sì","  ◆",""))</f>
        <v>Greenwashing nella commercializzazione di prodotti ESG</v>
      </c>
      <c r="D19" s="148"/>
      <c r="E19" s="148"/>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NFR-04</v>
      </c>
      <c r="B20" s="148"/>
      <c r="C20" s="181" t="str">
        <f>IF($Q$9="","",INDEX(posNome,$Q$9)&amp;IF(INDEX(ANA_Attenzione_Supervisore,$Q$9)="Sì","  ◆",""))</f>
        <v>Eventi climatici estremi su sedi e data center</v>
      </c>
      <c r="D20" s="148"/>
      <c r="E20" s="148"/>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NFR-05</v>
      </c>
      <c r="B21" s="148"/>
      <c r="C21" s="181" t="str">
        <f>IF($Q$10="","",INDEX(posNome,$Q$10)&amp;IF(INDEX(ANA_Attenzione_Supervisore,$Q$10)="Sì","  ◆",""))</f>
        <v>Errori di processo nella migrazione del core banking</v>
      </c>
      <c r="D21" s="148"/>
      <c r="E21" s="148"/>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NFR-06</v>
      </c>
      <c r="B22" s="148"/>
      <c r="C22" s="181" t="str">
        <f>IF($Q$11="","",INDEX(posNome,$Q$11)&amp;IF(INDEX(ANA_Attenzione_Supervisore,$Q$11)="Sì","  ◆",""))</f>
        <v>Esfiltrazione di dati tramite strumenti di AI non autorizzati</v>
      </c>
      <c r="D22" s="148"/>
      <c r="E22" s="148"/>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NFR-10</v>
      </c>
      <c r="B23" s="148"/>
      <c r="C23" s="181" t="str">
        <f>IF($Q$12="","",INDEX(posNome,$Q$12)&amp;IF(INDEX(ANA_Attenzione_Supervisore,$Q$12)="Sì","  ◆",""))</f>
        <v>Informazioni errate ai clienti da assistenti di AI generativa</v>
      </c>
      <c r="D23" s="148"/>
      <c r="E23" s="148"/>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NFR-11</v>
      </c>
      <c r="B24" s="148"/>
      <c r="C24" s="181" t="str">
        <f>IF($Q$13="","",INDEX(posNome,$Q$13)&amp;IF(INDEX(ANA_Attenzione_Supervisore,$Q$13)="Sì","  ◆",""))</f>
        <v>Fine del supporto dei sistemi di pagamento legacy</v>
      </c>
      <c r="D24" s="148"/>
      <c r="E24" s="148"/>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NFR-02</v>
      </c>
      <c r="B25" s="148"/>
      <c r="C25" s="181" t="str">
        <f>IF($Q$14="","",INDEX(posNome,$Q$14)&amp;IF(INDEX(ANA_Attenzione_Supervisore,$Q$14)="Sì","  ◆",""))</f>
        <v>Concentrazione su un fornitore cloud critico  ◆</v>
      </c>
      <c r="D25" s="148"/>
      <c r="E25" s="148"/>
      <c r="F25" s="41" t="str">
        <f>IF($Q$14="","",INDEX(posProbabilita,$Q$14)&amp;" · "&amp;INDEX(posImpatto,$Q$14))</f>
        <v>2 · 4</v>
      </c>
      <c r="G25" s="41">
        <f>IF($Q$14="","",INDEX($N$5:$N$24,$Q$14))</f>
        <v>8</v>
      </c>
    </row>
    <row r="26" spans="1:43" x14ac:dyDescent="0.4">
      <c r="A26" s="180" t="str">
        <f>IF($Q$15="","",INDEX(posID,$Q$15))</f>
        <v>NFR-09</v>
      </c>
      <c r="B26" s="148"/>
      <c r="C26" s="181" t="str">
        <f>IF($Q$15="","",INDEX(posNome,$Q$15)&amp;IF(INDEX(ANA_Attenzione_Supervisore,$Q$15)="Sì","  ◆",""))</f>
        <v>Violazione di sanzioni internazionali tramite triangolazioni  ◆</v>
      </c>
      <c r="D26" s="148"/>
      <c r="E26" s="148"/>
      <c r="F26" s="41" t="str">
        <f>IF($Q$15="","",INDEX(posProbabilita,$Q$15)&amp;" · "&amp;INDEX(posImpatto,$Q$15))</f>
        <v>2 · 4</v>
      </c>
      <c r="G26" s="41">
        <f>IF($Q$15="","",INDEX($N$5:$N$24,$Q$15))</f>
        <v>8</v>
      </c>
    </row>
    <row r="27" spans="1:43" x14ac:dyDescent="0.4">
      <c r="A27" s="180" t="str">
        <f>IF($Q$16="","",INDEX(posID,$Q$16))</f>
        <v>NFR-08</v>
      </c>
      <c r="B27" s="148"/>
      <c r="C27" s="181" t="str">
        <f>IF($Q$16="","",INDEX(posNome,$Q$16)&amp;IF(INDEX(ANA_Attenzione_Supervisore,$Q$16)="Sì","  ◆",""))</f>
        <v>Accessi impropri di dipendenti ai dati dei clienti</v>
      </c>
      <c r="D27" s="148"/>
      <c r="E27" s="148"/>
      <c r="F27" s="41" t="str">
        <f>IF($Q$16="","",INDEX(posProbabilita,$Q$16)&amp;" · "&amp;INDEX(posImpatto,$Q$16))</f>
        <v>2 · 3</v>
      </c>
      <c r="G27" s="41">
        <f>IF($Q$16="","",INDEX($N$5:$N$24,$Q$16))</f>
        <v>6</v>
      </c>
    </row>
    <row r="28" spans="1:43" x14ac:dyDescent="0.4">
      <c r="A28" s="180" t="str">
        <f>IF($Q$17="","",INDEX(posID,$Q$17))</f>
        <v/>
      </c>
      <c r="B28" s="148"/>
      <c r="C28" s="181" t="str">
        <f>IF($Q$17="","",INDEX(posNome,$Q$17)&amp;IF(INDEX(ANA_Attenzione_Supervisore,$Q$17)="Sì","  ◆",""))</f>
        <v/>
      </c>
      <c r="D28" s="148"/>
      <c r="E28" s="148"/>
      <c r="F28" s="41" t="str">
        <f>IF($Q$17="","",INDEX(posProbabilita,$Q$17)&amp;" · "&amp;INDEX(posImpatto,$Q$17))</f>
        <v/>
      </c>
      <c r="G28" s="41" t="str">
        <f>IF($Q$17="","",INDEX($N$5:$N$24,$Q$17))</f>
        <v/>
      </c>
    </row>
    <row r="29" spans="1:43" x14ac:dyDescent="0.4">
      <c r="A29" s="180" t="str">
        <f>IF($Q$18="","",INDEX(posID,$Q$18))</f>
        <v/>
      </c>
      <c r="B29" s="148"/>
      <c r="C29" s="181" t="str">
        <f>IF($Q$18="","",INDEX(posNome,$Q$18)&amp;IF(INDEX(ANA_Attenzione_Supervisore,$Q$18)="Sì","  ◆",""))</f>
        <v/>
      </c>
      <c r="D29" s="148"/>
      <c r="E29" s="148"/>
      <c r="F29" s="41" t="str">
        <f>IF($Q$18="","",INDEX(posProbabilita,$Q$18)&amp;" · "&amp;INDEX(posImpatto,$Q$18))</f>
        <v/>
      </c>
      <c r="G29" s="41" t="str">
        <f>IF($Q$18="","",INDEX($N$5:$N$24,$Q$18))</f>
        <v/>
      </c>
    </row>
    <row r="30" spans="1:43" x14ac:dyDescent="0.4">
      <c r="A30" s="180" t="str">
        <f>IF($Q$19="","",INDEX(posID,$Q$19))</f>
        <v/>
      </c>
      <c r="B30" s="148"/>
      <c r="C30" s="181" t="str">
        <f>IF($Q$19="","",INDEX(posNome,$Q$19)&amp;IF(INDEX(ANA_Attenzione_Supervisore,$Q$19)="Sì","  ◆",""))</f>
        <v/>
      </c>
      <c r="D30" s="148"/>
      <c r="E30" s="148"/>
      <c r="F30" s="41" t="str">
        <f>IF($Q$19="","",INDEX(posProbabilita,$Q$19)&amp;" · "&amp;INDEX(posImpatto,$Q$19))</f>
        <v/>
      </c>
      <c r="G30" s="41" t="str">
        <f>IF($Q$19="","",INDEX($N$5:$N$24,$Q$19))</f>
        <v/>
      </c>
    </row>
    <row r="31" spans="1:43" x14ac:dyDescent="0.4">
      <c r="A31" s="180" t="str">
        <f>IF($Q$20="","",INDEX(posID,$Q$20))</f>
        <v/>
      </c>
      <c r="B31" s="148"/>
      <c r="C31" s="181" t="str">
        <f>IF($Q$20="","",INDEX(posNome,$Q$20)&amp;IF(INDEX(ANA_Attenzione_Supervisore,$Q$20)="Sì","  ◆",""))</f>
        <v/>
      </c>
      <c r="D31" s="148"/>
      <c r="E31" s="148"/>
      <c r="F31" s="41" t="str">
        <f>IF($Q$20="","",INDEX(posProbabilita,$Q$20)&amp;" · "&amp;INDEX(posImpatto,$Q$20))</f>
        <v/>
      </c>
      <c r="G31" s="41" t="str">
        <f>IF($Q$20="","",INDEX($N$5:$N$24,$Q$20))</f>
        <v/>
      </c>
    </row>
    <row r="32" spans="1:43" x14ac:dyDescent="0.4">
      <c r="A32" s="180" t="str">
        <f>IF($Q$21="","",INDEX(posID,$Q$21))</f>
        <v/>
      </c>
      <c r="B32" s="148"/>
      <c r="C32" s="181" t="str">
        <f>IF($Q$21="","",INDEX(posNome,$Q$21)&amp;IF(INDEX(ANA_Attenzione_Supervisore,$Q$21)="Sì","  ◆",""))</f>
        <v/>
      </c>
      <c r="D32" s="148"/>
      <c r="E32" s="148"/>
      <c r="F32" s="41" t="str">
        <f>IF($Q$21="","",INDEX(posProbabilita,$Q$21)&amp;" · "&amp;INDEX(posImpatto,$Q$21))</f>
        <v/>
      </c>
      <c r="G32" s="41" t="str">
        <f>IF($Q$21="","",INDEX($N$5:$N$24,$Q$21))</f>
        <v/>
      </c>
    </row>
    <row r="33" spans="1:7" x14ac:dyDescent="0.4">
      <c r="A33" s="180" t="str">
        <f>IF($Q$22="","",INDEX(posID,$Q$22))</f>
        <v/>
      </c>
      <c r="B33" s="148"/>
      <c r="C33" s="181" t="str">
        <f>IF($Q$22="","",INDEX(posNome,$Q$22)&amp;IF(INDEX(ANA_Attenzione_Supervisore,$Q$22)="Sì","  ◆",""))</f>
        <v/>
      </c>
      <c r="D33" s="148"/>
      <c r="E33" s="148"/>
      <c r="F33" s="41" t="str">
        <f>IF($Q$22="","",INDEX(posProbabilita,$Q$22)&amp;" · "&amp;INDEX(posImpatto,$Q$22))</f>
        <v/>
      </c>
      <c r="G33" s="41" t="str">
        <f>IF($Q$22="","",INDEX($N$5:$N$24,$Q$22))</f>
        <v/>
      </c>
    </row>
    <row r="34" spans="1:7" x14ac:dyDescent="0.4">
      <c r="A34" s="180" t="str">
        <f>IF($Q$23="","",INDEX(posID,$Q$23))</f>
        <v/>
      </c>
      <c r="B34" s="148"/>
      <c r="C34" s="181" t="str">
        <f>IF($Q$23="","",INDEX(posNome,$Q$23)&amp;IF(INDEX(ANA_Attenzione_Supervisore,$Q$23)="Sì","  ◆",""))</f>
        <v/>
      </c>
      <c r="D34" s="148"/>
      <c r="E34" s="148"/>
      <c r="F34" s="41" t="str">
        <f>IF($Q$23="","",INDEX(posProbabilita,$Q$23)&amp;" · "&amp;INDEX(posImpatto,$Q$23))</f>
        <v/>
      </c>
      <c r="G34" s="41" t="str">
        <f>IF($Q$23="","",INDEX($N$5:$N$24,$Q$23))</f>
        <v/>
      </c>
    </row>
    <row r="35" spans="1:7" x14ac:dyDescent="0.4">
      <c r="A35" s="180" t="str">
        <f>IF($Q$24="","",INDEX(posID,$Q$24))</f>
        <v/>
      </c>
      <c r="B35" s="148"/>
      <c r="C35" s="181" t="str">
        <f>IF($Q$24="","",INDEX(posNome,$Q$24)&amp;IF(INDEX(ANA_Attenzione_Supervisore,$Q$24)="Sì","  ◆",""))</f>
        <v/>
      </c>
      <c r="D35" s="148"/>
      <c r="E35" s="148"/>
      <c r="F35" s="41" t="str">
        <f>IF($Q$24="","",INDEX(posProbabilita,$Q$24)&amp;" · "&amp;INDEX(posImpatto,$Q$24))</f>
        <v/>
      </c>
      <c r="G35" s="41" t="str">
        <f>IF($Q$24="","",INDEX($N$5:$N$24,$Q$24))</f>
        <v/>
      </c>
    </row>
    <row r="37" spans="1:7" ht="26.05" customHeight="1" x14ac:dyDescent="0.4">
      <c r="A37" s="155" t="s">
        <v>242</v>
      </c>
      <c r="B37" s="142"/>
      <c r="C37" s="142"/>
      <c r="D37" s="142"/>
      <c r="E37" s="142"/>
      <c r="F37" s="142"/>
      <c r="G37" s="142"/>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58" t="str">
        <f>"Horizon Scan NFR — Delta: che cosa e' cambiato dal ciclo precedente   ·   "&amp;etichettaCiclo</f>
        <v>Horizon Scan NFR — Delta: che cosa e' cambiato dal ciclo precedente   ·   Ciclo 2026Q3 · dati al 30/09/2026 · validato · Uso interno</v>
      </c>
      <c r="B1" s="159"/>
      <c r="C1" s="159"/>
      <c r="D1" s="159"/>
      <c r="E1" s="159"/>
      <c r="F1" s="159"/>
      <c r="G1" s="159"/>
      <c r="H1" s="159"/>
      <c r="I1" s="159"/>
      <c r="J1" s="159"/>
      <c r="K1" s="159"/>
      <c r="L1" s="159"/>
      <c r="M1" s="159"/>
      <c r="N1" s="159"/>
      <c r="O1" s="159"/>
      <c r="P1" s="159"/>
      <c r="Q1" s="159"/>
    </row>
    <row r="2" spans="1:46" ht="45.55" customHeight="1" x14ac:dyDescent="0.4">
      <c r="A2" s="149"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1 in aumento, 0 in diminuzione, 11 invariati</v>
      </c>
    </row>
    <row r="4" spans="1:46" ht="15.9" x14ac:dyDescent="0.45">
      <c r="K4" s="153" t="s">
        <v>244</v>
      </c>
      <c r="L4" s="154"/>
      <c r="M4" s="154"/>
      <c r="N4" s="154"/>
      <c r="O4" s="154"/>
      <c r="P4" s="154"/>
      <c r="Q4" s="154"/>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75"/>
      <c r="O7" s="175"/>
      <c r="P7" s="175"/>
      <c r="Q7" s="175"/>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(2026-10-08)</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53" t="s">
        <v>257</v>
      </c>
      <c r="B29" s="154"/>
      <c r="C29" s="154"/>
      <c r="D29" s="154"/>
      <c r="E29" s="154"/>
      <c r="F29" s="154"/>
      <c r="G29" s="154"/>
      <c r="H29" s="154"/>
      <c r="I29" s="154"/>
      <c r="J29" s="154"/>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42"/>
      <c r="M31" s="142"/>
      <c r="N31" s="142"/>
      <c r="O31" s="142"/>
      <c r="P31" s="142"/>
      <c r="Q31" s="142"/>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42" t="str">
        <f t="shared" si="9"/>
        <v/>
      </c>
      <c r="L32" s="142"/>
      <c r="M32" s="142"/>
      <c r="N32" s="142"/>
      <c r="O32" s="142"/>
      <c r="P32" s="142"/>
      <c r="Q32" s="142"/>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2" t="str">
        <f t="shared" si="9"/>
        <v/>
      </c>
      <c r="L33" s="142"/>
      <c r="M33" s="142"/>
      <c r="N33" s="142"/>
      <c r="O33" s="142"/>
      <c r="P33" s="142"/>
      <c r="Q33" s="142"/>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42" t="str">
        <f t="shared" si="9"/>
        <v>Velocity non valutata in uno dei due cicli: lo score ridistribuisce i pesi</v>
      </c>
      <c r="L40" s="142"/>
      <c r="M40" s="142"/>
      <c r="N40" s="142"/>
      <c r="O40" s="142"/>
      <c r="P40" s="142"/>
      <c r="Q40" s="142"/>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55" t="s">
        <v>263</v>
      </c>
      <c r="B52" s="142"/>
      <c r="C52" s="142"/>
      <c r="D52" s="142"/>
      <c r="E52" s="142"/>
      <c r="F52" s="142"/>
      <c r="G52" s="142"/>
      <c r="H52" s="142"/>
      <c r="I52" s="142"/>
      <c r="J52" s="142"/>
      <c r="K52" s="142"/>
      <c r="L52" s="142"/>
      <c r="M52" s="142"/>
      <c r="N52" s="142"/>
      <c r="O52" s="142"/>
      <c r="P52" s="142"/>
      <c r="Q52" s="142"/>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58" t="str">
        <f>"Horizon Scan NFR — Rischi in osservazione   ·   "&amp;etichettaCiclo</f>
        <v>Horizon Scan NFR — Rischi in osservazione   ·   Ciclo 2026Q3 · dati al 30/09/2026 · validato · Uso interno</v>
      </c>
      <c r="B1" s="159"/>
      <c r="C1" s="159"/>
      <c r="D1" s="159"/>
      <c r="E1" s="159"/>
      <c r="F1" s="159"/>
      <c r="G1" s="159"/>
      <c r="H1" s="159"/>
      <c r="I1" s="159"/>
      <c r="J1" s="159"/>
      <c r="K1" s="159"/>
    </row>
    <row r="2" spans="1:12" ht="45.55" customHeight="1" x14ac:dyDescent="0.4">
      <c r="A2" s="149" t="s">
        <v>264</v>
      </c>
      <c r="B2" s="142"/>
      <c r="C2" s="142"/>
      <c r="D2" s="142"/>
      <c r="E2" s="142"/>
      <c r="F2" s="142"/>
      <c r="G2" s="142"/>
      <c r="H2" s="142"/>
      <c r="I2" s="142"/>
      <c r="J2" s="142"/>
      <c r="K2" s="142"/>
    </row>
    <row r="4" spans="1:12" ht="20.05" customHeight="1" x14ac:dyDescent="0.4">
      <c r="A4" s="186"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12 rischi (capienza 15), in osservazione 4 (al massimo 20) · nel ciclo: entrati nel radar 0,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2 · 1 · 4</v>
      </c>
      <c r="F7" s="51">
        <f>IF($L7="","",IF(INDEX(RiskRegister!$J:$J,$L7)="","",INDEX(RiskRegister!$J:$J,$L7)))</f>
        <v>2.9</v>
      </c>
      <c r="G7" s="50" t="str">
        <f>IF($L7="","",INDEX(RiskRegister!$AA:$AA,$L7)&amp;"")</f>
        <v>Prossimita 1 sotto la soglia 2</v>
      </c>
      <c r="H7" s="48" t="str">
        <f>IF($L7="","",IF(INDEX(RiskRegister!$AD:$AD,$L7)="","—",INDEX(RiskRegister!$AD:$AD,$L7)&amp;" anni"))</f>
        <v>5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58</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10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57</v>
      </c>
    </row>
    <row r="9" spans="1:12" ht="41.5" customHeight="1" x14ac:dyDescent="0.4">
      <c r="A9" s="48">
        <f>IF($L9="","",3)</f>
        <v>3</v>
      </c>
      <c r="B9" s="49" t="str">
        <f>IF($L9="","",INDEX(RiskRegister!$C:$C,$L9)&amp;"")</f>
        <v>NFR-16</v>
      </c>
      <c r="C9" s="50" t="str">
        <f>IF($L9="","",INDEX(RiskRegister!$D:$D,$L9)&amp;"")</f>
        <v>Vertenze e carenza di tecnici nei ruoli IT critici</v>
      </c>
      <c r="D9" s="50" t="str">
        <f>IF($L9="","",INDEX(RiskRegister!$E:$E,$L9)&amp;" "&amp;IFERROR(INDEX(nomiL1,MATCH(INDEX(RiskRegister!$E:$E,$L9),codiciL1,0)),""))</f>
        <v>9.11 Employer</v>
      </c>
      <c r="E9" s="48" t="str">
        <f>IF($L9="","",INDEX(RiskRegister!$G:$G,$L9)&amp;" · "&amp;INDEX(RiskRegister!$K:$K,$L9)&amp;" · "&amp;INDEX(RiskRegister!$I:$I,$L9)&amp;" · "&amp;IF(INDEX(RiskRegister!$H:$H,$L9)="","—",INDEX(RiskRegister!$H:$H,$L9)))</f>
        <v>3 · 2 · 1 · —</v>
      </c>
      <c r="F9" s="51">
        <f>IF($L9="","",IF(INDEX(RiskRegister!$J:$J,$L9)="","",INDEX(RiskRegister!$J:$J,$L9)))</f>
        <v>2.19</v>
      </c>
      <c r="G9" s="50" t="str">
        <f>IF($L9="","",INDEX(RiskRegister!$AA:$AA,$L9)&amp;"")</f>
        <v>Prossimita 1 sotto la soglia 2</v>
      </c>
      <c r="H9" s="48" t="str">
        <f>IF($L9="","",IF(INDEX(RiskRegister!$AD:$AD,$L9)="","—",INDEX(RiskRegister!$AD:$AD,$L9)&amp;" anni"))</f>
        <v>5 anni</v>
      </c>
      <c r="I9" s="50" t="str">
        <f>IF($L9="","",INDEX(RiskRegister!$AE:$AE,$L9)&amp;"")</f>
        <v>Uno sciopero di settore che coinvolga il personale IT, o l'uscita non rimpiazzata di tecnici in ruoli critici della Banca.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Capitale umano, Debito tecnologico</v>
      </c>
      <c r="K9" s="48">
        <f>IF($L9="","",COUNTIFS(NW_Rischio_ID,INDEX(RiskRegister!$C:$C,$L9),NW_Settimana,"&gt;="&amp;inizioFinestra4,NW_Settimana,"&lt;="&amp;settimanaCorrente))</f>
        <v>1</v>
      </c>
      <c r="L9">
        <f>IFERROR(MATCH(_xlfn.AGGREGATE(14,6,RR_Ordine_Osservazione,3),RR_Ordine_Osservazione,0)+5,"")</f>
        <v>56</v>
      </c>
    </row>
    <row r="10" spans="1:12" ht="41.5" customHeight="1" x14ac:dyDescent="0.4">
      <c r="A10" s="48">
        <f>IF($L10="","",4)</f>
        <v>4</v>
      </c>
      <c r="B10" s="49" t="str">
        <f>IF($L10="","",INDEX(RiskRegister!$C:$C,$L10)&amp;"")</f>
        <v>NFR-15</v>
      </c>
      <c r="C10" s="50" t="str">
        <f>IF($L10="","",INDEX(RiskRegister!$D:$D,$L10)&amp;"")</f>
        <v>Responsabilita' per decisioni di agenti di IA autonomi verso i clienti</v>
      </c>
      <c r="D10" s="50" t="str">
        <f>IF($L10="","",INDEX(RiskRegister!$E:$E,$L10)&amp;" "&amp;IFERROR(INDEX(nomiL1,MATCH(INDEX(RiskRegister!$E:$E,$L10),codiciL1,0)),""))</f>
        <v>9.4 Legale</v>
      </c>
      <c r="E10" s="48" t="str">
        <f>IF($L10="","",INDEX(RiskRegister!$G:$G,$L10)&amp;" · "&amp;INDEX(RiskRegister!$K:$K,$L10)&amp;" · "&amp;INDEX(RiskRegister!$I:$I,$L10)&amp;" · "&amp;IF(INDEX(RiskRegister!$H:$H,$L10)="","—",INDEX(RiskRegister!$H:$H,$L10)))</f>
        <v>3 · 1 · 2 · —</v>
      </c>
      <c r="F10" s="51">
        <f>IF($L10="","",IF(INDEX(RiskRegister!$J:$J,$L10)="","",INDEX(RiskRegister!$J:$J,$L10)))</f>
        <v>2.13</v>
      </c>
      <c r="G10" s="50" t="str">
        <f>IF($L10="","",INDEX(RiskRegister!$AA:$AA,$L10)&amp;"")</f>
        <v>Probabilita 1 sotto la soglia 2</v>
      </c>
      <c r="H10" s="48" t="str">
        <f>IF($L10="","",IF(INDEX(RiskRegister!$AD:$AD,$L10)="","—",INDEX(RiskRegister!$AD:$AD,$L10)&amp;" anni"))</f>
        <v>4 anni</v>
      </c>
      <c r="I10" s="50" t="str">
        <f>IF($L10="","",INDEX(RiskRegister!$AE:$AE,$L10)&amp;"")</f>
        <v>Primo contenzioso o orientamento di un'autorita' europea su un'operazione bancaria disposta da un agente di IA.</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10" s="48">
        <f>IF($L10="","",COUNTIFS(NW_Rischio_ID,INDEX(RiskRegister!$C:$C,$L10),NW_Settimana,"&gt;="&amp;inizioFinestra4,NW_Settimana,"&lt;="&amp;settimanaCorrente))</f>
        <v>0</v>
      </c>
      <c r="L10">
        <f>IFERROR(MATCH(_xlfn.AGGREGATE(14,6,RR_Ordine_Osservazione,4),RR_Ordine_Osservazione,0)+5,"")</f>
        <v>59</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3" t="s">
        <v>271</v>
      </c>
      <c r="B28" s="154"/>
      <c r="C28" s="154"/>
      <c r="D28" s="154"/>
      <c r="E28" s="154"/>
      <c r="F28" s="154"/>
      <c r="G28" s="154"/>
      <c r="H28" s="154"/>
      <c r="I28" s="154"/>
      <c r="J28" s="154"/>
      <c r="K28" s="154"/>
    </row>
    <row r="29" spans="1:12" ht="28" customHeight="1" x14ac:dyDescent="0.4">
      <c r="B29" s="47" t="s">
        <v>173</v>
      </c>
      <c r="C29" s="47" t="s">
        <v>18</v>
      </c>
      <c r="D29" s="47" t="s">
        <v>272</v>
      </c>
      <c r="E29" s="187" t="s">
        <v>273</v>
      </c>
      <c r="F29" s="142"/>
      <c r="G29" s="142"/>
      <c r="H29" s="142"/>
      <c r="I29" s="142"/>
      <c r="J29" s="142"/>
      <c r="K29" s="142"/>
    </row>
    <row r="30" spans="1:12" ht="3" customHeight="1" x14ac:dyDescent="0.4">
      <c r="B30" s="52" t="str">
        <f>IF($L30="","",INDEX(RiskRegister!$C:$C,$L30)&amp;"")</f>
        <v/>
      </c>
      <c r="C30" s="53" t="str">
        <f>IF($L30="","",INDEX(RiskRegister!$D:$D,$L30)&amp;"")</f>
        <v/>
      </c>
      <c r="D30" s="53" t="str">
        <f>IF($L30="","",INDEX(RiskRegister!$AB:$AB,$L30)&amp;"")</f>
        <v/>
      </c>
      <c r="E30" s="185" t="str">
        <f>IF($L30="","",INDEX(RiskRegister!$AA:$AA,$L30)&amp;"")</f>
        <v/>
      </c>
      <c r="F30" s="142"/>
      <c r="G30" s="142"/>
      <c r="H30" s="142"/>
      <c r="I30" s="142"/>
      <c r="J30" s="142"/>
      <c r="K30" s="142"/>
      <c r="L30" t="str">
        <f>IFERROR(_xlfn.AGGREGATE(15,6,ROW(RR_Ciclo)/((RR_Ciclo=cicloCorrente)*(RR_Movimento&lt;&gt;"")),1),"")</f>
        <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55" t="s">
        <v>274</v>
      </c>
      <c r="B37" s="142"/>
      <c r="C37" s="142"/>
      <c r="D37" s="142"/>
      <c r="E37" s="142"/>
      <c r="F37" s="142"/>
      <c r="G37" s="142"/>
      <c r="H37" s="142"/>
      <c r="I37" s="142"/>
      <c r="J37" s="142"/>
      <c r="K37" s="142"/>
    </row>
  </sheetData>
  <mergeCells count="12">
    <mergeCell ref="A37:K37"/>
    <mergeCell ref="E30:K30"/>
    <mergeCell ref="E34:K34"/>
    <mergeCell ref="E29:K29"/>
    <mergeCell ref="E35:K35"/>
    <mergeCell ref="A2:K2"/>
    <mergeCell ref="A28:K28"/>
    <mergeCell ref="E32:K32"/>
    <mergeCell ref="A1:K1"/>
    <mergeCell ref="E33:K33"/>
    <mergeCell ref="E31:K31"/>
    <mergeCell ref="A4:K4"/>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58" t="str">
        <f>"Horizon Scan NFR — Metodologia: come si leggono i numeri   ·   "&amp;etichettaCiclo</f>
        <v>Horizon Scan NFR — Metodologia: come si leggono i numeri   ·   Ciclo 2026Q3 · dati al 30/09/2026 · validato · Uso interno</v>
      </c>
      <c r="B1" s="159"/>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58" t="str">
        <f>"Horizon Scan NFR — Registro: il ciclo corrente   ·   "&amp;etichettaCiclo</f>
        <v>Horizon Scan NFR — Registro: il ciclo corrente   ·   Ciclo 2026Q3 · dati al 30/09/2026 · validato · Uso interno</v>
      </c>
      <c r="B1" s="159"/>
      <c r="C1" s="159"/>
      <c r="D1" s="159"/>
      <c r="E1" s="159"/>
      <c r="F1" s="159"/>
      <c r="G1" s="159"/>
      <c r="H1" s="159"/>
      <c r="I1" s="159"/>
      <c r="J1" s="159"/>
      <c r="K1" s="159"/>
      <c r="L1" s="159"/>
      <c r="M1" s="159"/>
      <c r="N1" s="159"/>
      <c r="O1" s="159"/>
      <c r="P1" s="159"/>
      <c r="Q1" s="159"/>
      <c r="R1" s="159"/>
      <c r="S1" s="159"/>
      <c r="T1" s="159"/>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5</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12</v>
      </c>
      <c r="E5" t="s">
        <v>400</v>
      </c>
      <c r="G5">
        <f>SUMPRODUCT((ANA_ID&lt;&gt;"")*(COUNTIFS(RR_ID_Rischio,ANA_ID,RR_Ciclo,cicloCorrente)&gt;0))</f>
        <v>12</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4</v>
      </c>
      <c r="G9" s="70">
        <f t="shared" ref="G9:G28" si="6">IF($AM9="","",IF(ISNUMBER(INDEX(posVelocity,$AM9)),INDEX(posVelocity,$AM9),"n.v."))</f>
        <v>5</v>
      </c>
      <c r="H9" s="71">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70" t="str">
        <f>IF($AM9="","",INDEX(Radar_Mosca!$L$5:$L$24,$AM9)&amp;"")</f>
        <v>AGIRE ORA: X+Y &gt; Z</v>
      </c>
      <c r="L9" s="72">
        <f>IF($AM9="","",IFERROR(INDEX(Radar_Mosca!$K$5:$K$24,$AM9),""))</f>
        <v>-0.25</v>
      </c>
      <c r="M9" s="70" t="str">
        <f t="shared" ref="M9:M28" si="10">IF($AM9="","",IF(INDEX(ANA_Attenzione_Supervisore,$AM9)="Sì","◆",""))</f>
        <v>◆</v>
      </c>
      <c r="N9" s="73">
        <f t="shared" ref="N9:N28" si="11">IF($A9="","",COUNTIFS(KRI_ID_Rischio,$A9,KRI_Ciclo,cicloCorrente,KRI_In_Vigore,"Sì",KRI_Stato,"Rosso"))</f>
        <v>0</v>
      </c>
      <c r="O9" s="73">
        <f t="shared" ref="O9:O28" si="12">IF($A9="","",COUNTIFS(KRI_ID_Rischio,$A9,KRI_Ciclo,cicloCorrente,KRI_In_Vigore,"Sì",KRI_Stato,"Ambra"))</f>
        <v>1</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-1</v>
      </c>
      <c r="AK10" t="str">
        <f t="shared" si="26"/>
        <v>● -1</v>
      </c>
      <c r="AL10">
        <f>IF($AA10="","",IF(ISNUMBER(AG10),AG10,-1)-2/100000)</f>
        <v>3.2999799999999997</v>
      </c>
      <c r="AM10">
        <f>IFERROR(MATCH(_xlfn.AGGREGATE(14,6,$AL$9:$AL$28,2),$AL$9:$AL$28,0),"")</f>
        <v>7</v>
      </c>
      <c r="AN10" t="str">
        <f>IF($AA10="","",Radar_Mosca!$AA$6&amp;"")</f>
        <v>Attenzione</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0.19999999999999973</v>
      </c>
      <c r="K11" s="70" t="str">
        <f>IF($AM11="","",INDEX(Radar_Mosca!$L$5:$L$24,$AM11)&amp;"")</f>
        <v>Agire entro l'anno</v>
      </c>
      <c r="L11" s="72">
        <f>IF($AM11="","",IFERROR(INDEX(Radar_Mosca!$K$5:$K$24,$AM11),""))</f>
        <v>0</v>
      </c>
      <c r="M11" s="70" t="str">
        <f t="shared" si="10"/>
        <v/>
      </c>
      <c r="N11" s="73">
        <f t="shared" si="11"/>
        <v>0</v>
      </c>
      <c r="O11" s="73">
        <f t="shared" si="12"/>
        <v>2</v>
      </c>
      <c r="P11" s="73">
        <f t="shared" si="13"/>
        <v>0</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Agire entro l'anno</v>
      </c>
      <c r="L12" s="72">
        <f>IF($AM12="","",IFERROR(INDEX(Radar_Mosca!$K$5:$K$24,$AM12),""))</f>
        <v>0.25</v>
      </c>
      <c r="M12" s="70" t="str">
        <f t="shared" si="10"/>
        <v>◆</v>
      </c>
      <c r="N12" s="73">
        <f t="shared" si="11"/>
        <v>0</v>
      </c>
      <c r="O12" s="73">
        <f t="shared" si="12"/>
        <v>1</v>
      </c>
      <c r="P12" s="73">
        <f t="shared" si="13"/>
        <v>0</v>
      </c>
      <c r="Q12" s="70" t="str">
        <f t="shared" si="14"/>
        <v>● -1</v>
      </c>
      <c r="R12" s="70" t="str">
        <f t="shared" si="15"/>
        <v>Non verificato</v>
      </c>
      <c r="S12" s="70" t="str">
        <f t="shared" si="16"/>
        <v>1 oss.</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0.20000000000000018</v>
      </c>
      <c r="J13" s="18">
        <f t="shared" si="9"/>
        <v>0.20000000000000018</v>
      </c>
      <c r="K13" s="70" t="str">
        <f>IF($AM13="","",INDEX(Radar_Mosca!$L$5:$L$24,$AM13)&amp;"")</f>
        <v>Agire entro l'anno</v>
      </c>
      <c r="L13" s="72">
        <f>IF($AM13="","",IFERROR(INDEX(Radar_Mosca!$K$5:$K$24,$AM13),""))</f>
        <v>0</v>
      </c>
      <c r="M13" s="70" t="str">
        <f t="shared" si="10"/>
        <v/>
      </c>
      <c r="N13" s="73">
        <f t="shared" si="11"/>
        <v>0</v>
      </c>
      <c r="O13" s="73">
        <f t="shared" si="12"/>
        <v>1</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-0.20000000000000018</v>
      </c>
      <c r="K14" s="70" t="str">
        <f>IF($AM14="","",INDEX(Radar_Mosca!$L$5:$L$24,$AM14)&amp;"")</f>
        <v>Margine 1 anno</v>
      </c>
      <c r="L14" s="72">
        <f>IF($AM14="","",IFERROR(INDEX(Radar_Mosca!$K$5:$K$24,$AM14),""))</f>
        <v>1</v>
      </c>
      <c r="M14" s="70" t="str">
        <f t="shared" si="10"/>
        <v/>
      </c>
      <c r="N14" s="73">
        <f t="shared" si="11"/>
        <v>0</v>
      </c>
      <c r="O14" s="73">
        <f t="shared" si="12"/>
        <v>1</v>
      </c>
      <c r="P14" s="73">
        <f t="shared" si="13"/>
        <v>1</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1</v>
      </c>
      <c r="P15" s="73">
        <f t="shared" si="13"/>
        <v>1</v>
      </c>
      <c r="Q15" s="70" t="str">
        <f t="shared" si="14"/>
        <v>● 0</v>
      </c>
      <c r="R15" s="70" t="str">
        <f t="shared" si="15"/>
        <v>Assente</v>
      </c>
      <c r="S15" s="70" t="str">
        <f t="shared" si="16"/>
        <v>1 oss.</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1</v>
      </c>
      <c r="P16" s="73">
        <f t="shared" si="13"/>
        <v>1</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0.19999999999999973</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0</v>
      </c>
      <c r="O19" s="73">
        <f t="shared" si="12"/>
        <v>2</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9" t="str">
        <f t="shared" si="0"/>
        <v>NFR-08</v>
      </c>
      <c r="B20" s="69" t="str">
        <f t="shared" si="1"/>
        <v>Accessi impropri di dipendenti ai dati dei clienti</v>
      </c>
      <c r="C20" s="70" t="str">
        <f t="shared" si="2"/>
        <v>9.7</v>
      </c>
      <c r="D20" s="70">
        <f t="shared" si="3"/>
        <v>3</v>
      </c>
      <c r="E20" s="70">
        <f t="shared" si="4"/>
        <v>2</v>
      </c>
      <c r="F20" s="70">
        <f t="shared" si="5"/>
        <v>3</v>
      </c>
      <c r="G20" s="70">
        <f t="shared" si="6"/>
        <v>3</v>
      </c>
      <c r="H20" s="71">
        <f t="shared" si="7"/>
        <v>2.75</v>
      </c>
      <c r="I20" s="18">
        <f t="shared" si="8"/>
        <v>0</v>
      </c>
      <c r="J20" s="18">
        <f t="shared" si="9"/>
        <v>0</v>
      </c>
      <c r="K20" s="70" t="str">
        <f>IF($AM20="","",INDEX(Radar_Mosca!$L$5:$L$24,$AM20)&amp;"")</f>
        <v>Agire entro l'anno</v>
      </c>
      <c r="L20" s="72">
        <f>IF($AM20="","",IFERROR(INDEX(Radar_Mosca!$K$5:$K$24,$AM20),""))</f>
        <v>0.25</v>
      </c>
      <c r="M20" s="70" t="str">
        <f t="shared" si="10"/>
        <v/>
      </c>
      <c r="N20" s="73">
        <f t="shared" si="11"/>
        <v>0</v>
      </c>
      <c r="O20" s="73">
        <f t="shared" si="12"/>
        <v>2</v>
      </c>
      <c r="P20" s="73">
        <f t="shared" si="13"/>
        <v>0</v>
      </c>
      <c r="Q20" s="70" t="str">
        <f t="shared" si="14"/>
        <v>● 0</v>
      </c>
      <c r="R20" s="70" t="str">
        <f t="shared" si="15"/>
        <v>Non verificato</v>
      </c>
      <c r="S20" s="70" t="str">
        <f t="shared" si="16"/>
        <v/>
      </c>
      <c r="T20" s="70"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9" t="str">
        <f t="shared" si="0"/>
        <v/>
      </c>
      <c r="B21" s="69" t="str">
        <f t="shared" si="1"/>
        <v/>
      </c>
      <c r="C21" s="70" t="str">
        <f t="shared" si="2"/>
        <v/>
      </c>
      <c r="D21" s="70" t="str">
        <f t="shared" si="3"/>
        <v/>
      </c>
      <c r="E21" s="70" t="str">
        <f t="shared" si="4"/>
        <v/>
      </c>
      <c r="F21" s="70" t="str">
        <f t="shared" si="5"/>
        <v/>
      </c>
      <c r="G21" s="70" t="str">
        <f t="shared" si="6"/>
        <v/>
      </c>
      <c r="H21" s="71" t="str">
        <f t="shared" si="7"/>
        <v/>
      </c>
      <c r="I21" s="18" t="str">
        <f t="shared" si="8"/>
        <v/>
      </c>
      <c r="J21" s="18" t="str">
        <f t="shared" si="9"/>
        <v/>
      </c>
      <c r="K21" s="70" t="str">
        <f>IF($AM21="","",INDEX(Radar_Mosca!$L$5:$L$24,$AM21)&amp;"")</f>
        <v/>
      </c>
      <c r="L21" s="72" t="str">
        <f>IF($AM21="","",IFERROR(INDEX(Radar_Mosca!$K$5:$K$24,$AM21),""))</f>
        <v/>
      </c>
      <c r="M21" s="70" t="str">
        <f t="shared" si="10"/>
        <v/>
      </c>
      <c r="N21" s="73" t="str">
        <f t="shared" si="11"/>
        <v/>
      </c>
      <c r="O21" s="73" t="str">
        <f t="shared" si="12"/>
        <v/>
      </c>
      <c r="P21" s="73" t="str">
        <f t="shared" si="13"/>
        <v/>
      </c>
      <c r="Q21" s="70" t="str">
        <f t="shared" si="14"/>
        <v/>
      </c>
      <c r="R21" s="70" t="str">
        <f t="shared" si="15"/>
        <v/>
      </c>
      <c r="S21" s="70" t="str">
        <f t="shared" si="16"/>
        <v/>
      </c>
      <c r="T21" s="70"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55"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58" t="str">
        <f>"Horizon Scan NFR — Storico: score composito negli ultimi otto cicli   ·   "&amp;etichettaCiclo</f>
        <v>Horizon Scan NFR — Storico: score composito negli ultimi otto cicli   ·   Ciclo 2026Q3 · dati al 30/09/2026 · validato · Uso interno</v>
      </c>
      <c r="B1" s="159"/>
      <c r="C1" s="159"/>
      <c r="D1" s="159"/>
      <c r="E1" s="159"/>
      <c r="F1" s="159"/>
      <c r="G1" s="159"/>
      <c r="H1" s="159"/>
      <c r="I1" s="159"/>
      <c r="J1" s="159"/>
    </row>
    <row r="2" spans="1:10" ht="32.049999999999997" customHeight="1" x14ac:dyDescent="0.4">
      <c r="A2" s="149" t="s">
        <v>429</v>
      </c>
      <c r="B2" s="142"/>
      <c r="C2" s="142"/>
      <c r="D2" s="142"/>
      <c r="E2" s="142"/>
      <c r="F2" s="142"/>
      <c r="G2" s="142"/>
      <c r="H2" s="142"/>
      <c r="I2" s="142"/>
      <c r="J2" s="142"/>
    </row>
    <row r="4" spans="1:10" x14ac:dyDescent="0.4">
      <c r="A4" s="61" t="s">
        <v>173</v>
      </c>
      <c r="B4" s="61" t="s">
        <v>174</v>
      </c>
      <c r="C4" s="61" t="str">
        <f>Parametri!$B$20</f>
        <v>2024Q4</v>
      </c>
      <c r="D4" s="61" t="str">
        <f>Parametri!$B$21</f>
        <v>2025Q1</v>
      </c>
      <c r="E4" s="61" t="str">
        <f>Parametri!$B$22</f>
        <v>2025Q2</v>
      </c>
      <c r="F4" s="61" t="str">
        <f>Parametri!$B$23</f>
        <v>2025Q3</v>
      </c>
      <c r="G4" s="61" t="str">
        <f>Parametri!$B$24</f>
        <v>2025Q4</v>
      </c>
      <c r="H4" s="61" t="str">
        <f>Parametri!$B$25</f>
        <v>2026Q1</v>
      </c>
      <c r="I4" s="61" t="str">
        <f>Parametri!$B$26</f>
        <v>2026Q2</v>
      </c>
      <c r="J4" s="61"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58" t="str">
        <f>"Horizon Scan NFR — Indicatori: KRI del ciclo e storia di un KRI   ·   "&amp;etichettaCiclo</f>
        <v>Horizon Scan NFR — Indicatori: KRI del ciclo e storia di un KRI   ·   Ciclo 2026Q3 · dati al 30/09/2026 · validato · Uso interno</v>
      </c>
      <c r="B1" s="159"/>
      <c r="C1" s="159"/>
      <c r="D1" s="159"/>
      <c r="E1" s="159"/>
      <c r="F1" s="159"/>
      <c r="G1" s="159"/>
      <c r="H1" s="159"/>
      <c r="I1" s="159"/>
      <c r="J1" s="159"/>
      <c r="K1" s="159"/>
      <c r="L1" s="159"/>
      <c r="M1" s="159"/>
      <c r="N1" s="159"/>
      <c r="O1" s="159"/>
      <c r="P1" s="159"/>
      <c r="Q1" s="159"/>
      <c r="R1" s="159"/>
      <c r="S1" s="159"/>
      <c r="T1" s="159"/>
      <c r="U1" s="159"/>
    </row>
    <row r="2" spans="1:28" ht="32.049999999999997" customHeight="1" x14ac:dyDescent="0.4">
      <c r="A2" s="149"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6</v>
      </c>
      <c r="C4" s="61" t="s">
        <v>432</v>
      </c>
      <c r="D4">
        <f>COUNTIFS(KRI_Ciclo,cicloCorrente,KRI_In_Vigore,"Sì",KRI_Stato,"Ambra")</f>
        <v>16</v>
      </c>
      <c r="E4" s="61" t="s">
        <v>433</v>
      </c>
      <c r="F4">
        <f>COUNTIFS(KRI_Ciclo,cicloCorrente,KRI_In_Vigore,"Sì",KRI_Stato,"Rosso")</f>
        <v>0</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72</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7">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7">
        <f>IF($Z8="","",IF(INDEX(KRI!$K:$K,$Z8)="","",INDEX(KRI!$K:$K,$Z8)))</f>
        <v>46295</v>
      </c>
      <c r="I8" t="str">
        <f>IF($Z8="","",INDEX(KRI!$N:$N,$Z8)&amp;"")</f>
        <v>Verde</v>
      </c>
      <c r="J8">
        <f t="shared" si="0"/>
        <v>2.5</v>
      </c>
      <c r="K8" t="str">
        <f t="shared" si="1"/>
        <v>▲ peggiora</v>
      </c>
      <c r="L8" s="78" t="str">
        <f>IF($Z8="","",INDEX(KRI!$E:$E,$Z8)&amp;"")</f>
        <v>Esposizione</v>
      </c>
      <c r="M8" t="s">
        <v>448</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7">
        <f>IF($Z9="","",IF(INDEX(KRI!$K:$K,$Z9)="","",INDEX(KRI!$K:$K,$Z9)))</f>
        <v>46295</v>
      </c>
      <c r="I9" t="str">
        <f>IF($Z9="","",INDEX(KRI!$N:$N,$Z9)&amp;"")</f>
        <v>Ambra</v>
      </c>
      <c r="J9">
        <f t="shared" si="0"/>
        <v>78</v>
      </c>
      <c r="K9" t="str">
        <f t="shared" si="1"/>
        <v>▼ migliora</v>
      </c>
      <c r="L9" s="78" t="str">
        <f>IF($Z9="","",INDEX(KRI!$E:$E,$Z9)&amp;"")</f>
        <v>Esposizione</v>
      </c>
      <c r="M9" t="s">
        <v>449</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7">
        <f>IF($Z10="","",IF(INDEX(KRI!$K:$K,$Z10)="","",INDEX(KRI!$K:$K,$Z10)))</f>
        <v>46295</v>
      </c>
      <c r="I10" t="str">
        <f>IF($Z10="","",INDEX(KRI!$N:$N,$Z10)&amp;"")</f>
        <v>Ambra</v>
      </c>
      <c r="J10">
        <f t="shared" si="0"/>
        <v>0.8</v>
      </c>
      <c r="K10" t="str">
        <f t="shared" si="1"/>
        <v>▲ peggiora</v>
      </c>
      <c r="L10" s="78" t="str">
        <f>IF($Z10="","",INDEX(KRI!$E:$E,$Z10)&amp;"")</f>
        <v>Evoluzione</v>
      </c>
      <c r="M10" t="s">
        <v>450</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7" t="str">
        <f>IF($Z11="","",IF(INDEX(KRI!$K:$K,$Z11)="","",INDEX(KRI!$K:$K,$Z11)))</f>
        <v/>
      </c>
      <c r="I11" t="str">
        <f>IF($Z11="","",INDEX(KRI!$N:$N,$Z11)&amp;"")</f>
        <v>Non rilevato</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46295</v>
      </c>
      <c r="I12" t="str">
        <f>IF($Z12="","",INDEX(KRI!$N:$N,$Z12)&amp;"")</f>
        <v>Ambra</v>
      </c>
      <c r="J12">
        <f t="shared" si="0"/>
        <v>2</v>
      </c>
      <c r="K12" t="str">
        <f t="shared" si="1"/>
        <v>● invariato</v>
      </c>
      <c r="L12" s="78"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46295</v>
      </c>
      <c r="I13" t="str">
        <f>IF($Z13="","",INDEX(KRI!$N:$N,$Z13)&amp;"")</f>
        <v>Verde</v>
      </c>
      <c r="J13">
        <f t="shared" si="0"/>
        <v>3</v>
      </c>
      <c r="K13" t="str">
        <f t="shared" si="1"/>
        <v>▼ migliora</v>
      </c>
      <c r="L13" s="78" t="str">
        <f>IF($Z13="","",INDEX(KRI!$E:$E,$Z13)&amp;"")</f>
        <v>Evoluzione</v>
      </c>
      <c r="M13" t="str">
        <f>Parametri!$B$21</f>
        <v>2025Q1</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7">
        <f>IF($Z14="","",IF(INDEX(KRI!$K:$K,$Z14)="","",INDEX(KRI!$K:$K,$Z14)))</f>
        <v>46295</v>
      </c>
      <c r="I14" t="str">
        <f>IF($Z14="","",INDEX(KRI!$N:$N,$Z14)&amp;"")</f>
        <v>Ambra</v>
      </c>
      <c r="J14">
        <f t="shared" si="0"/>
        <v>7</v>
      </c>
      <c r="K14" t="str">
        <f t="shared" si="1"/>
        <v>▼ migliora</v>
      </c>
      <c r="L14" s="78" t="str">
        <f>IF($Z14="","",INDEX(KRI!$E:$E,$Z14)&amp;"")</f>
        <v>Evoluzione</v>
      </c>
      <c r="M14" t="str">
        <f>Parametri!$B$22</f>
        <v>2025Q2</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7">
        <f>IF($Z15="","",IF(INDEX(KRI!$K:$K,$Z15)="","",INDEX(KRI!$K:$K,$Z15)))</f>
        <v>46295</v>
      </c>
      <c r="I15" t="str">
        <f>IF($Z15="","",INDEX(KRI!$N:$N,$Z15)&amp;"")</f>
        <v>Verde</v>
      </c>
      <c r="J15">
        <f t="shared" si="0"/>
        <v>25</v>
      </c>
      <c r="K15" t="str">
        <f t="shared" si="1"/>
        <v>▼ migliora</v>
      </c>
      <c r="L15" s="78" t="str">
        <f>IF($Z15="","",INDEX(KRI!$E:$E,$Z15)&amp;"")</f>
        <v>Esposizione</v>
      </c>
      <c r="M15" t="str">
        <f>Parametri!$B$23</f>
        <v>2025Q3</v>
      </c>
      <c r="N15" t="e">
        <f t="shared" si="2"/>
        <v>#N/A</v>
      </c>
      <c r="O15" t="e">
        <f t="shared" si="3"/>
        <v>#N/A</v>
      </c>
      <c r="P15" t="e">
        <f t="shared" si="4"/>
        <v>#N/A</v>
      </c>
      <c r="Q15" t="str">
        <f t="shared" si="5"/>
        <v>—</v>
      </c>
      <c r="R15" s="77"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7">
        <f>IF($Z16="","",IF(INDEX(KRI!$K:$K,$Z16)="","",INDEX(KRI!$K:$K,$Z16)))</f>
        <v>46295</v>
      </c>
      <c r="I16" t="str">
        <f>IF($Z16="","",INDEX(KRI!$N:$N,$Z16)&amp;"")</f>
        <v>Verde</v>
      </c>
      <c r="J16">
        <f t="shared" si="0"/>
        <v>14</v>
      </c>
      <c r="K16" t="str">
        <f t="shared" si="1"/>
        <v>▼ migliora</v>
      </c>
      <c r="L16" s="78" t="str">
        <f>IF($Z16="","",INDEX(KRI!$E:$E,$Z16)&amp;"")</f>
        <v>Evoluzione</v>
      </c>
      <c r="M16" t="str">
        <f>Parametri!$B$24</f>
        <v>2025Q4</v>
      </c>
      <c r="N16">
        <f t="shared" si="2"/>
        <v>2.1</v>
      </c>
      <c r="O16">
        <f t="shared" si="3"/>
        <v>3</v>
      </c>
      <c r="P16">
        <f t="shared" si="4"/>
        <v>6</v>
      </c>
      <c r="Q16" t="str">
        <f t="shared" si="5"/>
        <v>Verde</v>
      </c>
      <c r="R16" s="77">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7">
        <f>IF($Z17="","",IF(INDEX(KRI!$K:$K,$Z17)="","",INDEX(KRI!$K:$K,$Z17)))</f>
        <v>46295</v>
      </c>
      <c r="I17" t="str">
        <f>IF($Z17="","",INDEX(KRI!$N:$N,$Z17)&amp;"")</f>
        <v>Ambra</v>
      </c>
      <c r="J17">
        <f t="shared" si="0"/>
        <v>35</v>
      </c>
      <c r="K17" t="str">
        <f t="shared" si="1"/>
        <v>▼ migliora</v>
      </c>
      <c r="L17" s="78" t="str">
        <f>IF($Z17="","",INDEX(KRI!$E:$E,$Z17)&amp;"")</f>
        <v>Esposizione</v>
      </c>
      <c r="M17" t="str">
        <f>Parametri!$B$25</f>
        <v>2026Q1</v>
      </c>
      <c r="N17">
        <f t="shared" si="2"/>
        <v>3.4</v>
      </c>
      <c r="O17">
        <f t="shared" si="3"/>
        <v>3</v>
      </c>
      <c r="P17">
        <f t="shared" si="4"/>
        <v>6</v>
      </c>
      <c r="Q17" t="str">
        <f t="shared" si="5"/>
        <v>Ambra</v>
      </c>
      <c r="R17" s="77">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46295</v>
      </c>
      <c r="I18" t="str">
        <f>IF($Z18="","",INDEX(KRI!$N:$N,$Z18)&amp;"")</f>
        <v>Ambra</v>
      </c>
      <c r="J18">
        <f t="shared" si="0"/>
        <v>1</v>
      </c>
      <c r="K18" t="str">
        <f t="shared" si="1"/>
        <v>● invariato</v>
      </c>
      <c r="L18" s="78" t="str">
        <f>IF($Z18="","",INDEX(KRI!$E:$E,$Z18)&amp;"")</f>
        <v>Esposizione</v>
      </c>
      <c r="M18" t="str">
        <f>Parametri!$B$26</f>
        <v>2026Q2</v>
      </c>
      <c r="N18">
        <f t="shared" si="2"/>
        <v>4.2</v>
      </c>
      <c r="O18">
        <f t="shared" si="3"/>
        <v>3</v>
      </c>
      <c r="P18">
        <f t="shared" si="4"/>
        <v>6</v>
      </c>
      <c r="Q18" t="str">
        <f t="shared" si="5"/>
        <v>Ambra</v>
      </c>
      <c r="R18" s="77">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7">
        <f>IF($Z19="","",IF(INDEX(KRI!$K:$K,$Z19)="","",INDEX(KRI!$K:$K,$Z19)))</f>
        <v>46295</v>
      </c>
      <c r="I19" t="str">
        <f>IF($Z19="","",INDEX(KRI!$N:$N,$Z19)&amp;"")</f>
        <v>Verde</v>
      </c>
      <c r="J19">
        <f t="shared" si="0"/>
        <v>3</v>
      </c>
      <c r="K19" t="str">
        <f t="shared" si="1"/>
        <v>▼ migliora</v>
      </c>
      <c r="L19" s="78" t="str">
        <f>IF($Z19="","",INDEX(KRI!$E:$E,$Z19)&amp;"")</f>
        <v>Evoluzione</v>
      </c>
      <c r="M19" t="str">
        <f>Parametri!$B$27</f>
        <v>2026Q3</v>
      </c>
      <c r="N19">
        <f t="shared" si="2"/>
        <v>5.3</v>
      </c>
      <c r="O19">
        <f t="shared" si="3"/>
        <v>3</v>
      </c>
      <c r="P19">
        <f t="shared" si="4"/>
        <v>6</v>
      </c>
      <c r="Q19" t="str">
        <f t="shared" si="5"/>
        <v>Ambra</v>
      </c>
      <c r="R19" s="77">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7">
        <f>IF($Z20="","",IF(INDEX(KRI!$K:$K,$Z20)="","",INDEX(KRI!$K:$K,$Z20)))</f>
        <v>46295</v>
      </c>
      <c r="I20" t="str">
        <f>IF($Z20="","",INDEX(KRI!$N:$N,$Z20)&amp;"")</f>
        <v>Ambra</v>
      </c>
      <c r="J20">
        <f t="shared" si="0"/>
        <v>24</v>
      </c>
      <c r="K20" t="str">
        <f t="shared" si="1"/>
        <v>▼ migliora</v>
      </c>
      <c r="L20" s="78"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7">
        <f>IF($Z21="","",IF(INDEX(KRI!$K:$K,$Z21)="","",INDEX(KRI!$K:$K,$Z21)))</f>
        <v>46295</v>
      </c>
      <c r="I21" t="str">
        <f>IF($Z21="","",INDEX(KRI!$N:$N,$Z21)&amp;"")</f>
        <v>Ambra</v>
      </c>
      <c r="J21">
        <f t="shared" si="0"/>
        <v>6</v>
      </c>
      <c r="K21" t="str">
        <f t="shared" si="1"/>
        <v>▼ migliora</v>
      </c>
      <c r="L21" s="78"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7">
        <f>IF($Z22="","",IF(INDEX(KRI!$K:$K,$Z22)="","",INDEX(KRI!$K:$K,$Z22)))</f>
        <v>46295</v>
      </c>
      <c r="I22" t="str">
        <f>IF($Z22="","",INDEX(KRI!$N:$N,$Z22)&amp;"")</f>
        <v>Ambra</v>
      </c>
      <c r="J22">
        <f t="shared" si="0"/>
        <v>3.8</v>
      </c>
      <c r="K22" t="str">
        <f t="shared" si="1"/>
        <v>▲ peggiora</v>
      </c>
      <c r="L22" s="78"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7">
        <f>IF($Z23="","",IF(INDEX(KRI!$K:$K,$Z23)="","",INDEX(KRI!$K:$K,$Z23)))</f>
        <v>46295</v>
      </c>
      <c r="I23" t="str">
        <f>IF($Z23="","",INDEX(KRI!$N:$N,$Z23)&amp;"")</f>
        <v>Ambra</v>
      </c>
      <c r="J23">
        <f t="shared" si="0"/>
        <v>11</v>
      </c>
      <c r="K23" t="str">
        <f t="shared" si="1"/>
        <v>▼ migliora</v>
      </c>
      <c r="L23" s="78"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7">
        <f>IF($Z24="","",IF(INDEX(KRI!$K:$K,$Z24)="","",INDEX(KRI!$K:$K,$Z24)))</f>
        <v>46295</v>
      </c>
      <c r="I24" t="str">
        <f>IF($Z24="","",INDEX(KRI!$N:$N,$Z24)&amp;"")</f>
        <v>Verde</v>
      </c>
      <c r="J24">
        <f t="shared" si="0"/>
        <v>1.4</v>
      </c>
      <c r="K24" t="str">
        <f t="shared" si="1"/>
        <v>▲ peggiora</v>
      </c>
      <c r="L24" s="78"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7">
        <f>IF($Z25="","",IF(INDEX(KRI!$K:$K,$Z25)="","",INDEX(KRI!$K:$K,$Z25)))</f>
        <v>46295</v>
      </c>
      <c r="I25" t="str">
        <f>IF($Z25="","",INDEX(KRI!$N:$N,$Z25)&amp;"")</f>
        <v>Ambra</v>
      </c>
      <c r="J25">
        <f t="shared" si="0"/>
        <v>60</v>
      </c>
      <c r="K25" t="str">
        <f t="shared" si="1"/>
        <v>▼ migliora</v>
      </c>
      <c r="L25" s="78"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46295</v>
      </c>
      <c r="I26" t="str">
        <f>IF($Z26="","",INDEX(KRI!$N:$N,$Z26)&amp;"")</f>
        <v>Ambra</v>
      </c>
      <c r="J26">
        <f t="shared" si="0"/>
        <v>7</v>
      </c>
      <c r="K26" t="str">
        <f t="shared" si="1"/>
        <v>▼ migliora</v>
      </c>
      <c r="L26" s="78"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7">
        <f>IF($Z27="","",IF(INDEX(KRI!$K:$K,$Z27)="","",INDEX(KRI!$K:$K,$Z27)))</f>
        <v>46295</v>
      </c>
      <c r="I27" t="str">
        <f>IF($Z27="","",INDEX(KRI!$N:$N,$Z27)&amp;"")</f>
        <v>Ambra</v>
      </c>
      <c r="J27">
        <f t="shared" si="0"/>
        <v>5</v>
      </c>
      <c r="K27" t="str">
        <f t="shared" si="1"/>
        <v>● invariato</v>
      </c>
      <c r="L27" s="78"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7">
        <f>IF($Z28="","",IF(INDEX(KRI!$K:$K,$Z28)="","",INDEX(KRI!$K:$K,$Z28)))</f>
        <v>46295</v>
      </c>
      <c r="I28" t="str">
        <f>IF($Z28="","",INDEX(KRI!$N:$N,$Z28)&amp;"")</f>
        <v>Ambra</v>
      </c>
      <c r="J28">
        <f t="shared" si="0"/>
        <v>14</v>
      </c>
      <c r="K28" t="str">
        <f t="shared" si="1"/>
        <v>▼ migliora</v>
      </c>
      <c r="L28" s="78"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7">
        <f>IF($Z29="","",IF(INDEX(KRI!$K:$K,$Z29)="","",INDEX(KRI!$K:$K,$Z29)))</f>
        <v>46295</v>
      </c>
      <c r="I29" t="str">
        <f>IF($Z29="","",INDEX(KRI!$N:$N,$Z29)&amp;"")</f>
        <v>Ambra</v>
      </c>
      <c r="J29">
        <f t="shared" si="0"/>
        <v>5</v>
      </c>
      <c r="K29" t="str">
        <f t="shared" si="1"/>
        <v>▼ migliora</v>
      </c>
      <c r="L29" s="78"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7" t="str">
        <f>IF($Z30="","",IF(INDEX(KRI!$K:$K,$Z30)="","",INDEX(KRI!$K:$K,$Z30)))</f>
        <v/>
      </c>
      <c r="I30" t="str">
        <f>IF($Z30="","",INDEX(KRI!$N:$N,$Z30)&amp;"")</f>
        <v>Non rilevato</v>
      </c>
      <c r="J30" t="str">
        <f t="shared" si="0"/>
        <v>—</v>
      </c>
      <c r="K30" t="str">
        <f t="shared" si="1"/>
        <v/>
      </c>
      <c r="L30" s="78"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7" t="str">
        <f>IF($Z31="","",IF(INDEX(KRI!$K:$K,$Z31)="","",INDEX(KRI!$K:$K,$Z31)))</f>
        <v/>
      </c>
      <c r="I31" t="str">
        <f>IF($Z31="","",INDEX(KRI!$N:$N,$Z31)&amp;"")</f>
        <v/>
      </c>
      <c r="J31" t="str">
        <f t="shared" si="0"/>
        <v/>
      </c>
      <c r="K31" t="str">
        <f t="shared" si="1"/>
        <v/>
      </c>
      <c r="L31" s="78"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7" t="str">
        <f>IF($Z32="","",IF(INDEX(KRI!$K:$K,$Z32)="","",INDEX(KRI!$K:$K,$Z32)))</f>
        <v/>
      </c>
      <c r="I32" t="str">
        <f>IF($Z32="","",INDEX(KRI!$N:$N,$Z32)&amp;"")</f>
        <v/>
      </c>
      <c r="J32" t="str">
        <f t="shared" si="0"/>
        <v/>
      </c>
      <c r="K32" t="str">
        <f t="shared" si="1"/>
        <v/>
      </c>
      <c r="L32" s="78"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58" t="str">
        <f>"Horizon Scan NFR — Notizie: pressione sulle categorie di rischio   ·   "&amp;etichettaCiclo</f>
        <v>Horizon Scan NFR — Notizie: pressione sulle categorie di rischio   ·   Ciclo 2026Q3 · dati al 30/09/2026 · validato · Uso interno</v>
      </c>
      <c r="B1" s="159"/>
      <c r="C1" s="159"/>
      <c r="D1" s="159"/>
      <c r="E1" s="159"/>
      <c r="F1" s="159"/>
      <c r="G1" s="159"/>
      <c r="H1" s="159"/>
      <c r="I1" s="159"/>
      <c r="J1" s="159"/>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2"/>
      <c r="N11" s="142"/>
      <c r="O11" s="142"/>
      <c r="P11" s="142"/>
      <c r="Q11" s="142"/>
      <c r="R11" s="142"/>
      <c r="S11" s="142"/>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0</v>
      </c>
      <c r="F12" t="str">
        <f t="shared" si="1"/>
        <v>In osservazione</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1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53" t="s">
        <v>482</v>
      </c>
      <c r="B17" s="154"/>
      <c r="C17" s="154"/>
      <c r="D17" s="154"/>
      <c r="E17" s="154"/>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2"/>
      <c r="N22" s="142"/>
      <c r="O22" s="142"/>
      <c r="P22" s="142"/>
      <c r="Q22" s="142"/>
      <c r="R22" s="142"/>
      <c r="S22" s="142"/>
    </row>
    <row r="23" spans="1:19" x14ac:dyDescent="0.4">
      <c r="A23" s="77">
        <f>Parametri!$B$38</f>
        <v>46258</v>
      </c>
      <c r="B23">
        <f t="shared" si="3"/>
        <v>0</v>
      </c>
      <c r="C23">
        <f t="shared" si="4"/>
        <v>0</v>
      </c>
      <c r="D23">
        <f t="shared" si="5"/>
        <v>0</v>
      </c>
      <c r="E23">
        <f t="shared" si="6"/>
        <v>0</v>
      </c>
      <c r="L23" s="142"/>
      <c r="M23" s="142"/>
      <c r="N23" s="142"/>
      <c r="O23" s="142"/>
      <c r="P23" s="142"/>
      <c r="Q23" s="142"/>
      <c r="R23" s="142"/>
      <c r="S23" s="142"/>
    </row>
    <row r="24" spans="1:19" x14ac:dyDescent="0.4">
      <c r="A24" s="77">
        <f>Parametri!$B$39</f>
        <v>46265</v>
      </c>
      <c r="B24">
        <f t="shared" si="3"/>
        <v>0</v>
      </c>
      <c r="C24">
        <f t="shared" si="4"/>
        <v>0</v>
      </c>
      <c r="D24">
        <f t="shared" si="5"/>
        <v>0</v>
      </c>
      <c r="E24">
        <f t="shared" si="6"/>
        <v>0</v>
      </c>
      <c r="L24" s="142"/>
      <c r="M24" s="142"/>
      <c r="N24" s="142"/>
      <c r="O24" s="142"/>
      <c r="P24" s="142"/>
      <c r="Q24" s="142"/>
      <c r="R24" s="142"/>
      <c r="S24" s="142"/>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1</v>
      </c>
      <c r="E29">
        <f t="shared" si="6"/>
        <v>3</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58" t="str">
        <f>"Horizon Scan NFR — Piano delle azioni   ·   "&amp;etichettaCiclo</f>
        <v>Horizon Scan NFR — Piano delle azioni   ·   Ciclo 2026Q3 · dati al 30/09/2026 · validato · Uso interno</v>
      </c>
      <c r="B1" s="159"/>
      <c r="C1" s="159"/>
      <c r="D1" s="159"/>
      <c r="E1" s="159"/>
      <c r="F1" s="159"/>
      <c r="G1" s="159"/>
      <c r="H1" s="159"/>
      <c r="I1" s="159"/>
      <c r="J1" s="159"/>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69"/>
      <c r="I4" s="169"/>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2026Q2</v>
      </c>
      <c r="B31" s="81" t="str">
        <f>IF($N31="","",INDEX(Azioni!$B:$B,$N31)&amp;"")</f>
        <v>NFR-05</v>
      </c>
      <c r="C31" s="81" t="str">
        <f>IF($N31="","",INDEX(Azioni!$C:$C,$N31)&amp;"")</f>
        <v>2026Q2-NFR-05-A1</v>
      </c>
      <c r="D31" s="82" t="str">
        <f>IF($N31="","",INDEX(Azioni!$D:$D,$N31)&amp;"")</f>
        <v>Monitoraggio giornaliero degli incidenti post-migrazione con escalation entro 4 ore.</v>
      </c>
      <c r="E31" s="81" t="str">
        <f>IF($N31="","",INDEX(Azioni!$E:$E,$N31)&amp;"")</f>
        <v>Funzione Operations</v>
      </c>
      <c r="F31" s="81" t="str">
        <f>IF($N31="","",INDEX(Azioni!$F:$F,$N31)&amp;"")</f>
        <v>3 mesi</v>
      </c>
      <c r="G31" s="81" t="str">
        <f>IF($N31="","",INDEX(Azioni!$I:$I,$N31)&amp;"")</f>
        <v>Respinta</v>
      </c>
      <c r="H31" s="83">
        <f>IF($N31="","",IF(INDEX(Azioni!$J:$J,$N31)="","",INDEX(Azioni!$J:$J,$N31)))</f>
        <v>46218</v>
      </c>
      <c r="I31" s="83" t="str">
        <f>IF(OR($N31="",H31=""),"",IF(OR(G31="Approvata",G31="In corso"),EDATE(H31,N(INDEX(Azioni!$G:$G,$N31))),""))</f>
        <v/>
      </c>
      <c r="J31" s="81"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81" t="str">
        <f>IF($N32="","",INDEX(Azioni!$A:$A,$N32)&amp;"")</f>
        <v>2026Q3</v>
      </c>
      <c r="B32" s="81" t="str">
        <f>IF($N32="","",INDEX(Azioni!$B:$B,$N32)&amp;"")</f>
        <v>NFR-08</v>
      </c>
      <c r="C32" s="81" t="str">
        <f>IF($N32="","",INDEX(Azioni!$C:$C,$N32)&amp;"")</f>
        <v>2026Q3-NFR-08-A1</v>
      </c>
      <c r="D32" s="82" t="str">
        <f>IF($N32="","",INDEX(Azioni!$D:$D,$N32)&amp;"")</f>
        <v>Bloccare in automatico gli accessi ripetuti ai dati clienti senza pratica associata, con avviso al responsabile.</v>
      </c>
      <c r="E32" s="81" t="str">
        <f>IF($N32="","",INDEX(Azioni!$E:$E,$N32)&amp;"")</f>
        <v>Funzione Sicurezza delle Informazioni</v>
      </c>
      <c r="F32" s="81" t="str">
        <f>IF($N32="","",INDEX(Azioni!$F:$F,$N32)&amp;"")</f>
        <v>3 mesi</v>
      </c>
      <c r="G32" s="81" t="str">
        <f>IF($N32="","",INDEX(Azioni!$I:$I,$N32)&amp;"")</f>
        <v>Respinta</v>
      </c>
      <c r="H32" s="83">
        <f>IF($N32="","",IF(INDEX(Azioni!$J:$J,$N32)="","",INDEX(Azioni!$J:$J,$N32)))</f>
        <v>46303</v>
      </c>
      <c r="I32" s="83" t="str">
        <f>IF(OR($N32="",H32=""),"",IF(OR(G32="Approvata",G32="In corso"),EDATE(H32,N(INDEX(Azioni!$G:$G,$N32))),""))</f>
        <v/>
      </c>
      <c r="J32" s="81"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81" t="str">
        <f>IF($N33="","",INDEX(Azioni!$A:$A,$N33)&amp;"")</f>
        <v/>
      </c>
      <c r="B33" s="81" t="str">
        <f>IF($N33="","",INDEX(Azioni!$B:$B,$N33)&amp;"")</f>
        <v/>
      </c>
      <c r="C33" s="81" t="str">
        <f>IF($N33="","",INDEX(Azioni!$C:$C,$N33)&amp;"")</f>
        <v/>
      </c>
      <c r="D33" s="82" t="str">
        <f>IF($N33="","",INDEX(Azioni!$D:$D,$N33)&amp;"")</f>
        <v/>
      </c>
      <c r="E33" s="81" t="str">
        <f>IF($N33="","",INDEX(Azioni!$E:$E,$N33)&amp;"")</f>
        <v/>
      </c>
      <c r="F33" s="81" t="str">
        <f>IF($N33="","",INDEX(Azioni!$F:$F,$N33)&amp;"")</f>
        <v/>
      </c>
      <c r="G33" s="81" t="str">
        <f>IF($N33="","",INDEX(Azioni!$I:$I,$N33)&amp;"")</f>
        <v/>
      </c>
      <c r="H33" s="83" t="str">
        <f>IF($N33="","",IF(INDEX(Azioni!$J:$J,$N33)="","",INDEX(Azioni!$J:$J,$N33)))</f>
        <v/>
      </c>
      <c r="I33" s="83" t="str">
        <f>IF(OR($N33="",H33=""),"",IF(OR(G33="Approvata",G33="In corso"),EDATE(H33,N(INDEX(Azioni!$G:$G,$N33))),""))</f>
        <v/>
      </c>
      <c r="J33" s="81"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81" t="str">
        <f>IF($N34="","",INDEX(Azioni!$A:$A,$N34)&amp;"")</f>
        <v/>
      </c>
      <c r="B34" s="81" t="str">
        <f>IF($N34="","",INDEX(Azioni!$B:$B,$N34)&amp;"")</f>
        <v/>
      </c>
      <c r="C34" s="81" t="str">
        <f>IF($N34="","",INDEX(Azioni!$C:$C,$N34)&amp;"")</f>
        <v/>
      </c>
      <c r="D34" s="82" t="str">
        <f>IF($N34="","",INDEX(Azioni!$D:$D,$N34)&amp;"")</f>
        <v/>
      </c>
      <c r="E34" s="81" t="str">
        <f>IF($N34="","",INDEX(Azioni!$E:$E,$N34)&amp;"")</f>
        <v/>
      </c>
      <c r="F34" s="81" t="str">
        <f>IF($N34="","",INDEX(Azioni!$F:$F,$N34)&amp;"")</f>
        <v/>
      </c>
      <c r="G34" s="81" t="str">
        <f>IF($N34="","",INDEX(Azioni!$I:$I,$N34)&amp;"")</f>
        <v/>
      </c>
      <c r="H34" s="83" t="str">
        <f>IF($N34="","",IF(INDEX(Azioni!$J:$J,$N34)="","",INDEX(Azioni!$J:$J,$N34)))</f>
        <v/>
      </c>
      <c r="I34" s="83" t="str">
        <f>IF(OR($N34="",H34=""),"",IF(OR(G34="Approvata",G34="In corso"),EDATE(H34,N(INDEX(Azioni!$G:$G,$N34))),""))</f>
        <v/>
      </c>
      <c r="J34" s="81"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81" t="str">
        <f>IF($N35="","",INDEX(Azioni!$A:$A,$N35)&amp;"")</f>
        <v/>
      </c>
      <c r="B35" s="81" t="str">
        <f>IF($N35="","",INDEX(Azioni!$B:$B,$N35)&amp;"")</f>
        <v/>
      </c>
      <c r="C35" s="81" t="str">
        <f>IF($N35="","",INDEX(Azioni!$C:$C,$N35)&amp;"")</f>
        <v/>
      </c>
      <c r="D35" s="82" t="str">
        <f>IF($N35="","",INDEX(Azioni!$D:$D,$N35)&amp;"")</f>
        <v/>
      </c>
      <c r="E35" s="81" t="str">
        <f>IF($N35="","",INDEX(Azioni!$E:$E,$N35)&amp;"")</f>
        <v/>
      </c>
      <c r="F35" s="81" t="str">
        <f>IF($N35="","",INDEX(Azioni!$F:$F,$N35)&amp;"")</f>
        <v/>
      </c>
      <c r="G35" s="81" t="str">
        <f>IF($N35="","",INDEX(Azioni!$I:$I,$N35)&amp;"")</f>
        <v/>
      </c>
      <c r="H35" s="83" t="str">
        <f>IF($N35="","",IF(INDEX(Azioni!$J:$J,$N35)="","",INDEX(Azioni!$J:$J,$N35)))</f>
        <v/>
      </c>
      <c r="I35" s="83" t="str">
        <f>IF(OR($N35="",H35=""),"",IF(OR(G35="Approvata",G35="In corso"),EDATE(H35,N(INDEX(Azioni!$G:$G,$N35))),""))</f>
        <v/>
      </c>
      <c r="J35" s="81"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81" t="str">
        <f>IF($N36="","",INDEX(Azioni!$A:$A,$N36)&amp;"")</f>
        <v/>
      </c>
      <c r="B36" s="81" t="str">
        <f>IF($N36="","",INDEX(Azioni!$B:$B,$N36)&amp;"")</f>
        <v/>
      </c>
      <c r="C36" s="81" t="str">
        <f>IF($N36="","",INDEX(Azioni!$C:$C,$N36)&amp;"")</f>
        <v/>
      </c>
      <c r="D36" s="82" t="str">
        <f>IF($N36="","",INDEX(Azioni!$D:$D,$N36)&amp;"")</f>
        <v/>
      </c>
      <c r="E36" s="81" t="str">
        <f>IF($N36="","",INDEX(Azioni!$E:$E,$N36)&amp;"")</f>
        <v/>
      </c>
      <c r="F36" s="81" t="str">
        <f>IF($N36="","",INDEX(Azioni!$F:$F,$N36)&amp;"")</f>
        <v/>
      </c>
      <c r="G36" s="81" t="str">
        <f>IF($N36="","",INDEX(Azioni!$I:$I,$N36)&amp;"")</f>
        <v/>
      </c>
      <c r="H36" s="83" t="str">
        <f>IF($N36="","",IF(INDEX(Azioni!$J:$J,$N36)="","",INDEX(Azioni!$J:$J,$N36)))</f>
        <v/>
      </c>
      <c r="I36" s="83" t="str">
        <f>IF(OR($N36="",H36=""),"",IF(OR(G36="Approvata",G36="In corso"),EDATE(H36,N(INDEX(Azioni!$G:$G,$N36))),""))</f>
        <v/>
      </c>
      <c r="J36" s="81"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81" t="str">
        <f>IF($N37="","",INDEX(Azioni!$A:$A,$N37)&amp;"")</f>
        <v/>
      </c>
      <c r="B37" s="81" t="str">
        <f>IF($N37="","",INDEX(Azioni!$B:$B,$N37)&amp;"")</f>
        <v/>
      </c>
      <c r="C37" s="81" t="str">
        <f>IF($N37="","",INDEX(Azioni!$C:$C,$N37)&amp;"")</f>
        <v/>
      </c>
      <c r="D37" s="82" t="str">
        <f>IF($N37="","",INDEX(Azioni!$D:$D,$N37)&amp;"")</f>
        <v/>
      </c>
      <c r="E37" s="81" t="str">
        <f>IF($N37="","",INDEX(Azioni!$E:$E,$N37)&amp;"")</f>
        <v/>
      </c>
      <c r="F37" s="81" t="str">
        <f>IF($N37="","",INDEX(Azioni!$F:$F,$N37)&amp;"")</f>
        <v/>
      </c>
      <c r="G37" s="81" t="str">
        <f>IF($N37="","",INDEX(Azioni!$I:$I,$N37)&amp;"")</f>
        <v/>
      </c>
      <c r="H37" s="83" t="str">
        <f>IF($N37="","",IF(INDEX(Azioni!$J:$J,$N37)="","",INDEX(Azioni!$J:$J,$N37)))</f>
        <v/>
      </c>
      <c r="I37" s="83" t="str">
        <f>IF(OR($N37="",H37=""),"",IF(OR(G37="Approvata",G37="In corso"),EDATE(H37,N(INDEX(Azioni!$G:$G,$N37))),""))</f>
        <v/>
      </c>
      <c r="J37" s="81"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81" t="str">
        <f>IF($N38="","",INDEX(Azioni!$A:$A,$N38)&amp;"")</f>
        <v/>
      </c>
      <c r="B38" s="81" t="str">
        <f>IF($N38="","",INDEX(Azioni!$B:$B,$N38)&amp;"")</f>
        <v/>
      </c>
      <c r="C38" s="81" t="str">
        <f>IF($N38="","",INDEX(Azioni!$C:$C,$N38)&amp;"")</f>
        <v/>
      </c>
      <c r="D38" s="82" t="str">
        <f>IF($N38="","",INDEX(Azioni!$D:$D,$N38)&amp;"")</f>
        <v/>
      </c>
      <c r="E38" s="81" t="str">
        <f>IF($N38="","",INDEX(Azioni!$E:$E,$N38)&amp;"")</f>
        <v/>
      </c>
      <c r="F38" s="81" t="str">
        <f>IF($N38="","",INDEX(Azioni!$F:$F,$N38)&amp;"")</f>
        <v/>
      </c>
      <c r="G38" s="81" t="str">
        <f>IF($N38="","",INDEX(Azioni!$I:$I,$N38)&amp;"")</f>
        <v/>
      </c>
      <c r="H38" s="83" t="str">
        <f>IF($N38="","",IF(INDEX(Azioni!$J:$J,$N38)="","",INDEX(Azioni!$J:$J,$N38)))</f>
        <v/>
      </c>
      <c r="I38" s="83" t="str">
        <f>IF(OR($N38="",H38=""),"",IF(OR(G38="Approvata",G38="In corso"),EDATE(H38,N(INDEX(Azioni!$G:$G,$N38))),""))</f>
        <v/>
      </c>
      <c r="J38" s="81"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81" t="str">
        <f>IF($N39="","",INDEX(Azioni!$A:$A,$N39)&amp;"")</f>
        <v/>
      </c>
      <c r="B39" s="81" t="str">
        <f>IF($N39="","",INDEX(Azioni!$B:$B,$N39)&amp;"")</f>
        <v/>
      </c>
      <c r="C39" s="81" t="str">
        <f>IF($N39="","",INDEX(Azioni!$C:$C,$N39)&amp;"")</f>
        <v/>
      </c>
      <c r="D39" s="82" t="str">
        <f>IF($N39="","",INDEX(Azioni!$D:$D,$N39)&amp;"")</f>
        <v/>
      </c>
      <c r="E39" s="81" t="str">
        <f>IF($N39="","",INDEX(Azioni!$E:$E,$N39)&amp;"")</f>
        <v/>
      </c>
      <c r="F39" s="81" t="str">
        <f>IF($N39="","",INDEX(Azioni!$F:$F,$N39)&amp;"")</f>
        <v/>
      </c>
      <c r="G39" s="81" t="str">
        <f>IF($N39="","",INDEX(Azioni!$I:$I,$N39)&amp;"")</f>
        <v/>
      </c>
      <c r="H39" s="83" t="str">
        <f>IF($N39="","",IF(INDEX(Azioni!$J:$J,$N39)="","",INDEX(Azioni!$J:$J,$N39)))</f>
        <v/>
      </c>
      <c r="I39" s="83" t="str">
        <f>IF(OR($N39="",H39=""),"",IF(OR(G39="Approvata",G39="In corso"),EDATE(H39,N(INDEX(Azioni!$G:$G,$N39))),""))</f>
        <v/>
      </c>
      <c r="J39" s="81"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81" t="str">
        <f>IF($N40="","",INDEX(Azioni!$A:$A,$N40)&amp;"")</f>
        <v/>
      </c>
      <c r="B40" s="81" t="str">
        <f>IF($N40="","",INDEX(Azioni!$B:$B,$N40)&amp;"")</f>
        <v/>
      </c>
      <c r="C40" s="81" t="str">
        <f>IF($N40="","",INDEX(Azioni!$C:$C,$N40)&amp;"")</f>
        <v/>
      </c>
      <c r="D40" s="82" t="str">
        <f>IF($N40="","",INDEX(Azioni!$D:$D,$N40)&amp;"")</f>
        <v/>
      </c>
      <c r="E40" s="81" t="str">
        <f>IF($N40="","",INDEX(Azioni!$E:$E,$N40)&amp;"")</f>
        <v/>
      </c>
      <c r="F40" s="81" t="str">
        <f>IF($N40="","",INDEX(Azioni!$F:$F,$N40)&amp;"")</f>
        <v/>
      </c>
      <c r="G40" s="81" t="str">
        <f>IF($N40="","",INDEX(Azioni!$I:$I,$N40)&amp;"")</f>
        <v/>
      </c>
      <c r="H40" s="83" t="str">
        <f>IF($N40="","",IF(INDEX(Azioni!$J:$J,$N40)="","",INDEX(Azioni!$J:$J,$N40)))</f>
        <v/>
      </c>
      <c r="I40" s="83" t="str">
        <f>IF(OR($N40="",H40=""),"",IF(OR(G40="Approvata",G40="In corso"),EDATE(H40,N(INDEX(Azioni!$G:$G,$N40))),""))</f>
        <v/>
      </c>
      <c r="J40" s="81"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81" t="str">
        <f>IF($N41="","",INDEX(Azioni!$A:$A,$N41)&amp;"")</f>
        <v/>
      </c>
      <c r="B41" s="81" t="str">
        <f>IF($N41="","",INDEX(Azioni!$B:$B,$N41)&amp;"")</f>
        <v/>
      </c>
      <c r="C41" s="81" t="str">
        <f>IF($N41="","",INDEX(Azioni!$C:$C,$N41)&amp;"")</f>
        <v/>
      </c>
      <c r="D41" s="82" t="str">
        <f>IF($N41="","",INDEX(Azioni!$D:$D,$N41)&amp;"")</f>
        <v/>
      </c>
      <c r="E41" s="81" t="str">
        <f>IF($N41="","",INDEX(Azioni!$E:$E,$N41)&amp;"")</f>
        <v/>
      </c>
      <c r="F41" s="81" t="str">
        <f>IF($N41="","",INDEX(Azioni!$F:$F,$N41)&amp;"")</f>
        <v/>
      </c>
      <c r="G41" s="81" t="str">
        <f>IF($N41="","",INDEX(Azioni!$I:$I,$N41)&amp;"")</f>
        <v/>
      </c>
      <c r="H41" s="83" t="str">
        <f>IF($N41="","",IF(INDEX(Azioni!$J:$J,$N41)="","",INDEX(Azioni!$J:$J,$N41)))</f>
        <v/>
      </c>
      <c r="I41" s="83" t="str">
        <f>IF(OR($N41="",H41=""),"",IF(OR(G41="Approvata",G41="In corso"),EDATE(H41,N(INDEX(Azioni!$G:$G,$N41))),""))</f>
        <v/>
      </c>
      <c r="J41" s="81"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81" t="str">
        <f>IF($N42="","",INDEX(Azioni!$A:$A,$N42)&amp;"")</f>
        <v/>
      </c>
      <c r="B42" s="81" t="str">
        <f>IF($N42="","",INDEX(Azioni!$B:$B,$N42)&amp;"")</f>
        <v/>
      </c>
      <c r="C42" s="81" t="str">
        <f>IF($N42="","",INDEX(Azioni!$C:$C,$N42)&amp;"")</f>
        <v/>
      </c>
      <c r="D42" s="82" t="str">
        <f>IF($N42="","",INDEX(Azioni!$D:$D,$N42)&amp;"")</f>
        <v/>
      </c>
      <c r="E42" s="81" t="str">
        <f>IF($N42="","",INDEX(Azioni!$E:$E,$N42)&amp;"")</f>
        <v/>
      </c>
      <c r="F42" s="81" t="str">
        <f>IF($N42="","",INDEX(Azioni!$F:$F,$N42)&amp;"")</f>
        <v/>
      </c>
      <c r="G42" s="81" t="str">
        <f>IF($N42="","",INDEX(Azioni!$I:$I,$N42)&amp;"")</f>
        <v/>
      </c>
      <c r="H42" s="83" t="str">
        <f>IF($N42="","",IF(INDEX(Azioni!$J:$J,$N42)="","",INDEX(Azioni!$J:$J,$N42)))</f>
        <v/>
      </c>
      <c r="I42" s="83" t="str">
        <f>IF(OR($N42="",H42=""),"",IF(OR(G42="Approvata",G42="In corso"),EDATE(H42,N(INDEX(Azioni!$G:$G,$N42))),""))</f>
        <v/>
      </c>
      <c r="J42" s="81"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81" t="str">
        <f>IF($N43="","",INDEX(Azioni!$A:$A,$N43)&amp;"")</f>
        <v/>
      </c>
      <c r="B43" s="81" t="str">
        <f>IF($N43="","",INDEX(Azioni!$B:$B,$N43)&amp;"")</f>
        <v/>
      </c>
      <c r="C43" s="81" t="str">
        <f>IF($N43="","",INDEX(Azioni!$C:$C,$N43)&amp;"")</f>
        <v/>
      </c>
      <c r="D43" s="82" t="str">
        <f>IF($N43="","",INDEX(Azioni!$D:$D,$N43)&amp;"")</f>
        <v/>
      </c>
      <c r="E43" s="81" t="str">
        <f>IF($N43="","",INDEX(Azioni!$E:$E,$N43)&amp;"")</f>
        <v/>
      </c>
      <c r="F43" s="81" t="str">
        <f>IF($N43="","",INDEX(Azioni!$F:$F,$N43)&amp;"")</f>
        <v/>
      </c>
      <c r="G43" s="81" t="str">
        <f>IF($N43="","",INDEX(Azioni!$I:$I,$N43)&amp;"")</f>
        <v/>
      </c>
      <c r="H43" s="83" t="str">
        <f>IF($N43="","",IF(INDEX(Azioni!$J:$J,$N43)="","",INDEX(Azioni!$J:$J,$N43)))</f>
        <v/>
      </c>
      <c r="I43" s="83" t="str">
        <f>IF(OR($N43="",H43=""),"",IF(OR(G43="Approvata",G43="In corso"),EDATE(H43,N(INDEX(Azioni!$G:$G,$N43))),""))</f>
        <v/>
      </c>
      <c r="J43" s="81"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81" t="str">
        <f>IF($N44="","",INDEX(Azioni!$A:$A,$N44)&amp;"")</f>
        <v/>
      </c>
      <c r="B44" s="81" t="str">
        <f>IF($N44="","",INDEX(Azioni!$B:$B,$N44)&amp;"")</f>
        <v/>
      </c>
      <c r="C44" s="81" t="str">
        <f>IF($N44="","",INDEX(Azioni!$C:$C,$N44)&amp;"")</f>
        <v/>
      </c>
      <c r="D44" s="82" t="str">
        <f>IF($N44="","",INDEX(Azioni!$D:$D,$N44)&amp;"")</f>
        <v/>
      </c>
      <c r="E44" s="81" t="str">
        <f>IF($N44="","",INDEX(Azioni!$E:$E,$N44)&amp;"")</f>
        <v/>
      </c>
      <c r="F44" s="81" t="str">
        <f>IF($N44="","",INDEX(Azioni!$F:$F,$N44)&amp;"")</f>
        <v/>
      </c>
      <c r="G44" s="81" t="str">
        <f>IF($N44="","",INDEX(Azioni!$I:$I,$N44)&amp;"")</f>
        <v/>
      </c>
      <c r="H44" s="83" t="str">
        <f>IF($N44="","",IF(INDEX(Azioni!$J:$J,$N44)="","",INDEX(Azioni!$J:$J,$N44)))</f>
        <v/>
      </c>
      <c r="I44" s="83" t="str">
        <f>IF(OR($N44="",H44=""),"",IF(OR(G44="Approvata",G44="In corso"),EDATE(H44,N(INDEX(Azioni!$G:$G,$N44))),""))</f>
        <v/>
      </c>
      <c r="J44" s="81"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81" t="str">
        <f>IF($N45="","",INDEX(Azioni!$A:$A,$N45)&amp;"")</f>
        <v/>
      </c>
      <c r="B45" s="81" t="str">
        <f>IF($N45="","",INDEX(Azioni!$B:$B,$N45)&amp;"")</f>
        <v/>
      </c>
      <c r="C45" s="81" t="str">
        <f>IF($N45="","",INDEX(Azioni!$C:$C,$N45)&amp;"")</f>
        <v/>
      </c>
      <c r="D45" s="82" t="str">
        <f>IF($N45="","",INDEX(Azioni!$D:$D,$N45)&amp;"")</f>
        <v/>
      </c>
      <c r="E45" s="81" t="str">
        <f>IF($N45="","",INDEX(Azioni!$E:$E,$N45)&amp;"")</f>
        <v/>
      </c>
      <c r="F45" s="81" t="str">
        <f>IF($N45="","",INDEX(Azioni!$F:$F,$N45)&amp;"")</f>
        <v/>
      </c>
      <c r="G45" s="81" t="str">
        <f>IF($N45="","",INDEX(Azioni!$I:$I,$N45)&amp;"")</f>
        <v/>
      </c>
      <c r="H45" s="83" t="str">
        <f>IF($N45="","",IF(INDEX(Azioni!$J:$J,$N45)="","",INDEX(Azioni!$J:$J,$N45)))</f>
        <v/>
      </c>
      <c r="I45" s="83" t="str">
        <f>IF(OR($N45="",H45=""),"",IF(OR(G45="Approvata",G45="In corso"),EDATE(H45,N(INDEX(Azioni!$G:$G,$N45))),""))</f>
        <v/>
      </c>
      <c r="J45" s="81"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55"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58" t="str">
        <f>"Horizon Scan NFR — Rischi in osservazione   ·   "&amp;etichettaCiclo</f>
        <v>Horizon Scan NFR — Rischi in osservazione   ·   Ciclo 2026Q3 · dati al 30/09/2026 · validato · Uso interno</v>
      </c>
      <c r="B1" s="159"/>
      <c r="C1" s="159"/>
      <c r="D1" s="159"/>
      <c r="E1" s="159"/>
      <c r="F1" s="159"/>
      <c r="G1" s="159"/>
      <c r="H1" s="159"/>
      <c r="I1" s="159"/>
      <c r="J1" s="159"/>
      <c r="K1" s="159"/>
      <c r="L1" s="159"/>
      <c r="M1" s="159"/>
      <c r="N1" s="159"/>
    </row>
    <row r="2" spans="1:32" ht="45.55" customHeight="1" x14ac:dyDescent="0.4">
      <c r="A2" s="149" t="s">
        <v>497</v>
      </c>
      <c r="B2" s="142"/>
      <c r="C2" s="142"/>
      <c r="D2" s="142"/>
      <c r="E2" s="142"/>
      <c r="F2" s="142"/>
      <c r="G2" s="142"/>
      <c r="H2" s="142"/>
      <c r="I2" s="142"/>
      <c r="J2" s="142"/>
      <c r="K2" s="142"/>
      <c r="L2" s="142"/>
      <c r="M2" s="142"/>
      <c r="N2" s="142"/>
      <c r="O2" s="142"/>
    </row>
    <row r="4" spans="1:32" ht="15.9" x14ac:dyDescent="0.45">
      <c r="A4" s="153" t="s">
        <v>498</v>
      </c>
      <c r="B4" s="154"/>
      <c r="C4" s="154"/>
      <c r="D4" s="154"/>
      <c r="E4" s="154"/>
      <c r="F4" s="154"/>
      <c r="G4" s="154"/>
      <c r="H4" s="154"/>
      <c r="I4" s="154"/>
      <c r="J4" s="154"/>
      <c r="K4" s="154"/>
      <c r="L4" s="154"/>
      <c r="M4" s="154"/>
      <c r="N4" s="154"/>
      <c r="P4" s="153" t="s">
        <v>499</v>
      </c>
      <c r="Q4" s="154"/>
      <c r="R4" s="154"/>
      <c r="S4" s="154"/>
      <c r="T4" s="154"/>
      <c r="U4" s="154"/>
      <c r="V4" s="154"/>
      <c r="W4" s="154"/>
      <c r="X4" s="154"/>
      <c r="Y4" s="154"/>
      <c r="Z4" s="154"/>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2</v>
      </c>
      <c r="G6" s="48">
        <f>IF($AF6="","",IF(INDEX(RiskRegister!$I:$I,$AF6)="","",INDEX(RiskRegister!$I:$I,$AF6)))</f>
        <v>1</v>
      </c>
      <c r="H6" s="48">
        <f>IF($AF6="","",IF(INDEX(RiskRegister!$H:$H,$AF6)="","",INDEX(RiskRegister!$H:$H,$AF6)))</f>
        <v>4</v>
      </c>
      <c r="I6" s="51">
        <f>IF($AF6="","",IF(INDEX(RiskRegister!$J:$J,$AF6)="","",INDEX(RiskRegister!$J:$J,$AF6)))</f>
        <v>2.9</v>
      </c>
      <c r="J6" s="50" t="str">
        <f>IF($AF6="","",INDEX(RiskRegister!$AA:$AA,$AF6)&amp;"")</f>
        <v>Prossimita 1 sotto la soglia 2</v>
      </c>
      <c r="K6" s="48">
        <f>IF($AF6="","",IF(INDEX(RiskRegister!$AD:$AD,$AF6)="","",INDEX(RiskRegister!$AD:$AD,$AF6)))</f>
        <v>5</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58</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10</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57</v>
      </c>
    </row>
    <row r="8" spans="1:32" ht="45" customHeight="1" x14ac:dyDescent="0.4">
      <c r="A8" s="84" t="str">
        <f>IF($AF8="","",INDEX(RiskRegister!$C:$C,$AF8)&amp;"")</f>
        <v>NFR-16</v>
      </c>
      <c r="B8" s="50" t="str">
        <f>IF($AF8="","",INDEX(RiskRegister!$D:$D,$AF8)&amp;"")</f>
        <v>Vertenze e carenza di tecnici nei ruoli IT critici</v>
      </c>
      <c r="C8" s="48" t="str">
        <f>IF($AF8="","",INDEX(RiskRegister!$E:$E,$AF8)&amp;"")</f>
        <v>9.11</v>
      </c>
      <c r="D8" s="50" t="str">
        <f>IF($AF8="","",INDEX(RiskRegister!$F:$F,$AF8)&amp;"")</f>
        <v>DRV-HUM, DRV-TEC</v>
      </c>
      <c r="E8" s="48">
        <f>IF($AF8="","",IF(INDEX(RiskRegister!$G:$G,$AF8)="","",INDEX(RiskRegister!$G:$G,$AF8)))</f>
        <v>3</v>
      </c>
      <c r="F8" s="48">
        <f>IF($AF8="","",IF(INDEX(RiskRegister!$K:$K,$AF8)="","",INDEX(RiskRegister!$K:$K,$AF8)))</f>
        <v>2</v>
      </c>
      <c r="G8" s="48">
        <f>IF($AF8="","",IF(INDEX(RiskRegister!$I:$I,$AF8)="","",INDEX(RiskRegister!$I:$I,$AF8)))</f>
        <v>1</v>
      </c>
      <c r="H8" s="48" t="str">
        <f>IF($AF8="","",IF(INDEX(RiskRegister!$H:$H,$AF8)="","",INDEX(RiskRegister!$H:$H,$AF8)))</f>
        <v/>
      </c>
      <c r="I8" s="51">
        <f>IF($AF8="","",IF(INDEX(RiskRegister!$J:$J,$AF8)="","",INDEX(RiskRegister!$J:$J,$AF8)))</f>
        <v>2.19</v>
      </c>
      <c r="J8" s="50" t="str">
        <f>IF($AF8="","",INDEX(RiskRegister!$AA:$AA,$AF8)&amp;"")</f>
        <v>Prossimita 1 sotto la soglia 2</v>
      </c>
      <c r="K8" s="48">
        <f>IF($AF8="","",IF(INDEX(RiskRegister!$AD:$AD,$AF8)="","",INDEX(RiskRegister!$AD:$AD,$AF8)))</f>
        <v>5</v>
      </c>
      <c r="L8" s="50" t="str">
        <f>IF($AF8="","",INDEX(RiskRegister!$AE:$AE,$AF8)&amp;"")</f>
        <v>Uno sciopero di settore che coinvolga il personale IT, o l'uscita non rimpiazzata di tecnici in ruoli critici della Banca.</v>
      </c>
      <c r="M8" s="50" t="str">
        <f>IF($AF8="","",INDEX(RiskRegister!$N:$N,$AF8)&amp;"")</f>
        <v>Uscite di personale tecnico difficile da sostituire e possibili vertenze di settore lascerebbero scoperti ruoli IT critici, con turni di copertura che violano obblighi di lavoro e sicurezza. Il danno: interruzioni dei servizi e contenzioso con il personale.</v>
      </c>
      <c r="N8" s="48" t="str">
        <f>IF($AF8="","",INDEX(RiskRegister!$W:$W,$AF8)&amp;"")</f>
        <v>Accettato</v>
      </c>
      <c r="O8" s="85">
        <f t="shared" si="0"/>
        <v>1</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56</v>
      </c>
    </row>
    <row r="9" spans="1:32" ht="45" customHeight="1" x14ac:dyDescent="0.4">
      <c r="A9" s="84" t="str">
        <f>IF($AF9="","",INDEX(RiskRegister!$C:$C,$AF9)&amp;"")</f>
        <v>NFR-15</v>
      </c>
      <c r="B9" s="50" t="str">
        <f>IF($AF9="","",INDEX(RiskRegister!$D:$D,$AF9)&amp;"")</f>
        <v>Responsabilita' per decisioni di agenti di IA autonomi verso i clienti</v>
      </c>
      <c r="C9" s="48" t="str">
        <f>IF($AF9="","",INDEX(RiskRegister!$E:$E,$AF9)&amp;"")</f>
        <v>9.4</v>
      </c>
      <c r="D9" s="50" t="str">
        <f>IF($AF9="","",INDEX(RiskRegister!$F:$F,$AF9)&amp;"")</f>
        <v>DRV-AI, DRV-CON</v>
      </c>
      <c r="E9" s="48">
        <f>IF($AF9="","",IF(INDEX(RiskRegister!$G:$G,$AF9)="","",INDEX(RiskRegister!$G:$G,$AF9)))</f>
        <v>3</v>
      </c>
      <c r="F9" s="48">
        <f>IF($AF9="","",IF(INDEX(RiskRegister!$K:$K,$AF9)="","",INDEX(RiskRegister!$K:$K,$AF9)))</f>
        <v>1</v>
      </c>
      <c r="G9" s="48">
        <f>IF($AF9="","",IF(INDEX(RiskRegister!$I:$I,$AF9)="","",INDEX(RiskRegister!$I:$I,$AF9)))</f>
        <v>2</v>
      </c>
      <c r="H9" s="48" t="str">
        <f>IF($AF9="","",IF(INDEX(RiskRegister!$H:$H,$AF9)="","",INDEX(RiskRegister!$H:$H,$AF9)))</f>
        <v/>
      </c>
      <c r="I9" s="51">
        <f>IF($AF9="","",IF(INDEX(RiskRegister!$J:$J,$AF9)="","",INDEX(RiskRegister!$J:$J,$AF9)))</f>
        <v>2.13</v>
      </c>
      <c r="J9" s="50" t="str">
        <f>IF($AF9="","",INDEX(RiskRegister!$AA:$AA,$AF9)&amp;"")</f>
        <v>Probabilita 1 sotto la soglia 2</v>
      </c>
      <c r="K9" s="48">
        <f>IF($AF9="","",IF(INDEX(RiskRegister!$AD:$AD,$AF9)="","",INDEX(RiskRegister!$AD:$AD,$AF9)))</f>
        <v>4</v>
      </c>
      <c r="L9" s="50" t="str">
        <f>IF($AF9="","",INDEX(RiskRegister!$AE:$AE,$AF9)&amp;"")</f>
        <v>Primo contenzioso o orientamento di un'autorita' europea su un'operazione bancaria disposta da un agente di IA.</v>
      </c>
      <c r="M9" s="50" t="str">
        <f>IF($AF9="","",INDEX(RiskRegister!$N:$N,$AF9)&amp;"")</f>
        <v>Agenti di IA che agiscono per conto dei clienti (pagamenti, investimenti) potrebbero eseguire operazioni non volute; la ripartizione della responsabilita' fra cliente, fornitore dell'agente e Banca non e' definita. Danno: rimborsi e contenzioso.</v>
      </c>
      <c r="N9" s="48" t="str">
        <f>IF($AF9="","",INDEX(RiskRegister!$W:$W,$AF9)&amp;"")</f>
        <v>Accettato</v>
      </c>
      <c r="O9" s="85">
        <f t="shared" si="0"/>
        <v>0</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f>IFERROR(MATCH(_xlfn.AGGREGATE(14,6,RR_Ordine_Osservazione,4),RR_Ordine_Osservazione,0)+5,"")</f>
        <v>59</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f t="shared" si="8"/>
        <v>1</v>
      </c>
      <c r="Y12" s="87" t="str">
        <f t="shared" si="8"/>
        <v/>
      </c>
      <c r="Z12" s="88">
        <f t="shared" si="2"/>
        <v>2</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f t="shared" si="9"/>
        <v>1</v>
      </c>
      <c r="Y13" s="87" t="str">
        <f t="shared" si="9"/>
        <v/>
      </c>
      <c r="Z13" s="88">
        <f t="shared" si="2"/>
        <v>1</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3" t="s">
        <v>509</v>
      </c>
      <c r="Q16" s="154"/>
      <c r="R16" s="154"/>
      <c r="S16" s="154"/>
      <c r="T16" s="154"/>
      <c r="U16" s="154"/>
      <c r="V16" s="154"/>
      <c r="W16" s="154"/>
      <c r="X16" s="154"/>
      <c r="Y16" s="154"/>
      <c r="Z16" s="154"/>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t="str">
        <f t="shared" si="17"/>
        <v/>
      </c>
      <c r="Y24" s="87">
        <f t="shared" si="17"/>
        <v>2</v>
      </c>
      <c r="Z24" s="88">
        <f t="shared" si="11"/>
        <v>3</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t="str">
        <f t="shared" si="18"/>
        <v/>
      </c>
      <c r="Y25" s="87" t="str">
        <f t="shared" si="18"/>
        <v/>
      </c>
      <c r="Z25" s="88">
        <f t="shared" si="11"/>
        <v>2</v>
      </c>
      <c r="AF25" t="str">
        <f>IFERROR(MATCH(_xlfn.AGGREGATE(14,6,RR_Ordine_Osservazione,20),RR_Ordine_Osservazione,0)+5,"")</f>
        <v/>
      </c>
    </row>
    <row r="27" spans="1:32" ht="15.9" x14ac:dyDescent="0.45">
      <c r="A27" s="153" t="s">
        <v>510</v>
      </c>
      <c r="B27" s="154"/>
      <c r="C27" s="154"/>
      <c r="D27" s="154"/>
      <c r="E27" s="154"/>
      <c r="F27" s="154"/>
      <c r="G27" s="154"/>
      <c r="H27" s="154"/>
      <c r="I27" s="154"/>
      <c r="J27" s="154"/>
      <c r="K27" s="154"/>
      <c r="L27" s="154"/>
      <c r="M27" s="154"/>
      <c r="N27" s="154"/>
      <c r="P27" s="155"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7"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
      </c>
      <c r="B29" s="90" t="str">
        <f>IF($AF29="","",INDEX(RiskRegister!$D:$D,$AF29)&amp;"")</f>
        <v/>
      </c>
      <c r="C29" s="91" t="str">
        <f>IF($AF29="","",INDEX(RiskRegister!$AB:$AB,$AF29)&amp;"")</f>
        <v/>
      </c>
      <c r="D29" s="91" t="str">
        <f>IF($AF29="","",INDEX(RiskRegister!$Z:$Z,$AF29)&amp;"")</f>
        <v/>
      </c>
      <c r="E29" s="91" t="str">
        <f>IF($AF29="","",IF(INDEX(RiskRegister!$G:$G,$AF29)="","",INDEX(RiskRegister!$G:$G,$AF29)))</f>
        <v/>
      </c>
      <c r="F29" s="91" t="str">
        <f>IF($AF29="","",IF(INDEX(RiskRegister!$K:$K,$AF29)="","",INDEX(RiskRegister!$K:$K,$AF29)))</f>
        <v/>
      </c>
      <c r="G29" s="91" t="str">
        <f>IF($AF29="","",IF(INDEX(RiskRegister!$I:$I,$AF29)="","",INDEX(RiskRegister!$I:$I,$AF29)))</f>
        <v/>
      </c>
      <c r="H29" s="91" t="str">
        <f>IF($AF29="","",IF(INDEX(RiskRegister!$H:$H,$AF29)="","",INDEX(RiskRegister!$H:$H,$AF29)))</f>
        <v/>
      </c>
      <c r="I29" s="92" t="str">
        <f>IF($AF29="","",IF(INDEX(RiskRegister!$J:$J,$AF29)="","",INDEX(RiskRegister!$J:$J,$AF29)))</f>
        <v/>
      </c>
      <c r="J29" s="201" t="str">
        <f>IF($AF29="","",INDEX(RiskRegister!$AA:$AA,$AF29)&amp;"")</f>
        <v/>
      </c>
      <c r="K29" s="202"/>
      <c r="L29" s="202"/>
      <c r="M29" s="202"/>
      <c r="N29" s="202"/>
      <c r="P29" s="142"/>
      <c r="Q29" s="142"/>
      <c r="R29" s="142"/>
      <c r="S29" s="142"/>
      <c r="T29" s="142"/>
      <c r="U29" s="142"/>
      <c r="V29" s="142"/>
      <c r="W29" s="142"/>
      <c r="X29" s="142"/>
      <c r="Y29" s="142"/>
      <c r="Z29" s="142"/>
      <c r="AF29" t="str">
        <f>IFERROR(_xlfn.AGGREGATE(15,6,ROW(RR_Ciclo)/((RR_Ciclo=cicloCorrente)*(RR_Movimento&lt;&gt;"")),1),"")</f>
        <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55" t="s">
        <v>513</v>
      </c>
      <c r="B40" s="142"/>
      <c r="C40" s="142"/>
      <c r="D40" s="142"/>
      <c r="E40" s="142"/>
      <c r="F40" s="142"/>
      <c r="G40" s="142"/>
      <c r="H40" s="142"/>
      <c r="I40" s="142"/>
      <c r="J40" s="142"/>
      <c r="K40" s="142"/>
      <c r="L40" s="142"/>
      <c r="M40" s="142"/>
      <c r="N40" s="142"/>
    </row>
  </sheetData>
  <mergeCells count="19">
    <mergeCell ref="A40:N40"/>
    <mergeCell ref="J29:N29"/>
    <mergeCell ref="P4:Z4"/>
    <mergeCell ref="J38:N38"/>
    <mergeCell ref="J28:N28"/>
    <mergeCell ref="J37:N37"/>
    <mergeCell ref="P27:Z29"/>
    <mergeCell ref="P16:Z16"/>
    <mergeCell ref="A1:N1"/>
    <mergeCell ref="J34:N34"/>
    <mergeCell ref="A2:O2"/>
    <mergeCell ref="J30:N30"/>
    <mergeCell ref="J36:N36"/>
    <mergeCell ref="J35:N35"/>
    <mergeCell ref="A27:N27"/>
    <mergeCell ref="J32:N32"/>
    <mergeCell ref="J31:N31"/>
    <mergeCell ref="A4:N4"/>
    <mergeCell ref="J33:N33"/>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58" t="str">
        <f>"Horizon Scan NFR — Validazione: una riga per rischio (nel radar o in osservazione), KRI, azione e notizia   ·   "&amp;etichettaCiclo</f>
        <v>Horizon Scan NFR — Validazione: una riga per rischio (nel radar o in osservazione), KRI, azione e notizia   ·   Ciclo 2026Q3 · dati al 30/09/2026 · validato · Uso interno</v>
      </c>
      <c r="B1" s="159"/>
      <c r="C1" s="159"/>
      <c r="D1" s="159"/>
      <c r="E1" s="159"/>
      <c r="F1" s="159"/>
      <c r="G1" s="159"/>
      <c r="H1" s="159"/>
      <c r="I1" s="159"/>
      <c r="J1" s="159"/>
      <c r="K1" s="159"/>
      <c r="L1" s="159"/>
      <c r="M1" s="159"/>
      <c r="N1" s="159"/>
      <c r="O1" s="159"/>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0" t="s">
        <v>1655</v>
      </c>
      <c r="B3" s="169"/>
      <c r="C3" s="169"/>
      <c r="D3" s="169"/>
      <c r="E3" s="169"/>
      <c r="F3" s="169"/>
      <c r="G3" s="169"/>
      <c r="H3" s="169"/>
      <c r="I3" s="169"/>
      <c r="J3" s="169"/>
      <c r="K3" s="169"/>
      <c r="L3" s="169"/>
      <c r="M3" s="169"/>
      <c r="N3" s="169"/>
      <c r="O3" s="169"/>
    </row>
    <row r="5" spans="1:25" ht="15.9" x14ac:dyDescent="0.45">
      <c r="A5" s="203" t="s">
        <v>1631</v>
      </c>
      <c r="B5" s="154"/>
      <c r="C5" s="154"/>
      <c r="D5" s="154"/>
      <c r="E5" s="154"/>
      <c r="F5" s="154"/>
      <c r="G5" s="154"/>
      <c r="H5" s="154"/>
      <c r="I5" s="154"/>
      <c r="J5" s="154"/>
      <c r="K5" s="154"/>
      <c r="L5" s="154"/>
      <c r="M5" s="154"/>
      <c r="N5" s="154"/>
      <c r="O5" s="154"/>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30" hidden="1" customHeight="1" x14ac:dyDescent="0.4">
      <c r="A20" s="98"/>
      <c r="B20" s="15"/>
      <c r="C20" s="99"/>
      <c r="D20" s="100"/>
      <c r="E20" s="99"/>
      <c r="F20" s="100"/>
      <c r="G20" s="99"/>
      <c r="H20" s="100"/>
      <c r="I20" s="99"/>
      <c r="J20" s="100"/>
      <c r="K20" s="99"/>
      <c r="L20" s="100"/>
      <c r="M20" s="101"/>
      <c r="N20" s="102" t="str">
        <f t="shared" si="0"/>
        <v/>
      </c>
      <c r="O20" s="103" t="str">
        <f t="shared" si="1"/>
        <v/>
      </c>
      <c r="P20" s="104"/>
      <c r="S20" t="str">
        <f t="shared" si="2"/>
        <v/>
      </c>
      <c r="T20" t="str">
        <f t="shared" si="3"/>
        <v/>
      </c>
      <c r="U20" t="str">
        <f t="shared" si="4"/>
        <v/>
      </c>
      <c r="V20" t="str">
        <f t="shared" si="5"/>
        <v/>
      </c>
      <c r="W20" s="104"/>
      <c r="X20" s="99"/>
      <c r="Y20" s="100"/>
    </row>
    <row r="21" spans="1:25" ht="30" hidden="1" customHeight="1" x14ac:dyDescent="0.4">
      <c r="A21" s="98"/>
      <c r="B21" s="15"/>
      <c r="C21" s="99"/>
      <c r="D21" s="100"/>
      <c r="E21" s="99"/>
      <c r="F21" s="100"/>
      <c r="G21" s="99"/>
      <c r="H21" s="100"/>
      <c r="I21" s="99"/>
      <c r="J21" s="100"/>
      <c r="K21" s="99"/>
      <c r="L21" s="100"/>
      <c r="M21" s="101"/>
      <c r="N21" s="102" t="str">
        <f t="shared" si="0"/>
        <v/>
      </c>
      <c r="O21" s="103" t="str">
        <f t="shared" si="1"/>
        <v/>
      </c>
      <c r="P21" s="104"/>
      <c r="S21" t="str">
        <f t="shared" si="2"/>
        <v/>
      </c>
      <c r="T21" t="str">
        <f t="shared" si="3"/>
        <v/>
      </c>
      <c r="U21" t="str">
        <f t="shared" si="4"/>
        <v/>
      </c>
      <c r="V21" t="str">
        <f t="shared" si="5"/>
        <v/>
      </c>
      <c r="W21" s="104"/>
      <c r="X21" s="99"/>
      <c r="Y21" s="100"/>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3" t="s">
        <v>1632</v>
      </c>
      <c r="B28" s="154"/>
      <c r="C28" s="154"/>
      <c r="D28" s="154"/>
      <c r="E28" s="154"/>
      <c r="F28" s="154"/>
      <c r="G28" s="154"/>
      <c r="H28" s="154"/>
      <c r="I28" s="154"/>
      <c r="J28" s="154"/>
      <c r="K28" s="154"/>
      <c r="L28" s="154"/>
      <c r="M28" s="154"/>
      <c r="N28" s="154"/>
      <c r="O28" s="154"/>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24"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30.35"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24" hidden="1" customHeight="1" x14ac:dyDescent="0.4">
      <c r="A35" s="132"/>
      <c r="B35" s="133"/>
      <c r="C35" s="138"/>
      <c r="D35" s="135"/>
      <c r="E35" s="100"/>
      <c r="F35" s="99"/>
      <c r="G35" s="100"/>
      <c r="H35" s="99"/>
      <c r="I35" s="100"/>
      <c r="J35" s="106"/>
      <c r="K35" s="16"/>
      <c r="L35" s="16"/>
      <c r="M35" s="101"/>
      <c r="N35" s="16"/>
      <c r="O35" s="16"/>
      <c r="Q35" s="134"/>
    </row>
    <row r="36" spans="1:17" ht="30.35"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24"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30.35" hidden="1" customHeight="1" x14ac:dyDescent="0.4">
      <c r="A40" s="132"/>
      <c r="B40" s="133"/>
      <c r="C40" s="138"/>
      <c r="D40" s="99"/>
      <c r="E40" s="100"/>
      <c r="F40" s="99"/>
      <c r="G40" s="100"/>
      <c r="H40" s="99"/>
      <c r="I40" s="100"/>
      <c r="J40" s="106"/>
      <c r="K40" s="16"/>
      <c r="L40" s="16"/>
      <c r="M40" s="101"/>
      <c r="N40" s="16"/>
      <c r="O40" s="16"/>
      <c r="Q40" s="134"/>
    </row>
    <row r="41" spans="1:17" ht="24"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30.35"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24"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30.35" hidden="1" customHeight="1" x14ac:dyDescent="0.4">
      <c r="A47" s="132"/>
      <c r="B47" s="133"/>
      <c r="C47" s="138"/>
      <c r="D47" s="99"/>
      <c r="E47" s="100"/>
      <c r="F47" s="99"/>
      <c r="G47" s="100"/>
      <c r="H47" s="99"/>
      <c r="I47" s="100"/>
      <c r="J47" s="106"/>
      <c r="K47" s="16"/>
      <c r="L47" s="16"/>
      <c r="M47" s="101"/>
      <c r="N47" s="16"/>
      <c r="O47" s="16"/>
      <c r="Q47" s="134"/>
    </row>
    <row r="48" spans="1:17" ht="24" hidden="1" customHeight="1" x14ac:dyDescent="0.4">
      <c r="A48" s="132"/>
      <c r="B48" s="133"/>
      <c r="C48" s="138"/>
      <c r="D48" s="99"/>
      <c r="E48" s="100"/>
      <c r="F48" s="135"/>
      <c r="G48" s="100"/>
      <c r="H48" s="135"/>
      <c r="I48" s="100"/>
      <c r="J48" s="106"/>
      <c r="K48" s="16"/>
      <c r="L48" s="16"/>
      <c r="M48" s="101"/>
      <c r="N48" s="16"/>
      <c r="O48" s="16"/>
      <c r="Q48" s="134"/>
    </row>
    <row r="49" spans="1:17" ht="30.35"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24"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30.35" hidden="1" customHeight="1" x14ac:dyDescent="0.4">
      <c r="A54" s="132"/>
      <c r="B54" s="133"/>
      <c r="C54" s="138"/>
      <c r="D54" s="135"/>
      <c r="E54" s="100"/>
      <c r="F54" s="99"/>
      <c r="G54" s="100"/>
      <c r="H54" s="99"/>
      <c r="I54" s="100"/>
      <c r="J54" s="106"/>
      <c r="K54" s="16"/>
      <c r="L54" s="16"/>
      <c r="M54" s="101"/>
      <c r="N54" s="16"/>
      <c r="O54" s="16"/>
      <c r="Q54" s="134"/>
    </row>
    <row r="55" spans="1:17" ht="30" hidden="1" customHeight="1" x14ac:dyDescent="0.4">
      <c r="A55" s="98"/>
      <c r="B55" s="15"/>
      <c r="C55" s="105"/>
      <c r="D55" s="99"/>
      <c r="E55" s="100"/>
      <c r="F55" s="99"/>
      <c r="G55" s="100"/>
      <c r="H55" s="99"/>
      <c r="I55" s="100"/>
      <c r="J55" s="106"/>
      <c r="K55" s="16"/>
      <c r="L55" s="16"/>
      <c r="M55" s="101"/>
      <c r="N55" s="16"/>
      <c r="O55" s="16"/>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3" t="s">
        <v>1633</v>
      </c>
      <c r="B111" s="154"/>
      <c r="C111" s="154"/>
      <c r="D111" s="154"/>
      <c r="E111" s="154"/>
      <c r="F111" s="154"/>
      <c r="G111" s="154"/>
      <c r="H111" s="154"/>
      <c r="I111" s="154"/>
      <c r="J111" s="154"/>
      <c r="K111" s="154"/>
      <c r="L111" s="154"/>
      <c r="M111" s="154"/>
      <c r="N111" s="154"/>
      <c r="O111" s="154"/>
    </row>
    <row r="112" spans="1:15" ht="30" customHeight="1" x14ac:dyDescent="0.4">
      <c r="A112" s="94" t="s">
        <v>493</v>
      </c>
      <c r="B112" s="94" t="s">
        <v>536</v>
      </c>
      <c r="C112" s="207" t="s">
        <v>537</v>
      </c>
      <c r="D112" s="142"/>
      <c r="E112" s="208" t="s">
        <v>538</v>
      </c>
      <c r="F112" s="142"/>
      <c r="G112" s="95" t="s">
        <v>539</v>
      </c>
      <c r="H112" s="96" t="s">
        <v>267</v>
      </c>
      <c r="I112" s="96" t="s">
        <v>534</v>
      </c>
      <c r="M112" s="96" t="s">
        <v>535</v>
      </c>
    </row>
    <row r="113" spans="1:20" ht="30.35" hidden="1" customHeight="1" x14ac:dyDescent="0.4">
      <c r="A113" s="139"/>
      <c r="B113" s="133"/>
      <c r="C113" s="209"/>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9"/>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9"/>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9"/>
      <c r="D116" s="202"/>
      <c r="E116" s="206"/>
      <c r="F116" s="202"/>
      <c r="G116" s="135"/>
      <c r="H116" s="136"/>
      <c r="I116" s="106"/>
      <c r="J116" s="16"/>
      <c r="K116" s="16"/>
      <c r="L116" s="16"/>
      <c r="M116" s="101"/>
      <c r="N116" s="16"/>
      <c r="O116" s="16"/>
      <c r="Q116" s="134"/>
      <c r="R116" s="134"/>
      <c r="S116" t="str">
        <f t="shared" si="6"/>
        <v/>
      </c>
      <c r="T116" t="str">
        <f t="shared" si="7"/>
        <v/>
      </c>
    </row>
    <row r="117" spans="1:20" ht="30.35" hidden="1" customHeight="1" x14ac:dyDescent="0.4">
      <c r="A117" s="139"/>
      <c r="B117" s="133"/>
      <c r="C117" s="209"/>
      <c r="D117" s="202"/>
      <c r="E117" s="206"/>
      <c r="F117" s="202"/>
      <c r="G117" s="135"/>
      <c r="H117" s="136"/>
      <c r="I117" s="106"/>
      <c r="J117" s="16"/>
      <c r="K117" s="16"/>
      <c r="L117" s="16"/>
      <c r="M117" s="101"/>
      <c r="N117" s="16"/>
      <c r="O117" s="16"/>
      <c r="Q117" s="134"/>
      <c r="R117" s="134"/>
      <c r="S117" t="str">
        <f t="shared" si="6"/>
        <v/>
      </c>
      <c r="T117" t="str">
        <f t="shared" si="7"/>
        <v/>
      </c>
    </row>
    <row r="118" spans="1:20" ht="33" hidden="1" customHeight="1" x14ac:dyDescent="0.4">
      <c r="A118" s="139"/>
      <c r="B118" s="133"/>
      <c r="C118" s="209"/>
      <c r="D118" s="202"/>
      <c r="E118" s="206"/>
      <c r="F118" s="202"/>
      <c r="G118" s="135"/>
      <c r="H118" s="136"/>
      <c r="I118" s="106"/>
      <c r="J118" s="16"/>
      <c r="K118" s="16"/>
      <c r="L118" s="16"/>
      <c r="M118" s="101"/>
      <c r="N118" s="16"/>
      <c r="O118" s="16"/>
      <c r="Q118" s="134"/>
      <c r="R118" s="134"/>
      <c r="S118" t="str">
        <f t="shared" si="6"/>
        <v/>
      </c>
      <c r="T118" t="str">
        <f t="shared" si="7"/>
        <v/>
      </c>
    </row>
    <row r="119" spans="1:20" ht="30.35" hidden="1" customHeight="1" x14ac:dyDescent="0.4">
      <c r="A119" s="139"/>
      <c r="B119" s="133"/>
      <c r="C119" s="209"/>
      <c r="D119" s="202"/>
      <c r="E119" s="206"/>
      <c r="F119" s="202"/>
      <c r="G119" s="135"/>
      <c r="H119" s="136"/>
      <c r="I119" s="106"/>
      <c r="J119" s="16"/>
      <c r="K119" s="16"/>
      <c r="L119" s="16"/>
      <c r="M119" s="101"/>
      <c r="N119" s="16"/>
      <c r="O119" s="16"/>
      <c r="Q119" s="134"/>
      <c r="R119" s="134"/>
      <c r="S119" t="str">
        <f t="shared" si="6"/>
        <v/>
      </c>
      <c r="T119" t="str">
        <f t="shared" si="7"/>
        <v/>
      </c>
    </row>
    <row r="120" spans="1:20" ht="30.35" hidden="1" customHeight="1" x14ac:dyDescent="0.4">
      <c r="A120" s="139"/>
      <c r="B120" s="133"/>
      <c r="C120" s="209"/>
      <c r="D120" s="202"/>
      <c r="E120" s="206"/>
      <c r="F120" s="202"/>
      <c r="G120" s="135"/>
      <c r="H120" s="136"/>
      <c r="I120" s="106"/>
      <c r="J120" s="16"/>
      <c r="K120" s="16"/>
      <c r="L120" s="16"/>
      <c r="M120" s="101"/>
      <c r="N120" s="16"/>
      <c r="O120" s="16"/>
      <c r="Q120" s="134"/>
      <c r="R120" s="134"/>
      <c r="S120" t="str">
        <f t="shared" si="6"/>
        <v/>
      </c>
      <c r="T120" t="str">
        <f t="shared" si="7"/>
        <v/>
      </c>
    </row>
    <row r="121" spans="1:20" ht="33" hidden="1" customHeight="1" x14ac:dyDescent="0.4">
      <c r="A121" s="139"/>
      <c r="B121" s="133"/>
      <c r="C121" s="209"/>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9"/>
      <c r="D122" s="202"/>
      <c r="E122" s="206"/>
      <c r="F122" s="202"/>
      <c r="G122" s="135"/>
      <c r="H122" s="136"/>
      <c r="I122" s="106"/>
      <c r="J122" s="16"/>
      <c r="K122" s="16"/>
      <c r="L122" s="16"/>
      <c r="M122" s="101"/>
      <c r="N122" s="16"/>
      <c r="O122" s="16"/>
      <c r="Q122" s="134"/>
      <c r="R122" s="134"/>
      <c r="S122" t="str">
        <f t="shared" si="6"/>
        <v/>
      </c>
      <c r="T122" t="str">
        <f t="shared" si="7"/>
        <v/>
      </c>
    </row>
    <row r="123" spans="1:20" ht="33" hidden="1" customHeight="1" x14ac:dyDescent="0.4">
      <c r="A123" s="139"/>
      <c r="B123" s="133"/>
      <c r="C123" s="209"/>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9"/>
      <c r="D124" s="202"/>
      <c r="E124" s="206"/>
      <c r="F124" s="202"/>
      <c r="G124" s="135"/>
      <c r="H124" s="136"/>
      <c r="I124" s="106"/>
      <c r="J124" s="16"/>
      <c r="K124" s="16"/>
      <c r="L124" s="16"/>
      <c r="M124" s="101"/>
      <c r="N124" s="16"/>
      <c r="O124" s="16"/>
      <c r="Q124" s="134"/>
      <c r="R124" s="134"/>
      <c r="S124" t="str">
        <f t="shared" si="6"/>
        <v/>
      </c>
      <c r="T124" t="str">
        <f t="shared" si="7"/>
        <v/>
      </c>
    </row>
    <row r="125" spans="1:20" ht="42.45" hidden="1" customHeight="1" x14ac:dyDescent="0.4">
      <c r="A125" s="139"/>
      <c r="B125" s="133"/>
      <c r="C125" s="209"/>
      <c r="D125" s="202"/>
      <c r="E125" s="206"/>
      <c r="F125" s="202"/>
      <c r="G125" s="135"/>
      <c r="H125" s="136"/>
      <c r="I125" s="106"/>
      <c r="J125" s="16"/>
      <c r="K125" s="16"/>
      <c r="L125" s="16"/>
      <c r="M125" s="101"/>
      <c r="N125" s="16"/>
      <c r="O125" s="16"/>
      <c r="Q125" s="134"/>
      <c r="R125" s="134"/>
      <c r="S125" t="str">
        <f t="shared" si="6"/>
        <v/>
      </c>
      <c r="T125" t="str">
        <f t="shared" si="7"/>
        <v/>
      </c>
    </row>
    <row r="126" spans="1:20" ht="42.45" hidden="1" customHeight="1" x14ac:dyDescent="0.4">
      <c r="A126" s="139"/>
      <c r="B126" s="133"/>
      <c r="C126" s="209"/>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9"/>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5"/>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5"/>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5"/>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5"/>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5"/>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5"/>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5"/>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5"/>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5"/>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5"/>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5"/>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5"/>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5"/>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5"/>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5"/>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5"/>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5"/>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5"/>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5"/>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5"/>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5"/>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5"/>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5"/>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5"/>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5"/>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5"/>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5"/>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5"/>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5"/>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5"/>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5"/>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5"/>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5"/>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5"/>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5"/>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5"/>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5"/>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5"/>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5"/>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5"/>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5"/>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5"/>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5"/>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5"/>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5"/>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5"/>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5"/>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5"/>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5"/>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5"/>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5"/>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5"/>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5"/>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5"/>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5"/>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5"/>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5"/>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5"/>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5"/>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5"/>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5"/>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5"/>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5"/>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5"/>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5"/>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5"/>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5"/>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5"/>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5"/>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5"/>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5"/>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5"/>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5"/>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5"/>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5"/>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5"/>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5"/>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5"/>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5"/>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5"/>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5"/>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5"/>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5"/>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5"/>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5"/>
      <c r="F212" s="202"/>
      <c r="G212" s="99"/>
      <c r="H212" s="100"/>
      <c r="I212" s="106"/>
      <c r="J212" s="16"/>
      <c r="K212" s="16"/>
      <c r="L212" s="16"/>
      <c r="M212" s="101"/>
      <c r="N212" s="16"/>
      <c r="O212" s="16"/>
      <c r="S212" t="str">
        <f t="shared" si="10"/>
        <v/>
      </c>
      <c r="T212" t="str">
        <f t="shared" si="11"/>
        <v/>
      </c>
    </row>
    <row r="214" spans="1:20" ht="15.9" x14ac:dyDescent="0.45">
      <c r="A214" s="203" t="s">
        <v>1654</v>
      </c>
      <c r="B214" s="154"/>
      <c r="C214" s="154"/>
      <c r="D214" s="154"/>
      <c r="E214" s="154"/>
      <c r="F214" s="154"/>
      <c r="G214" s="154"/>
      <c r="H214" s="154"/>
      <c r="I214" s="154"/>
      <c r="J214" s="154"/>
      <c r="K214" s="154"/>
      <c r="L214" s="154"/>
      <c r="M214" s="154"/>
      <c r="N214" s="154"/>
      <c r="O214" s="154"/>
    </row>
    <row r="215" spans="1:20" ht="30" customHeight="1" x14ac:dyDescent="0.4">
      <c r="A215" s="94" t="s">
        <v>540</v>
      </c>
      <c r="B215" s="94" t="s">
        <v>541</v>
      </c>
      <c r="C215" s="207" t="s">
        <v>542</v>
      </c>
      <c r="D215" s="142"/>
      <c r="E215" s="208" t="s">
        <v>18</v>
      </c>
      <c r="F215" s="142"/>
      <c r="G215" s="95" t="s">
        <v>543</v>
      </c>
      <c r="H215" s="96" t="s">
        <v>544</v>
      </c>
      <c r="I215" s="96" t="s">
        <v>534</v>
      </c>
      <c r="J215" s="94" t="s">
        <v>483</v>
      </c>
      <c r="M215" s="96" t="s">
        <v>535</v>
      </c>
    </row>
    <row r="216" spans="1:20" ht="30.35" hidden="1" customHeight="1" x14ac:dyDescent="0.4">
      <c r="A216" s="139"/>
      <c r="B216" s="133"/>
      <c r="C216" s="209"/>
      <c r="D216" s="202"/>
      <c r="E216" s="206"/>
      <c r="F216" s="202"/>
      <c r="G216" s="135"/>
      <c r="H216" s="136"/>
      <c r="I216" s="106"/>
      <c r="J216" s="138"/>
      <c r="K216" s="16"/>
      <c r="L216" s="16"/>
      <c r="M216" s="101"/>
      <c r="N216" s="16"/>
      <c r="O216" s="16"/>
      <c r="Q216" s="134"/>
    </row>
    <row r="217" spans="1:20" ht="30.35" hidden="1" customHeight="1" x14ac:dyDescent="0.4">
      <c r="A217" s="139"/>
      <c r="B217" s="133"/>
      <c r="C217" s="209"/>
      <c r="D217" s="202"/>
      <c r="E217" s="206"/>
      <c r="F217" s="202"/>
      <c r="G217" s="135"/>
      <c r="H217" s="136"/>
      <c r="I217" s="106"/>
      <c r="J217" s="138"/>
      <c r="K217" s="16"/>
      <c r="L217" s="16"/>
      <c r="M217" s="101"/>
      <c r="N217" s="16"/>
      <c r="O217" s="16"/>
      <c r="Q217" s="134"/>
    </row>
    <row r="218" spans="1:20" ht="30.35" hidden="1" customHeight="1" x14ac:dyDescent="0.4">
      <c r="A218" s="139"/>
      <c r="B218" s="133"/>
      <c r="C218" s="209"/>
      <c r="D218" s="202"/>
      <c r="E218" s="206"/>
      <c r="F218" s="202"/>
      <c r="G218" s="135"/>
      <c r="H218" s="136"/>
      <c r="I218" s="106"/>
      <c r="J218" s="138"/>
      <c r="K218" s="16"/>
      <c r="L218" s="16"/>
      <c r="M218" s="101"/>
      <c r="N218" s="16"/>
      <c r="O218" s="16"/>
      <c r="Q218" s="134"/>
    </row>
    <row r="219" spans="1:20" ht="24" hidden="1" customHeight="1" x14ac:dyDescent="0.4">
      <c r="A219" s="139"/>
      <c r="B219" s="133"/>
      <c r="C219" s="209"/>
      <c r="D219" s="202"/>
      <c r="E219" s="206"/>
      <c r="F219" s="202"/>
      <c r="G219" s="135"/>
      <c r="H219" s="136"/>
      <c r="I219" s="106"/>
      <c r="J219" s="138"/>
      <c r="K219" s="16"/>
      <c r="L219" s="16"/>
      <c r="M219" s="101"/>
      <c r="N219" s="16"/>
      <c r="O219" s="16"/>
      <c r="Q219" s="134"/>
    </row>
    <row r="220" spans="1:20" ht="30.35" hidden="1" customHeight="1" x14ac:dyDescent="0.4">
      <c r="A220" s="139"/>
      <c r="B220" s="133"/>
      <c r="C220" s="209"/>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5"/>
      <c r="F221" s="202"/>
      <c r="G221" s="99"/>
      <c r="H221" s="100"/>
      <c r="I221" s="106"/>
      <c r="J221" s="105"/>
      <c r="K221" s="16"/>
      <c r="L221" s="16"/>
      <c r="M221" s="101"/>
      <c r="N221" s="16"/>
      <c r="O221" s="16"/>
    </row>
    <row r="222" spans="1:20" ht="30" hidden="1" customHeight="1" x14ac:dyDescent="0.4">
      <c r="A222" s="107"/>
      <c r="B222" s="15"/>
      <c r="C222" s="204"/>
      <c r="D222" s="202"/>
      <c r="E222" s="205"/>
      <c r="F222" s="202"/>
      <c r="G222" s="99"/>
      <c r="H222" s="100"/>
      <c r="I222" s="106"/>
      <c r="J222" s="105"/>
      <c r="K222" s="16"/>
      <c r="L222" s="16"/>
      <c r="M222" s="101"/>
      <c r="N222" s="16"/>
      <c r="O222" s="16"/>
    </row>
    <row r="223" spans="1:20" ht="30" hidden="1" customHeight="1" x14ac:dyDescent="0.4">
      <c r="A223" s="107"/>
      <c r="B223" s="15"/>
      <c r="C223" s="204"/>
      <c r="D223" s="202"/>
      <c r="E223" s="205"/>
      <c r="F223" s="202"/>
      <c r="G223" s="99"/>
      <c r="H223" s="100"/>
      <c r="I223" s="106"/>
      <c r="J223" s="105"/>
      <c r="K223" s="16"/>
      <c r="L223" s="16"/>
      <c r="M223" s="101"/>
      <c r="N223" s="16"/>
      <c r="O223" s="16"/>
    </row>
    <row r="224" spans="1:20" ht="30" hidden="1" customHeight="1" x14ac:dyDescent="0.4">
      <c r="A224" s="107"/>
      <c r="B224" s="15"/>
      <c r="C224" s="204"/>
      <c r="D224" s="202"/>
      <c r="E224" s="205"/>
      <c r="F224" s="202"/>
      <c r="G224" s="99"/>
      <c r="H224" s="100"/>
      <c r="I224" s="106"/>
      <c r="J224" s="105"/>
      <c r="K224" s="16"/>
      <c r="L224" s="16"/>
      <c r="M224" s="101"/>
      <c r="N224" s="16"/>
      <c r="O224" s="16"/>
    </row>
    <row r="225" spans="1:15" ht="30" hidden="1" customHeight="1" x14ac:dyDescent="0.4">
      <c r="A225" s="107"/>
      <c r="B225" s="15"/>
      <c r="C225" s="204"/>
      <c r="D225" s="202"/>
      <c r="E225" s="205"/>
      <c r="F225" s="202"/>
      <c r="G225" s="99"/>
      <c r="H225" s="100"/>
      <c r="I225" s="106"/>
      <c r="J225" s="105"/>
      <c r="K225" s="16"/>
      <c r="L225" s="16"/>
      <c r="M225" s="101"/>
      <c r="N225" s="16"/>
      <c r="O225" s="16"/>
    </row>
    <row r="226" spans="1:15" ht="30" hidden="1" customHeight="1" x14ac:dyDescent="0.4">
      <c r="A226" s="107"/>
      <c r="B226" s="15"/>
      <c r="C226" s="204"/>
      <c r="D226" s="202"/>
      <c r="E226" s="205"/>
      <c r="F226" s="202"/>
      <c r="G226" s="99"/>
      <c r="H226" s="100"/>
      <c r="I226" s="106"/>
      <c r="J226" s="105"/>
      <c r="K226" s="16"/>
      <c r="L226" s="16"/>
      <c r="M226" s="101"/>
      <c r="N226" s="16"/>
      <c r="O226" s="16"/>
    </row>
    <row r="227" spans="1:15" ht="30" hidden="1" customHeight="1" x14ac:dyDescent="0.4">
      <c r="A227" s="107"/>
      <c r="B227" s="15"/>
      <c r="C227" s="204"/>
      <c r="D227" s="202"/>
      <c r="E227" s="205"/>
      <c r="F227" s="202"/>
      <c r="G227" s="99"/>
      <c r="H227" s="100"/>
      <c r="I227" s="106"/>
      <c r="J227" s="105"/>
      <c r="K227" s="16"/>
      <c r="L227" s="16"/>
      <c r="M227" s="101"/>
      <c r="N227" s="16"/>
      <c r="O227" s="16"/>
    </row>
    <row r="228" spans="1:15" ht="30" hidden="1" customHeight="1" x14ac:dyDescent="0.4">
      <c r="A228" s="107"/>
      <c r="B228" s="15"/>
      <c r="C228" s="204"/>
      <c r="D228" s="202"/>
      <c r="E228" s="205"/>
      <c r="F228" s="202"/>
      <c r="G228" s="99"/>
      <c r="H228" s="100"/>
      <c r="I228" s="106"/>
      <c r="J228" s="105"/>
      <c r="K228" s="16"/>
      <c r="L228" s="16"/>
      <c r="M228" s="101"/>
      <c r="N228" s="16"/>
      <c r="O228" s="16"/>
    </row>
    <row r="229" spans="1:15" ht="30" hidden="1" customHeight="1" x14ac:dyDescent="0.4">
      <c r="A229" s="107"/>
      <c r="B229" s="15"/>
      <c r="C229" s="204"/>
      <c r="D229" s="202"/>
      <c r="E229" s="205"/>
      <c r="F229" s="202"/>
      <c r="G229" s="99"/>
      <c r="H229" s="100"/>
      <c r="I229" s="106"/>
      <c r="J229" s="105"/>
      <c r="K229" s="16"/>
      <c r="L229" s="16"/>
      <c r="M229" s="101"/>
      <c r="N229" s="16"/>
      <c r="O229" s="16"/>
    </row>
    <row r="230" spans="1:15" ht="30" hidden="1" customHeight="1" x14ac:dyDescent="0.4">
      <c r="A230" s="107"/>
      <c r="B230" s="15"/>
      <c r="C230" s="204"/>
      <c r="D230" s="202"/>
      <c r="E230" s="205"/>
      <c r="F230" s="202"/>
      <c r="G230" s="99"/>
      <c r="H230" s="100"/>
      <c r="I230" s="106"/>
      <c r="J230" s="105"/>
      <c r="K230" s="16"/>
      <c r="L230" s="16"/>
      <c r="M230" s="101"/>
      <c r="N230" s="16"/>
      <c r="O230" s="16"/>
    </row>
    <row r="231" spans="1:15" ht="30" hidden="1" customHeight="1" x14ac:dyDescent="0.4">
      <c r="A231" s="107"/>
      <c r="B231" s="15"/>
      <c r="C231" s="204"/>
      <c r="D231" s="202"/>
      <c r="E231" s="205"/>
      <c r="F231" s="202"/>
      <c r="G231" s="99"/>
      <c r="H231" s="100"/>
      <c r="I231" s="106"/>
      <c r="J231" s="105"/>
      <c r="K231" s="16"/>
      <c r="L231" s="16"/>
      <c r="M231" s="101"/>
      <c r="N231" s="16"/>
      <c r="O231" s="16"/>
    </row>
    <row r="232" spans="1:15" ht="30" hidden="1" customHeight="1" x14ac:dyDescent="0.4">
      <c r="A232" s="107"/>
      <c r="B232" s="15"/>
      <c r="C232" s="204"/>
      <c r="D232" s="202"/>
      <c r="E232" s="205"/>
      <c r="F232" s="202"/>
      <c r="G232" s="99"/>
      <c r="H232" s="100"/>
      <c r="I232" s="106"/>
      <c r="J232" s="105"/>
      <c r="K232" s="16"/>
      <c r="L232" s="16"/>
      <c r="M232" s="101"/>
      <c r="N232" s="16"/>
      <c r="O232" s="16"/>
    </row>
    <row r="233" spans="1:15" ht="30" hidden="1" customHeight="1" x14ac:dyDescent="0.4">
      <c r="A233" s="107"/>
      <c r="B233" s="15"/>
      <c r="C233" s="204"/>
      <c r="D233" s="202"/>
      <c r="E233" s="205"/>
      <c r="F233" s="202"/>
      <c r="G233" s="99"/>
      <c r="H233" s="100"/>
      <c r="I233" s="106"/>
      <c r="J233" s="105"/>
      <c r="K233" s="16"/>
      <c r="L233" s="16"/>
      <c r="M233" s="101"/>
      <c r="N233" s="16"/>
      <c r="O233" s="16"/>
    </row>
    <row r="234" spans="1:15" ht="30" hidden="1" customHeight="1" x14ac:dyDescent="0.4">
      <c r="A234" s="107"/>
      <c r="B234" s="15"/>
      <c r="C234" s="204"/>
      <c r="D234" s="202"/>
      <c r="E234" s="205"/>
      <c r="F234" s="202"/>
      <c r="G234" s="99"/>
      <c r="H234" s="100"/>
      <c r="I234" s="106"/>
      <c r="J234" s="105"/>
      <c r="K234" s="16"/>
      <c r="L234" s="16"/>
      <c r="M234" s="101"/>
      <c r="N234" s="16"/>
      <c r="O234" s="16"/>
    </row>
    <row r="235" spans="1:15" ht="30" hidden="1" customHeight="1" x14ac:dyDescent="0.4">
      <c r="A235" s="107"/>
      <c r="B235" s="15"/>
      <c r="C235" s="204"/>
      <c r="D235" s="202"/>
      <c r="E235" s="205"/>
      <c r="F235" s="202"/>
      <c r="G235" s="99"/>
      <c r="H235" s="100"/>
      <c r="I235" s="106"/>
      <c r="J235" s="105"/>
      <c r="K235" s="16"/>
      <c r="L235" s="16"/>
      <c r="M235" s="101"/>
      <c r="N235" s="16"/>
      <c r="O235" s="16"/>
    </row>
    <row r="236" spans="1:15" ht="30" hidden="1" customHeight="1" x14ac:dyDescent="0.4">
      <c r="A236" s="107"/>
      <c r="B236" s="15"/>
      <c r="C236" s="204"/>
      <c r="D236" s="202"/>
      <c r="E236" s="205"/>
      <c r="F236" s="202"/>
      <c r="G236" s="99"/>
      <c r="H236" s="100"/>
      <c r="I236" s="106"/>
      <c r="J236" s="105"/>
      <c r="K236" s="16"/>
      <c r="L236" s="16"/>
      <c r="M236" s="101"/>
      <c r="N236" s="16"/>
      <c r="O236" s="16"/>
    </row>
    <row r="237" spans="1:15" ht="30" hidden="1" customHeight="1" x14ac:dyDescent="0.4">
      <c r="A237" s="107"/>
      <c r="B237" s="15"/>
      <c r="C237" s="204"/>
      <c r="D237" s="202"/>
      <c r="E237" s="205"/>
      <c r="F237" s="202"/>
      <c r="G237" s="99"/>
      <c r="H237" s="100"/>
      <c r="I237" s="106"/>
      <c r="J237" s="105"/>
      <c r="K237" s="16"/>
      <c r="L237" s="16"/>
      <c r="M237" s="101"/>
      <c r="N237" s="16"/>
      <c r="O237" s="16"/>
    </row>
    <row r="238" spans="1:15" ht="30" hidden="1" customHeight="1" x14ac:dyDescent="0.4">
      <c r="A238" s="107"/>
      <c r="B238" s="15"/>
      <c r="C238" s="204"/>
      <c r="D238" s="202"/>
      <c r="E238" s="205"/>
      <c r="F238" s="202"/>
      <c r="G238" s="99"/>
      <c r="H238" s="100"/>
      <c r="I238" s="106"/>
      <c r="J238" s="105"/>
      <c r="K238" s="16"/>
      <c r="L238" s="16"/>
      <c r="M238" s="101"/>
      <c r="N238" s="16"/>
      <c r="O238" s="16"/>
    </row>
    <row r="239" spans="1:15" ht="30" hidden="1" customHeight="1" x14ac:dyDescent="0.4">
      <c r="A239" s="107"/>
      <c r="B239" s="15"/>
      <c r="C239" s="204"/>
      <c r="D239" s="202"/>
      <c r="E239" s="205"/>
      <c r="F239" s="202"/>
      <c r="G239" s="99"/>
      <c r="H239" s="100"/>
      <c r="I239" s="106"/>
      <c r="J239" s="105"/>
      <c r="K239" s="16"/>
      <c r="L239" s="16"/>
      <c r="M239" s="101"/>
      <c r="N239" s="16"/>
      <c r="O239" s="16"/>
    </row>
    <row r="240" spans="1:15" ht="30" hidden="1" customHeight="1" x14ac:dyDescent="0.4">
      <c r="A240" s="107"/>
      <c r="B240" s="15"/>
      <c r="C240" s="204"/>
      <c r="D240" s="202"/>
      <c r="E240" s="205"/>
      <c r="F240" s="202"/>
      <c r="G240" s="99"/>
      <c r="H240" s="100"/>
      <c r="I240" s="106"/>
      <c r="J240" s="105"/>
      <c r="K240" s="16"/>
      <c r="L240" s="16"/>
      <c r="M240" s="101"/>
      <c r="N240" s="16"/>
      <c r="O240" s="16"/>
    </row>
    <row r="241" spans="1:15" ht="30" hidden="1" customHeight="1" x14ac:dyDescent="0.4">
      <c r="A241" s="107"/>
      <c r="B241" s="15"/>
      <c r="C241" s="204"/>
      <c r="D241" s="202"/>
      <c r="E241" s="205"/>
      <c r="F241" s="202"/>
      <c r="G241" s="99"/>
      <c r="H241" s="100"/>
      <c r="I241" s="106"/>
      <c r="J241" s="105"/>
      <c r="K241" s="16"/>
      <c r="L241" s="16"/>
      <c r="M241" s="101"/>
      <c r="N241" s="16"/>
      <c r="O241" s="16"/>
    </row>
    <row r="242" spans="1:15" ht="30" hidden="1" customHeight="1" x14ac:dyDescent="0.4">
      <c r="A242" s="107"/>
      <c r="B242" s="15"/>
      <c r="C242" s="204"/>
      <c r="D242" s="202"/>
      <c r="E242" s="205"/>
      <c r="F242" s="202"/>
      <c r="G242" s="99"/>
      <c r="H242" s="100"/>
      <c r="I242" s="106"/>
      <c r="J242" s="105"/>
      <c r="K242" s="16"/>
      <c r="L242" s="16"/>
      <c r="M242" s="101"/>
      <c r="N242" s="16"/>
      <c r="O242" s="16"/>
    </row>
    <row r="243" spans="1:15" ht="30" hidden="1" customHeight="1" x14ac:dyDescent="0.4">
      <c r="A243" s="107"/>
      <c r="B243" s="15"/>
      <c r="C243" s="204"/>
      <c r="D243" s="202"/>
      <c r="E243" s="205"/>
      <c r="F243" s="202"/>
      <c r="G243" s="99"/>
      <c r="H243" s="100"/>
      <c r="I243" s="106"/>
      <c r="J243" s="105"/>
      <c r="K243" s="16"/>
      <c r="L243" s="16"/>
      <c r="M243" s="101"/>
      <c r="N243" s="16"/>
      <c r="O243" s="16"/>
    </row>
    <row r="244" spans="1:15" ht="30" hidden="1" customHeight="1" x14ac:dyDescent="0.4">
      <c r="A244" s="107"/>
      <c r="B244" s="15"/>
      <c r="C244" s="204"/>
      <c r="D244" s="202"/>
      <c r="E244" s="205"/>
      <c r="F244" s="202"/>
      <c r="G244" s="99"/>
      <c r="H244" s="100"/>
      <c r="I244" s="106"/>
      <c r="J244" s="105"/>
      <c r="K244" s="16"/>
      <c r="L244" s="16"/>
      <c r="M244" s="101"/>
      <c r="N244" s="16"/>
      <c r="O244" s="16"/>
    </row>
    <row r="245" spans="1:15" ht="30" hidden="1" customHeight="1" x14ac:dyDescent="0.4">
      <c r="A245" s="107"/>
      <c r="B245" s="15"/>
      <c r="C245" s="204"/>
      <c r="D245" s="202"/>
      <c r="E245" s="205"/>
      <c r="F245" s="202"/>
      <c r="G245" s="99"/>
      <c r="H245" s="100"/>
      <c r="I245" s="106"/>
      <c r="J245" s="105"/>
      <c r="K245" s="16"/>
      <c r="L245" s="16"/>
      <c r="M245" s="101"/>
      <c r="N245" s="16"/>
      <c r="O245" s="16"/>
    </row>
    <row r="246" spans="1:15" ht="30" hidden="1" customHeight="1" x14ac:dyDescent="0.4">
      <c r="A246" s="107"/>
      <c r="B246" s="15"/>
      <c r="C246" s="204"/>
      <c r="D246" s="202"/>
      <c r="E246" s="205"/>
      <c r="F246" s="202"/>
      <c r="G246" s="99"/>
      <c r="H246" s="100"/>
      <c r="I246" s="106"/>
      <c r="J246" s="105"/>
      <c r="K246" s="16"/>
      <c r="L246" s="16"/>
      <c r="M246" s="101"/>
      <c r="N246" s="16"/>
      <c r="O246" s="16"/>
    </row>
    <row r="247" spans="1:15" ht="30" hidden="1" customHeight="1" x14ac:dyDescent="0.4">
      <c r="A247" s="107"/>
      <c r="B247" s="15"/>
      <c r="C247" s="204"/>
      <c r="D247" s="202"/>
      <c r="E247" s="205"/>
      <c r="F247" s="202"/>
      <c r="G247" s="99"/>
      <c r="H247" s="100"/>
      <c r="I247" s="106"/>
      <c r="J247" s="105"/>
      <c r="K247" s="16"/>
      <c r="L247" s="16"/>
      <c r="M247" s="101"/>
      <c r="N247" s="16"/>
      <c r="O247" s="16"/>
    </row>
    <row r="248" spans="1:15" ht="30" hidden="1" customHeight="1" x14ac:dyDescent="0.4">
      <c r="A248" s="107"/>
      <c r="B248" s="15"/>
      <c r="C248" s="204"/>
      <c r="D248" s="202"/>
      <c r="E248" s="205"/>
      <c r="F248" s="202"/>
      <c r="G248" s="99"/>
      <c r="H248" s="100"/>
      <c r="I248" s="106"/>
      <c r="J248" s="105"/>
      <c r="K248" s="16"/>
      <c r="L248" s="16"/>
      <c r="M248" s="101"/>
      <c r="N248" s="16"/>
      <c r="O248" s="16"/>
    </row>
    <row r="249" spans="1:15" ht="30" hidden="1" customHeight="1" x14ac:dyDescent="0.4">
      <c r="A249" s="107"/>
      <c r="B249" s="15"/>
      <c r="C249" s="204"/>
      <c r="D249" s="202"/>
      <c r="E249" s="205"/>
      <c r="F249" s="202"/>
      <c r="G249" s="99"/>
      <c r="H249" s="100"/>
      <c r="I249" s="106"/>
      <c r="J249" s="105"/>
      <c r="K249" s="16"/>
      <c r="L249" s="16"/>
      <c r="M249" s="101"/>
      <c r="N249" s="16"/>
      <c r="O249" s="16"/>
    </row>
    <row r="250" spans="1:15" ht="30" hidden="1" customHeight="1" x14ac:dyDescent="0.4">
      <c r="A250" s="107"/>
      <c r="B250" s="15"/>
      <c r="C250" s="204"/>
      <c r="D250" s="202"/>
      <c r="E250" s="205"/>
      <c r="F250" s="202"/>
      <c r="G250" s="99"/>
      <c r="H250" s="100"/>
      <c r="I250" s="106"/>
      <c r="J250" s="105"/>
      <c r="K250" s="16"/>
      <c r="L250" s="16"/>
      <c r="M250" s="101"/>
      <c r="N250" s="16"/>
      <c r="O250" s="16"/>
    </row>
    <row r="251" spans="1:15" ht="30" hidden="1" customHeight="1" x14ac:dyDescent="0.4">
      <c r="A251" s="107"/>
      <c r="B251" s="15"/>
      <c r="C251" s="204"/>
      <c r="D251" s="202"/>
      <c r="E251" s="205"/>
      <c r="F251" s="202"/>
      <c r="G251" s="99"/>
      <c r="H251" s="100"/>
      <c r="I251" s="106"/>
      <c r="J251" s="105"/>
      <c r="K251" s="16"/>
      <c r="L251" s="16"/>
      <c r="M251" s="101"/>
      <c r="N251" s="16"/>
      <c r="O251" s="16"/>
    </row>
    <row r="252" spans="1:15" ht="30" hidden="1" customHeight="1" x14ac:dyDescent="0.4">
      <c r="A252" s="107"/>
      <c r="B252" s="15"/>
      <c r="C252" s="204"/>
      <c r="D252" s="202"/>
      <c r="E252" s="205"/>
      <c r="F252" s="202"/>
      <c r="G252" s="99"/>
      <c r="H252" s="100"/>
      <c r="I252" s="106"/>
      <c r="J252" s="105"/>
      <c r="K252" s="16"/>
      <c r="L252" s="16"/>
      <c r="M252" s="101"/>
      <c r="N252" s="16"/>
      <c r="O252" s="16"/>
    </row>
    <row r="253" spans="1:15" ht="30" hidden="1" customHeight="1" x14ac:dyDescent="0.4">
      <c r="A253" s="107"/>
      <c r="B253" s="15"/>
      <c r="C253" s="204"/>
      <c r="D253" s="202"/>
      <c r="E253" s="205"/>
      <c r="F253" s="202"/>
      <c r="G253" s="99"/>
      <c r="H253" s="100"/>
      <c r="I253" s="106"/>
      <c r="J253" s="105"/>
      <c r="K253" s="16"/>
      <c r="L253" s="16"/>
      <c r="M253" s="101"/>
      <c r="N253" s="16"/>
      <c r="O253" s="16"/>
    </row>
    <row r="254" spans="1:15" ht="30" hidden="1" customHeight="1" x14ac:dyDescent="0.4">
      <c r="A254" s="107"/>
      <c r="B254" s="15"/>
      <c r="C254" s="204"/>
      <c r="D254" s="202"/>
      <c r="E254" s="205"/>
      <c r="F254" s="202"/>
      <c r="G254" s="99"/>
      <c r="H254" s="100"/>
      <c r="I254" s="106"/>
      <c r="J254" s="105"/>
      <c r="K254" s="16"/>
      <c r="L254" s="16"/>
      <c r="M254" s="101"/>
      <c r="N254" s="16"/>
      <c r="O254" s="16"/>
    </row>
    <row r="255" spans="1:15" ht="30" hidden="1" customHeight="1" x14ac:dyDescent="0.4">
      <c r="A255" s="107"/>
      <c r="B255" s="15"/>
      <c r="C255" s="204"/>
      <c r="D255" s="202"/>
      <c r="E255" s="205"/>
      <c r="F255" s="202"/>
      <c r="G255" s="99"/>
      <c r="H255" s="100"/>
      <c r="I255" s="106"/>
      <c r="J255" s="105"/>
      <c r="K255" s="16"/>
      <c r="L255" s="16"/>
      <c r="M255" s="101"/>
      <c r="N255" s="16"/>
      <c r="O255" s="16"/>
    </row>
    <row r="256" spans="1:15" ht="30" hidden="1" customHeight="1" x14ac:dyDescent="0.4">
      <c r="A256" s="107"/>
      <c r="B256" s="15"/>
      <c r="C256" s="204"/>
      <c r="D256" s="202"/>
      <c r="E256" s="205"/>
      <c r="F256" s="202"/>
      <c r="G256" s="99"/>
      <c r="H256" s="100"/>
      <c r="I256" s="106"/>
      <c r="J256" s="105"/>
      <c r="K256" s="16"/>
      <c r="L256" s="16"/>
      <c r="M256" s="101"/>
      <c r="N256" s="16"/>
      <c r="O256" s="16"/>
    </row>
    <row r="257" spans="1:15" ht="30" hidden="1" customHeight="1" x14ac:dyDescent="0.4">
      <c r="A257" s="107"/>
      <c r="B257" s="15"/>
      <c r="C257" s="204"/>
      <c r="D257" s="202"/>
      <c r="E257" s="205"/>
      <c r="F257" s="202"/>
      <c r="G257" s="99"/>
      <c r="H257" s="100"/>
      <c r="I257" s="106"/>
      <c r="J257" s="105"/>
      <c r="K257" s="16"/>
      <c r="L257" s="16"/>
      <c r="M257" s="101"/>
      <c r="N257" s="16"/>
      <c r="O257" s="16"/>
    </row>
    <row r="258" spans="1:15" ht="30" hidden="1" customHeight="1" x14ac:dyDescent="0.4">
      <c r="A258" s="107"/>
      <c r="B258" s="15"/>
      <c r="C258" s="204"/>
      <c r="D258" s="202"/>
      <c r="E258" s="205"/>
      <c r="F258" s="202"/>
      <c r="G258" s="99"/>
      <c r="H258" s="100"/>
      <c r="I258" s="106"/>
      <c r="J258" s="105"/>
      <c r="K258" s="16"/>
      <c r="L258" s="16"/>
      <c r="M258" s="101"/>
      <c r="N258" s="16"/>
      <c r="O258" s="16"/>
    </row>
    <row r="259" spans="1:15" ht="30" hidden="1" customHeight="1" x14ac:dyDescent="0.4">
      <c r="A259" s="107"/>
      <c r="B259" s="15"/>
      <c r="C259" s="204"/>
      <c r="D259" s="202"/>
      <c r="E259" s="205"/>
      <c r="F259" s="202"/>
      <c r="G259" s="99"/>
      <c r="H259" s="100"/>
      <c r="I259" s="106"/>
      <c r="J259" s="105"/>
      <c r="K259" s="16"/>
      <c r="L259" s="16"/>
      <c r="M259" s="101"/>
      <c r="N259" s="16"/>
      <c r="O259" s="16"/>
    </row>
    <row r="260" spans="1:15" ht="30" hidden="1" customHeight="1" x14ac:dyDescent="0.4">
      <c r="A260" s="107"/>
      <c r="B260" s="15"/>
      <c r="C260" s="204"/>
      <c r="D260" s="202"/>
      <c r="E260" s="205"/>
      <c r="F260" s="202"/>
      <c r="G260" s="99"/>
      <c r="H260" s="100"/>
      <c r="I260" s="106"/>
      <c r="J260" s="105"/>
      <c r="K260" s="16"/>
      <c r="L260" s="16"/>
      <c r="M260" s="101"/>
      <c r="N260" s="16"/>
      <c r="O260" s="16"/>
    </row>
    <row r="261" spans="1:15" ht="30" hidden="1" customHeight="1" x14ac:dyDescent="0.4">
      <c r="A261" s="107"/>
      <c r="B261" s="15"/>
      <c r="C261" s="204"/>
      <c r="D261" s="202"/>
      <c r="E261" s="205"/>
      <c r="F261" s="202"/>
      <c r="G261" s="99"/>
      <c r="H261" s="100"/>
      <c r="I261" s="106"/>
      <c r="J261" s="105"/>
      <c r="K261" s="16"/>
      <c r="L261" s="16"/>
      <c r="M261" s="101"/>
      <c r="N261" s="16"/>
      <c r="O261" s="16"/>
    </row>
    <row r="262" spans="1:15" ht="30" hidden="1" customHeight="1" x14ac:dyDescent="0.4">
      <c r="A262" s="107"/>
      <c r="B262" s="15"/>
      <c r="C262" s="204"/>
      <c r="D262" s="202"/>
      <c r="E262" s="205"/>
      <c r="F262" s="202"/>
      <c r="G262" s="99"/>
      <c r="H262" s="100"/>
      <c r="I262" s="106"/>
      <c r="J262" s="105"/>
      <c r="K262" s="16"/>
      <c r="L262" s="16"/>
      <c r="M262" s="101"/>
      <c r="N262" s="16"/>
      <c r="O262" s="16"/>
    </row>
    <row r="263" spans="1:15" ht="30" hidden="1" customHeight="1" x14ac:dyDescent="0.4">
      <c r="A263" s="107"/>
      <c r="B263" s="15"/>
      <c r="C263" s="204"/>
      <c r="D263" s="202"/>
      <c r="E263" s="205"/>
      <c r="F263" s="202"/>
      <c r="G263" s="99"/>
      <c r="H263" s="100"/>
      <c r="I263" s="106"/>
      <c r="J263" s="105"/>
      <c r="K263" s="16"/>
      <c r="L263" s="16"/>
      <c r="M263" s="101"/>
      <c r="N263" s="16"/>
      <c r="O263" s="16"/>
    </row>
    <row r="264" spans="1:15" ht="30" hidden="1" customHeight="1" x14ac:dyDescent="0.4">
      <c r="A264" s="107"/>
      <c r="B264" s="15"/>
      <c r="C264" s="204"/>
      <c r="D264" s="202"/>
      <c r="E264" s="205"/>
      <c r="F264" s="202"/>
      <c r="G264" s="99"/>
      <c r="H264" s="100"/>
      <c r="I264" s="106"/>
      <c r="J264" s="105"/>
      <c r="K264" s="16"/>
      <c r="L264" s="16"/>
      <c r="M264" s="101"/>
      <c r="N264" s="16"/>
      <c r="O264" s="16"/>
    </row>
    <row r="265" spans="1:15" ht="30" hidden="1" customHeight="1" x14ac:dyDescent="0.4">
      <c r="A265" s="107"/>
      <c r="B265" s="15"/>
      <c r="C265" s="204"/>
      <c r="D265" s="202"/>
      <c r="E265" s="205"/>
      <c r="F265" s="202"/>
      <c r="G265" s="99"/>
      <c r="H265" s="100"/>
      <c r="I265" s="106"/>
      <c r="J265" s="105"/>
      <c r="K265" s="16"/>
      <c r="L265" s="16"/>
      <c r="M265" s="101"/>
      <c r="N265" s="16"/>
      <c r="O265" s="16"/>
    </row>
    <row r="266" spans="1:15" ht="30" hidden="1" customHeight="1" x14ac:dyDescent="0.4">
      <c r="A266" s="107"/>
      <c r="B266" s="15"/>
      <c r="C266" s="204"/>
      <c r="D266" s="202"/>
      <c r="E266" s="205"/>
      <c r="F266" s="202"/>
      <c r="G266" s="99"/>
      <c r="H266" s="100"/>
      <c r="I266" s="106"/>
      <c r="J266" s="105"/>
      <c r="K266" s="16"/>
      <c r="L266" s="16"/>
      <c r="M266" s="101"/>
      <c r="N266" s="16"/>
      <c r="O266" s="16"/>
    </row>
    <row r="267" spans="1:15" ht="30" hidden="1" customHeight="1" x14ac:dyDescent="0.4">
      <c r="A267" s="107"/>
      <c r="B267" s="15"/>
      <c r="C267" s="204"/>
      <c r="D267" s="202"/>
      <c r="E267" s="205"/>
      <c r="F267" s="202"/>
      <c r="G267" s="99"/>
      <c r="H267" s="100"/>
      <c r="I267" s="106"/>
      <c r="J267" s="105"/>
      <c r="K267" s="16"/>
      <c r="L267" s="16"/>
      <c r="M267" s="101"/>
      <c r="N267" s="16"/>
      <c r="O267" s="16"/>
    </row>
    <row r="268" spans="1:15" ht="30" hidden="1" customHeight="1" x14ac:dyDescent="0.4">
      <c r="A268" s="107"/>
      <c r="B268" s="15"/>
      <c r="C268" s="204"/>
      <c r="D268" s="202"/>
      <c r="E268" s="205"/>
      <c r="F268" s="202"/>
      <c r="G268" s="99"/>
      <c r="H268" s="100"/>
      <c r="I268" s="106"/>
      <c r="J268" s="105"/>
      <c r="K268" s="16"/>
      <c r="L268" s="16"/>
      <c r="M268" s="101"/>
      <c r="N268" s="16"/>
      <c r="O268" s="16"/>
    </row>
    <row r="269" spans="1:15" ht="30" hidden="1" customHeight="1" x14ac:dyDescent="0.4">
      <c r="A269" s="107"/>
      <c r="B269" s="15"/>
      <c r="C269" s="204"/>
      <c r="D269" s="202"/>
      <c r="E269" s="205"/>
      <c r="F269" s="202"/>
      <c r="G269" s="99"/>
      <c r="H269" s="100"/>
      <c r="I269" s="106"/>
      <c r="J269" s="105"/>
      <c r="K269" s="16"/>
      <c r="L269" s="16"/>
      <c r="M269" s="101"/>
      <c r="N269" s="16"/>
      <c r="O269" s="16"/>
    </row>
    <row r="270" spans="1:15" ht="30" hidden="1" customHeight="1" x14ac:dyDescent="0.4">
      <c r="A270" s="107"/>
      <c r="B270" s="15"/>
      <c r="C270" s="204"/>
      <c r="D270" s="202"/>
      <c r="E270" s="205"/>
      <c r="F270" s="202"/>
      <c r="G270" s="99"/>
      <c r="H270" s="100"/>
      <c r="I270" s="106"/>
      <c r="J270" s="105"/>
      <c r="K270" s="16"/>
      <c r="L270" s="16"/>
      <c r="M270" s="101"/>
      <c r="N270" s="16"/>
      <c r="O270" s="16"/>
    </row>
    <row r="271" spans="1:15" ht="30" hidden="1" customHeight="1" x14ac:dyDescent="0.4">
      <c r="A271" s="107"/>
      <c r="B271" s="15"/>
      <c r="C271" s="204"/>
      <c r="D271" s="202"/>
      <c r="E271" s="205"/>
      <c r="F271" s="202"/>
      <c r="G271" s="99"/>
      <c r="H271" s="100"/>
      <c r="I271" s="106"/>
      <c r="J271" s="105"/>
      <c r="K271" s="16"/>
      <c r="L271" s="16"/>
      <c r="M271" s="101"/>
      <c r="N271" s="16"/>
      <c r="O271" s="16"/>
    </row>
    <row r="272" spans="1:15" ht="30" hidden="1" customHeight="1" x14ac:dyDescent="0.4">
      <c r="A272" s="107"/>
      <c r="B272" s="15"/>
      <c r="C272" s="204"/>
      <c r="D272" s="202"/>
      <c r="E272" s="205"/>
      <c r="F272" s="202"/>
      <c r="G272" s="99"/>
      <c r="H272" s="100"/>
      <c r="I272" s="106"/>
      <c r="J272" s="105"/>
      <c r="K272" s="16"/>
      <c r="L272" s="16"/>
      <c r="M272" s="101"/>
      <c r="N272" s="16"/>
      <c r="O272" s="16"/>
    </row>
    <row r="273" spans="1:15" ht="30" hidden="1" customHeight="1" x14ac:dyDescent="0.4">
      <c r="A273" s="107"/>
      <c r="B273" s="15"/>
      <c r="C273" s="204"/>
      <c r="D273" s="202"/>
      <c r="E273" s="205"/>
      <c r="F273" s="202"/>
      <c r="G273" s="99"/>
      <c r="H273" s="100"/>
      <c r="I273" s="106"/>
      <c r="J273" s="105"/>
      <c r="K273" s="16"/>
      <c r="L273" s="16"/>
      <c r="M273" s="101"/>
      <c r="N273" s="16"/>
      <c r="O273" s="16"/>
    </row>
    <row r="274" spans="1:15" ht="30" hidden="1" customHeight="1" x14ac:dyDescent="0.4">
      <c r="A274" s="107"/>
      <c r="B274" s="15"/>
      <c r="C274" s="204"/>
      <c r="D274" s="202"/>
      <c r="E274" s="205"/>
      <c r="F274" s="202"/>
      <c r="G274" s="99"/>
      <c r="H274" s="100"/>
      <c r="I274" s="106"/>
      <c r="J274" s="105"/>
      <c r="K274" s="16"/>
      <c r="L274" s="16"/>
      <c r="M274" s="101"/>
      <c r="N274" s="16"/>
      <c r="O274" s="16"/>
    </row>
    <row r="275" spans="1:15" ht="30" hidden="1" customHeight="1" x14ac:dyDescent="0.4">
      <c r="A275" s="107"/>
      <c r="B275" s="15"/>
      <c r="C275" s="204"/>
      <c r="D275" s="202"/>
      <c r="E275" s="205"/>
      <c r="F275" s="202"/>
      <c r="G275" s="99"/>
      <c r="H275" s="100"/>
      <c r="I275" s="106"/>
      <c r="J275" s="105"/>
      <c r="K275" s="16"/>
      <c r="L275" s="16"/>
      <c r="M275" s="101"/>
      <c r="N275" s="16"/>
      <c r="O275" s="16"/>
    </row>
    <row r="276" spans="1:15" ht="30" hidden="1" customHeight="1" x14ac:dyDescent="0.4">
      <c r="A276" s="107"/>
      <c r="B276" s="15"/>
      <c r="C276" s="204"/>
      <c r="D276" s="202"/>
      <c r="E276" s="205"/>
      <c r="F276" s="202"/>
      <c r="G276" s="99"/>
      <c r="H276" s="100"/>
      <c r="I276" s="106"/>
      <c r="J276" s="105"/>
      <c r="K276" s="16"/>
      <c r="L276" s="16"/>
      <c r="M276" s="101"/>
      <c r="N276" s="16"/>
      <c r="O276" s="16"/>
    </row>
    <row r="277" spans="1:15" ht="30" hidden="1" customHeight="1" x14ac:dyDescent="0.4">
      <c r="A277" s="107"/>
      <c r="B277" s="15"/>
      <c r="C277" s="204"/>
      <c r="D277" s="202"/>
      <c r="E277" s="205"/>
      <c r="F277" s="202"/>
      <c r="G277" s="99"/>
      <c r="H277" s="100"/>
      <c r="I277" s="106"/>
      <c r="J277" s="105"/>
      <c r="K277" s="16"/>
      <c r="L277" s="16"/>
      <c r="M277" s="101"/>
      <c r="N277" s="16"/>
      <c r="O277" s="16"/>
    </row>
    <row r="278" spans="1:15" ht="30" hidden="1" customHeight="1" x14ac:dyDescent="0.4">
      <c r="A278" s="107"/>
      <c r="B278" s="15"/>
      <c r="C278" s="204"/>
      <c r="D278" s="202"/>
      <c r="E278" s="205"/>
      <c r="F278" s="202"/>
      <c r="G278" s="99"/>
      <c r="H278" s="100"/>
      <c r="I278" s="106"/>
      <c r="J278" s="105"/>
      <c r="K278" s="16"/>
      <c r="L278" s="16"/>
      <c r="M278" s="101"/>
      <c r="N278" s="16"/>
      <c r="O278" s="16"/>
    </row>
    <row r="279" spans="1:15" ht="30" hidden="1" customHeight="1" x14ac:dyDescent="0.4">
      <c r="A279" s="107"/>
      <c r="B279" s="15"/>
      <c r="C279" s="204"/>
      <c r="D279" s="202"/>
      <c r="E279" s="205"/>
      <c r="F279" s="202"/>
      <c r="G279" s="99"/>
      <c r="H279" s="100"/>
      <c r="I279" s="106"/>
      <c r="J279" s="105"/>
      <c r="K279" s="16"/>
      <c r="L279" s="16"/>
      <c r="M279" s="101"/>
      <c r="N279" s="16"/>
      <c r="O279" s="16"/>
    </row>
    <row r="280" spans="1:15" ht="30" hidden="1" customHeight="1" x14ac:dyDescent="0.4">
      <c r="A280" s="107"/>
      <c r="B280" s="15"/>
      <c r="C280" s="204"/>
      <c r="D280" s="202"/>
      <c r="E280" s="205"/>
      <c r="F280" s="202"/>
      <c r="G280" s="99"/>
      <c r="H280" s="100"/>
      <c r="I280" s="106"/>
      <c r="J280" s="105"/>
      <c r="K280" s="16"/>
      <c r="L280" s="16"/>
      <c r="M280" s="101"/>
      <c r="N280" s="16"/>
      <c r="O280" s="16"/>
    </row>
    <row r="281" spans="1:15" ht="30" hidden="1" customHeight="1" x14ac:dyDescent="0.4">
      <c r="A281" s="107"/>
      <c r="B281" s="15"/>
      <c r="C281" s="204"/>
      <c r="D281" s="202"/>
      <c r="E281" s="205"/>
      <c r="F281" s="202"/>
      <c r="G281" s="99"/>
      <c r="H281" s="100"/>
      <c r="I281" s="106"/>
      <c r="J281" s="105"/>
      <c r="K281" s="16"/>
      <c r="L281" s="16"/>
      <c r="M281" s="101"/>
      <c r="N281" s="16"/>
      <c r="O281" s="16"/>
    </row>
    <row r="282" spans="1:15" ht="30" hidden="1" customHeight="1" x14ac:dyDescent="0.4">
      <c r="A282" s="107"/>
      <c r="B282" s="15"/>
      <c r="C282" s="204"/>
      <c r="D282" s="202"/>
      <c r="E282" s="205"/>
      <c r="F282" s="202"/>
      <c r="G282" s="99"/>
      <c r="H282" s="100"/>
      <c r="I282" s="106"/>
      <c r="J282" s="105"/>
      <c r="K282" s="16"/>
      <c r="L282" s="16"/>
      <c r="M282" s="101"/>
      <c r="N282" s="16"/>
      <c r="O282" s="16"/>
    </row>
    <row r="283" spans="1:15" ht="30" hidden="1" customHeight="1" x14ac:dyDescent="0.4">
      <c r="A283" s="107"/>
      <c r="B283" s="15"/>
      <c r="C283" s="204"/>
      <c r="D283" s="202"/>
      <c r="E283" s="205"/>
      <c r="F283" s="202"/>
      <c r="G283" s="99"/>
      <c r="H283" s="100"/>
      <c r="I283" s="106"/>
      <c r="J283" s="105"/>
      <c r="K283" s="16"/>
      <c r="L283" s="16"/>
      <c r="M283" s="101"/>
      <c r="N283" s="16"/>
      <c r="O283" s="16"/>
    </row>
    <row r="284" spans="1:15" ht="30" hidden="1" customHeight="1" x14ac:dyDescent="0.4">
      <c r="A284" s="107"/>
      <c r="B284" s="15"/>
      <c r="C284" s="204"/>
      <c r="D284" s="202"/>
      <c r="E284" s="205"/>
      <c r="F284" s="202"/>
      <c r="G284" s="99"/>
      <c r="H284" s="100"/>
      <c r="I284" s="106"/>
      <c r="J284" s="105"/>
      <c r="K284" s="16"/>
      <c r="L284" s="16"/>
      <c r="M284" s="101"/>
      <c r="N284" s="16"/>
      <c r="O284" s="16"/>
    </row>
    <row r="285" spans="1:15" ht="30" hidden="1" customHeight="1" x14ac:dyDescent="0.4">
      <c r="A285" s="107"/>
      <c r="B285" s="15"/>
      <c r="C285" s="204"/>
      <c r="D285" s="202"/>
      <c r="E285" s="205"/>
      <c r="F285" s="202"/>
      <c r="G285" s="99"/>
      <c r="H285" s="100"/>
      <c r="I285" s="106"/>
      <c r="J285" s="105"/>
      <c r="K285" s="16"/>
      <c r="L285" s="16"/>
      <c r="M285" s="101"/>
      <c r="N285" s="16"/>
      <c r="O285" s="16"/>
    </row>
    <row r="286" spans="1:15" ht="30" hidden="1" customHeight="1" x14ac:dyDescent="0.4">
      <c r="A286" s="107"/>
      <c r="B286" s="15"/>
      <c r="C286" s="204"/>
      <c r="D286" s="202"/>
      <c r="E286" s="205"/>
      <c r="F286" s="202"/>
      <c r="G286" s="99"/>
      <c r="H286" s="100"/>
      <c r="I286" s="106"/>
      <c r="J286" s="105"/>
      <c r="K286" s="16"/>
      <c r="L286" s="16"/>
      <c r="M286" s="101"/>
      <c r="N286" s="16"/>
      <c r="O286" s="16"/>
    </row>
    <row r="287" spans="1:15" ht="30" hidden="1" customHeight="1" x14ac:dyDescent="0.4">
      <c r="A287" s="107"/>
      <c r="B287" s="15"/>
      <c r="C287" s="204"/>
      <c r="D287" s="202"/>
      <c r="E287" s="205"/>
      <c r="F287" s="202"/>
      <c r="G287" s="99"/>
      <c r="H287" s="100"/>
      <c r="I287" s="106"/>
      <c r="J287" s="105"/>
      <c r="K287" s="16"/>
      <c r="L287" s="16"/>
      <c r="M287" s="101"/>
      <c r="N287" s="16"/>
      <c r="O287" s="16"/>
    </row>
    <row r="288" spans="1:15" ht="30" hidden="1" customHeight="1" x14ac:dyDescent="0.4">
      <c r="A288" s="107"/>
      <c r="B288" s="15"/>
      <c r="C288" s="204"/>
      <c r="D288" s="202"/>
      <c r="E288" s="205"/>
      <c r="F288" s="202"/>
      <c r="G288" s="99"/>
      <c r="H288" s="100"/>
      <c r="I288" s="106"/>
      <c r="J288" s="105"/>
      <c r="K288" s="16"/>
      <c r="L288" s="16"/>
      <c r="M288" s="101"/>
      <c r="N288" s="16"/>
      <c r="O288" s="16"/>
    </row>
    <row r="289" spans="1:15" ht="30" hidden="1" customHeight="1" x14ac:dyDescent="0.4">
      <c r="A289" s="107"/>
      <c r="B289" s="15"/>
      <c r="C289" s="204"/>
      <c r="D289" s="202"/>
      <c r="E289" s="205"/>
      <c r="F289" s="202"/>
      <c r="G289" s="99"/>
      <c r="H289" s="100"/>
      <c r="I289" s="106"/>
      <c r="J289" s="105"/>
      <c r="K289" s="16"/>
      <c r="L289" s="16"/>
      <c r="M289" s="101"/>
      <c r="N289" s="16"/>
      <c r="O289" s="16"/>
    </row>
    <row r="290" spans="1:15" ht="30" hidden="1" customHeight="1" x14ac:dyDescent="0.4">
      <c r="A290" s="107"/>
      <c r="B290" s="15"/>
      <c r="C290" s="204"/>
      <c r="D290" s="202"/>
      <c r="E290" s="205"/>
      <c r="F290" s="202"/>
      <c r="G290" s="99"/>
      <c r="H290" s="100"/>
      <c r="I290" s="106"/>
      <c r="J290" s="105"/>
      <c r="K290" s="16"/>
      <c r="L290" s="16"/>
      <c r="M290" s="101"/>
      <c r="N290" s="16"/>
      <c r="O290" s="16"/>
    </row>
    <row r="291" spans="1:15" ht="30" hidden="1" customHeight="1" x14ac:dyDescent="0.4">
      <c r="A291" s="107"/>
      <c r="B291" s="15"/>
      <c r="C291" s="204"/>
      <c r="D291" s="202"/>
      <c r="E291" s="205"/>
      <c r="F291" s="202"/>
      <c r="G291" s="99"/>
      <c r="H291" s="100"/>
      <c r="I291" s="106"/>
      <c r="J291" s="105"/>
      <c r="K291" s="16"/>
      <c r="L291" s="16"/>
      <c r="M291" s="101"/>
      <c r="N291" s="16"/>
      <c r="O291" s="16"/>
    </row>
    <row r="292" spans="1:15" ht="30" hidden="1" customHeight="1" x14ac:dyDescent="0.4">
      <c r="A292" s="107"/>
      <c r="B292" s="15"/>
      <c r="C292" s="204"/>
      <c r="D292" s="202"/>
      <c r="E292" s="205"/>
      <c r="F292" s="202"/>
      <c r="G292" s="99"/>
      <c r="H292" s="100"/>
      <c r="I292" s="106"/>
      <c r="J292" s="105"/>
      <c r="K292" s="16"/>
      <c r="L292" s="16"/>
      <c r="M292" s="101"/>
      <c r="N292" s="16"/>
      <c r="O292" s="16"/>
    </row>
    <row r="293" spans="1:15" ht="30" hidden="1" customHeight="1" x14ac:dyDescent="0.4">
      <c r="A293" s="107"/>
      <c r="B293" s="15"/>
      <c r="C293" s="204"/>
      <c r="D293" s="202"/>
      <c r="E293" s="205"/>
      <c r="F293" s="202"/>
      <c r="G293" s="99"/>
      <c r="H293" s="100"/>
      <c r="I293" s="106"/>
      <c r="J293" s="105"/>
      <c r="K293" s="16"/>
      <c r="L293" s="16"/>
      <c r="M293" s="101"/>
      <c r="N293" s="16"/>
      <c r="O293" s="16"/>
    </row>
    <row r="294" spans="1:15" ht="30" hidden="1" customHeight="1" x14ac:dyDescent="0.4">
      <c r="A294" s="107"/>
      <c r="B294" s="15"/>
      <c r="C294" s="204"/>
      <c r="D294" s="202"/>
      <c r="E294" s="205"/>
      <c r="F294" s="202"/>
      <c r="G294" s="99"/>
      <c r="H294" s="100"/>
      <c r="I294" s="106"/>
      <c r="J294" s="105"/>
      <c r="K294" s="16"/>
      <c r="L294" s="16"/>
      <c r="M294" s="101"/>
      <c r="N294" s="16"/>
      <c r="O294" s="16"/>
    </row>
    <row r="295" spans="1:15" ht="30" hidden="1" customHeight="1" x14ac:dyDescent="0.4">
      <c r="A295" s="107"/>
      <c r="B295" s="15"/>
      <c r="C295" s="204"/>
      <c r="D295" s="202"/>
      <c r="E295" s="205"/>
      <c r="F295" s="202"/>
      <c r="G295" s="99"/>
      <c r="H295" s="100"/>
      <c r="I295" s="106"/>
      <c r="J295" s="105"/>
      <c r="K295" s="16"/>
      <c r="L295" s="16"/>
      <c r="M295" s="101"/>
      <c r="N295" s="16"/>
      <c r="O295" s="16"/>
    </row>
    <row r="296" spans="1:15" ht="30" hidden="1" customHeight="1" x14ac:dyDescent="0.4">
      <c r="A296" s="107"/>
      <c r="B296" s="15"/>
      <c r="C296" s="204"/>
      <c r="D296" s="202"/>
      <c r="E296" s="205"/>
      <c r="F296" s="202"/>
      <c r="G296" s="99"/>
      <c r="H296" s="100"/>
      <c r="I296" s="106"/>
      <c r="J296" s="105"/>
      <c r="K296" s="16"/>
      <c r="L296" s="16"/>
      <c r="M296" s="101"/>
      <c r="N296" s="16"/>
      <c r="O296" s="16"/>
    </row>
    <row r="297" spans="1:15" ht="30" hidden="1" customHeight="1" x14ac:dyDescent="0.4">
      <c r="A297" s="107"/>
      <c r="B297" s="15"/>
      <c r="C297" s="204"/>
      <c r="D297" s="202"/>
      <c r="E297" s="205"/>
      <c r="F297" s="202"/>
      <c r="G297" s="99"/>
      <c r="H297" s="100"/>
      <c r="I297" s="106"/>
      <c r="J297" s="105"/>
      <c r="K297" s="16"/>
      <c r="L297" s="16"/>
      <c r="M297" s="101"/>
      <c r="N297" s="16"/>
      <c r="O297" s="16"/>
    </row>
    <row r="298" spans="1:15" ht="30" hidden="1" customHeight="1" x14ac:dyDescent="0.4">
      <c r="A298" s="107"/>
      <c r="B298" s="15"/>
      <c r="C298" s="204"/>
      <c r="D298" s="202"/>
      <c r="E298" s="205"/>
      <c r="F298" s="202"/>
      <c r="G298" s="99"/>
      <c r="H298" s="100"/>
      <c r="I298" s="106"/>
      <c r="J298" s="105"/>
      <c r="K298" s="16"/>
      <c r="L298" s="16"/>
      <c r="M298" s="101"/>
      <c r="N298" s="16"/>
      <c r="O298" s="16"/>
    </row>
    <row r="299" spans="1:15" ht="30" hidden="1" customHeight="1" x14ac:dyDescent="0.4">
      <c r="A299" s="107"/>
      <c r="B299" s="15"/>
      <c r="C299" s="204"/>
      <c r="D299" s="202"/>
      <c r="E299" s="205"/>
      <c r="F299" s="202"/>
      <c r="G299" s="99"/>
      <c r="H299" s="100"/>
      <c r="I299" s="106"/>
      <c r="J299" s="105"/>
      <c r="K299" s="16"/>
      <c r="L299" s="16"/>
      <c r="M299" s="101"/>
      <c r="N299" s="16"/>
      <c r="O299" s="16"/>
    </row>
    <row r="300" spans="1:15" ht="30" hidden="1" customHeight="1" x14ac:dyDescent="0.4">
      <c r="A300" s="107"/>
      <c r="B300" s="15"/>
      <c r="C300" s="204"/>
      <c r="D300" s="202"/>
      <c r="E300" s="205"/>
      <c r="F300" s="202"/>
      <c r="G300" s="99"/>
      <c r="H300" s="100"/>
      <c r="I300" s="106"/>
      <c r="J300" s="105"/>
      <c r="K300" s="16"/>
      <c r="L300" s="16"/>
      <c r="M300" s="101"/>
      <c r="N300" s="16"/>
      <c r="O300" s="16"/>
    </row>
    <row r="301" spans="1:15" ht="30" hidden="1" customHeight="1" x14ac:dyDescent="0.4">
      <c r="A301" s="107"/>
      <c r="B301" s="15"/>
      <c r="C301" s="204"/>
      <c r="D301" s="202"/>
      <c r="E301" s="205"/>
      <c r="F301" s="202"/>
      <c r="G301" s="99"/>
      <c r="H301" s="100"/>
      <c r="I301" s="106"/>
      <c r="J301" s="105"/>
      <c r="K301" s="16"/>
      <c r="L301" s="16"/>
      <c r="M301" s="101"/>
      <c r="N301" s="16"/>
      <c r="O301" s="16"/>
    </row>
    <row r="302" spans="1:15" ht="30" hidden="1" customHeight="1" x14ac:dyDescent="0.4">
      <c r="A302" s="107"/>
      <c r="B302" s="15"/>
      <c r="C302" s="204"/>
      <c r="D302" s="202"/>
      <c r="E302" s="205"/>
      <c r="F302" s="202"/>
      <c r="G302" s="99"/>
      <c r="H302" s="100"/>
      <c r="I302" s="106"/>
      <c r="J302" s="105"/>
      <c r="K302" s="16"/>
      <c r="L302" s="16"/>
      <c r="M302" s="101"/>
      <c r="N302" s="16"/>
      <c r="O302" s="16"/>
    </row>
    <row r="303" spans="1:15" ht="30" hidden="1" customHeight="1" x14ac:dyDescent="0.4">
      <c r="A303" s="107"/>
      <c r="B303" s="15"/>
      <c r="C303" s="204"/>
      <c r="D303" s="202"/>
      <c r="E303" s="205"/>
      <c r="F303" s="202"/>
      <c r="G303" s="99"/>
      <c r="H303" s="100"/>
      <c r="I303" s="106"/>
      <c r="J303" s="105"/>
      <c r="K303" s="16"/>
      <c r="L303" s="16"/>
      <c r="M303" s="101"/>
      <c r="N303" s="16"/>
      <c r="O303" s="16"/>
    </row>
    <row r="304" spans="1:15" ht="30" hidden="1" customHeight="1" x14ac:dyDescent="0.4">
      <c r="A304" s="107"/>
      <c r="B304" s="15"/>
      <c r="C304" s="204"/>
      <c r="D304" s="202"/>
      <c r="E304" s="205"/>
      <c r="F304" s="202"/>
      <c r="G304" s="99"/>
      <c r="H304" s="100"/>
      <c r="I304" s="106"/>
      <c r="J304" s="105"/>
      <c r="K304" s="16"/>
      <c r="L304" s="16"/>
      <c r="M304" s="101"/>
      <c r="N304" s="16"/>
      <c r="O304" s="16"/>
    </row>
    <row r="305" spans="1:15" ht="30" hidden="1" customHeight="1" x14ac:dyDescent="0.4">
      <c r="A305" s="107"/>
      <c r="B305" s="15"/>
      <c r="C305" s="204"/>
      <c r="D305" s="202"/>
      <c r="E305" s="205"/>
      <c r="F305" s="202"/>
      <c r="G305" s="99"/>
      <c r="H305" s="100"/>
      <c r="I305" s="106"/>
      <c r="J305" s="105"/>
      <c r="K305" s="16"/>
      <c r="L305" s="16"/>
      <c r="M305" s="101"/>
      <c r="N305" s="16"/>
      <c r="O305" s="16"/>
    </row>
    <row r="306" spans="1:15" ht="30" hidden="1" customHeight="1" x14ac:dyDescent="0.4">
      <c r="A306" s="107"/>
      <c r="B306" s="15"/>
      <c r="C306" s="204"/>
      <c r="D306" s="202"/>
      <c r="E306" s="205"/>
      <c r="F306" s="202"/>
      <c r="G306" s="99"/>
      <c r="H306" s="100"/>
      <c r="I306" s="106"/>
      <c r="J306" s="105"/>
      <c r="K306" s="16"/>
      <c r="L306" s="16"/>
      <c r="M306" s="101"/>
      <c r="N306" s="16"/>
      <c r="O306" s="16"/>
    </row>
    <row r="307" spans="1:15" ht="30" hidden="1" customHeight="1" x14ac:dyDescent="0.4">
      <c r="A307" s="107"/>
      <c r="B307" s="15"/>
      <c r="C307" s="204"/>
      <c r="D307" s="202"/>
      <c r="E307" s="205"/>
      <c r="F307" s="202"/>
      <c r="G307" s="99"/>
      <c r="H307" s="100"/>
      <c r="I307" s="106"/>
      <c r="J307" s="105"/>
      <c r="K307" s="16"/>
      <c r="L307" s="16"/>
      <c r="M307" s="101"/>
      <c r="N307" s="16"/>
      <c r="O307" s="16"/>
    </row>
    <row r="308" spans="1:15" ht="30" hidden="1" customHeight="1" x14ac:dyDescent="0.4">
      <c r="A308" s="107"/>
      <c r="B308" s="15"/>
      <c r="C308" s="204"/>
      <c r="D308" s="202"/>
      <c r="E308" s="205"/>
      <c r="F308" s="202"/>
      <c r="G308" s="99"/>
      <c r="H308" s="100"/>
      <c r="I308" s="106"/>
      <c r="J308" s="105"/>
      <c r="K308" s="16"/>
      <c r="L308" s="16"/>
      <c r="M308" s="101"/>
      <c r="N308" s="16"/>
      <c r="O308" s="16"/>
    </row>
    <row r="309" spans="1:15" ht="30" hidden="1" customHeight="1" x14ac:dyDescent="0.4">
      <c r="A309" s="107"/>
      <c r="B309" s="15"/>
      <c r="C309" s="204"/>
      <c r="D309" s="202"/>
      <c r="E309" s="205"/>
      <c r="F309" s="202"/>
      <c r="G309" s="99"/>
      <c r="H309" s="100"/>
      <c r="I309" s="106"/>
      <c r="J309" s="105"/>
      <c r="K309" s="16"/>
      <c r="L309" s="16"/>
      <c r="M309" s="101"/>
      <c r="N309" s="16"/>
      <c r="O309" s="16"/>
    </row>
    <row r="310" spans="1:15" ht="30" hidden="1" customHeight="1" x14ac:dyDescent="0.4">
      <c r="A310" s="107"/>
      <c r="B310" s="15"/>
      <c r="C310" s="204"/>
      <c r="D310" s="202"/>
      <c r="E310" s="205"/>
      <c r="F310" s="202"/>
      <c r="G310" s="99"/>
      <c r="H310" s="100"/>
      <c r="I310" s="106"/>
      <c r="J310" s="105"/>
      <c r="K310" s="16"/>
      <c r="L310" s="16"/>
      <c r="M310" s="101"/>
      <c r="N310" s="16"/>
      <c r="O310" s="16"/>
    </row>
    <row r="311" spans="1:15" ht="30" hidden="1" customHeight="1" x14ac:dyDescent="0.4">
      <c r="A311" s="107"/>
      <c r="B311" s="15"/>
      <c r="C311" s="204"/>
      <c r="D311" s="202"/>
      <c r="E311" s="205"/>
      <c r="F311" s="202"/>
      <c r="G311" s="99"/>
      <c r="H311" s="100"/>
      <c r="I311" s="106"/>
      <c r="J311" s="105"/>
      <c r="K311" s="16"/>
      <c r="L311" s="16"/>
      <c r="M311" s="101"/>
      <c r="N311" s="16"/>
      <c r="O311" s="16"/>
    </row>
    <row r="312" spans="1:15" ht="30" hidden="1" customHeight="1" x14ac:dyDescent="0.4">
      <c r="A312" s="107"/>
      <c r="B312" s="15"/>
      <c r="C312" s="204"/>
      <c r="D312" s="202"/>
      <c r="E312" s="205"/>
      <c r="F312" s="202"/>
      <c r="G312" s="99"/>
      <c r="H312" s="100"/>
      <c r="I312" s="106"/>
      <c r="J312" s="105"/>
      <c r="K312" s="16"/>
      <c r="L312" s="16"/>
      <c r="M312" s="101"/>
      <c r="N312" s="16"/>
      <c r="O312" s="16"/>
    </row>
    <row r="313" spans="1:15" ht="30" hidden="1" customHeight="1" x14ac:dyDescent="0.4">
      <c r="A313" s="107"/>
      <c r="B313" s="15"/>
      <c r="C313" s="204"/>
      <c r="D313" s="202"/>
      <c r="E313" s="205"/>
      <c r="F313" s="202"/>
      <c r="G313" s="99"/>
      <c r="H313" s="100"/>
      <c r="I313" s="106"/>
      <c r="J313" s="105"/>
      <c r="K313" s="16"/>
      <c r="L313" s="16"/>
      <c r="M313" s="101"/>
      <c r="N313" s="16"/>
      <c r="O313" s="16"/>
    </row>
    <row r="314" spans="1:15" ht="30" hidden="1" customHeight="1" x14ac:dyDescent="0.4">
      <c r="A314" s="107"/>
      <c r="B314" s="15"/>
      <c r="C314" s="204"/>
      <c r="D314" s="202"/>
      <c r="E314" s="205"/>
      <c r="F314" s="202"/>
      <c r="G314" s="99"/>
      <c r="H314" s="100"/>
      <c r="I314" s="106"/>
      <c r="J314" s="105"/>
      <c r="K314" s="16"/>
      <c r="L314" s="16"/>
      <c r="M314" s="101"/>
      <c r="N314" s="16"/>
      <c r="O314" s="16"/>
    </row>
    <row r="315" spans="1:15" ht="30" hidden="1" customHeight="1" x14ac:dyDescent="0.4">
      <c r="A315" s="107"/>
      <c r="B315" s="15"/>
      <c r="C315" s="204"/>
      <c r="D315" s="202"/>
      <c r="E315" s="205"/>
      <c r="F315" s="202"/>
      <c r="G315" s="99"/>
      <c r="H315" s="100"/>
      <c r="I315" s="106"/>
      <c r="J315" s="105"/>
      <c r="K315" s="16"/>
      <c r="L315" s="16"/>
      <c r="M315" s="101"/>
      <c r="N315" s="16"/>
      <c r="O315" s="16"/>
    </row>
    <row r="316" spans="1:15" ht="30" hidden="1" customHeight="1" x14ac:dyDescent="0.4">
      <c r="A316" s="107"/>
      <c r="B316" s="15"/>
      <c r="C316" s="204"/>
      <c r="D316" s="202"/>
      <c r="E316" s="205"/>
      <c r="F316" s="202"/>
      <c r="G316" s="99"/>
      <c r="H316" s="100"/>
      <c r="I316" s="106"/>
      <c r="J316" s="105"/>
      <c r="K316" s="16"/>
      <c r="L316" s="16"/>
      <c r="M316" s="101"/>
      <c r="N316" s="16"/>
      <c r="O316" s="16"/>
    </row>
    <row r="317" spans="1:15" ht="30" hidden="1" customHeight="1" x14ac:dyDescent="0.4">
      <c r="A317" s="107"/>
      <c r="B317" s="15"/>
      <c r="C317" s="204"/>
      <c r="D317" s="202"/>
      <c r="E317" s="205"/>
      <c r="F317" s="202"/>
      <c r="G317" s="99"/>
      <c r="H317" s="100"/>
      <c r="I317" s="106"/>
      <c r="J317" s="105"/>
      <c r="K317" s="16"/>
      <c r="L317" s="16"/>
      <c r="M317" s="101"/>
      <c r="N317" s="16"/>
      <c r="O317" s="16"/>
    </row>
    <row r="318" spans="1:15" ht="30" hidden="1" customHeight="1" x14ac:dyDescent="0.4">
      <c r="A318" s="107"/>
      <c r="B318" s="15"/>
      <c r="C318" s="204"/>
      <c r="D318" s="202"/>
      <c r="E318" s="205"/>
      <c r="F318" s="202"/>
      <c r="G318" s="99"/>
      <c r="H318" s="100"/>
      <c r="I318" s="106"/>
      <c r="J318" s="105"/>
      <c r="K318" s="16"/>
      <c r="L318" s="16"/>
      <c r="M318" s="101"/>
      <c r="N318" s="16"/>
      <c r="O318" s="16"/>
    </row>
    <row r="319" spans="1:15" ht="30" hidden="1" customHeight="1" x14ac:dyDescent="0.4">
      <c r="A319" s="107"/>
      <c r="B319" s="15"/>
      <c r="C319" s="204"/>
      <c r="D319" s="202"/>
      <c r="E319" s="205"/>
      <c r="F319" s="202"/>
      <c r="G319" s="99"/>
      <c r="H319" s="100"/>
      <c r="I319" s="106"/>
      <c r="J319" s="105"/>
      <c r="K319" s="16"/>
      <c r="L319" s="16"/>
      <c r="M319" s="101"/>
      <c r="N319" s="16"/>
      <c r="O319" s="16"/>
    </row>
    <row r="320" spans="1:15" ht="30" hidden="1" customHeight="1" x14ac:dyDescent="0.4">
      <c r="A320" s="107"/>
      <c r="B320" s="15"/>
      <c r="C320" s="204"/>
      <c r="D320" s="202"/>
      <c r="E320" s="205"/>
      <c r="F320" s="202"/>
      <c r="G320" s="99"/>
      <c r="H320" s="100"/>
      <c r="I320" s="106"/>
      <c r="J320" s="105"/>
      <c r="K320" s="16"/>
      <c r="L320" s="16"/>
      <c r="M320" s="101"/>
      <c r="N320" s="16"/>
      <c r="O320" s="16"/>
    </row>
    <row r="321" spans="1:15" ht="30" hidden="1" customHeight="1" x14ac:dyDescent="0.4">
      <c r="A321" s="107"/>
      <c r="B321" s="15"/>
      <c r="C321" s="204"/>
      <c r="D321" s="202"/>
      <c r="E321" s="205"/>
      <c r="F321" s="202"/>
      <c r="G321" s="99"/>
      <c r="H321" s="100"/>
      <c r="I321" s="106"/>
      <c r="J321" s="105"/>
      <c r="K321" s="16"/>
      <c r="L321" s="16"/>
      <c r="M321" s="101"/>
      <c r="N321" s="16"/>
      <c r="O321" s="16"/>
    </row>
    <row r="322" spans="1:15" ht="30" hidden="1" customHeight="1" x14ac:dyDescent="0.4">
      <c r="A322" s="107"/>
      <c r="B322" s="15"/>
      <c r="C322" s="204"/>
      <c r="D322" s="202"/>
      <c r="E322" s="205"/>
      <c r="F322" s="202"/>
      <c r="G322" s="99"/>
      <c r="H322" s="100"/>
      <c r="I322" s="106"/>
      <c r="J322" s="105"/>
      <c r="K322" s="16"/>
      <c r="L322" s="16"/>
      <c r="M322" s="101"/>
      <c r="N322" s="16"/>
      <c r="O322" s="16"/>
    </row>
    <row r="323" spans="1:15" ht="30" hidden="1" customHeight="1" x14ac:dyDescent="0.4">
      <c r="A323" s="107"/>
      <c r="B323" s="15"/>
      <c r="C323" s="204"/>
      <c r="D323" s="202"/>
      <c r="E323" s="205"/>
      <c r="F323" s="202"/>
      <c r="G323" s="99"/>
      <c r="H323" s="100"/>
      <c r="I323" s="106"/>
      <c r="J323" s="105"/>
      <c r="K323" s="16"/>
      <c r="L323" s="16"/>
      <c r="M323" s="101"/>
      <c r="N323" s="16"/>
      <c r="O323" s="16"/>
    </row>
    <row r="324" spans="1:15" ht="30" hidden="1" customHeight="1" x14ac:dyDescent="0.4">
      <c r="A324" s="107"/>
      <c r="B324" s="15"/>
      <c r="C324" s="204"/>
      <c r="D324" s="202"/>
      <c r="E324" s="205"/>
      <c r="F324" s="202"/>
      <c r="G324" s="99"/>
      <c r="H324" s="100"/>
      <c r="I324" s="106"/>
      <c r="J324" s="105"/>
      <c r="K324" s="16"/>
      <c r="L324" s="16"/>
      <c r="M324" s="101"/>
      <c r="N324" s="16"/>
      <c r="O324" s="16"/>
    </row>
    <row r="325" spans="1:15" ht="30" hidden="1" customHeight="1" x14ac:dyDescent="0.4">
      <c r="A325" s="107"/>
      <c r="B325" s="15"/>
      <c r="C325" s="204"/>
      <c r="D325" s="202"/>
      <c r="E325" s="205"/>
      <c r="F325" s="202"/>
      <c r="G325" s="99"/>
      <c r="H325" s="100"/>
      <c r="I325" s="106"/>
      <c r="J325" s="105"/>
      <c r="K325" s="16"/>
      <c r="L325" s="16"/>
      <c r="M325" s="101"/>
      <c r="N325" s="16"/>
      <c r="O325" s="16"/>
    </row>
    <row r="326" spans="1:15" ht="30" hidden="1" customHeight="1" x14ac:dyDescent="0.4">
      <c r="A326" s="107"/>
      <c r="B326" s="15"/>
      <c r="C326" s="204"/>
      <c r="D326" s="202"/>
      <c r="E326" s="205"/>
      <c r="F326" s="202"/>
      <c r="G326" s="99"/>
      <c r="H326" s="100"/>
      <c r="I326" s="106"/>
      <c r="J326" s="105"/>
      <c r="K326" s="16"/>
      <c r="L326" s="16"/>
      <c r="M326" s="101"/>
      <c r="N326" s="16"/>
      <c r="O326" s="16"/>
    </row>
    <row r="327" spans="1:15" ht="30" hidden="1" customHeight="1" x14ac:dyDescent="0.4">
      <c r="A327" s="107"/>
      <c r="B327" s="15"/>
      <c r="C327" s="204"/>
      <c r="D327" s="202"/>
      <c r="E327" s="205"/>
      <c r="F327" s="202"/>
      <c r="G327" s="99"/>
      <c r="H327" s="100"/>
      <c r="I327" s="106"/>
      <c r="J327" s="105"/>
      <c r="K327" s="16"/>
      <c r="L327" s="16"/>
      <c r="M327" s="101"/>
      <c r="N327" s="16"/>
      <c r="O327" s="16"/>
    </row>
    <row r="328" spans="1:15" ht="30" hidden="1" customHeight="1" x14ac:dyDescent="0.4">
      <c r="A328" s="107"/>
      <c r="B328" s="15"/>
      <c r="C328" s="204"/>
      <c r="D328" s="202"/>
      <c r="E328" s="205"/>
      <c r="F328" s="202"/>
      <c r="G328" s="99"/>
      <c r="H328" s="100"/>
      <c r="I328" s="106"/>
      <c r="J328" s="105"/>
      <c r="K328" s="16"/>
      <c r="L328" s="16"/>
      <c r="M328" s="101"/>
      <c r="N328" s="16"/>
      <c r="O328" s="16"/>
    </row>
    <row r="329" spans="1:15" ht="30" hidden="1" customHeight="1" x14ac:dyDescent="0.4">
      <c r="A329" s="107"/>
      <c r="B329" s="15"/>
      <c r="C329" s="204"/>
      <c r="D329" s="202"/>
      <c r="E329" s="205"/>
      <c r="F329" s="202"/>
      <c r="G329" s="99"/>
      <c r="H329" s="100"/>
      <c r="I329" s="106"/>
      <c r="J329" s="105"/>
      <c r="K329" s="16"/>
      <c r="L329" s="16"/>
      <c r="M329" s="101"/>
      <c r="N329" s="16"/>
      <c r="O329" s="16"/>
    </row>
    <row r="330" spans="1:15" ht="30" hidden="1" customHeight="1" x14ac:dyDescent="0.4">
      <c r="A330" s="107"/>
      <c r="B330" s="15"/>
      <c r="C330" s="204"/>
      <c r="D330" s="202"/>
      <c r="E330" s="205"/>
      <c r="F330" s="202"/>
      <c r="G330" s="99"/>
      <c r="H330" s="100"/>
      <c r="I330" s="106"/>
      <c r="J330" s="105"/>
      <c r="K330" s="16"/>
      <c r="L330" s="16"/>
      <c r="M330" s="101"/>
      <c r="N330" s="16"/>
      <c r="O330" s="16"/>
    </row>
    <row r="331" spans="1:15" ht="30" hidden="1" customHeight="1" x14ac:dyDescent="0.4">
      <c r="A331" s="107"/>
      <c r="B331" s="15"/>
      <c r="C331" s="204"/>
      <c r="D331" s="202"/>
      <c r="E331" s="205"/>
      <c r="F331" s="202"/>
      <c r="G331" s="99"/>
      <c r="H331" s="100"/>
      <c r="I331" s="106"/>
      <c r="J331" s="105"/>
      <c r="K331" s="16"/>
      <c r="L331" s="16"/>
      <c r="M331" s="101"/>
      <c r="N331" s="16"/>
      <c r="O331" s="16"/>
    </row>
    <row r="332" spans="1:15" ht="30" hidden="1" customHeight="1" x14ac:dyDescent="0.4">
      <c r="A332" s="107"/>
      <c r="B332" s="15"/>
      <c r="C332" s="204"/>
      <c r="D332" s="202"/>
      <c r="E332" s="205"/>
      <c r="F332" s="202"/>
      <c r="G332" s="99"/>
      <c r="H332" s="100"/>
      <c r="I332" s="106"/>
      <c r="J332" s="105"/>
      <c r="K332" s="16"/>
      <c r="L332" s="16"/>
      <c r="M332" s="101"/>
      <c r="N332" s="16"/>
      <c r="O332" s="16"/>
    </row>
    <row r="333" spans="1:15" ht="30" hidden="1" customHeight="1" x14ac:dyDescent="0.4">
      <c r="A333" s="107"/>
      <c r="B333" s="15"/>
      <c r="C333" s="204"/>
      <c r="D333" s="202"/>
      <c r="E333" s="205"/>
      <c r="F333" s="202"/>
      <c r="G333" s="99"/>
      <c r="H333" s="100"/>
      <c r="I333" s="106"/>
      <c r="J333" s="105"/>
      <c r="K333" s="16"/>
      <c r="L333" s="16"/>
      <c r="M333" s="101"/>
      <c r="N333" s="16"/>
      <c r="O333" s="16"/>
    </row>
    <row r="334" spans="1:15" ht="30" hidden="1" customHeight="1" x14ac:dyDescent="0.4">
      <c r="A334" s="107"/>
      <c r="B334" s="15"/>
      <c r="C334" s="204"/>
      <c r="D334" s="202"/>
      <c r="E334" s="205"/>
      <c r="F334" s="202"/>
      <c r="G334" s="99"/>
      <c r="H334" s="100"/>
      <c r="I334" s="106"/>
      <c r="J334" s="105"/>
      <c r="K334" s="16"/>
      <c r="L334" s="16"/>
      <c r="M334" s="101"/>
      <c r="N334" s="16"/>
      <c r="O334" s="16"/>
    </row>
    <row r="335" spans="1:15" ht="30" hidden="1" customHeight="1" x14ac:dyDescent="0.4">
      <c r="A335" s="107"/>
      <c r="B335" s="15"/>
      <c r="C335" s="204"/>
      <c r="D335" s="202"/>
      <c r="E335" s="205"/>
      <c r="F335" s="202"/>
      <c r="G335" s="99"/>
      <c r="H335" s="100"/>
      <c r="I335" s="106"/>
      <c r="J335" s="105"/>
      <c r="K335" s="16"/>
      <c r="L335" s="16"/>
      <c r="M335" s="101"/>
      <c r="N335" s="16"/>
      <c r="O335" s="16"/>
    </row>
    <row r="336" spans="1:15" ht="30" hidden="1" customHeight="1" x14ac:dyDescent="0.4">
      <c r="A336" s="107"/>
      <c r="B336" s="15"/>
      <c r="C336" s="204"/>
      <c r="D336" s="202"/>
      <c r="E336" s="205"/>
      <c r="F336" s="202"/>
      <c r="G336" s="99"/>
      <c r="H336" s="100"/>
      <c r="I336" s="106"/>
      <c r="J336" s="105"/>
      <c r="K336" s="16"/>
      <c r="L336" s="16"/>
      <c r="M336" s="101"/>
      <c r="N336" s="16"/>
      <c r="O336" s="16"/>
    </row>
    <row r="337" spans="1:15" ht="30" hidden="1" customHeight="1" x14ac:dyDescent="0.4">
      <c r="A337" s="107"/>
      <c r="B337" s="15"/>
      <c r="C337" s="204"/>
      <c r="D337" s="202"/>
      <c r="E337" s="205"/>
      <c r="F337" s="202"/>
      <c r="G337" s="99"/>
      <c r="H337" s="100"/>
      <c r="I337" s="106"/>
      <c r="J337" s="105"/>
      <c r="K337" s="16"/>
      <c r="L337" s="16"/>
      <c r="M337" s="101"/>
      <c r="N337" s="16"/>
      <c r="O337" s="16"/>
    </row>
    <row r="338" spans="1:15" ht="30" hidden="1" customHeight="1" x14ac:dyDescent="0.4">
      <c r="A338" s="107"/>
      <c r="B338" s="15"/>
      <c r="C338" s="204"/>
      <c r="D338" s="202"/>
      <c r="E338" s="205"/>
      <c r="F338" s="202"/>
      <c r="G338" s="99"/>
      <c r="H338" s="100"/>
      <c r="I338" s="106"/>
      <c r="J338" s="105"/>
      <c r="K338" s="16"/>
      <c r="L338" s="16"/>
      <c r="M338" s="101"/>
      <c r="N338" s="16"/>
      <c r="O338" s="16"/>
    </row>
    <row r="339" spans="1:15" ht="30" hidden="1" customHeight="1" x14ac:dyDescent="0.4">
      <c r="A339" s="107"/>
      <c r="B339" s="15"/>
      <c r="C339" s="204"/>
      <c r="D339" s="202"/>
      <c r="E339" s="205"/>
      <c r="F339" s="202"/>
      <c r="G339" s="99"/>
      <c r="H339" s="100"/>
      <c r="I339" s="106"/>
      <c r="J339" s="105"/>
      <c r="K339" s="16"/>
      <c r="L339" s="16"/>
      <c r="M339" s="101"/>
      <c r="N339" s="16"/>
      <c r="O339" s="16"/>
    </row>
    <row r="340" spans="1:15" ht="30" hidden="1" customHeight="1" x14ac:dyDescent="0.4">
      <c r="A340" s="107"/>
      <c r="B340" s="15"/>
      <c r="C340" s="204"/>
      <c r="D340" s="202"/>
      <c r="E340" s="205"/>
      <c r="F340" s="202"/>
      <c r="G340" s="99"/>
      <c r="H340" s="100"/>
      <c r="I340" s="106"/>
      <c r="J340" s="105"/>
      <c r="K340" s="16"/>
      <c r="L340" s="16"/>
      <c r="M340" s="101"/>
      <c r="N340" s="16"/>
      <c r="O340" s="16"/>
    </row>
    <row r="341" spans="1:15" ht="30" hidden="1" customHeight="1" x14ac:dyDescent="0.4">
      <c r="A341" s="107"/>
      <c r="B341" s="15"/>
      <c r="C341" s="204"/>
      <c r="D341" s="202"/>
      <c r="E341" s="205"/>
      <c r="F341" s="202"/>
      <c r="G341" s="99"/>
      <c r="H341" s="100"/>
      <c r="I341" s="106"/>
      <c r="J341" s="105"/>
      <c r="K341" s="16"/>
      <c r="L341" s="16"/>
      <c r="M341" s="101"/>
      <c r="N341" s="16"/>
      <c r="O341" s="16"/>
    </row>
    <row r="342" spans="1:15" ht="30" hidden="1" customHeight="1" x14ac:dyDescent="0.4">
      <c r="A342" s="107"/>
      <c r="B342" s="15"/>
      <c r="C342" s="204"/>
      <c r="D342" s="202"/>
      <c r="E342" s="205"/>
      <c r="F342" s="202"/>
      <c r="G342" s="99"/>
      <c r="H342" s="100"/>
      <c r="I342" s="106"/>
      <c r="J342" s="105"/>
      <c r="K342" s="16"/>
      <c r="L342" s="16"/>
      <c r="M342" s="101"/>
      <c r="N342" s="16"/>
      <c r="O342" s="16"/>
    </row>
    <row r="343" spans="1:15" ht="30" hidden="1" customHeight="1" x14ac:dyDescent="0.4">
      <c r="A343" s="107"/>
      <c r="B343" s="15"/>
      <c r="C343" s="204"/>
      <c r="D343" s="202"/>
      <c r="E343" s="205"/>
      <c r="F343" s="202"/>
      <c r="G343" s="99"/>
      <c r="H343" s="100"/>
      <c r="I343" s="106"/>
      <c r="J343" s="105"/>
      <c r="K343" s="16"/>
      <c r="L343" s="16"/>
      <c r="M343" s="101"/>
      <c r="N343" s="16"/>
      <c r="O343" s="16"/>
    </row>
    <row r="344" spans="1:15" ht="30" hidden="1" customHeight="1" x14ac:dyDescent="0.4">
      <c r="A344" s="107"/>
      <c r="B344" s="15"/>
      <c r="C344" s="204"/>
      <c r="D344" s="202"/>
      <c r="E344" s="205"/>
      <c r="F344" s="202"/>
      <c r="G344" s="99"/>
      <c r="H344" s="100"/>
      <c r="I344" s="106"/>
      <c r="J344" s="105"/>
      <c r="K344" s="16"/>
      <c r="L344" s="16"/>
      <c r="M344" s="101"/>
      <c r="N344" s="16"/>
      <c r="O344" s="16"/>
    </row>
    <row r="345" spans="1:15" ht="30" hidden="1" customHeight="1" x14ac:dyDescent="0.4">
      <c r="A345" s="107"/>
      <c r="B345" s="15"/>
      <c r="C345" s="204"/>
      <c r="D345" s="202"/>
      <c r="E345" s="205"/>
      <c r="F345" s="202"/>
      <c r="G345" s="99"/>
      <c r="H345" s="100"/>
      <c r="I345" s="106"/>
      <c r="J345" s="105"/>
      <c r="K345" s="16"/>
      <c r="L345" s="16"/>
      <c r="M345" s="101"/>
      <c r="N345" s="16"/>
      <c r="O345" s="16"/>
    </row>
    <row r="346" spans="1:15" ht="30" hidden="1" customHeight="1" x14ac:dyDescent="0.4">
      <c r="A346" s="107"/>
      <c r="B346" s="15"/>
      <c r="C346" s="204"/>
      <c r="D346" s="202"/>
      <c r="E346" s="205"/>
      <c r="F346" s="202"/>
      <c r="G346" s="99"/>
      <c r="H346" s="100"/>
      <c r="I346" s="106"/>
      <c r="J346" s="105"/>
      <c r="K346" s="16"/>
      <c r="L346" s="16"/>
      <c r="M346" s="101"/>
      <c r="N346" s="16"/>
      <c r="O346" s="16"/>
    </row>
    <row r="347" spans="1:15" ht="30" hidden="1" customHeight="1" x14ac:dyDescent="0.4">
      <c r="A347" s="107"/>
      <c r="B347" s="15"/>
      <c r="C347" s="204"/>
      <c r="D347" s="202"/>
      <c r="E347" s="205"/>
      <c r="F347" s="202"/>
      <c r="G347" s="99"/>
      <c r="H347" s="100"/>
      <c r="I347" s="106"/>
      <c r="J347" s="105"/>
      <c r="K347" s="16"/>
      <c r="L347" s="16"/>
      <c r="M347" s="101"/>
      <c r="N347" s="16"/>
      <c r="O347" s="16"/>
    </row>
    <row r="348" spans="1:15" ht="30" hidden="1" customHeight="1" x14ac:dyDescent="0.4">
      <c r="A348" s="107"/>
      <c r="B348" s="15"/>
      <c r="C348" s="204"/>
      <c r="D348" s="202"/>
      <c r="E348" s="205"/>
      <c r="F348" s="202"/>
      <c r="G348" s="99"/>
      <c r="H348" s="100"/>
      <c r="I348" s="106"/>
      <c r="J348" s="105"/>
      <c r="K348" s="16"/>
      <c r="L348" s="16"/>
      <c r="M348" s="101"/>
      <c r="N348" s="16"/>
      <c r="O348" s="16"/>
    </row>
    <row r="349" spans="1:15" ht="30" hidden="1" customHeight="1" x14ac:dyDescent="0.4">
      <c r="A349" s="107"/>
      <c r="B349" s="15"/>
      <c r="C349" s="204"/>
      <c r="D349" s="202"/>
      <c r="E349" s="205"/>
      <c r="F349" s="202"/>
      <c r="G349" s="99"/>
      <c r="H349" s="100"/>
      <c r="I349" s="106"/>
      <c r="J349" s="105"/>
      <c r="K349" s="16"/>
      <c r="L349" s="16"/>
      <c r="M349" s="101"/>
      <c r="N349" s="16"/>
      <c r="O349" s="16"/>
    </row>
    <row r="350" spans="1:15" ht="30" hidden="1" customHeight="1" x14ac:dyDescent="0.4">
      <c r="A350" s="107"/>
      <c r="B350" s="15"/>
      <c r="C350" s="204"/>
      <c r="D350" s="202"/>
      <c r="E350" s="205"/>
      <c r="F350" s="202"/>
      <c r="G350" s="99"/>
      <c r="H350" s="100"/>
      <c r="I350" s="106"/>
      <c r="J350" s="105"/>
      <c r="K350" s="16"/>
      <c r="L350" s="16"/>
      <c r="M350" s="101"/>
      <c r="N350" s="16"/>
      <c r="O350" s="16"/>
    </row>
    <row r="351" spans="1:15" ht="30" hidden="1" customHeight="1" x14ac:dyDescent="0.4">
      <c r="A351" s="107"/>
      <c r="B351" s="15"/>
      <c r="C351" s="204"/>
      <c r="D351" s="202"/>
      <c r="E351" s="205"/>
      <c r="F351" s="202"/>
      <c r="G351" s="99"/>
      <c r="H351" s="100"/>
      <c r="I351" s="106"/>
      <c r="J351" s="105"/>
      <c r="K351" s="16"/>
      <c r="L351" s="16"/>
      <c r="M351" s="101"/>
      <c r="N351" s="16"/>
      <c r="O351" s="16"/>
    </row>
    <row r="352" spans="1:15" ht="30" hidden="1" customHeight="1" x14ac:dyDescent="0.4">
      <c r="A352" s="107"/>
      <c r="B352" s="15"/>
      <c r="C352" s="204"/>
      <c r="D352" s="202"/>
      <c r="E352" s="205"/>
      <c r="F352" s="202"/>
      <c r="G352" s="99"/>
      <c r="H352" s="100"/>
      <c r="I352" s="106"/>
      <c r="J352" s="105"/>
      <c r="K352" s="16"/>
      <c r="L352" s="16"/>
      <c r="M352" s="101"/>
      <c r="N352" s="16"/>
      <c r="O352" s="16"/>
    </row>
    <row r="353" spans="1:15" ht="30" hidden="1" customHeight="1" x14ac:dyDescent="0.4">
      <c r="A353" s="107"/>
      <c r="B353" s="15"/>
      <c r="C353" s="204"/>
      <c r="D353" s="202"/>
      <c r="E353" s="205"/>
      <c r="F353" s="202"/>
      <c r="G353" s="99"/>
      <c r="H353" s="100"/>
      <c r="I353" s="106"/>
      <c r="J353" s="105"/>
      <c r="K353" s="16"/>
      <c r="L353" s="16"/>
      <c r="M353" s="101"/>
      <c r="N353" s="16"/>
      <c r="O353" s="16"/>
    </row>
    <row r="354" spans="1:15" ht="30" hidden="1" customHeight="1" x14ac:dyDescent="0.4">
      <c r="A354" s="107"/>
      <c r="B354" s="15"/>
      <c r="C354" s="204"/>
      <c r="D354" s="202"/>
      <c r="E354" s="205"/>
      <c r="F354" s="202"/>
      <c r="G354" s="99"/>
      <c r="H354" s="100"/>
      <c r="I354" s="106"/>
      <c r="J354" s="105"/>
      <c r="K354" s="16"/>
      <c r="L354" s="16"/>
      <c r="M354" s="101"/>
      <c r="N354" s="16"/>
      <c r="O354" s="16"/>
    </row>
    <row r="355" spans="1:15" ht="30" hidden="1" customHeight="1" x14ac:dyDescent="0.4">
      <c r="A355" s="107"/>
      <c r="B355" s="15"/>
      <c r="C355" s="204"/>
      <c r="D355" s="202"/>
      <c r="E355" s="205"/>
      <c r="F355" s="202"/>
      <c r="G355" s="99"/>
      <c r="H355" s="100"/>
      <c r="I355" s="106"/>
      <c r="J355" s="105"/>
      <c r="K355" s="16"/>
      <c r="L355" s="16"/>
      <c r="M355" s="101"/>
      <c r="N355" s="16"/>
      <c r="O355" s="16"/>
    </row>
    <row r="356" spans="1:15" ht="30" hidden="1" customHeight="1" x14ac:dyDescent="0.4">
      <c r="A356" s="107"/>
      <c r="B356" s="15"/>
      <c r="C356" s="204"/>
      <c r="D356" s="202"/>
      <c r="E356" s="205"/>
      <c r="F356" s="202"/>
      <c r="G356" s="99"/>
      <c r="H356" s="100"/>
      <c r="I356" s="106"/>
      <c r="J356" s="105"/>
      <c r="K356" s="16"/>
      <c r="L356" s="16"/>
      <c r="M356" s="101"/>
      <c r="N356" s="16"/>
      <c r="O356" s="16"/>
    </row>
    <row r="357" spans="1:15" ht="30" hidden="1" customHeight="1" x14ac:dyDescent="0.4">
      <c r="A357" s="107"/>
      <c r="B357" s="15"/>
      <c r="C357" s="204"/>
      <c r="D357" s="202"/>
      <c r="E357" s="205"/>
      <c r="F357" s="202"/>
      <c r="G357" s="99"/>
      <c r="H357" s="100"/>
      <c r="I357" s="106"/>
      <c r="J357" s="105"/>
      <c r="K357" s="16"/>
      <c r="L357" s="16"/>
      <c r="M357" s="101"/>
      <c r="N357" s="16"/>
      <c r="O357" s="16"/>
    </row>
    <row r="358" spans="1:15" ht="30" hidden="1" customHeight="1" x14ac:dyDescent="0.4">
      <c r="A358" s="107"/>
      <c r="B358" s="15"/>
      <c r="C358" s="204"/>
      <c r="D358" s="202"/>
      <c r="E358" s="205"/>
      <c r="F358" s="202"/>
      <c r="G358" s="99"/>
      <c r="H358" s="100"/>
      <c r="I358" s="106"/>
      <c r="J358" s="105"/>
      <c r="K358" s="16"/>
      <c r="L358" s="16"/>
      <c r="M358" s="101"/>
      <c r="N358" s="16"/>
      <c r="O358" s="16"/>
    </row>
    <row r="359" spans="1:15" ht="30" hidden="1" customHeight="1" x14ac:dyDescent="0.4">
      <c r="A359" s="107"/>
      <c r="B359" s="15"/>
      <c r="C359" s="204"/>
      <c r="D359" s="202"/>
      <c r="E359" s="205"/>
      <c r="F359" s="202"/>
      <c r="G359" s="99"/>
      <c r="H359" s="100"/>
      <c r="I359" s="106"/>
      <c r="J359" s="105"/>
      <c r="K359" s="16"/>
      <c r="L359" s="16"/>
      <c r="M359" s="101"/>
      <c r="N359" s="16"/>
      <c r="O359" s="16"/>
    </row>
    <row r="360" spans="1:15" ht="30" hidden="1" customHeight="1" x14ac:dyDescent="0.4">
      <c r="A360" s="107"/>
      <c r="B360" s="15"/>
      <c r="C360" s="204"/>
      <c r="D360" s="202"/>
      <c r="E360" s="205"/>
      <c r="F360" s="202"/>
      <c r="G360" s="99"/>
      <c r="H360" s="100"/>
      <c r="I360" s="106"/>
      <c r="J360" s="105"/>
      <c r="K360" s="16"/>
      <c r="L360" s="16"/>
      <c r="M360" s="101"/>
      <c r="N360" s="16"/>
      <c r="O360" s="16"/>
    </row>
    <row r="361" spans="1:15" ht="30" hidden="1" customHeight="1" x14ac:dyDescent="0.4">
      <c r="A361" s="107"/>
      <c r="B361" s="15"/>
      <c r="C361" s="204"/>
      <c r="D361" s="202"/>
      <c r="E361" s="205"/>
      <c r="F361" s="202"/>
      <c r="G361" s="99"/>
      <c r="H361" s="100"/>
      <c r="I361" s="106"/>
      <c r="J361" s="105"/>
      <c r="K361" s="16"/>
      <c r="L361" s="16"/>
      <c r="M361" s="101"/>
      <c r="N361" s="16"/>
      <c r="O361" s="16"/>
    </row>
    <row r="362" spans="1:15" ht="30" hidden="1" customHeight="1" x14ac:dyDescent="0.4">
      <c r="A362" s="107"/>
      <c r="B362" s="15"/>
      <c r="C362" s="204"/>
      <c r="D362" s="202"/>
      <c r="E362" s="205"/>
      <c r="F362" s="202"/>
      <c r="G362" s="99"/>
      <c r="H362" s="100"/>
      <c r="I362" s="106"/>
      <c r="J362" s="105"/>
      <c r="K362" s="16"/>
      <c r="L362" s="16"/>
      <c r="M362" s="101"/>
      <c r="N362" s="16"/>
      <c r="O362" s="16"/>
    </row>
    <row r="363" spans="1:15" ht="30" hidden="1" customHeight="1" x14ac:dyDescent="0.4">
      <c r="A363" s="107"/>
      <c r="B363" s="15"/>
      <c r="C363" s="204"/>
      <c r="D363" s="202"/>
      <c r="E363" s="205"/>
      <c r="F363" s="202"/>
      <c r="G363" s="99"/>
      <c r="H363" s="100"/>
      <c r="I363" s="106"/>
      <c r="J363" s="105"/>
      <c r="K363" s="16"/>
      <c r="L363" s="16"/>
      <c r="M363" s="101"/>
      <c r="N363" s="16"/>
      <c r="O363" s="16"/>
    </row>
    <row r="364" spans="1:15" ht="30" hidden="1" customHeight="1" x14ac:dyDescent="0.4">
      <c r="A364" s="107"/>
      <c r="B364" s="15"/>
      <c r="C364" s="204"/>
      <c r="D364" s="202"/>
      <c r="E364" s="205"/>
      <c r="F364" s="202"/>
      <c r="G364" s="99"/>
      <c r="H364" s="100"/>
      <c r="I364" s="106"/>
      <c r="J364" s="105"/>
      <c r="K364" s="16"/>
      <c r="L364" s="16"/>
      <c r="M364" s="101"/>
      <c r="N364" s="16"/>
      <c r="O364" s="16"/>
    </row>
    <row r="365" spans="1:15" ht="30" hidden="1" customHeight="1" x14ac:dyDescent="0.4">
      <c r="A365" s="107"/>
      <c r="B365" s="15"/>
      <c r="C365" s="204"/>
      <c r="D365" s="202"/>
      <c r="E365" s="205"/>
      <c r="F365" s="202"/>
      <c r="G365" s="99"/>
      <c r="H365" s="100"/>
      <c r="I365" s="106"/>
      <c r="J365" s="105"/>
      <c r="K365" s="16"/>
      <c r="L365" s="16"/>
      <c r="M365" s="101"/>
      <c r="N365" s="16"/>
      <c r="O365" s="16"/>
    </row>
    <row r="366" spans="1:15" ht="30" hidden="1" customHeight="1" x14ac:dyDescent="0.4">
      <c r="A366" s="107"/>
      <c r="B366" s="15"/>
      <c r="C366" s="204"/>
      <c r="D366" s="202"/>
      <c r="E366" s="205"/>
      <c r="F366" s="202"/>
      <c r="G366" s="99"/>
      <c r="H366" s="100"/>
      <c r="I366" s="106"/>
      <c r="J366" s="105"/>
      <c r="K366" s="16"/>
      <c r="L366" s="16"/>
      <c r="M366" s="101"/>
      <c r="N366" s="16"/>
      <c r="O366" s="16"/>
    </row>
    <row r="367" spans="1:15" ht="30" hidden="1" customHeight="1" x14ac:dyDescent="0.4">
      <c r="A367" s="107"/>
      <c r="B367" s="15"/>
      <c r="C367" s="204"/>
      <c r="D367" s="202"/>
      <c r="E367" s="205"/>
      <c r="F367" s="202"/>
      <c r="G367" s="99"/>
      <c r="H367" s="100"/>
      <c r="I367" s="106"/>
      <c r="J367" s="105"/>
      <c r="K367" s="16"/>
      <c r="L367" s="16"/>
      <c r="M367" s="101"/>
      <c r="N367" s="16"/>
      <c r="O367" s="16"/>
    </row>
    <row r="368" spans="1:15" ht="30" hidden="1" customHeight="1" x14ac:dyDescent="0.4">
      <c r="A368" s="107"/>
      <c r="B368" s="15"/>
      <c r="C368" s="204"/>
      <c r="D368" s="202"/>
      <c r="E368" s="205"/>
      <c r="F368" s="202"/>
      <c r="G368" s="99"/>
      <c r="H368" s="100"/>
      <c r="I368" s="106"/>
      <c r="J368" s="105"/>
      <c r="K368" s="16"/>
      <c r="L368" s="16"/>
      <c r="M368" s="101"/>
      <c r="N368" s="16"/>
      <c r="O368" s="16"/>
    </row>
    <row r="369" spans="1:15" ht="30" hidden="1" customHeight="1" x14ac:dyDescent="0.4">
      <c r="A369" s="107"/>
      <c r="B369" s="15"/>
      <c r="C369" s="204"/>
      <c r="D369" s="202"/>
      <c r="E369" s="205"/>
      <c r="F369" s="202"/>
      <c r="G369" s="99"/>
      <c r="H369" s="100"/>
      <c r="I369" s="106"/>
      <c r="J369" s="105"/>
      <c r="K369" s="16"/>
      <c r="L369" s="16"/>
      <c r="M369" s="101"/>
      <c r="N369" s="16"/>
      <c r="O369" s="16"/>
    </row>
    <row r="370" spans="1:15" ht="30" hidden="1" customHeight="1" x14ac:dyDescent="0.4">
      <c r="A370" s="107"/>
      <c r="B370" s="15"/>
      <c r="C370" s="204"/>
      <c r="D370" s="202"/>
      <c r="E370" s="205"/>
      <c r="F370" s="202"/>
      <c r="G370" s="99"/>
      <c r="H370" s="100"/>
      <c r="I370" s="106"/>
      <c r="J370" s="105"/>
      <c r="K370" s="16"/>
      <c r="L370" s="16"/>
      <c r="M370" s="101"/>
      <c r="N370" s="16"/>
      <c r="O370" s="16"/>
    </row>
    <row r="371" spans="1:15" ht="30" hidden="1" customHeight="1" x14ac:dyDescent="0.4">
      <c r="A371" s="107"/>
      <c r="B371" s="15"/>
      <c r="C371" s="204"/>
      <c r="D371" s="202"/>
      <c r="E371" s="205"/>
      <c r="F371" s="202"/>
      <c r="G371" s="99"/>
      <c r="H371" s="100"/>
      <c r="I371" s="106"/>
      <c r="J371" s="105"/>
      <c r="K371" s="16"/>
      <c r="L371" s="16"/>
      <c r="M371" s="101"/>
      <c r="N371" s="16"/>
      <c r="O371" s="16"/>
    </row>
    <row r="372" spans="1:15" ht="30" hidden="1" customHeight="1" x14ac:dyDescent="0.4">
      <c r="A372" s="107"/>
      <c r="B372" s="15"/>
      <c r="C372" s="204"/>
      <c r="D372" s="202"/>
      <c r="E372" s="205"/>
      <c r="F372" s="202"/>
      <c r="G372" s="99"/>
      <c r="H372" s="100"/>
      <c r="I372" s="106"/>
      <c r="J372" s="105"/>
      <c r="K372" s="16"/>
      <c r="L372" s="16"/>
      <c r="M372" s="101"/>
      <c r="N372" s="16"/>
      <c r="O372" s="16"/>
    </row>
    <row r="373" spans="1:15" ht="30" hidden="1" customHeight="1" x14ac:dyDescent="0.4">
      <c r="A373" s="107"/>
      <c r="B373" s="15"/>
      <c r="C373" s="204"/>
      <c r="D373" s="202"/>
      <c r="E373" s="205"/>
      <c r="F373" s="202"/>
      <c r="G373" s="99"/>
      <c r="H373" s="100"/>
      <c r="I373" s="106"/>
      <c r="J373" s="105"/>
      <c r="K373" s="16"/>
      <c r="L373" s="16"/>
      <c r="M373" s="101"/>
      <c r="N373" s="16"/>
      <c r="O373" s="16"/>
    </row>
    <row r="374" spans="1:15" ht="30" hidden="1" customHeight="1" x14ac:dyDescent="0.4">
      <c r="A374" s="107"/>
      <c r="B374" s="15"/>
      <c r="C374" s="204"/>
      <c r="D374" s="202"/>
      <c r="E374" s="205"/>
      <c r="F374" s="202"/>
      <c r="G374" s="99"/>
      <c r="H374" s="100"/>
      <c r="I374" s="106"/>
      <c r="J374" s="105"/>
      <c r="K374" s="16"/>
      <c r="L374" s="16"/>
      <c r="M374" s="101"/>
      <c r="N374" s="16"/>
      <c r="O374" s="16"/>
    </row>
    <row r="375" spans="1:15" ht="30" hidden="1" customHeight="1" x14ac:dyDescent="0.4">
      <c r="A375" s="107"/>
      <c r="B375" s="15"/>
      <c r="C375" s="204"/>
      <c r="D375" s="202"/>
      <c r="E375" s="205"/>
      <c r="F375" s="202"/>
      <c r="G375" s="99"/>
      <c r="H375" s="100"/>
      <c r="I375" s="106"/>
      <c r="J375" s="105"/>
      <c r="K375" s="16"/>
      <c r="L375" s="16"/>
      <c r="M375" s="101"/>
      <c r="N375" s="16"/>
      <c r="O375" s="16"/>
    </row>
    <row r="376" spans="1:15" ht="30" hidden="1" customHeight="1" x14ac:dyDescent="0.4">
      <c r="A376" s="107"/>
      <c r="B376" s="15"/>
      <c r="C376" s="204"/>
      <c r="D376" s="202"/>
      <c r="E376" s="205"/>
      <c r="F376" s="202"/>
      <c r="G376" s="99"/>
      <c r="H376" s="100"/>
      <c r="I376" s="106"/>
      <c r="J376" s="105"/>
      <c r="K376" s="16"/>
      <c r="L376" s="16"/>
      <c r="M376" s="101"/>
      <c r="N376" s="16"/>
      <c r="O376" s="16"/>
    </row>
    <row r="377" spans="1:15" ht="30" hidden="1" customHeight="1" x14ac:dyDescent="0.4">
      <c r="A377" s="107"/>
      <c r="B377" s="15"/>
      <c r="C377" s="204"/>
      <c r="D377" s="202"/>
      <c r="E377" s="205"/>
      <c r="F377" s="202"/>
      <c r="G377" s="99"/>
      <c r="H377" s="100"/>
      <c r="I377" s="106"/>
      <c r="J377" s="105"/>
      <c r="K377" s="16"/>
      <c r="L377" s="16"/>
      <c r="M377" s="101"/>
      <c r="N377" s="16"/>
      <c r="O377" s="16"/>
    </row>
    <row r="378" spans="1:15" ht="30" hidden="1" customHeight="1" x14ac:dyDescent="0.4">
      <c r="A378" s="107"/>
      <c r="B378" s="15"/>
      <c r="C378" s="204"/>
      <c r="D378" s="202"/>
      <c r="E378" s="205"/>
      <c r="F378" s="202"/>
      <c r="G378" s="99"/>
      <c r="H378" s="100"/>
      <c r="I378" s="106"/>
      <c r="J378" s="105"/>
      <c r="K378" s="16"/>
      <c r="L378" s="16"/>
      <c r="M378" s="101"/>
      <c r="N378" s="16"/>
      <c r="O378" s="16"/>
    </row>
    <row r="379" spans="1:15" ht="30" hidden="1" customHeight="1" x14ac:dyDescent="0.4">
      <c r="A379" s="107"/>
      <c r="B379" s="15"/>
      <c r="C379" s="204"/>
      <c r="D379" s="202"/>
      <c r="E379" s="205"/>
      <c r="F379" s="202"/>
      <c r="G379" s="99"/>
      <c r="H379" s="100"/>
      <c r="I379" s="106"/>
      <c r="J379" s="105"/>
      <c r="K379" s="16"/>
      <c r="L379" s="16"/>
      <c r="M379" s="101"/>
      <c r="N379" s="16"/>
      <c r="O379" s="16"/>
    </row>
    <row r="380" spans="1:15" ht="30" hidden="1" customHeight="1" x14ac:dyDescent="0.4">
      <c r="A380" s="107"/>
      <c r="B380" s="15"/>
      <c r="C380" s="204"/>
      <c r="D380" s="202"/>
      <c r="E380" s="205"/>
      <c r="F380" s="202"/>
      <c r="G380" s="99"/>
      <c r="H380" s="100"/>
      <c r="I380" s="106"/>
      <c r="J380" s="105"/>
      <c r="K380" s="16"/>
      <c r="L380" s="16"/>
      <c r="M380" s="101"/>
      <c r="N380" s="16"/>
      <c r="O380" s="16"/>
    </row>
    <row r="381" spans="1:15" ht="30" hidden="1" customHeight="1" x14ac:dyDescent="0.4">
      <c r="A381" s="107"/>
      <c r="B381" s="15"/>
      <c r="C381" s="204"/>
      <c r="D381" s="202"/>
      <c r="E381" s="205"/>
      <c r="F381" s="202"/>
      <c r="G381" s="99"/>
      <c r="H381" s="100"/>
      <c r="I381" s="106"/>
      <c r="J381" s="105"/>
      <c r="K381" s="16"/>
      <c r="L381" s="16"/>
      <c r="M381" s="101"/>
      <c r="N381" s="16"/>
      <c r="O381" s="16"/>
    </row>
    <row r="382" spans="1:15" ht="30" hidden="1" customHeight="1" x14ac:dyDescent="0.4">
      <c r="A382" s="107"/>
      <c r="B382" s="15"/>
      <c r="C382" s="204"/>
      <c r="D382" s="202"/>
      <c r="E382" s="205"/>
      <c r="F382" s="202"/>
      <c r="G382" s="99"/>
      <c r="H382" s="100"/>
      <c r="I382" s="106"/>
      <c r="J382" s="105"/>
      <c r="K382" s="16"/>
      <c r="L382" s="16"/>
      <c r="M382" s="101"/>
      <c r="N382" s="16"/>
      <c r="O382" s="16"/>
    </row>
    <row r="383" spans="1:15" ht="30" hidden="1" customHeight="1" x14ac:dyDescent="0.4">
      <c r="A383" s="107"/>
      <c r="B383" s="15"/>
      <c r="C383" s="204"/>
      <c r="D383" s="202"/>
      <c r="E383" s="205"/>
      <c r="F383" s="202"/>
      <c r="G383" s="99"/>
      <c r="H383" s="100"/>
      <c r="I383" s="106"/>
      <c r="J383" s="105"/>
      <c r="K383" s="16"/>
      <c r="L383" s="16"/>
      <c r="M383" s="101"/>
      <c r="N383" s="16"/>
      <c r="O383" s="16"/>
    </row>
    <row r="384" spans="1:15" ht="30" hidden="1" customHeight="1" x14ac:dyDescent="0.4">
      <c r="A384" s="107"/>
      <c r="B384" s="15"/>
      <c r="C384" s="204"/>
      <c r="D384" s="202"/>
      <c r="E384" s="205"/>
      <c r="F384" s="202"/>
      <c r="G384" s="99"/>
      <c r="H384" s="100"/>
      <c r="I384" s="106"/>
      <c r="J384" s="105"/>
      <c r="K384" s="16"/>
      <c r="L384" s="16"/>
      <c r="M384" s="101"/>
      <c r="N384" s="16"/>
      <c r="O384" s="16"/>
    </row>
    <row r="385" spans="1:15" ht="30" hidden="1" customHeight="1" x14ac:dyDescent="0.4">
      <c r="A385" s="107"/>
      <c r="B385" s="15"/>
      <c r="C385" s="204"/>
      <c r="D385" s="202"/>
      <c r="E385" s="205"/>
      <c r="F385" s="202"/>
      <c r="G385" s="99"/>
      <c r="H385" s="100"/>
      <c r="I385" s="106"/>
      <c r="J385" s="105"/>
      <c r="K385" s="16"/>
      <c r="L385" s="16"/>
      <c r="M385" s="101"/>
      <c r="N385" s="16"/>
      <c r="O385" s="16"/>
    </row>
    <row r="386" spans="1:15" ht="30" hidden="1" customHeight="1" x14ac:dyDescent="0.4">
      <c r="A386" s="107"/>
      <c r="B386" s="15"/>
      <c r="C386" s="204"/>
      <c r="D386" s="202"/>
      <c r="E386" s="205"/>
      <c r="F386" s="202"/>
      <c r="G386" s="99"/>
      <c r="H386" s="100"/>
      <c r="I386" s="106"/>
      <c r="J386" s="105"/>
      <c r="K386" s="16"/>
      <c r="L386" s="16"/>
      <c r="M386" s="101"/>
      <c r="N386" s="16"/>
      <c r="O386" s="16"/>
    </row>
    <row r="387" spans="1:15" ht="30" hidden="1" customHeight="1" x14ac:dyDescent="0.4">
      <c r="A387" s="107"/>
      <c r="B387" s="15"/>
      <c r="C387" s="204"/>
      <c r="D387" s="202"/>
      <c r="E387" s="205"/>
      <c r="F387" s="202"/>
      <c r="G387" s="99"/>
      <c r="H387" s="100"/>
      <c r="I387" s="106"/>
      <c r="J387" s="105"/>
      <c r="K387" s="16"/>
      <c r="L387" s="16"/>
      <c r="M387" s="101"/>
      <c r="N387" s="16"/>
      <c r="O387" s="16"/>
    </row>
    <row r="388" spans="1:15" ht="30" hidden="1" customHeight="1" x14ac:dyDescent="0.4">
      <c r="A388" s="107"/>
      <c r="B388" s="15"/>
      <c r="C388" s="204"/>
      <c r="D388" s="202"/>
      <c r="E388" s="205"/>
      <c r="F388" s="202"/>
      <c r="G388" s="99"/>
      <c r="H388" s="100"/>
      <c r="I388" s="106"/>
      <c r="J388" s="105"/>
      <c r="K388" s="16"/>
      <c r="L388" s="16"/>
      <c r="M388" s="101"/>
      <c r="N388" s="16"/>
      <c r="O388" s="16"/>
    </row>
    <row r="389" spans="1:15" ht="30" hidden="1" customHeight="1" x14ac:dyDescent="0.4">
      <c r="A389" s="107"/>
      <c r="B389" s="15"/>
      <c r="C389" s="204"/>
      <c r="D389" s="202"/>
      <c r="E389" s="205"/>
      <c r="F389" s="202"/>
      <c r="G389" s="99"/>
      <c r="H389" s="100"/>
      <c r="I389" s="106"/>
      <c r="J389" s="105"/>
      <c r="K389" s="16"/>
      <c r="L389" s="16"/>
      <c r="M389" s="101"/>
      <c r="N389" s="16"/>
      <c r="O389" s="16"/>
    </row>
    <row r="390" spans="1:15" ht="30" hidden="1" customHeight="1" x14ac:dyDescent="0.4">
      <c r="A390" s="107"/>
      <c r="B390" s="15"/>
      <c r="C390" s="204"/>
      <c r="D390" s="202"/>
      <c r="E390" s="205"/>
      <c r="F390" s="202"/>
      <c r="G390" s="99"/>
      <c r="H390" s="100"/>
      <c r="I390" s="106"/>
      <c r="J390" s="105"/>
      <c r="K390" s="16"/>
      <c r="L390" s="16"/>
      <c r="M390" s="101"/>
      <c r="N390" s="16"/>
      <c r="O390" s="16"/>
    </row>
    <row r="391" spans="1:15" ht="30" hidden="1" customHeight="1" x14ac:dyDescent="0.4">
      <c r="A391" s="107"/>
      <c r="B391" s="15"/>
      <c r="C391" s="204"/>
      <c r="D391" s="202"/>
      <c r="E391" s="205"/>
      <c r="F391" s="202"/>
      <c r="G391" s="99"/>
      <c r="H391" s="100"/>
      <c r="I391" s="106"/>
      <c r="J391" s="105"/>
      <c r="K391" s="16"/>
      <c r="L391" s="16"/>
      <c r="M391" s="101"/>
      <c r="N391" s="16"/>
      <c r="O391" s="16"/>
    </row>
    <row r="392" spans="1:15" ht="30" hidden="1" customHeight="1" x14ac:dyDescent="0.4">
      <c r="A392" s="107"/>
      <c r="B392" s="15"/>
      <c r="C392" s="204"/>
      <c r="D392" s="202"/>
      <c r="E392" s="205"/>
      <c r="F392" s="202"/>
      <c r="G392" s="99"/>
      <c r="H392" s="100"/>
      <c r="I392" s="106"/>
      <c r="J392" s="105"/>
      <c r="K392" s="16"/>
      <c r="L392" s="16"/>
      <c r="M392" s="101"/>
      <c r="N392" s="16"/>
      <c r="O392" s="16"/>
    </row>
    <row r="393" spans="1:15" ht="30" hidden="1" customHeight="1" x14ac:dyDescent="0.4">
      <c r="A393" s="107"/>
      <c r="B393" s="15"/>
      <c r="C393" s="204"/>
      <c r="D393" s="202"/>
      <c r="E393" s="205"/>
      <c r="F393" s="202"/>
      <c r="G393" s="99"/>
      <c r="H393" s="100"/>
      <c r="I393" s="106"/>
      <c r="J393" s="105"/>
      <c r="K393" s="16"/>
      <c r="L393" s="16"/>
      <c r="M393" s="101"/>
      <c r="N393" s="16"/>
      <c r="O393" s="16"/>
    </row>
    <row r="394" spans="1:15" ht="30" hidden="1" customHeight="1" x14ac:dyDescent="0.4">
      <c r="A394" s="107"/>
      <c r="B394" s="15"/>
      <c r="C394" s="204"/>
      <c r="D394" s="202"/>
      <c r="E394" s="205"/>
      <c r="F394" s="202"/>
      <c r="G394" s="99"/>
      <c r="H394" s="100"/>
      <c r="I394" s="106"/>
      <c r="J394" s="105"/>
      <c r="K394" s="16"/>
      <c r="L394" s="16"/>
      <c r="M394" s="101"/>
      <c r="N394" s="16"/>
      <c r="O394" s="16"/>
    </row>
    <row r="395" spans="1:15" ht="30" hidden="1" customHeight="1" x14ac:dyDescent="0.4">
      <c r="A395" s="107"/>
      <c r="B395" s="15"/>
      <c r="C395" s="204"/>
      <c r="D395" s="202"/>
      <c r="E395" s="205"/>
      <c r="F395" s="202"/>
      <c r="G395" s="99"/>
      <c r="H395" s="100"/>
      <c r="I395" s="106"/>
      <c r="J395" s="105"/>
      <c r="K395" s="16"/>
      <c r="L395" s="16"/>
      <c r="M395" s="101"/>
      <c r="N395" s="16"/>
      <c r="O395" s="16"/>
    </row>
    <row r="396" spans="1:15" ht="30" hidden="1" customHeight="1" x14ac:dyDescent="0.4">
      <c r="A396" s="107"/>
      <c r="B396" s="15"/>
      <c r="C396" s="204"/>
      <c r="D396" s="202"/>
      <c r="E396" s="205"/>
      <c r="F396" s="202"/>
      <c r="G396" s="99"/>
      <c r="H396" s="100"/>
      <c r="I396" s="106"/>
      <c r="J396" s="105"/>
      <c r="K396" s="16"/>
      <c r="L396" s="16"/>
      <c r="M396" s="101"/>
      <c r="N396" s="16"/>
      <c r="O396" s="16"/>
    </row>
    <row r="397" spans="1:15" ht="30" hidden="1" customHeight="1" x14ac:dyDescent="0.4">
      <c r="A397" s="107"/>
      <c r="B397" s="15"/>
      <c r="C397" s="204"/>
      <c r="D397" s="202"/>
      <c r="E397" s="205"/>
      <c r="F397" s="202"/>
      <c r="G397" s="99"/>
      <c r="H397" s="100"/>
      <c r="I397" s="106"/>
      <c r="J397" s="105"/>
      <c r="K397" s="16"/>
      <c r="L397" s="16"/>
      <c r="M397" s="101"/>
      <c r="N397" s="16"/>
      <c r="O397" s="16"/>
    </row>
    <row r="398" spans="1:15" ht="30" hidden="1" customHeight="1" x14ac:dyDescent="0.4">
      <c r="A398" s="107"/>
      <c r="B398" s="15"/>
      <c r="C398" s="204"/>
      <c r="D398" s="202"/>
      <c r="E398" s="205"/>
      <c r="F398" s="202"/>
      <c r="G398" s="99"/>
      <c r="H398" s="100"/>
      <c r="I398" s="106"/>
      <c r="J398" s="105"/>
      <c r="K398" s="16"/>
      <c r="L398" s="16"/>
      <c r="M398" s="101"/>
      <c r="N398" s="16"/>
      <c r="O398" s="16"/>
    </row>
    <row r="399" spans="1:15" ht="30" hidden="1" customHeight="1" x14ac:dyDescent="0.4">
      <c r="A399" s="107"/>
      <c r="B399" s="15"/>
      <c r="C399" s="204"/>
      <c r="D399" s="202"/>
      <c r="E399" s="205"/>
      <c r="F399" s="202"/>
      <c r="G399" s="99"/>
      <c r="H399" s="100"/>
      <c r="I399" s="106"/>
      <c r="J399" s="105"/>
      <c r="K399" s="16"/>
      <c r="L399" s="16"/>
      <c r="M399" s="101"/>
      <c r="N399" s="16"/>
      <c r="O399" s="16"/>
    </row>
    <row r="400" spans="1:15" ht="30" hidden="1" customHeight="1" x14ac:dyDescent="0.4">
      <c r="A400" s="107"/>
      <c r="B400" s="15"/>
      <c r="C400" s="204"/>
      <c r="D400" s="202"/>
      <c r="E400" s="205"/>
      <c r="F400" s="202"/>
      <c r="G400" s="99"/>
      <c r="H400" s="100"/>
      <c r="I400" s="106"/>
      <c r="J400" s="105"/>
      <c r="K400" s="16"/>
      <c r="L400" s="16"/>
      <c r="M400" s="101"/>
      <c r="N400" s="16"/>
      <c r="O400" s="16"/>
    </row>
    <row r="401" spans="1:15" ht="30" hidden="1" customHeight="1" x14ac:dyDescent="0.4">
      <c r="A401" s="107"/>
      <c r="B401" s="15"/>
      <c r="C401" s="204"/>
      <c r="D401" s="202"/>
      <c r="E401" s="205"/>
      <c r="F401" s="202"/>
      <c r="G401" s="99"/>
      <c r="H401" s="100"/>
      <c r="I401" s="106"/>
      <c r="J401" s="105"/>
      <c r="K401" s="16"/>
      <c r="L401" s="16"/>
      <c r="M401" s="101"/>
      <c r="N401" s="16"/>
      <c r="O401" s="16"/>
    </row>
    <row r="402" spans="1:15" ht="30" hidden="1" customHeight="1" x14ac:dyDescent="0.4">
      <c r="A402" s="107"/>
      <c r="B402" s="15"/>
      <c r="C402" s="204"/>
      <c r="D402" s="202"/>
      <c r="E402" s="205"/>
      <c r="F402" s="202"/>
      <c r="G402" s="99"/>
      <c r="H402" s="100"/>
      <c r="I402" s="106"/>
      <c r="J402" s="105"/>
      <c r="K402" s="16"/>
      <c r="L402" s="16"/>
      <c r="M402" s="101"/>
      <c r="N402" s="16"/>
      <c r="O402" s="16"/>
    </row>
    <row r="403" spans="1:15" ht="30" hidden="1" customHeight="1" x14ac:dyDescent="0.4">
      <c r="A403" s="107"/>
      <c r="B403" s="15"/>
      <c r="C403" s="204"/>
      <c r="D403" s="202"/>
      <c r="E403" s="205"/>
      <c r="F403" s="202"/>
      <c r="G403" s="99"/>
      <c r="H403" s="100"/>
      <c r="I403" s="106"/>
      <c r="J403" s="105"/>
      <c r="K403" s="16"/>
      <c r="L403" s="16"/>
      <c r="M403" s="101"/>
      <c r="N403" s="16"/>
      <c r="O403" s="16"/>
    </row>
    <row r="404" spans="1:15" ht="30" hidden="1" customHeight="1" x14ac:dyDescent="0.4">
      <c r="A404" s="107"/>
      <c r="B404" s="15"/>
      <c r="C404" s="204"/>
      <c r="D404" s="202"/>
      <c r="E404" s="205"/>
      <c r="F404" s="202"/>
      <c r="G404" s="99"/>
      <c r="H404" s="100"/>
      <c r="I404" s="106"/>
      <c r="J404" s="105"/>
      <c r="K404" s="16"/>
      <c r="L404" s="16"/>
      <c r="M404" s="101"/>
      <c r="N404" s="16"/>
      <c r="O404" s="16"/>
    </row>
    <row r="405" spans="1:15" ht="30" hidden="1" customHeight="1" x14ac:dyDescent="0.4">
      <c r="A405" s="107"/>
      <c r="B405" s="15"/>
      <c r="C405" s="204"/>
      <c r="D405" s="202"/>
      <c r="E405" s="205"/>
      <c r="F405" s="202"/>
      <c r="G405" s="99"/>
      <c r="H405" s="100"/>
      <c r="I405" s="106"/>
      <c r="J405" s="105"/>
      <c r="K405" s="16"/>
      <c r="L405" s="16"/>
      <c r="M405" s="101"/>
      <c r="N405" s="16"/>
      <c r="O405" s="16"/>
    </row>
    <row r="406" spans="1:15" ht="30" hidden="1" customHeight="1" x14ac:dyDescent="0.4">
      <c r="A406" s="107"/>
      <c r="B406" s="15"/>
      <c r="C406" s="204"/>
      <c r="D406" s="202"/>
      <c r="E406" s="205"/>
      <c r="F406" s="202"/>
      <c r="G406" s="99"/>
      <c r="H406" s="100"/>
      <c r="I406" s="106"/>
      <c r="J406" s="105"/>
      <c r="K406" s="16"/>
      <c r="L406" s="16"/>
      <c r="M406" s="101"/>
      <c r="N406" s="16"/>
      <c r="O406" s="16"/>
    </row>
    <row r="407" spans="1:15" ht="30" hidden="1" customHeight="1" x14ac:dyDescent="0.4">
      <c r="A407" s="107"/>
      <c r="B407" s="15"/>
      <c r="C407" s="204"/>
      <c r="D407" s="202"/>
      <c r="E407" s="205"/>
      <c r="F407" s="202"/>
      <c r="G407" s="99"/>
      <c r="H407" s="100"/>
      <c r="I407" s="106"/>
      <c r="J407" s="105"/>
      <c r="K407" s="16"/>
      <c r="L407" s="16"/>
      <c r="M407" s="101"/>
      <c r="N407" s="16"/>
      <c r="O407" s="16"/>
    </row>
    <row r="408" spans="1:15" ht="30" hidden="1" customHeight="1" x14ac:dyDescent="0.4">
      <c r="A408" s="107"/>
      <c r="B408" s="15"/>
      <c r="C408" s="204"/>
      <c r="D408" s="202"/>
      <c r="E408" s="205"/>
      <c r="F408" s="202"/>
      <c r="G408" s="99"/>
      <c r="H408" s="100"/>
      <c r="I408" s="106"/>
      <c r="J408" s="105"/>
      <c r="K408" s="16"/>
      <c r="L408" s="16"/>
      <c r="M408" s="101"/>
      <c r="N408" s="16"/>
      <c r="O408" s="16"/>
    </row>
    <row r="409" spans="1:15" ht="30" hidden="1" customHeight="1" x14ac:dyDescent="0.4">
      <c r="A409" s="107"/>
      <c r="B409" s="15"/>
      <c r="C409" s="204"/>
      <c r="D409" s="202"/>
      <c r="E409" s="205"/>
      <c r="F409" s="202"/>
      <c r="G409" s="99"/>
      <c r="H409" s="100"/>
      <c r="I409" s="106"/>
      <c r="J409" s="105"/>
      <c r="K409" s="16"/>
      <c r="L409" s="16"/>
      <c r="M409" s="101"/>
      <c r="N409" s="16"/>
      <c r="O409" s="16"/>
    </row>
    <row r="410" spans="1:15" ht="30" hidden="1" customHeight="1" x14ac:dyDescent="0.4">
      <c r="A410" s="107"/>
      <c r="B410" s="15"/>
      <c r="C410" s="204"/>
      <c r="D410" s="202"/>
      <c r="E410" s="205"/>
      <c r="F410" s="202"/>
      <c r="G410" s="99"/>
      <c r="H410" s="100"/>
      <c r="I410" s="106"/>
      <c r="J410" s="105"/>
      <c r="K410" s="16"/>
      <c r="L410" s="16"/>
      <c r="M410" s="101"/>
      <c r="N410" s="16"/>
      <c r="O410" s="16"/>
    </row>
    <row r="411" spans="1:15" ht="30" hidden="1" customHeight="1" x14ac:dyDescent="0.4">
      <c r="A411" s="107"/>
      <c r="B411" s="15"/>
      <c r="C411" s="204"/>
      <c r="D411" s="202"/>
      <c r="E411" s="205"/>
      <c r="F411" s="202"/>
      <c r="G411" s="99"/>
      <c r="H411" s="100"/>
      <c r="I411" s="106"/>
      <c r="J411" s="105"/>
      <c r="K411" s="16"/>
      <c r="L411" s="16"/>
      <c r="M411" s="101"/>
      <c r="N411" s="16"/>
      <c r="O411" s="16"/>
    </row>
    <row r="412" spans="1:15" ht="30" hidden="1" customHeight="1" x14ac:dyDescent="0.4">
      <c r="A412" s="107"/>
      <c r="B412" s="15"/>
      <c r="C412" s="204"/>
      <c r="D412" s="202"/>
      <c r="E412" s="205"/>
      <c r="F412" s="202"/>
      <c r="G412" s="99"/>
      <c r="H412" s="100"/>
      <c r="I412" s="106"/>
      <c r="J412" s="105"/>
      <c r="K412" s="16"/>
      <c r="L412" s="16"/>
      <c r="M412" s="101"/>
      <c r="N412" s="16"/>
      <c r="O412" s="16"/>
    </row>
    <row r="413" spans="1:15" ht="30" hidden="1" customHeight="1" x14ac:dyDescent="0.4">
      <c r="A413" s="107"/>
      <c r="B413" s="15"/>
      <c r="C413" s="204"/>
      <c r="D413" s="202"/>
      <c r="E413" s="205"/>
      <c r="F413" s="202"/>
      <c r="G413" s="99"/>
      <c r="H413" s="100"/>
      <c r="I413" s="106"/>
      <c r="J413" s="105"/>
      <c r="K413" s="16"/>
      <c r="L413" s="16"/>
      <c r="M413" s="101"/>
      <c r="N413" s="16"/>
      <c r="O413" s="16"/>
    </row>
    <row r="414" spans="1:15" ht="30" hidden="1" customHeight="1" x14ac:dyDescent="0.4">
      <c r="A414" s="107"/>
      <c r="B414" s="15"/>
      <c r="C414" s="204"/>
      <c r="D414" s="202"/>
      <c r="E414" s="205"/>
      <c r="F414" s="202"/>
      <c r="G414" s="99"/>
      <c r="H414" s="100"/>
      <c r="I414" s="106"/>
      <c r="J414" s="105"/>
      <c r="K414" s="16"/>
      <c r="L414" s="16"/>
      <c r="M414" s="101"/>
      <c r="N414" s="16"/>
      <c r="O414" s="16"/>
    </row>
    <row r="415" spans="1:15" ht="30" hidden="1" customHeight="1" x14ac:dyDescent="0.4">
      <c r="A415" s="107"/>
      <c r="B415" s="15"/>
      <c r="C415" s="204"/>
      <c r="D415" s="202"/>
      <c r="E415" s="205"/>
      <c r="F415" s="202"/>
      <c r="G415" s="99"/>
      <c r="H415" s="100"/>
      <c r="I415" s="106"/>
      <c r="J415" s="105"/>
      <c r="K415" s="16"/>
      <c r="L415" s="16"/>
      <c r="M415" s="101"/>
      <c r="N415" s="16"/>
      <c r="O415" s="16"/>
    </row>
    <row r="417" spans="1:15" ht="24" customHeight="1" x14ac:dyDescent="0.4">
      <c r="A417" s="211" t="s">
        <v>545</v>
      </c>
      <c r="B417" s="142"/>
      <c r="C417" s="142"/>
      <c r="D417" s="142"/>
      <c r="E417" s="142"/>
      <c r="F417" s="142"/>
      <c r="G417" s="142"/>
      <c r="H417" s="142"/>
      <c r="I417" s="142"/>
      <c r="J417" s="142"/>
      <c r="K417" s="142"/>
      <c r="L417" s="142"/>
      <c r="M417" s="142"/>
      <c r="N417" s="142"/>
      <c r="O417" s="142"/>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58" t="str">
        <f>"Horizon Scan NFR — Parametri: pesi, soglie, urgenza e anagrafica dei rischi   ·   "&amp;etichettaCiclo</f>
        <v>Horizon Scan NFR — Parametri: pesi, soglie, urgenza e anagrafica dei rischi   ·   Ciclo 2026Q3 · dati al 30/09/2026 · validato · Uso interno</v>
      </c>
      <c r="B1" s="159"/>
      <c r="C1" s="159"/>
      <c r="D1" s="159"/>
      <c r="E1" s="159"/>
      <c r="F1" s="159"/>
      <c r="G1" s="159"/>
      <c r="H1" s="159"/>
      <c r="I1" s="159"/>
      <c r="J1" s="159"/>
      <c r="K1" s="159"/>
      <c r="L1" s="159"/>
      <c r="M1" s="159"/>
      <c r="N1" s="159"/>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564</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1506</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608</v>
      </c>
      <c r="E16" t="s">
        <v>615</v>
      </c>
      <c r="F16" t="s">
        <v>475</v>
      </c>
      <c r="L16" s="74"/>
      <c r="M16" s="74"/>
      <c r="N16" s="74"/>
      <c r="O16" s="74"/>
    </row>
    <row r="17" spans="1:15" x14ac:dyDescent="0.4">
      <c r="A17" t="s">
        <v>616</v>
      </c>
      <c r="B17" s="134" t="s">
        <v>614</v>
      </c>
      <c r="E17" t="s">
        <v>618</v>
      </c>
      <c r="F17" t="s">
        <v>619</v>
      </c>
      <c r="L17" s="74"/>
      <c r="M17" s="74"/>
      <c r="N17" s="74"/>
      <c r="O17" s="74"/>
    </row>
    <row r="18" spans="1:15" x14ac:dyDescent="0.4">
      <c r="A18" t="s">
        <v>620</v>
      </c>
      <c r="B18" s="77">
        <v>46295</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627</v>
      </c>
      <c r="E20" t="s">
        <v>597</v>
      </c>
      <c r="F20" t="s">
        <v>625</v>
      </c>
      <c r="L20" s="74"/>
      <c r="M20" s="74"/>
      <c r="N20" s="74"/>
      <c r="O20" s="74"/>
    </row>
    <row r="21" spans="1:15" x14ac:dyDescent="0.4">
      <c r="A21" t="s">
        <v>626</v>
      </c>
      <c r="B21" s="134" t="s">
        <v>630</v>
      </c>
      <c r="E21" t="s">
        <v>578</v>
      </c>
      <c r="F21" t="s">
        <v>628</v>
      </c>
      <c r="L21" s="74"/>
      <c r="M21" s="74"/>
      <c r="N21" s="74"/>
      <c r="O21" s="74"/>
    </row>
    <row r="22" spans="1:15" x14ac:dyDescent="0.4">
      <c r="A22" t="s">
        <v>629</v>
      </c>
      <c r="B22" s="134" t="s">
        <v>634</v>
      </c>
      <c r="E22" t="s">
        <v>631</v>
      </c>
      <c r="F22" t="s">
        <v>632</v>
      </c>
      <c r="L22" s="74"/>
      <c r="M22" s="74"/>
      <c r="N22" s="74"/>
      <c r="O22" s="74"/>
    </row>
    <row r="23" spans="1:15" x14ac:dyDescent="0.4">
      <c r="A23" t="s">
        <v>633</v>
      </c>
      <c r="B23" s="134" t="s">
        <v>636</v>
      </c>
      <c r="L23" s="74"/>
      <c r="M23" s="74"/>
      <c r="N23" s="74"/>
      <c r="O23" s="74"/>
    </row>
    <row r="24" spans="1:15" x14ac:dyDescent="0.4">
      <c r="A24" t="s">
        <v>635</v>
      </c>
      <c r="B24" s="134" t="s">
        <v>617</v>
      </c>
    </row>
    <row r="25" spans="1:15" x14ac:dyDescent="0.4">
      <c r="A25" t="s">
        <v>637</v>
      </c>
      <c r="B25" s="134" t="s">
        <v>614</v>
      </c>
    </row>
    <row r="26" spans="1:15" x14ac:dyDescent="0.4">
      <c r="A26" t="s">
        <v>638</v>
      </c>
      <c r="B26" s="134" t="s">
        <v>608</v>
      </c>
    </row>
    <row r="27" spans="1:15" x14ac:dyDescent="0.4">
      <c r="A27" t="s">
        <v>639</v>
      </c>
      <c r="B27" s="134" t="s">
        <v>1506</v>
      </c>
    </row>
    <row r="29" spans="1:15" x14ac:dyDescent="0.4">
      <c r="A29" s="61" t="s">
        <v>640</v>
      </c>
    </row>
    <row r="30" spans="1:15" x14ac:dyDescent="0.4">
      <c r="A30" t="s">
        <v>641</v>
      </c>
      <c r="B30" s="110">
        <v>46307</v>
      </c>
    </row>
    <row r="31" spans="1:15" x14ac:dyDescent="0.4">
      <c r="A31" t="s">
        <v>642</v>
      </c>
      <c r="B31" s="77">
        <f>settimanaCorrente-21</f>
        <v>46286</v>
      </c>
    </row>
    <row r="33" spans="1:2" x14ac:dyDescent="0.4">
      <c r="A33" s="61" t="s">
        <v>643</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644</v>
      </c>
    </row>
    <row r="48" spans="1:2" x14ac:dyDescent="0.4">
      <c r="A48" t="s">
        <v>645</v>
      </c>
      <c r="B48" s="74">
        <v>0.25</v>
      </c>
    </row>
    <row r="49" spans="1:2" x14ac:dyDescent="0.4">
      <c r="A49" t="s">
        <v>646</v>
      </c>
      <c r="B49" s="74">
        <v>1</v>
      </c>
    </row>
    <row r="50" spans="1:2" x14ac:dyDescent="0.4">
      <c r="A50" s="61" t="s">
        <v>647</v>
      </c>
    </row>
    <row r="51" spans="1:2" x14ac:dyDescent="0.4">
      <c r="A51" t="s">
        <v>648</v>
      </c>
      <c r="B51" s="74">
        <v>3.5</v>
      </c>
    </row>
    <row r="52" spans="1:2" x14ac:dyDescent="0.4">
      <c r="A52" t="s">
        <v>649</v>
      </c>
      <c r="B52" s="74">
        <v>2.5</v>
      </c>
    </row>
    <row r="53" spans="1:2" x14ac:dyDescent="0.4">
      <c r="A53" t="s">
        <v>650</v>
      </c>
      <c r="B53" s="74">
        <v>1.5</v>
      </c>
    </row>
    <row r="54" spans="1:2" x14ac:dyDescent="0.4">
      <c r="A54" t="s">
        <v>651</v>
      </c>
      <c r="B54" s="74">
        <v>0.5</v>
      </c>
    </row>
    <row r="55" spans="1:2" x14ac:dyDescent="0.4">
      <c r="A55" t="s">
        <v>652</v>
      </c>
      <c r="B55" s="74">
        <v>0</v>
      </c>
    </row>
    <row r="57" spans="1:2" x14ac:dyDescent="0.4">
      <c r="A57" s="61" t="s">
        <v>653</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2026Q3 · dati al 30/09/2026 · validato · Uso interno</v>
      </c>
    </row>
    <row r="59" spans="1:2" x14ac:dyDescent="0.4">
      <c r="A59" s="61" t="s">
        <v>654</v>
      </c>
    </row>
    <row r="60" spans="1:2" x14ac:dyDescent="0.4">
      <c r="A60" t="s">
        <v>655</v>
      </c>
      <c r="B60" s="111">
        <v>12</v>
      </c>
    </row>
    <row r="61" spans="1:2" x14ac:dyDescent="0.4">
      <c r="A61" t="s">
        <v>656</v>
      </c>
      <c r="B61" s="112">
        <v>0.5</v>
      </c>
    </row>
    <row r="62" spans="1:2" x14ac:dyDescent="0.4">
      <c r="A62" t="s">
        <v>657</v>
      </c>
      <c r="B62" s="108">
        <v>1</v>
      </c>
    </row>
    <row r="63" spans="1:2" x14ac:dyDescent="0.4">
      <c r="A63" t="s">
        <v>658</v>
      </c>
      <c r="B63" s="111">
        <v>2</v>
      </c>
    </row>
    <row r="65" spans="1:3" x14ac:dyDescent="0.4">
      <c r="A65" s="61" t="s">
        <v>659</v>
      </c>
    </row>
    <row r="66" spans="1:3" x14ac:dyDescent="0.4">
      <c r="A66" t="s">
        <v>660</v>
      </c>
      <c r="B66" s="74">
        <v>15</v>
      </c>
      <c r="C66" s="79" t="s">
        <v>661</v>
      </c>
    </row>
    <row r="67" spans="1:3" x14ac:dyDescent="0.4">
      <c r="A67" t="s">
        <v>662</v>
      </c>
      <c r="B67" s="74">
        <v>2</v>
      </c>
      <c r="C67" s="79" t="s">
        <v>663</v>
      </c>
    </row>
    <row r="68" spans="1:3" x14ac:dyDescent="0.4">
      <c r="A68" t="s">
        <v>664</v>
      </c>
      <c r="B68" s="74">
        <v>2</v>
      </c>
      <c r="C68" s="79" t="s">
        <v>665</v>
      </c>
    </row>
    <row r="69" spans="1:3" x14ac:dyDescent="0.4">
      <c r="A69" t="s">
        <v>666</v>
      </c>
      <c r="B69" s="74">
        <v>2</v>
      </c>
      <c r="C69" s="79" t="s">
        <v>667</v>
      </c>
    </row>
    <row r="70" spans="1:3" x14ac:dyDescent="0.4">
      <c r="A70" t="s">
        <v>668</v>
      </c>
      <c r="B70">
        <v>20</v>
      </c>
      <c r="C70" s="79" t="s">
        <v>669</v>
      </c>
    </row>
    <row r="71" spans="1:3" ht="30" customHeight="1" x14ac:dyDescent="0.4">
      <c r="A71" s="175" t="s">
        <v>670</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58" t="str">
        <f>"Horizon Scan NFR — Dizionario dei dati   ·   "&amp;etichettaCiclo</f>
        <v>Horizon Scan NFR — Dizionario dei dati   ·   Ciclo 2026Q3 · dati al 30/09/2026 · validato · Uso interno</v>
      </c>
      <c r="B1" s="159"/>
      <c r="C1" s="159"/>
      <c r="D1" s="159"/>
      <c r="E1" s="159"/>
      <c r="F1" s="159"/>
      <c r="G1" s="159"/>
    </row>
    <row r="2" spans="1:7" ht="32.049999999999997" customHeight="1" x14ac:dyDescent="0.4">
      <c r="A2" s="188" t="s">
        <v>671</v>
      </c>
      <c r="B2" s="142"/>
      <c r="C2" s="142"/>
      <c r="D2" s="142"/>
      <c r="E2" s="142"/>
      <c r="F2" s="142"/>
      <c r="G2" s="142"/>
    </row>
    <row r="4" spans="1:7" x14ac:dyDescent="0.4">
      <c r="A4" s="113" t="s">
        <v>672</v>
      </c>
      <c r="B4" s="113" t="s">
        <v>673</v>
      </c>
      <c r="C4" s="113" t="s">
        <v>674</v>
      </c>
      <c r="D4" s="113" t="s">
        <v>675</v>
      </c>
      <c r="E4" s="113" t="s">
        <v>676</v>
      </c>
      <c r="F4" s="113" t="s">
        <v>677</v>
      </c>
      <c r="G4" s="113" t="s">
        <v>678</v>
      </c>
    </row>
    <row r="5" spans="1:7" x14ac:dyDescent="0.4">
      <c r="A5" s="213" t="s">
        <v>679</v>
      </c>
      <c r="B5" s="142"/>
      <c r="C5" s="142"/>
      <c r="D5" s="142"/>
      <c r="E5" s="142"/>
      <c r="F5" s="142"/>
      <c r="G5" s="142"/>
    </row>
    <row r="6" spans="1:7" ht="28" customHeight="1" x14ac:dyDescent="0.4">
      <c r="A6" s="89" t="s">
        <v>451</v>
      </c>
      <c r="B6" s="90" t="s">
        <v>117</v>
      </c>
      <c r="C6" s="114" t="s">
        <v>680</v>
      </c>
      <c r="D6" s="90" t="s">
        <v>681</v>
      </c>
      <c r="E6" s="90" t="s">
        <v>682</v>
      </c>
      <c r="F6" s="90" t="s">
        <v>683</v>
      </c>
      <c r="G6" s="90" t="s">
        <v>608</v>
      </c>
    </row>
    <row r="7" spans="1:7" ht="28" customHeight="1" x14ac:dyDescent="0.4">
      <c r="A7" s="89" t="s">
        <v>684</v>
      </c>
      <c r="B7" s="90" t="s">
        <v>117</v>
      </c>
      <c r="C7" s="114" t="s">
        <v>680</v>
      </c>
      <c r="D7" s="90" t="s">
        <v>685</v>
      </c>
      <c r="E7" s="90" t="s">
        <v>686</v>
      </c>
      <c r="F7" s="90" t="s">
        <v>687</v>
      </c>
      <c r="G7" s="90" t="s">
        <v>688</v>
      </c>
    </row>
    <row r="8" spans="1:7" ht="28" customHeight="1" x14ac:dyDescent="0.4">
      <c r="A8" s="89" t="s">
        <v>689</v>
      </c>
      <c r="B8" s="90" t="s">
        <v>117</v>
      </c>
      <c r="C8" s="114" t="s">
        <v>680</v>
      </c>
      <c r="D8" s="90" t="s">
        <v>690</v>
      </c>
      <c r="E8" s="90" t="s">
        <v>691</v>
      </c>
      <c r="F8" s="90" t="s">
        <v>692</v>
      </c>
      <c r="G8" s="90" t="s">
        <v>554</v>
      </c>
    </row>
    <row r="9" spans="1:7" ht="28" customHeight="1" x14ac:dyDescent="0.4">
      <c r="A9" s="89" t="s">
        <v>174</v>
      </c>
      <c r="B9" s="90" t="s">
        <v>117</v>
      </c>
      <c r="C9" s="114" t="s">
        <v>680</v>
      </c>
      <c r="D9" s="90" t="s">
        <v>693</v>
      </c>
      <c r="E9" s="90" t="s">
        <v>691</v>
      </c>
      <c r="F9" s="90" t="s">
        <v>692</v>
      </c>
      <c r="G9" s="90" t="s">
        <v>694</v>
      </c>
    </row>
    <row r="10" spans="1:7" ht="88" customHeight="1" x14ac:dyDescent="0.4">
      <c r="A10" s="89" t="s">
        <v>550</v>
      </c>
      <c r="B10" s="90" t="s">
        <v>117</v>
      </c>
      <c r="C10" s="114" t="s">
        <v>680</v>
      </c>
      <c r="D10" s="90" t="s">
        <v>695</v>
      </c>
      <c r="E10" s="90" t="s">
        <v>691</v>
      </c>
      <c r="F10" s="90" t="s">
        <v>696</v>
      </c>
      <c r="G10" s="90" t="s">
        <v>469</v>
      </c>
    </row>
    <row r="11" spans="1:7" ht="28" customHeight="1" x14ac:dyDescent="0.4">
      <c r="A11" s="89" t="s">
        <v>269</v>
      </c>
      <c r="B11" s="90" t="s">
        <v>117</v>
      </c>
      <c r="C11" s="114" t="s">
        <v>680</v>
      </c>
      <c r="D11" s="90" t="s">
        <v>697</v>
      </c>
      <c r="E11" s="90" t="s">
        <v>691</v>
      </c>
      <c r="F11" s="90" t="s">
        <v>692</v>
      </c>
      <c r="G11" s="90" t="s">
        <v>556</v>
      </c>
    </row>
    <row r="12" spans="1:7" ht="28" customHeight="1" x14ac:dyDescent="0.4">
      <c r="A12" s="89" t="s">
        <v>203</v>
      </c>
      <c r="B12" s="90" t="s">
        <v>117</v>
      </c>
      <c r="C12" s="114" t="s">
        <v>680</v>
      </c>
      <c r="D12" s="90" t="s">
        <v>698</v>
      </c>
      <c r="E12" s="90" t="s">
        <v>699</v>
      </c>
      <c r="F12" s="90" t="s">
        <v>700</v>
      </c>
      <c r="G12" s="90" t="s">
        <v>27</v>
      </c>
    </row>
    <row r="13" spans="1:7" ht="52" customHeight="1" x14ac:dyDescent="0.4">
      <c r="A13" s="89" t="s">
        <v>300</v>
      </c>
      <c r="B13" s="90" t="s">
        <v>117</v>
      </c>
      <c r="C13" s="114" t="s">
        <v>680</v>
      </c>
      <c r="D13" s="90" t="s">
        <v>701</v>
      </c>
      <c r="E13" s="90" t="s">
        <v>702</v>
      </c>
      <c r="F13" s="90" t="s">
        <v>703</v>
      </c>
      <c r="G13" s="90" t="s">
        <v>704</v>
      </c>
    </row>
    <row r="14" spans="1:7" ht="28" customHeight="1" x14ac:dyDescent="0.4">
      <c r="A14" s="89" t="s">
        <v>206</v>
      </c>
      <c r="B14" s="90" t="s">
        <v>117</v>
      </c>
      <c r="C14" s="114" t="s">
        <v>680</v>
      </c>
      <c r="D14" s="90" t="s">
        <v>705</v>
      </c>
      <c r="E14" s="90" t="s">
        <v>706</v>
      </c>
      <c r="F14" s="90" t="s">
        <v>700</v>
      </c>
      <c r="G14" s="90" t="s">
        <v>27</v>
      </c>
    </row>
    <row r="15" spans="1:7" ht="52" customHeight="1" x14ac:dyDescent="0.4">
      <c r="A15" s="89" t="s">
        <v>707</v>
      </c>
      <c r="B15" s="90" t="s">
        <v>117</v>
      </c>
      <c r="C15" s="115" t="s">
        <v>708</v>
      </c>
      <c r="D15" s="90" t="s">
        <v>709</v>
      </c>
      <c r="E15" s="90" t="s">
        <v>710</v>
      </c>
      <c r="F15" s="90" t="s">
        <v>711</v>
      </c>
      <c r="G15" s="90" t="s">
        <v>712</v>
      </c>
    </row>
    <row r="16" spans="1:7" ht="40" customHeight="1" x14ac:dyDescent="0.4">
      <c r="A16" s="89" t="s">
        <v>204</v>
      </c>
      <c r="B16" s="90" t="s">
        <v>117</v>
      </c>
      <c r="C16" s="114" t="s">
        <v>680</v>
      </c>
      <c r="D16" s="90" t="s">
        <v>713</v>
      </c>
      <c r="E16" s="90" t="s">
        <v>714</v>
      </c>
      <c r="F16" s="90" t="s">
        <v>700</v>
      </c>
      <c r="G16" s="90" t="s">
        <v>27</v>
      </c>
    </row>
    <row r="17" spans="1:7" ht="52" customHeight="1" x14ac:dyDescent="0.4">
      <c r="A17" s="89" t="s">
        <v>551</v>
      </c>
      <c r="B17" s="90" t="s">
        <v>117</v>
      </c>
      <c r="C17" s="114" t="s">
        <v>680</v>
      </c>
      <c r="D17" s="90" t="s">
        <v>715</v>
      </c>
      <c r="E17" s="90" t="s">
        <v>716</v>
      </c>
      <c r="F17" s="90" t="s">
        <v>717</v>
      </c>
      <c r="G17" s="90"/>
    </row>
    <row r="18" spans="1:7" ht="64" customHeight="1" x14ac:dyDescent="0.4">
      <c r="A18" s="89" t="s">
        <v>178</v>
      </c>
      <c r="B18" s="90" t="s">
        <v>117</v>
      </c>
      <c r="C18" s="115" t="s">
        <v>718</v>
      </c>
      <c r="D18" s="90" t="s">
        <v>719</v>
      </c>
      <c r="E18" s="90" t="s">
        <v>720</v>
      </c>
      <c r="F18" s="90" t="s">
        <v>721</v>
      </c>
      <c r="G18" s="90" t="s">
        <v>722</v>
      </c>
    </row>
    <row r="19" spans="1:7" ht="28" customHeight="1" x14ac:dyDescent="0.4">
      <c r="A19" s="89" t="s">
        <v>536</v>
      </c>
      <c r="B19" s="90" t="s">
        <v>117</v>
      </c>
      <c r="C19" s="114" t="s">
        <v>680</v>
      </c>
      <c r="D19" s="90" t="s">
        <v>723</v>
      </c>
      <c r="E19" s="90" t="s">
        <v>691</v>
      </c>
      <c r="F19" s="90" t="s">
        <v>692</v>
      </c>
      <c r="G19" s="90" t="s">
        <v>724</v>
      </c>
    </row>
    <row r="20" spans="1:7" ht="76" customHeight="1" x14ac:dyDescent="0.4">
      <c r="A20" s="89" t="s">
        <v>725</v>
      </c>
      <c r="B20" s="90" t="s">
        <v>117</v>
      </c>
      <c r="C20" s="114" t="s">
        <v>680</v>
      </c>
      <c r="D20" s="90" t="s">
        <v>726</v>
      </c>
      <c r="E20" s="90" t="s">
        <v>691</v>
      </c>
      <c r="F20" s="90" t="s">
        <v>692</v>
      </c>
      <c r="G20" s="90" t="s">
        <v>727</v>
      </c>
    </row>
    <row r="21" spans="1:7" ht="40" customHeight="1" x14ac:dyDescent="0.4">
      <c r="A21" s="89" t="s">
        <v>728</v>
      </c>
      <c r="B21" s="90" t="s">
        <v>117</v>
      </c>
      <c r="C21" s="114" t="s">
        <v>680</v>
      </c>
      <c r="D21" s="90" t="s">
        <v>729</v>
      </c>
      <c r="E21" s="90" t="s">
        <v>730</v>
      </c>
      <c r="F21" s="90" t="s">
        <v>692</v>
      </c>
      <c r="G21" s="90" t="s">
        <v>731</v>
      </c>
    </row>
    <row r="22" spans="1:7" ht="52" customHeight="1" x14ac:dyDescent="0.4">
      <c r="A22" s="89" t="s">
        <v>732</v>
      </c>
      <c r="B22" s="90" t="s">
        <v>117</v>
      </c>
      <c r="C22" s="114" t="s">
        <v>680</v>
      </c>
      <c r="D22" s="90" t="s">
        <v>733</v>
      </c>
      <c r="E22" s="90" t="s">
        <v>734</v>
      </c>
      <c r="F22" s="90" t="s">
        <v>692</v>
      </c>
      <c r="G22" s="90" t="s">
        <v>735</v>
      </c>
    </row>
    <row r="23" spans="1:7" ht="76" customHeight="1" x14ac:dyDescent="0.4">
      <c r="A23" s="89" t="s">
        <v>422</v>
      </c>
      <c r="B23" s="90" t="s">
        <v>117</v>
      </c>
      <c r="C23" s="115" t="s">
        <v>718</v>
      </c>
      <c r="D23" s="90" t="s">
        <v>736</v>
      </c>
      <c r="E23" s="90" t="s">
        <v>737</v>
      </c>
      <c r="F23" s="90" t="s">
        <v>692</v>
      </c>
      <c r="G23" s="90"/>
    </row>
    <row r="24" spans="1:7" ht="28" customHeight="1" x14ac:dyDescent="0.4">
      <c r="A24" s="89" t="s">
        <v>181</v>
      </c>
      <c r="B24" s="90" t="s">
        <v>117</v>
      </c>
      <c r="C24" s="115" t="s">
        <v>718</v>
      </c>
      <c r="D24" s="90" t="s">
        <v>738</v>
      </c>
      <c r="E24" s="90" t="s">
        <v>739</v>
      </c>
      <c r="F24" s="90" t="s">
        <v>692</v>
      </c>
      <c r="G24" s="90" t="s">
        <v>557</v>
      </c>
    </row>
    <row r="25" spans="1:7" ht="28" customHeight="1" x14ac:dyDescent="0.4">
      <c r="A25" s="89" t="s">
        <v>250</v>
      </c>
      <c r="B25" s="90" t="s">
        <v>117</v>
      </c>
      <c r="C25" s="115" t="s">
        <v>708</v>
      </c>
      <c r="D25" s="90" t="s">
        <v>740</v>
      </c>
      <c r="E25" s="90" t="s">
        <v>741</v>
      </c>
      <c r="F25" s="90" t="s">
        <v>692</v>
      </c>
      <c r="G25" s="90" t="s">
        <v>742</v>
      </c>
    </row>
    <row r="26" spans="1:7" ht="28" customHeight="1" x14ac:dyDescent="0.4">
      <c r="A26" s="89" t="s">
        <v>743</v>
      </c>
      <c r="B26" s="90" t="s">
        <v>117</v>
      </c>
      <c r="C26" s="115" t="s">
        <v>718</v>
      </c>
      <c r="D26" s="90" t="s">
        <v>744</v>
      </c>
      <c r="E26" s="90" t="s">
        <v>745</v>
      </c>
      <c r="F26" s="90" t="s">
        <v>692</v>
      </c>
      <c r="G26" s="90" t="s">
        <v>688</v>
      </c>
    </row>
    <row r="27" spans="1:7" ht="28" customHeight="1" x14ac:dyDescent="0.4">
      <c r="A27" s="89" t="s">
        <v>746</v>
      </c>
      <c r="B27" s="90" t="s">
        <v>117</v>
      </c>
      <c r="C27" s="116" t="s">
        <v>747</v>
      </c>
      <c r="D27" s="90" t="s">
        <v>748</v>
      </c>
      <c r="E27" s="90" t="s">
        <v>749</v>
      </c>
      <c r="F27" s="90" t="s">
        <v>692</v>
      </c>
      <c r="G27" s="90" t="s">
        <v>750</v>
      </c>
    </row>
    <row r="28" spans="1:7" ht="40" customHeight="1" x14ac:dyDescent="0.4">
      <c r="A28" s="89" t="s">
        <v>9</v>
      </c>
      <c r="B28" s="90" t="s">
        <v>117</v>
      </c>
      <c r="C28" s="116" t="s">
        <v>747</v>
      </c>
      <c r="D28" s="90" t="s">
        <v>751</v>
      </c>
      <c r="E28" s="90" t="s">
        <v>752</v>
      </c>
      <c r="F28" s="90" t="s">
        <v>753</v>
      </c>
      <c r="G28" s="90" t="s">
        <v>754</v>
      </c>
    </row>
    <row r="29" spans="1:7" ht="28" customHeight="1" x14ac:dyDescent="0.4">
      <c r="A29" s="89" t="s">
        <v>755</v>
      </c>
      <c r="B29" s="90" t="s">
        <v>117</v>
      </c>
      <c r="C29" s="116" t="s">
        <v>747</v>
      </c>
      <c r="D29" s="90" t="s">
        <v>756</v>
      </c>
      <c r="E29" s="90" t="s">
        <v>757</v>
      </c>
      <c r="F29" s="90" t="s">
        <v>692</v>
      </c>
      <c r="G29" s="90" t="s">
        <v>758</v>
      </c>
    </row>
    <row r="30" spans="1:7" ht="76" customHeight="1" x14ac:dyDescent="0.4">
      <c r="A30" s="89" t="s">
        <v>759</v>
      </c>
      <c r="B30" s="90" t="s">
        <v>117</v>
      </c>
      <c r="C30" s="115" t="s">
        <v>718</v>
      </c>
      <c r="D30" s="90" t="s">
        <v>760</v>
      </c>
      <c r="E30" s="90" t="s">
        <v>761</v>
      </c>
      <c r="F30" s="90" t="s">
        <v>692</v>
      </c>
      <c r="G30" s="90" t="s">
        <v>608</v>
      </c>
    </row>
    <row r="31" spans="1:7" ht="100" customHeight="1" x14ac:dyDescent="0.4">
      <c r="A31" s="89" t="s">
        <v>444</v>
      </c>
      <c r="B31" s="90" t="s">
        <v>117</v>
      </c>
      <c r="C31" s="115" t="s">
        <v>718</v>
      </c>
      <c r="D31" s="90" t="s">
        <v>762</v>
      </c>
      <c r="E31" s="90" t="s">
        <v>763</v>
      </c>
      <c r="F31" s="90" t="s">
        <v>764</v>
      </c>
      <c r="G31" s="90" t="s">
        <v>765</v>
      </c>
    </row>
    <row r="32" spans="1:7" ht="52" customHeight="1" x14ac:dyDescent="0.4">
      <c r="A32" s="89" t="s">
        <v>766</v>
      </c>
      <c r="B32" s="90" t="s">
        <v>117</v>
      </c>
      <c r="C32" s="115" t="s">
        <v>718</v>
      </c>
      <c r="D32" s="90" t="s">
        <v>767</v>
      </c>
      <c r="E32" s="90" t="s">
        <v>768</v>
      </c>
      <c r="F32" s="90" t="s">
        <v>692</v>
      </c>
      <c r="G32" s="90" t="s">
        <v>769</v>
      </c>
    </row>
    <row r="33" spans="1:7" ht="52" customHeight="1" x14ac:dyDescent="0.4">
      <c r="A33" s="89" t="s">
        <v>272</v>
      </c>
      <c r="B33" s="90" t="s">
        <v>117</v>
      </c>
      <c r="C33" s="115" t="s">
        <v>718</v>
      </c>
      <c r="D33" s="90" t="s">
        <v>770</v>
      </c>
      <c r="E33" s="90" t="s">
        <v>771</v>
      </c>
      <c r="F33" s="90" t="s">
        <v>772</v>
      </c>
      <c r="G33" s="90"/>
    </row>
    <row r="34" spans="1:7" ht="64" customHeight="1" x14ac:dyDescent="0.4">
      <c r="A34" s="89" t="s">
        <v>773</v>
      </c>
      <c r="B34" s="90" t="s">
        <v>117</v>
      </c>
      <c r="C34" s="116" t="s">
        <v>747</v>
      </c>
      <c r="D34" s="90" t="s">
        <v>774</v>
      </c>
      <c r="E34" s="90" t="s">
        <v>775</v>
      </c>
      <c r="F34" s="90" t="s">
        <v>776</v>
      </c>
      <c r="G34" s="90" t="s">
        <v>777</v>
      </c>
    </row>
    <row r="35" spans="1:7" ht="64" customHeight="1" x14ac:dyDescent="0.4">
      <c r="A35" s="89" t="s">
        <v>778</v>
      </c>
      <c r="B35" s="90" t="s">
        <v>117</v>
      </c>
      <c r="C35" s="114" t="s">
        <v>680</v>
      </c>
      <c r="D35" s="90" t="s">
        <v>779</v>
      </c>
      <c r="E35" s="90" t="s">
        <v>691</v>
      </c>
      <c r="F35" s="90" t="s">
        <v>780</v>
      </c>
      <c r="G35" s="90"/>
    </row>
    <row r="36" spans="1:7" ht="40" customHeight="1" x14ac:dyDescent="0.4">
      <c r="A36" s="89" t="s">
        <v>781</v>
      </c>
      <c r="B36" s="90" t="s">
        <v>117</v>
      </c>
      <c r="C36" s="114" t="s">
        <v>680</v>
      </c>
      <c r="D36" s="90" t="s">
        <v>782</v>
      </c>
      <c r="E36" s="90" t="s">
        <v>691</v>
      </c>
      <c r="F36" s="90" t="s">
        <v>692</v>
      </c>
      <c r="G36" s="90"/>
    </row>
    <row r="37" spans="1:7" ht="52" customHeight="1" x14ac:dyDescent="0.4">
      <c r="A37" s="89" t="s">
        <v>783</v>
      </c>
      <c r="B37" s="90" t="s">
        <v>117</v>
      </c>
      <c r="C37" s="115" t="s">
        <v>708</v>
      </c>
      <c r="D37" s="90" t="s">
        <v>784</v>
      </c>
      <c r="E37" s="90" t="s">
        <v>785</v>
      </c>
      <c r="F37" s="90" t="s">
        <v>692</v>
      </c>
      <c r="G37" s="90"/>
    </row>
    <row r="38" spans="1:7" x14ac:dyDescent="0.4">
      <c r="A38" s="213" t="s">
        <v>786</v>
      </c>
      <c r="B38" s="142"/>
      <c r="C38" s="142"/>
      <c r="D38" s="142"/>
      <c r="E38" s="142"/>
      <c r="F38" s="142"/>
      <c r="G38" s="142"/>
    </row>
    <row r="39" spans="1:7" ht="28" customHeight="1" x14ac:dyDescent="0.4">
      <c r="A39" s="89" t="s">
        <v>451</v>
      </c>
      <c r="B39" s="90" t="s">
        <v>121</v>
      </c>
      <c r="C39" s="114" t="s">
        <v>680</v>
      </c>
      <c r="D39" s="90" t="s">
        <v>787</v>
      </c>
      <c r="E39" s="90" t="s">
        <v>682</v>
      </c>
      <c r="F39" s="90" t="s">
        <v>683</v>
      </c>
      <c r="G39" s="90" t="s">
        <v>608</v>
      </c>
    </row>
    <row r="40" spans="1:7" ht="28" customHeight="1" x14ac:dyDescent="0.4">
      <c r="A40" s="89" t="s">
        <v>689</v>
      </c>
      <c r="B40" s="90" t="s">
        <v>121</v>
      </c>
      <c r="C40" s="114" t="s">
        <v>680</v>
      </c>
      <c r="D40" s="90" t="s">
        <v>788</v>
      </c>
      <c r="E40" s="90" t="s">
        <v>691</v>
      </c>
      <c r="F40" s="90" t="s">
        <v>692</v>
      </c>
      <c r="G40" s="90" t="s">
        <v>554</v>
      </c>
    </row>
    <row r="41" spans="1:7" ht="28" customHeight="1" x14ac:dyDescent="0.4">
      <c r="A41" s="89" t="s">
        <v>789</v>
      </c>
      <c r="B41" s="90" t="s">
        <v>121</v>
      </c>
      <c r="C41" s="115" t="s">
        <v>718</v>
      </c>
      <c r="D41" s="90" t="s">
        <v>790</v>
      </c>
      <c r="E41" s="90" t="s">
        <v>791</v>
      </c>
      <c r="F41" s="90" t="s">
        <v>692</v>
      </c>
      <c r="G41" s="90" t="s">
        <v>792</v>
      </c>
    </row>
    <row r="42" spans="1:7" ht="28" customHeight="1" x14ac:dyDescent="0.4">
      <c r="A42" s="89" t="s">
        <v>536</v>
      </c>
      <c r="B42" s="90" t="s">
        <v>121</v>
      </c>
      <c r="C42" s="114" t="s">
        <v>680</v>
      </c>
      <c r="D42" s="90" t="s">
        <v>793</v>
      </c>
      <c r="E42" s="90" t="s">
        <v>691</v>
      </c>
      <c r="F42" s="90" t="s">
        <v>692</v>
      </c>
      <c r="G42" s="90" t="s">
        <v>794</v>
      </c>
    </row>
    <row r="43" spans="1:7" ht="28" customHeight="1" x14ac:dyDescent="0.4">
      <c r="A43" s="89" t="s">
        <v>181</v>
      </c>
      <c r="B43" s="90" t="s">
        <v>121</v>
      </c>
      <c r="C43" s="114" t="s">
        <v>680</v>
      </c>
      <c r="D43" s="90" t="s">
        <v>795</v>
      </c>
      <c r="E43" s="90" t="s">
        <v>691</v>
      </c>
      <c r="F43" s="90" t="s">
        <v>692</v>
      </c>
      <c r="G43" s="90" t="s">
        <v>557</v>
      </c>
    </row>
    <row r="44" spans="1:7" ht="28" customHeight="1" x14ac:dyDescent="0.4">
      <c r="A44" s="89" t="s">
        <v>267</v>
      </c>
      <c r="B44" s="90" t="s">
        <v>121</v>
      </c>
      <c r="C44" s="114" t="s">
        <v>680</v>
      </c>
      <c r="D44" s="90" t="s">
        <v>796</v>
      </c>
      <c r="E44" s="90" t="s">
        <v>691</v>
      </c>
      <c r="F44" s="90" t="s">
        <v>797</v>
      </c>
      <c r="G44" s="90" t="s">
        <v>798</v>
      </c>
    </row>
    <row r="45" spans="1:7" ht="40" customHeight="1" x14ac:dyDescent="0.4">
      <c r="A45" s="89" t="s">
        <v>799</v>
      </c>
      <c r="B45" s="90" t="s">
        <v>121</v>
      </c>
      <c r="C45" s="115" t="s">
        <v>708</v>
      </c>
      <c r="D45" s="90" t="s">
        <v>800</v>
      </c>
      <c r="E45" s="90" t="s">
        <v>801</v>
      </c>
      <c r="F45" s="90" t="s">
        <v>692</v>
      </c>
      <c r="G45" s="90" t="s">
        <v>802</v>
      </c>
    </row>
    <row r="46" spans="1:7" ht="40" customHeight="1" x14ac:dyDescent="0.4">
      <c r="A46" s="89" t="s">
        <v>725</v>
      </c>
      <c r="B46" s="90" t="s">
        <v>121</v>
      </c>
      <c r="C46" s="114" t="s">
        <v>680</v>
      </c>
      <c r="D46" s="90" t="s">
        <v>803</v>
      </c>
      <c r="E46" s="90" t="s">
        <v>691</v>
      </c>
      <c r="F46" s="90" t="s">
        <v>692</v>
      </c>
      <c r="G46" s="90" t="s">
        <v>804</v>
      </c>
    </row>
    <row r="47" spans="1:7" ht="52" customHeight="1" x14ac:dyDescent="0.4">
      <c r="A47" s="89" t="s">
        <v>444</v>
      </c>
      <c r="B47" s="90" t="s">
        <v>121</v>
      </c>
      <c r="C47" s="116" t="s">
        <v>747</v>
      </c>
      <c r="D47" s="90" t="s">
        <v>805</v>
      </c>
      <c r="E47" s="90" t="s">
        <v>806</v>
      </c>
      <c r="F47" s="90" t="s">
        <v>692</v>
      </c>
      <c r="G47" s="90" t="s">
        <v>807</v>
      </c>
    </row>
    <row r="48" spans="1:7" ht="28" customHeight="1" x14ac:dyDescent="0.4">
      <c r="A48" s="89" t="s">
        <v>808</v>
      </c>
      <c r="B48" s="90" t="s">
        <v>121</v>
      </c>
      <c r="C48" s="116" t="s">
        <v>747</v>
      </c>
      <c r="D48" s="90" t="s">
        <v>809</v>
      </c>
      <c r="E48" s="90" t="s">
        <v>810</v>
      </c>
      <c r="F48" s="90" t="s">
        <v>692</v>
      </c>
      <c r="G48" s="90" t="s">
        <v>758</v>
      </c>
    </row>
    <row r="49" spans="1:7" ht="28" customHeight="1" x14ac:dyDescent="0.4">
      <c r="A49" s="89" t="s">
        <v>811</v>
      </c>
      <c r="B49" s="90" t="s">
        <v>121</v>
      </c>
      <c r="C49" s="116" t="s">
        <v>747</v>
      </c>
      <c r="D49" s="90" t="s">
        <v>812</v>
      </c>
      <c r="E49" s="90" t="s">
        <v>749</v>
      </c>
      <c r="F49" s="90" t="s">
        <v>692</v>
      </c>
      <c r="G49" s="90" t="s">
        <v>750</v>
      </c>
    </row>
    <row r="50" spans="1:7" ht="40" customHeight="1" x14ac:dyDescent="0.4">
      <c r="A50" s="89" t="s">
        <v>9</v>
      </c>
      <c r="B50" s="90" t="s">
        <v>121</v>
      </c>
      <c r="C50" s="116" t="s">
        <v>747</v>
      </c>
      <c r="D50" s="90" t="s">
        <v>813</v>
      </c>
      <c r="E50" s="90" t="s">
        <v>752</v>
      </c>
      <c r="F50" s="90" t="s">
        <v>753</v>
      </c>
      <c r="G50" s="90" t="s">
        <v>754</v>
      </c>
    </row>
    <row r="51" spans="1:7" x14ac:dyDescent="0.4">
      <c r="A51" s="213" t="s">
        <v>814</v>
      </c>
      <c r="B51" s="142"/>
      <c r="C51" s="142"/>
      <c r="D51" s="142"/>
      <c r="E51" s="142"/>
      <c r="F51" s="142"/>
      <c r="G51" s="142"/>
    </row>
    <row r="52" spans="1:7" ht="28" customHeight="1" x14ac:dyDescent="0.4">
      <c r="A52" s="89" t="s">
        <v>451</v>
      </c>
      <c r="B52" s="90" t="s">
        <v>124</v>
      </c>
      <c r="C52" s="114" t="s">
        <v>680</v>
      </c>
      <c r="D52" s="90" t="s">
        <v>815</v>
      </c>
      <c r="E52" s="90" t="s">
        <v>682</v>
      </c>
      <c r="F52" s="90" t="s">
        <v>683</v>
      </c>
      <c r="G52" s="90" t="s">
        <v>608</v>
      </c>
    </row>
    <row r="53" spans="1:7" ht="40" customHeight="1" x14ac:dyDescent="0.4">
      <c r="A53" s="89" t="s">
        <v>438</v>
      </c>
      <c r="B53" s="90" t="s">
        <v>124</v>
      </c>
      <c r="C53" s="115" t="s">
        <v>718</v>
      </c>
      <c r="D53" s="90" t="s">
        <v>816</v>
      </c>
      <c r="E53" s="90" t="s">
        <v>817</v>
      </c>
      <c r="F53" s="90" t="s">
        <v>692</v>
      </c>
      <c r="G53" s="90" t="s">
        <v>437</v>
      </c>
    </row>
    <row r="54" spans="1:7" ht="28" customHeight="1" x14ac:dyDescent="0.4">
      <c r="A54" s="89" t="s">
        <v>689</v>
      </c>
      <c r="B54" s="90" t="s">
        <v>124</v>
      </c>
      <c r="C54" s="114" t="s">
        <v>680</v>
      </c>
      <c r="D54" s="90" t="s">
        <v>818</v>
      </c>
      <c r="E54" s="90" t="s">
        <v>691</v>
      </c>
      <c r="F54" s="90" t="s">
        <v>692</v>
      </c>
      <c r="G54" s="90" t="s">
        <v>554</v>
      </c>
    </row>
    <row r="55" spans="1:7" ht="28" customHeight="1" x14ac:dyDescent="0.4">
      <c r="A55" s="89" t="s">
        <v>174</v>
      </c>
      <c r="B55" s="90" t="s">
        <v>124</v>
      </c>
      <c r="C55" s="114" t="s">
        <v>680</v>
      </c>
      <c r="D55" s="90" t="s">
        <v>819</v>
      </c>
      <c r="E55" s="90" t="s">
        <v>691</v>
      </c>
      <c r="F55" s="90" t="s">
        <v>692</v>
      </c>
      <c r="G55" s="90" t="s">
        <v>820</v>
      </c>
    </row>
    <row r="56" spans="1:7" ht="64" customHeight="1" x14ac:dyDescent="0.4">
      <c r="A56" s="89" t="s">
        <v>447</v>
      </c>
      <c r="B56" s="90" t="s">
        <v>124</v>
      </c>
      <c r="C56" s="114" t="s">
        <v>680</v>
      </c>
      <c r="D56" s="90" t="s">
        <v>821</v>
      </c>
      <c r="E56" s="90" t="s">
        <v>691</v>
      </c>
      <c r="F56" s="90" t="s">
        <v>692</v>
      </c>
      <c r="G56" s="90" t="s">
        <v>822</v>
      </c>
    </row>
    <row r="57" spans="1:7" ht="28" customHeight="1" x14ac:dyDescent="0.4">
      <c r="A57" s="89" t="s">
        <v>823</v>
      </c>
      <c r="B57" s="90" t="s">
        <v>124</v>
      </c>
      <c r="C57" s="114" t="s">
        <v>680</v>
      </c>
      <c r="D57" s="90" t="s">
        <v>824</v>
      </c>
      <c r="E57" s="90" t="s">
        <v>691</v>
      </c>
      <c r="F57" s="90" t="s">
        <v>692</v>
      </c>
      <c r="G57" s="90" t="s">
        <v>825</v>
      </c>
    </row>
    <row r="58" spans="1:7" ht="28" customHeight="1" x14ac:dyDescent="0.4">
      <c r="A58" s="89" t="s">
        <v>826</v>
      </c>
      <c r="B58" s="90" t="s">
        <v>124</v>
      </c>
      <c r="C58" s="114" t="s">
        <v>680</v>
      </c>
      <c r="D58" s="90" t="s">
        <v>827</v>
      </c>
      <c r="E58" s="90" t="s">
        <v>691</v>
      </c>
      <c r="F58" s="90" t="s">
        <v>692</v>
      </c>
      <c r="G58" s="90" t="s">
        <v>828</v>
      </c>
    </row>
    <row r="59" spans="1:7" ht="40" customHeight="1" x14ac:dyDescent="0.4">
      <c r="A59" s="89" t="s">
        <v>829</v>
      </c>
      <c r="B59" s="90" t="s">
        <v>124</v>
      </c>
      <c r="C59" s="114" t="s">
        <v>680</v>
      </c>
      <c r="D59" s="90" t="s">
        <v>830</v>
      </c>
      <c r="E59" s="90" t="s">
        <v>691</v>
      </c>
      <c r="F59" s="90" t="s">
        <v>831</v>
      </c>
      <c r="G59" s="90" t="s">
        <v>832</v>
      </c>
    </row>
    <row r="60" spans="1:7" ht="28" customHeight="1" x14ac:dyDescent="0.4">
      <c r="A60" s="89" t="s">
        <v>833</v>
      </c>
      <c r="B60" s="90" t="s">
        <v>124</v>
      </c>
      <c r="C60" s="114" t="s">
        <v>680</v>
      </c>
      <c r="D60" s="90" t="s">
        <v>834</v>
      </c>
      <c r="E60" s="90" t="s">
        <v>691</v>
      </c>
      <c r="F60" s="90" t="s">
        <v>831</v>
      </c>
      <c r="G60" s="90" t="s">
        <v>802</v>
      </c>
    </row>
    <row r="61" spans="1:7" ht="52" customHeight="1" x14ac:dyDescent="0.4">
      <c r="A61" s="89" t="s">
        <v>835</v>
      </c>
      <c r="B61" s="90" t="s">
        <v>124</v>
      </c>
      <c r="C61" s="114" t="s">
        <v>680</v>
      </c>
      <c r="D61" s="90" t="s">
        <v>836</v>
      </c>
      <c r="E61" s="90" t="s">
        <v>837</v>
      </c>
      <c r="F61" s="90" t="s">
        <v>692</v>
      </c>
      <c r="G61" s="90" t="s">
        <v>838</v>
      </c>
    </row>
    <row r="62" spans="1:7" ht="28" customHeight="1" x14ac:dyDescent="0.4">
      <c r="A62" s="89" t="s">
        <v>839</v>
      </c>
      <c r="B62" s="90" t="s">
        <v>124</v>
      </c>
      <c r="C62" s="115" t="s">
        <v>718</v>
      </c>
      <c r="D62" s="90" t="s">
        <v>840</v>
      </c>
      <c r="E62" s="90" t="s">
        <v>841</v>
      </c>
      <c r="F62" s="90" t="s">
        <v>692</v>
      </c>
      <c r="G62" s="90" t="s">
        <v>688</v>
      </c>
    </row>
    <row r="63" spans="1:7" ht="28" customHeight="1" x14ac:dyDescent="0.4">
      <c r="A63" s="89" t="s">
        <v>842</v>
      </c>
      <c r="B63" s="90" t="s">
        <v>124</v>
      </c>
      <c r="C63" s="114" t="s">
        <v>680</v>
      </c>
      <c r="D63" s="90" t="s">
        <v>843</v>
      </c>
      <c r="E63" s="90" t="s">
        <v>691</v>
      </c>
      <c r="F63" s="90" t="s">
        <v>692</v>
      </c>
      <c r="G63" s="90" t="s">
        <v>828</v>
      </c>
    </row>
    <row r="64" spans="1:7" ht="28" customHeight="1" x14ac:dyDescent="0.4">
      <c r="A64" s="89" t="s">
        <v>844</v>
      </c>
      <c r="B64" s="90" t="s">
        <v>124</v>
      </c>
      <c r="C64" s="114" t="s">
        <v>680</v>
      </c>
      <c r="D64" s="90" t="s">
        <v>845</v>
      </c>
      <c r="E64" s="90" t="s">
        <v>691</v>
      </c>
      <c r="F64" s="90" t="s">
        <v>692</v>
      </c>
      <c r="G64" s="90" t="s">
        <v>846</v>
      </c>
    </row>
    <row r="65" spans="1:7" ht="52" customHeight="1" x14ac:dyDescent="0.4">
      <c r="A65" s="89" t="s">
        <v>444</v>
      </c>
      <c r="B65" s="90" t="s">
        <v>124</v>
      </c>
      <c r="C65" s="115" t="s">
        <v>708</v>
      </c>
      <c r="D65" s="90" t="s">
        <v>847</v>
      </c>
      <c r="E65" s="90" t="s">
        <v>848</v>
      </c>
      <c r="F65" s="90" t="s">
        <v>692</v>
      </c>
      <c r="G65" s="90" t="s">
        <v>432</v>
      </c>
    </row>
    <row r="66" spans="1:7" ht="28" customHeight="1" x14ac:dyDescent="0.4">
      <c r="A66" s="89" t="s">
        <v>849</v>
      </c>
      <c r="B66" s="90" t="s">
        <v>124</v>
      </c>
      <c r="C66" s="115" t="s">
        <v>718</v>
      </c>
      <c r="D66" s="90" t="s">
        <v>850</v>
      </c>
      <c r="E66" s="90" t="s">
        <v>851</v>
      </c>
      <c r="F66" s="90" t="s">
        <v>852</v>
      </c>
      <c r="G66" s="90" t="s">
        <v>558</v>
      </c>
    </row>
    <row r="67" spans="1:7" ht="28" customHeight="1" x14ac:dyDescent="0.4">
      <c r="A67" s="89" t="s">
        <v>853</v>
      </c>
      <c r="B67" s="90" t="s">
        <v>124</v>
      </c>
      <c r="C67" s="115" t="s">
        <v>718</v>
      </c>
      <c r="D67" s="90" t="s">
        <v>854</v>
      </c>
      <c r="E67" s="90" t="s">
        <v>855</v>
      </c>
      <c r="F67" s="90" t="s">
        <v>692</v>
      </c>
      <c r="G67" s="90" t="s">
        <v>617</v>
      </c>
    </row>
    <row r="68" spans="1:7" ht="28" customHeight="1" x14ac:dyDescent="0.4">
      <c r="A68" s="89" t="s">
        <v>856</v>
      </c>
      <c r="B68" s="90" t="s">
        <v>124</v>
      </c>
      <c r="C68" s="114" t="s">
        <v>680</v>
      </c>
      <c r="D68" s="90" t="s">
        <v>857</v>
      </c>
      <c r="E68" s="90" t="s">
        <v>691</v>
      </c>
      <c r="F68" s="90" t="s">
        <v>692</v>
      </c>
      <c r="G68" s="90" t="s">
        <v>617</v>
      </c>
    </row>
    <row r="69" spans="1:7" ht="40" customHeight="1" x14ac:dyDescent="0.4">
      <c r="A69" s="89" t="s">
        <v>725</v>
      </c>
      <c r="B69" s="90" t="s">
        <v>124</v>
      </c>
      <c r="C69" s="114" t="s">
        <v>680</v>
      </c>
      <c r="D69" s="90" t="s">
        <v>858</v>
      </c>
      <c r="E69" s="90" t="s">
        <v>691</v>
      </c>
      <c r="F69" s="90" t="s">
        <v>692</v>
      </c>
      <c r="G69" s="90" t="s">
        <v>859</v>
      </c>
    </row>
    <row r="70" spans="1:7" ht="28" customHeight="1" x14ac:dyDescent="0.4">
      <c r="A70" s="89" t="s">
        <v>250</v>
      </c>
      <c r="B70" s="90" t="s">
        <v>124</v>
      </c>
      <c r="C70" s="115" t="s">
        <v>708</v>
      </c>
      <c r="D70" s="90" t="s">
        <v>860</v>
      </c>
      <c r="E70" s="90" t="s">
        <v>741</v>
      </c>
      <c r="F70" s="90" t="s">
        <v>692</v>
      </c>
      <c r="G70" s="90" t="s">
        <v>742</v>
      </c>
    </row>
    <row r="71" spans="1:7" ht="40" customHeight="1" x14ac:dyDescent="0.4">
      <c r="A71" s="89" t="s">
        <v>9</v>
      </c>
      <c r="B71" s="90" t="s">
        <v>124</v>
      </c>
      <c r="C71" s="116" t="s">
        <v>747</v>
      </c>
      <c r="D71" s="90" t="s">
        <v>813</v>
      </c>
      <c r="E71" s="90" t="s">
        <v>752</v>
      </c>
      <c r="F71" s="90" t="s">
        <v>753</v>
      </c>
      <c r="G71" s="90" t="s">
        <v>754</v>
      </c>
    </row>
    <row r="72" spans="1:7" x14ac:dyDescent="0.4">
      <c r="A72" s="213" t="s">
        <v>861</v>
      </c>
      <c r="B72" s="142"/>
      <c r="C72" s="142"/>
      <c r="D72" s="142"/>
      <c r="E72" s="142"/>
      <c r="F72" s="142"/>
      <c r="G72" s="142"/>
    </row>
    <row r="73" spans="1:7" ht="28" customHeight="1" x14ac:dyDescent="0.4">
      <c r="A73" s="89" t="s">
        <v>862</v>
      </c>
      <c r="B73" s="90" t="s">
        <v>128</v>
      </c>
      <c r="C73" s="117" t="s">
        <v>863</v>
      </c>
      <c r="D73" s="90" t="s">
        <v>864</v>
      </c>
      <c r="E73" s="90" t="s">
        <v>691</v>
      </c>
      <c r="F73" s="90" t="s">
        <v>692</v>
      </c>
      <c r="G73" s="90" t="s">
        <v>865</v>
      </c>
    </row>
    <row r="74" spans="1:7" ht="28" customHeight="1" x14ac:dyDescent="0.4">
      <c r="A74" s="89" t="s">
        <v>483</v>
      </c>
      <c r="B74" s="90" t="s">
        <v>128</v>
      </c>
      <c r="C74" s="115" t="s">
        <v>708</v>
      </c>
      <c r="D74" s="90" t="s">
        <v>866</v>
      </c>
      <c r="E74" s="90" t="s">
        <v>867</v>
      </c>
      <c r="F74" s="90" t="s">
        <v>692</v>
      </c>
      <c r="G74" s="90" t="s">
        <v>868</v>
      </c>
    </row>
    <row r="75" spans="1:7" ht="28" customHeight="1" x14ac:dyDescent="0.4">
      <c r="A75" s="89" t="s">
        <v>869</v>
      </c>
      <c r="B75" s="90" t="s">
        <v>128</v>
      </c>
      <c r="C75" s="117" t="s">
        <v>863</v>
      </c>
      <c r="D75" s="90" t="s">
        <v>870</v>
      </c>
      <c r="E75" s="90" t="s">
        <v>691</v>
      </c>
      <c r="F75" s="90" t="s">
        <v>692</v>
      </c>
      <c r="G75" s="90" t="s">
        <v>871</v>
      </c>
    </row>
    <row r="76" spans="1:7" ht="28" customHeight="1" x14ac:dyDescent="0.4">
      <c r="A76" s="89" t="s">
        <v>541</v>
      </c>
      <c r="B76" s="90" t="s">
        <v>128</v>
      </c>
      <c r="C76" s="117" t="s">
        <v>863</v>
      </c>
      <c r="D76" s="90" t="s">
        <v>872</v>
      </c>
      <c r="E76" s="90" t="s">
        <v>691</v>
      </c>
      <c r="F76" s="90" t="s">
        <v>692</v>
      </c>
      <c r="G76" s="90" t="s">
        <v>873</v>
      </c>
    </row>
    <row r="77" spans="1:7" ht="28" customHeight="1" x14ac:dyDescent="0.4">
      <c r="A77" s="89" t="s">
        <v>378</v>
      </c>
      <c r="B77" s="90" t="s">
        <v>128</v>
      </c>
      <c r="C77" s="117" t="s">
        <v>863</v>
      </c>
      <c r="D77" s="90" t="s">
        <v>874</v>
      </c>
      <c r="E77" s="90" t="s">
        <v>691</v>
      </c>
      <c r="F77" s="90" t="s">
        <v>692</v>
      </c>
      <c r="G77" s="90" t="s">
        <v>875</v>
      </c>
    </row>
    <row r="78" spans="1:7" ht="28" customHeight="1" x14ac:dyDescent="0.4">
      <c r="A78" s="89" t="s">
        <v>876</v>
      </c>
      <c r="B78" s="90" t="s">
        <v>128</v>
      </c>
      <c r="C78" s="117" t="s">
        <v>863</v>
      </c>
      <c r="D78" s="90" t="s">
        <v>877</v>
      </c>
      <c r="E78" s="90" t="s">
        <v>691</v>
      </c>
      <c r="F78" s="90" t="s">
        <v>692</v>
      </c>
      <c r="G78" s="90" t="s">
        <v>878</v>
      </c>
    </row>
    <row r="79" spans="1:7" ht="28" customHeight="1" x14ac:dyDescent="0.4">
      <c r="A79" s="89" t="s">
        <v>879</v>
      </c>
      <c r="B79" s="90" t="s">
        <v>128</v>
      </c>
      <c r="C79" s="117" t="s">
        <v>863</v>
      </c>
      <c r="D79" s="90" t="s">
        <v>880</v>
      </c>
      <c r="E79" s="90" t="s">
        <v>881</v>
      </c>
      <c r="F79" s="90" t="s">
        <v>692</v>
      </c>
      <c r="G79" s="90" t="s">
        <v>554</v>
      </c>
    </row>
    <row r="80" spans="1:7" ht="40" customHeight="1" x14ac:dyDescent="0.4">
      <c r="A80" s="89" t="s">
        <v>544</v>
      </c>
      <c r="B80" s="90" t="s">
        <v>128</v>
      </c>
      <c r="C80" s="117" t="s">
        <v>863</v>
      </c>
      <c r="D80" s="90" t="s">
        <v>882</v>
      </c>
      <c r="E80" s="90" t="s">
        <v>691</v>
      </c>
      <c r="F80" s="90" t="s">
        <v>883</v>
      </c>
      <c r="G80" s="90" t="s">
        <v>884</v>
      </c>
    </row>
    <row r="81" spans="1:7" ht="40" customHeight="1" x14ac:dyDescent="0.4">
      <c r="A81" s="89" t="s">
        <v>885</v>
      </c>
      <c r="B81" s="90" t="s">
        <v>128</v>
      </c>
      <c r="C81" s="117" t="s">
        <v>863</v>
      </c>
      <c r="D81" s="90" t="s">
        <v>886</v>
      </c>
      <c r="E81" s="90" t="s">
        <v>691</v>
      </c>
      <c r="F81" s="90" t="s">
        <v>692</v>
      </c>
      <c r="G81" s="90" t="s">
        <v>887</v>
      </c>
    </row>
    <row r="82" spans="1:7" ht="40" customHeight="1" x14ac:dyDescent="0.4">
      <c r="A82" s="89" t="s">
        <v>888</v>
      </c>
      <c r="B82" s="90" t="s">
        <v>128</v>
      </c>
      <c r="C82" s="117" t="s">
        <v>863</v>
      </c>
      <c r="D82" s="90" t="s">
        <v>889</v>
      </c>
      <c r="E82" s="90" t="s">
        <v>691</v>
      </c>
      <c r="F82" s="90" t="s">
        <v>692</v>
      </c>
      <c r="G82" s="90" t="s">
        <v>890</v>
      </c>
    </row>
    <row r="83" spans="1:7" ht="40" customHeight="1" x14ac:dyDescent="0.4">
      <c r="A83" s="89" t="s">
        <v>891</v>
      </c>
      <c r="B83" s="90" t="s">
        <v>128</v>
      </c>
      <c r="C83" s="117" t="s">
        <v>863</v>
      </c>
      <c r="D83" s="90" t="s">
        <v>892</v>
      </c>
      <c r="E83" s="90" t="s">
        <v>691</v>
      </c>
      <c r="F83" s="90" t="s">
        <v>692</v>
      </c>
      <c r="G83" s="90" t="s">
        <v>890</v>
      </c>
    </row>
    <row r="84" spans="1:7" ht="40" customHeight="1" x14ac:dyDescent="0.4">
      <c r="A84" s="89" t="s">
        <v>893</v>
      </c>
      <c r="B84" s="90" t="s">
        <v>128</v>
      </c>
      <c r="C84" s="117" t="s">
        <v>863</v>
      </c>
      <c r="D84" s="90" t="s">
        <v>894</v>
      </c>
      <c r="E84" s="90" t="s">
        <v>691</v>
      </c>
      <c r="F84" s="90" t="s">
        <v>692</v>
      </c>
      <c r="G84" s="90" t="s">
        <v>890</v>
      </c>
    </row>
    <row r="85" spans="1:7" ht="40" customHeight="1" x14ac:dyDescent="0.4">
      <c r="A85" s="89" t="s">
        <v>895</v>
      </c>
      <c r="B85" s="90" t="s">
        <v>128</v>
      </c>
      <c r="C85" s="117" t="s">
        <v>863</v>
      </c>
      <c r="D85" s="90" t="s">
        <v>896</v>
      </c>
      <c r="E85" s="90" t="s">
        <v>691</v>
      </c>
      <c r="F85" s="90" t="s">
        <v>692</v>
      </c>
      <c r="G85" s="90" t="s">
        <v>832</v>
      </c>
    </row>
    <row r="86" spans="1:7" ht="40" customHeight="1" x14ac:dyDescent="0.4">
      <c r="A86" s="89" t="s">
        <v>897</v>
      </c>
      <c r="B86" s="90" t="s">
        <v>128</v>
      </c>
      <c r="C86" s="117" t="s">
        <v>863</v>
      </c>
      <c r="D86" s="90" t="s">
        <v>898</v>
      </c>
      <c r="E86" s="90" t="s">
        <v>691</v>
      </c>
      <c r="F86" s="90" t="s">
        <v>692</v>
      </c>
      <c r="G86" s="90" t="s">
        <v>890</v>
      </c>
    </row>
    <row r="87" spans="1:7" ht="40" customHeight="1" x14ac:dyDescent="0.4">
      <c r="A87" s="89" t="s">
        <v>899</v>
      </c>
      <c r="B87" s="90" t="s">
        <v>128</v>
      </c>
      <c r="C87" s="117" t="s">
        <v>863</v>
      </c>
      <c r="D87" s="90" t="s">
        <v>900</v>
      </c>
      <c r="E87" s="90" t="s">
        <v>691</v>
      </c>
      <c r="F87" s="90" t="s">
        <v>692</v>
      </c>
      <c r="G87" s="90" t="s">
        <v>890</v>
      </c>
    </row>
    <row r="88" spans="1:7" ht="40" customHeight="1" x14ac:dyDescent="0.4">
      <c r="A88" s="89" t="s">
        <v>901</v>
      </c>
      <c r="B88" s="90" t="s">
        <v>128</v>
      </c>
      <c r="C88" s="117" t="s">
        <v>863</v>
      </c>
      <c r="D88" s="90" t="s">
        <v>902</v>
      </c>
      <c r="E88" s="90" t="s">
        <v>691</v>
      </c>
      <c r="F88" s="90" t="s">
        <v>692</v>
      </c>
      <c r="G88" s="90" t="s">
        <v>890</v>
      </c>
    </row>
    <row r="89" spans="1:7" ht="40" customHeight="1" x14ac:dyDescent="0.4">
      <c r="A89" s="89" t="s">
        <v>903</v>
      </c>
      <c r="B89" s="90" t="s">
        <v>128</v>
      </c>
      <c r="C89" s="117" t="s">
        <v>863</v>
      </c>
      <c r="D89" s="90" t="s">
        <v>904</v>
      </c>
      <c r="E89" s="90" t="s">
        <v>691</v>
      </c>
      <c r="F89" s="90" t="s">
        <v>692</v>
      </c>
      <c r="G89" s="90" t="s">
        <v>890</v>
      </c>
    </row>
    <row r="90" spans="1:7" ht="28" customHeight="1" x14ac:dyDescent="0.4">
      <c r="A90" s="89" t="s">
        <v>905</v>
      </c>
      <c r="B90" s="90" t="s">
        <v>128</v>
      </c>
      <c r="C90" s="117" t="s">
        <v>863</v>
      </c>
      <c r="D90" s="90" t="s">
        <v>906</v>
      </c>
      <c r="E90" s="90" t="s">
        <v>691</v>
      </c>
      <c r="F90" s="90" t="s">
        <v>692</v>
      </c>
      <c r="G90" s="90" t="s">
        <v>907</v>
      </c>
    </row>
    <row r="91" spans="1:7" ht="40" customHeight="1" x14ac:dyDescent="0.4">
      <c r="A91" s="89" t="s">
        <v>9</v>
      </c>
      <c r="B91" s="90" t="s">
        <v>128</v>
      </c>
      <c r="C91" s="116" t="s">
        <v>747</v>
      </c>
      <c r="D91" s="90" t="s">
        <v>813</v>
      </c>
      <c r="E91" s="90" t="s">
        <v>752</v>
      </c>
      <c r="F91" s="90" t="s">
        <v>753</v>
      </c>
      <c r="G91" s="90" t="s">
        <v>754</v>
      </c>
    </row>
    <row r="92" spans="1:7" x14ac:dyDescent="0.4">
      <c r="A92" s="213" t="s">
        <v>908</v>
      </c>
      <c r="B92" s="142"/>
      <c r="C92" s="142"/>
      <c r="D92" s="142"/>
      <c r="E92" s="142"/>
      <c r="F92" s="142"/>
      <c r="G92" s="142"/>
    </row>
    <row r="93" spans="1:7" ht="28" customHeight="1" x14ac:dyDescent="0.4">
      <c r="A93" s="89" t="s">
        <v>451</v>
      </c>
      <c r="B93" s="90" t="s">
        <v>132</v>
      </c>
      <c r="C93" s="114" t="s">
        <v>680</v>
      </c>
      <c r="D93" s="90" t="s">
        <v>909</v>
      </c>
      <c r="E93" s="90" t="s">
        <v>682</v>
      </c>
      <c r="F93" s="90" t="s">
        <v>683</v>
      </c>
      <c r="G93" s="90" t="s">
        <v>608</v>
      </c>
    </row>
    <row r="94" spans="1:7" ht="28" customHeight="1" x14ac:dyDescent="0.4">
      <c r="A94" s="89" t="s">
        <v>684</v>
      </c>
      <c r="B94" s="90" t="s">
        <v>132</v>
      </c>
      <c r="C94" s="114" t="s">
        <v>680</v>
      </c>
      <c r="D94" s="90" t="s">
        <v>910</v>
      </c>
      <c r="E94" s="90" t="s">
        <v>686</v>
      </c>
      <c r="F94" s="90" t="s">
        <v>687</v>
      </c>
      <c r="G94" s="90" t="s">
        <v>688</v>
      </c>
    </row>
    <row r="95" spans="1:7" ht="40" customHeight="1" x14ac:dyDescent="0.4">
      <c r="A95" s="89" t="s">
        <v>911</v>
      </c>
      <c r="B95" s="90" t="s">
        <v>132</v>
      </c>
      <c r="C95" s="114" t="s">
        <v>680</v>
      </c>
      <c r="D95" s="90" t="s">
        <v>912</v>
      </c>
      <c r="E95" s="90" t="s">
        <v>913</v>
      </c>
      <c r="F95" s="90" t="s">
        <v>692</v>
      </c>
      <c r="G95" s="90" t="s">
        <v>914</v>
      </c>
    </row>
    <row r="96" spans="1:7" ht="40" customHeight="1" x14ac:dyDescent="0.4">
      <c r="A96" s="89" t="s">
        <v>915</v>
      </c>
      <c r="B96" s="90" t="s">
        <v>132</v>
      </c>
      <c r="C96" s="114" t="s">
        <v>916</v>
      </c>
      <c r="D96" s="90" t="s">
        <v>917</v>
      </c>
      <c r="E96" s="90" t="s">
        <v>691</v>
      </c>
      <c r="F96" s="90" t="s">
        <v>692</v>
      </c>
      <c r="G96" s="90" t="s">
        <v>918</v>
      </c>
    </row>
    <row r="97" spans="1:7" ht="28" customHeight="1" x14ac:dyDescent="0.4">
      <c r="A97" s="89" t="s">
        <v>919</v>
      </c>
      <c r="B97" s="90" t="s">
        <v>132</v>
      </c>
      <c r="C97" s="115" t="s">
        <v>718</v>
      </c>
      <c r="D97" s="90" t="s">
        <v>920</v>
      </c>
      <c r="E97" s="90" t="s">
        <v>921</v>
      </c>
      <c r="F97" s="90" t="s">
        <v>692</v>
      </c>
      <c r="G97" s="90" t="s">
        <v>887</v>
      </c>
    </row>
    <row r="98" spans="1:7" ht="40" customHeight="1" x14ac:dyDescent="0.4">
      <c r="A98" s="89" t="s">
        <v>922</v>
      </c>
      <c r="B98" s="90" t="s">
        <v>132</v>
      </c>
      <c r="C98" s="115" t="s">
        <v>718</v>
      </c>
      <c r="D98" s="90" t="s">
        <v>923</v>
      </c>
      <c r="E98" s="90" t="s">
        <v>924</v>
      </c>
      <c r="F98" s="90" t="s">
        <v>692</v>
      </c>
      <c r="G98" s="90"/>
    </row>
    <row r="99" spans="1:7" ht="40" customHeight="1" x14ac:dyDescent="0.4">
      <c r="A99" s="89" t="s">
        <v>925</v>
      </c>
      <c r="B99" s="90" t="s">
        <v>132</v>
      </c>
      <c r="C99" s="115" t="s">
        <v>718</v>
      </c>
      <c r="D99" s="90" t="s">
        <v>926</v>
      </c>
      <c r="E99" s="90" t="s">
        <v>927</v>
      </c>
      <c r="F99" s="90" t="s">
        <v>692</v>
      </c>
      <c r="G99" s="90"/>
    </row>
    <row r="100" spans="1:7" ht="88" customHeight="1" x14ac:dyDescent="0.4">
      <c r="A100" s="89" t="s">
        <v>928</v>
      </c>
      <c r="B100" s="90" t="s">
        <v>132</v>
      </c>
      <c r="C100" s="115" t="s">
        <v>718</v>
      </c>
      <c r="D100" s="90" t="s">
        <v>929</v>
      </c>
      <c r="E100" s="90" t="s">
        <v>692</v>
      </c>
      <c r="F100" s="90" t="s">
        <v>692</v>
      </c>
      <c r="G100" s="90"/>
    </row>
    <row r="101" spans="1:7" ht="28" customHeight="1" x14ac:dyDescent="0.4">
      <c r="A101" s="89" t="s">
        <v>743</v>
      </c>
      <c r="B101" s="90" t="s">
        <v>132</v>
      </c>
      <c r="C101" s="115" t="s">
        <v>718</v>
      </c>
      <c r="D101" s="90" t="s">
        <v>744</v>
      </c>
      <c r="E101" s="90" t="s">
        <v>745</v>
      </c>
      <c r="F101" s="90" t="s">
        <v>692</v>
      </c>
      <c r="G101" s="90" t="s">
        <v>688</v>
      </c>
    </row>
    <row r="102" spans="1:7" ht="64" customHeight="1" x14ac:dyDescent="0.4">
      <c r="A102" s="89" t="s">
        <v>930</v>
      </c>
      <c r="B102" s="90" t="s">
        <v>132</v>
      </c>
      <c r="C102" s="115" t="s">
        <v>718</v>
      </c>
      <c r="D102" s="90" t="s">
        <v>931</v>
      </c>
      <c r="E102" s="90" t="s">
        <v>932</v>
      </c>
      <c r="F102" s="90" t="s">
        <v>692</v>
      </c>
      <c r="G102" s="90"/>
    </row>
    <row r="103" spans="1:7" x14ac:dyDescent="0.4">
      <c r="A103" s="213" t="s">
        <v>933</v>
      </c>
      <c r="B103" s="142"/>
      <c r="C103" s="142"/>
      <c r="D103" s="142"/>
      <c r="E103" s="142"/>
      <c r="F103" s="142"/>
      <c r="G103" s="142"/>
    </row>
    <row r="104" spans="1:7" ht="28" customHeight="1" x14ac:dyDescent="0.4">
      <c r="A104" s="89" t="s">
        <v>483</v>
      </c>
      <c r="B104" s="90" t="s">
        <v>135</v>
      </c>
      <c r="C104" s="117" t="s">
        <v>863</v>
      </c>
      <c r="D104" s="90" t="s">
        <v>934</v>
      </c>
      <c r="E104" s="90" t="s">
        <v>867</v>
      </c>
      <c r="F104" s="90" t="s">
        <v>692</v>
      </c>
      <c r="G104" s="90" t="s">
        <v>868</v>
      </c>
    </row>
    <row r="105" spans="1:7" ht="28" customHeight="1" x14ac:dyDescent="0.4">
      <c r="A105" s="89" t="s">
        <v>95</v>
      </c>
      <c r="B105" s="90" t="s">
        <v>135</v>
      </c>
      <c r="C105" s="115" t="s">
        <v>718</v>
      </c>
      <c r="D105" s="90" t="s">
        <v>935</v>
      </c>
      <c r="E105" s="90" t="s">
        <v>692</v>
      </c>
      <c r="F105" s="90" t="s">
        <v>692</v>
      </c>
      <c r="G105" s="90" t="s">
        <v>832</v>
      </c>
    </row>
    <row r="106" spans="1:7" ht="52" customHeight="1" x14ac:dyDescent="0.4">
      <c r="A106" s="89" t="s">
        <v>936</v>
      </c>
      <c r="B106" s="90" t="s">
        <v>135</v>
      </c>
      <c r="C106" s="117" t="s">
        <v>863</v>
      </c>
      <c r="D106" s="90" t="s">
        <v>937</v>
      </c>
      <c r="E106" s="90" t="s">
        <v>691</v>
      </c>
      <c r="F106" s="90" t="s">
        <v>692</v>
      </c>
      <c r="G106" s="90" t="s">
        <v>938</v>
      </c>
    </row>
    <row r="107" spans="1:7" ht="52" customHeight="1" x14ac:dyDescent="0.4">
      <c r="A107" s="89" t="s">
        <v>939</v>
      </c>
      <c r="B107" s="90" t="s">
        <v>135</v>
      </c>
      <c r="C107" s="115" t="s">
        <v>718</v>
      </c>
      <c r="D107" s="90" t="s">
        <v>940</v>
      </c>
      <c r="E107" s="90" t="s">
        <v>692</v>
      </c>
      <c r="F107" s="90" t="s">
        <v>692</v>
      </c>
      <c r="G107" s="90"/>
    </row>
    <row r="108" spans="1:7" ht="64" customHeight="1" x14ac:dyDescent="0.4">
      <c r="A108" s="89" t="s">
        <v>941</v>
      </c>
      <c r="B108" s="90" t="s">
        <v>135</v>
      </c>
      <c r="C108" s="115" t="s">
        <v>718</v>
      </c>
      <c r="D108" s="90" t="s">
        <v>942</v>
      </c>
      <c r="E108" s="90" t="s">
        <v>692</v>
      </c>
      <c r="F108" s="90" t="s">
        <v>692</v>
      </c>
      <c r="G108" s="90" t="s">
        <v>943</v>
      </c>
    </row>
    <row r="109" spans="1:7" ht="28" customHeight="1" x14ac:dyDescent="0.4">
      <c r="A109" s="89" t="s">
        <v>743</v>
      </c>
      <c r="B109" s="90" t="s">
        <v>135</v>
      </c>
      <c r="C109" s="115" t="s">
        <v>718</v>
      </c>
      <c r="D109" s="90" t="s">
        <v>744</v>
      </c>
      <c r="E109" s="90" t="s">
        <v>745</v>
      </c>
      <c r="F109" s="90" t="s">
        <v>692</v>
      </c>
      <c r="G109" s="90" t="s">
        <v>944</v>
      </c>
    </row>
    <row r="110" spans="1:7" x14ac:dyDescent="0.4">
      <c r="A110" s="213" t="s">
        <v>945</v>
      </c>
      <c r="B110" s="142"/>
      <c r="C110" s="142"/>
      <c r="D110" s="142"/>
      <c r="E110" s="142"/>
      <c r="F110" s="142"/>
      <c r="G110" s="142"/>
    </row>
    <row r="111" spans="1:7" ht="28" customHeight="1" x14ac:dyDescent="0.4">
      <c r="A111" s="89" t="s">
        <v>946</v>
      </c>
      <c r="B111" s="90" t="s">
        <v>138</v>
      </c>
      <c r="C111" s="115" t="s">
        <v>718</v>
      </c>
      <c r="D111" s="90" t="s">
        <v>947</v>
      </c>
      <c r="E111" s="90" t="s">
        <v>948</v>
      </c>
      <c r="F111" s="90" t="s">
        <v>692</v>
      </c>
      <c r="G111" s="90" t="s">
        <v>608</v>
      </c>
    </row>
    <row r="112" spans="1:7" ht="28" customHeight="1" x14ac:dyDescent="0.4">
      <c r="A112" s="89" t="s">
        <v>949</v>
      </c>
      <c r="B112" s="90" t="s">
        <v>138</v>
      </c>
      <c r="C112" s="115" t="s">
        <v>718</v>
      </c>
      <c r="D112" s="90" t="s">
        <v>950</v>
      </c>
      <c r="E112" s="90" t="s">
        <v>951</v>
      </c>
      <c r="F112" s="90" t="s">
        <v>692</v>
      </c>
      <c r="G112" s="90" t="s">
        <v>18</v>
      </c>
    </row>
    <row r="113" spans="1:7" ht="28" customHeight="1" x14ac:dyDescent="0.4">
      <c r="A113" s="89" t="s">
        <v>173</v>
      </c>
      <c r="B113" s="90" t="s">
        <v>138</v>
      </c>
      <c r="C113" s="115" t="s">
        <v>718</v>
      </c>
      <c r="D113" s="90" t="s">
        <v>952</v>
      </c>
      <c r="E113" s="90" t="s">
        <v>953</v>
      </c>
      <c r="F113" s="90" t="s">
        <v>692</v>
      </c>
      <c r="G113" s="90" t="s">
        <v>598</v>
      </c>
    </row>
    <row r="114" spans="1:7" ht="28" customHeight="1" x14ac:dyDescent="0.4">
      <c r="A114" s="89" t="s">
        <v>174</v>
      </c>
      <c r="B114" s="90" t="s">
        <v>138</v>
      </c>
      <c r="C114" s="115" t="s">
        <v>718</v>
      </c>
      <c r="D114" s="90" t="s">
        <v>954</v>
      </c>
      <c r="E114" s="90" t="s">
        <v>955</v>
      </c>
      <c r="F114" s="90" t="s">
        <v>692</v>
      </c>
      <c r="G114" s="90" t="s">
        <v>956</v>
      </c>
    </row>
    <row r="115" spans="1:7" ht="52" customHeight="1" x14ac:dyDescent="0.4">
      <c r="A115" s="89" t="s">
        <v>957</v>
      </c>
      <c r="B115" s="90" t="s">
        <v>138</v>
      </c>
      <c r="C115" s="115" t="s">
        <v>718</v>
      </c>
      <c r="D115" s="90" t="s">
        <v>958</v>
      </c>
      <c r="E115" s="90" t="s">
        <v>959</v>
      </c>
      <c r="F115" s="90" t="s">
        <v>692</v>
      </c>
      <c r="G115" s="90" t="s">
        <v>204</v>
      </c>
    </row>
    <row r="116" spans="1:7" ht="40" customHeight="1" x14ac:dyDescent="0.4">
      <c r="A116" s="89" t="s">
        <v>960</v>
      </c>
      <c r="B116" s="90" t="s">
        <v>138</v>
      </c>
      <c r="C116" s="115" t="s">
        <v>718</v>
      </c>
      <c r="D116" s="90" t="s">
        <v>961</v>
      </c>
      <c r="E116" s="90" t="s">
        <v>962</v>
      </c>
      <c r="F116" s="90" t="s">
        <v>692</v>
      </c>
      <c r="G116" s="90" t="s">
        <v>27</v>
      </c>
    </row>
    <row r="117" spans="1:7" ht="88" customHeight="1" x14ac:dyDescent="0.4">
      <c r="A117" s="89" t="s">
        <v>963</v>
      </c>
      <c r="B117" s="90" t="s">
        <v>138</v>
      </c>
      <c r="C117" s="116" t="s">
        <v>747</v>
      </c>
      <c r="D117" s="90" t="s">
        <v>964</v>
      </c>
      <c r="E117" s="90" t="s">
        <v>965</v>
      </c>
      <c r="F117" s="90" t="s">
        <v>966</v>
      </c>
      <c r="G117" s="90" t="s">
        <v>967</v>
      </c>
    </row>
    <row r="118" spans="1:7" ht="64" customHeight="1" x14ac:dyDescent="0.4">
      <c r="A118" s="89" t="s">
        <v>968</v>
      </c>
      <c r="B118" s="90" t="s">
        <v>138</v>
      </c>
      <c r="C118" s="116" t="s">
        <v>747</v>
      </c>
      <c r="D118" s="90" t="s">
        <v>969</v>
      </c>
      <c r="E118" s="90" t="s">
        <v>970</v>
      </c>
      <c r="F118" s="90" t="s">
        <v>692</v>
      </c>
      <c r="G118" s="90" t="s">
        <v>832</v>
      </c>
    </row>
    <row r="119" spans="1:7" ht="64" customHeight="1" x14ac:dyDescent="0.4">
      <c r="A119" s="89" t="s">
        <v>971</v>
      </c>
      <c r="B119" s="90" t="s">
        <v>138</v>
      </c>
      <c r="C119" s="116" t="s">
        <v>747</v>
      </c>
      <c r="D119" s="90" t="s">
        <v>972</v>
      </c>
      <c r="E119" s="90" t="s">
        <v>973</v>
      </c>
      <c r="F119" s="90" t="s">
        <v>692</v>
      </c>
      <c r="G119" s="90" t="s">
        <v>974</v>
      </c>
    </row>
    <row r="120" spans="1:7" ht="28" customHeight="1" x14ac:dyDescent="0.4">
      <c r="A120" s="89" t="s">
        <v>975</v>
      </c>
      <c r="B120" s="90" t="s">
        <v>138</v>
      </c>
      <c r="C120" s="116" t="s">
        <v>747</v>
      </c>
      <c r="D120" s="90" t="s">
        <v>976</v>
      </c>
      <c r="E120" s="90" t="s">
        <v>749</v>
      </c>
      <c r="F120" s="90" t="s">
        <v>692</v>
      </c>
      <c r="G120" s="90" t="s">
        <v>750</v>
      </c>
    </row>
    <row r="121" spans="1:7" ht="28" customHeight="1" x14ac:dyDescent="0.4">
      <c r="A121" s="89" t="s">
        <v>755</v>
      </c>
      <c r="B121" s="90" t="s">
        <v>138</v>
      </c>
      <c r="C121" s="116" t="s">
        <v>747</v>
      </c>
      <c r="D121" s="90" t="s">
        <v>756</v>
      </c>
      <c r="E121" s="90" t="s">
        <v>757</v>
      </c>
      <c r="F121" s="90" t="s">
        <v>692</v>
      </c>
      <c r="G121" s="90" t="s">
        <v>758</v>
      </c>
    </row>
    <row r="122" spans="1:7" ht="28" customHeight="1" x14ac:dyDescent="0.4">
      <c r="A122" s="89" t="s">
        <v>444</v>
      </c>
      <c r="B122" s="90" t="s">
        <v>138</v>
      </c>
      <c r="C122" s="116" t="s">
        <v>747</v>
      </c>
      <c r="D122" s="90" t="s">
        <v>977</v>
      </c>
      <c r="E122" s="90" t="s">
        <v>978</v>
      </c>
      <c r="F122" s="90" t="s">
        <v>692</v>
      </c>
      <c r="G122" s="90" t="s">
        <v>979</v>
      </c>
    </row>
    <row r="123" spans="1:7" x14ac:dyDescent="0.4">
      <c r="A123" s="213" t="s">
        <v>980</v>
      </c>
      <c r="B123" s="142"/>
      <c r="C123" s="142"/>
      <c r="D123" s="142"/>
      <c r="E123" s="142"/>
      <c r="F123" s="142"/>
      <c r="G123" s="142"/>
    </row>
    <row r="124" spans="1:7" ht="28" customHeight="1" x14ac:dyDescent="0.4">
      <c r="A124" s="89" t="s">
        <v>413</v>
      </c>
      <c r="B124" s="90" t="s">
        <v>981</v>
      </c>
      <c r="C124" s="115" t="s">
        <v>708</v>
      </c>
      <c r="D124" s="90" t="s">
        <v>982</v>
      </c>
      <c r="E124" s="90" t="s">
        <v>983</v>
      </c>
      <c r="F124" s="90" t="s">
        <v>984</v>
      </c>
      <c r="G124" s="90" t="s">
        <v>985</v>
      </c>
    </row>
    <row r="125" spans="1:7" ht="28" customHeight="1" x14ac:dyDescent="0.4">
      <c r="A125" s="89" t="s">
        <v>414</v>
      </c>
      <c r="B125" s="90" t="s">
        <v>87</v>
      </c>
      <c r="C125" s="115" t="s">
        <v>708</v>
      </c>
      <c r="D125" s="90" t="s">
        <v>986</v>
      </c>
      <c r="E125" s="90" t="s">
        <v>987</v>
      </c>
      <c r="F125" s="90" t="s">
        <v>988</v>
      </c>
      <c r="G125" s="90" t="s">
        <v>989</v>
      </c>
    </row>
    <row r="126" spans="1:7" ht="28" customHeight="1" x14ac:dyDescent="0.4">
      <c r="A126" s="89" t="s">
        <v>205</v>
      </c>
      <c r="B126" s="90" t="s">
        <v>990</v>
      </c>
      <c r="C126" s="115" t="s">
        <v>708</v>
      </c>
      <c r="D126" s="90" t="s">
        <v>991</v>
      </c>
      <c r="E126" s="90" t="s">
        <v>992</v>
      </c>
      <c r="F126" s="90" t="s">
        <v>993</v>
      </c>
      <c r="G126" s="90" t="s">
        <v>994</v>
      </c>
    </row>
    <row r="127" spans="1:7" ht="28" customHeight="1" x14ac:dyDescent="0.4">
      <c r="A127" s="89" t="s">
        <v>198</v>
      </c>
      <c r="B127" s="90" t="s">
        <v>995</v>
      </c>
      <c r="C127" s="115" t="s">
        <v>708</v>
      </c>
      <c r="D127" s="90" t="s">
        <v>996</v>
      </c>
      <c r="E127" s="90" t="s">
        <v>997</v>
      </c>
      <c r="F127" s="90" t="s">
        <v>998</v>
      </c>
      <c r="G127" s="90" t="s">
        <v>999</v>
      </c>
    </row>
    <row r="128" spans="1:7" ht="28" customHeight="1" x14ac:dyDescent="0.4">
      <c r="A128" s="89" t="s">
        <v>195</v>
      </c>
      <c r="B128" s="90" t="s">
        <v>68</v>
      </c>
      <c r="C128" s="115" t="s">
        <v>1000</v>
      </c>
      <c r="D128" s="90" t="s">
        <v>1001</v>
      </c>
      <c r="E128" s="90" t="s">
        <v>1002</v>
      </c>
      <c r="F128" s="90" t="s">
        <v>998</v>
      </c>
      <c r="G128" s="90" t="s">
        <v>1003</v>
      </c>
    </row>
    <row r="129" spans="1:7" ht="40" customHeight="1" x14ac:dyDescent="0.4">
      <c r="A129" s="89" t="s">
        <v>1004</v>
      </c>
      <c r="B129" s="90" t="s">
        <v>68</v>
      </c>
      <c r="C129" s="115" t="s">
        <v>708</v>
      </c>
      <c r="D129" s="90" t="s">
        <v>1005</v>
      </c>
      <c r="E129" s="90" t="s">
        <v>1006</v>
      </c>
      <c r="F129" s="90" t="s">
        <v>998</v>
      </c>
      <c r="G129" s="90" t="s">
        <v>999</v>
      </c>
    </row>
    <row r="130" spans="1:7" ht="28" customHeight="1" x14ac:dyDescent="0.4">
      <c r="A130" s="89" t="s">
        <v>1007</v>
      </c>
      <c r="B130" s="90" t="s">
        <v>1008</v>
      </c>
      <c r="C130" s="115" t="s">
        <v>708</v>
      </c>
      <c r="D130" s="90" t="s">
        <v>1009</v>
      </c>
      <c r="E130" s="90" t="s">
        <v>1010</v>
      </c>
      <c r="F130" s="90" t="s">
        <v>998</v>
      </c>
      <c r="G130" s="90" t="s">
        <v>1011</v>
      </c>
    </row>
    <row r="131" spans="1:7" ht="64" customHeight="1" x14ac:dyDescent="0.4">
      <c r="A131" s="89" t="s">
        <v>225</v>
      </c>
      <c r="B131" s="90" t="s">
        <v>1012</v>
      </c>
      <c r="C131" s="115" t="s">
        <v>708</v>
      </c>
      <c r="D131" s="90" t="s">
        <v>1013</v>
      </c>
      <c r="E131" s="90" t="s">
        <v>1014</v>
      </c>
      <c r="F131" s="90" t="s">
        <v>1015</v>
      </c>
      <c r="G131" s="90" t="s">
        <v>3</v>
      </c>
    </row>
    <row r="132" spans="1:7" ht="28" customHeight="1" x14ac:dyDescent="0.4">
      <c r="A132" s="89" t="s">
        <v>1016</v>
      </c>
      <c r="B132" s="90" t="s">
        <v>87</v>
      </c>
      <c r="C132" s="115" t="s">
        <v>708</v>
      </c>
      <c r="D132" s="90" t="s">
        <v>1017</v>
      </c>
      <c r="E132" s="90" t="s">
        <v>1018</v>
      </c>
      <c r="F132" s="90" t="s">
        <v>1019</v>
      </c>
      <c r="G132" s="90" t="s">
        <v>1020</v>
      </c>
    </row>
    <row r="133" spans="1:7" ht="28" customHeight="1" x14ac:dyDescent="0.4">
      <c r="A133" s="89" t="s">
        <v>420</v>
      </c>
      <c r="B133" s="90" t="s">
        <v>87</v>
      </c>
      <c r="C133" s="115" t="s">
        <v>1021</v>
      </c>
      <c r="D133" s="90" t="s">
        <v>1022</v>
      </c>
      <c r="E133" s="90" t="s">
        <v>1023</v>
      </c>
      <c r="F133" s="90" t="s">
        <v>1024</v>
      </c>
      <c r="G133" s="90" t="s">
        <v>1025</v>
      </c>
    </row>
    <row r="134" spans="1:7" ht="28" customHeight="1" x14ac:dyDescent="0.4">
      <c r="A134" s="89" t="s">
        <v>1026</v>
      </c>
      <c r="B134" s="90" t="s">
        <v>1027</v>
      </c>
      <c r="C134" s="115" t="s">
        <v>708</v>
      </c>
      <c r="D134" s="90" t="s">
        <v>1028</v>
      </c>
      <c r="E134" s="90" t="s">
        <v>1029</v>
      </c>
      <c r="F134" s="90" t="s">
        <v>1030</v>
      </c>
      <c r="G134" s="90" t="s">
        <v>887</v>
      </c>
    </row>
    <row r="135" spans="1:7" ht="40" customHeight="1" x14ac:dyDescent="0.4">
      <c r="A135" s="89" t="s">
        <v>47</v>
      </c>
      <c r="B135" s="90" t="s">
        <v>60</v>
      </c>
      <c r="C135" s="115" t="s">
        <v>708</v>
      </c>
      <c r="D135" s="90" t="s">
        <v>1031</v>
      </c>
      <c r="E135" s="90" t="s">
        <v>1032</v>
      </c>
      <c r="F135" s="90" t="s">
        <v>1033</v>
      </c>
      <c r="G135" s="90" t="s">
        <v>1034</v>
      </c>
    </row>
    <row r="136" spans="1:7" ht="28" customHeight="1" x14ac:dyDescent="0.4">
      <c r="A136" s="89" t="s">
        <v>495</v>
      </c>
      <c r="B136" s="90" t="s">
        <v>98</v>
      </c>
      <c r="C136" s="115" t="s">
        <v>708</v>
      </c>
      <c r="D136" s="90" t="s">
        <v>1035</v>
      </c>
      <c r="E136" s="90" t="s">
        <v>1036</v>
      </c>
      <c r="F136" s="90" t="s">
        <v>687</v>
      </c>
      <c r="G136" s="90" t="s">
        <v>1037</v>
      </c>
    </row>
    <row r="137" spans="1:7" ht="52" customHeight="1" x14ac:dyDescent="0.4">
      <c r="A137" s="89" t="s">
        <v>1038</v>
      </c>
      <c r="B137" s="90" t="s">
        <v>1039</v>
      </c>
      <c r="C137" s="115" t="s">
        <v>1040</v>
      </c>
      <c r="D137" s="90" t="s">
        <v>1041</v>
      </c>
      <c r="E137" s="90" t="s">
        <v>1042</v>
      </c>
      <c r="F137" s="90" t="s">
        <v>1043</v>
      </c>
      <c r="G137" s="90" t="s">
        <v>1044</v>
      </c>
    </row>
    <row r="138" spans="1:7" x14ac:dyDescent="0.4">
      <c r="A138" s="213" t="s">
        <v>1045</v>
      </c>
      <c r="B138" s="142"/>
      <c r="C138" s="142"/>
      <c r="D138" s="142"/>
      <c r="E138" s="142"/>
      <c r="F138" s="142"/>
      <c r="G138" s="142"/>
    </row>
    <row r="139" spans="1:7" ht="28" customHeight="1" x14ac:dyDescent="0.4">
      <c r="A139" s="89" t="s">
        <v>1046</v>
      </c>
      <c r="B139" s="90" t="s">
        <v>1047</v>
      </c>
      <c r="C139" s="116" t="s">
        <v>1048</v>
      </c>
      <c r="D139" s="90" t="s">
        <v>1049</v>
      </c>
      <c r="E139" s="90" t="s">
        <v>1050</v>
      </c>
      <c r="F139" s="90" t="s">
        <v>1051</v>
      </c>
      <c r="G139" s="90" t="str">
        <f>FIXED(pesoImpatto,2)&amp;" / "&amp;FIXED(pesoProbabilita,2)&amp;" / "&amp;FIXED(pesoProssimita,2)&amp;" / "&amp;FIXED(pesoVelocity,2)</f>
        <v>0,35 / 0,25 / 0,20 / 0,20</v>
      </c>
    </row>
    <row r="140" spans="1:7" ht="28" customHeight="1" x14ac:dyDescent="0.4">
      <c r="A140" s="89" t="s">
        <v>1052</v>
      </c>
      <c r="B140" s="90" t="s">
        <v>1053</v>
      </c>
      <c r="C140" s="116" t="s">
        <v>1054</v>
      </c>
      <c r="D140" s="90" t="s">
        <v>1055</v>
      </c>
      <c r="E140" s="90" t="s">
        <v>1056</v>
      </c>
      <c r="F140" s="90" t="s">
        <v>1024</v>
      </c>
      <c r="G140" s="90" t="str">
        <f>FIXED(sogliaDirezione,0)</f>
        <v>2</v>
      </c>
    </row>
    <row r="141" spans="1:7" ht="28" customHeight="1" x14ac:dyDescent="0.4">
      <c r="A141" s="89" t="s">
        <v>1057</v>
      </c>
      <c r="B141" s="90" t="s">
        <v>1058</v>
      </c>
      <c r="C141" s="116" t="s">
        <v>1054</v>
      </c>
      <c r="D141" s="90" t="s">
        <v>1059</v>
      </c>
      <c r="E141" s="90" t="s">
        <v>1060</v>
      </c>
      <c r="F141" s="90" t="s">
        <v>1061</v>
      </c>
      <c r="G141" s="90" t="str">
        <f>FIXED(sogliaDelta,2)</f>
        <v>0,30</v>
      </c>
    </row>
    <row r="142" spans="1:7" ht="28" customHeight="1" x14ac:dyDescent="0.4">
      <c r="A142" s="89" t="s">
        <v>1062</v>
      </c>
      <c r="B142" s="90" t="s">
        <v>1063</v>
      </c>
      <c r="C142" s="116" t="s">
        <v>1064</v>
      </c>
      <c r="D142" s="90" t="s">
        <v>1065</v>
      </c>
      <c r="E142" s="90" t="s">
        <v>1066</v>
      </c>
      <c r="F142" s="90" t="s">
        <v>998</v>
      </c>
      <c r="G142" s="90" t="s">
        <v>1067</v>
      </c>
    </row>
    <row r="143" spans="1:7" ht="40" customHeight="1" x14ac:dyDescent="0.4">
      <c r="A143" s="89" t="s">
        <v>1068</v>
      </c>
      <c r="B143" s="90" t="s">
        <v>1069</v>
      </c>
      <c r="C143" s="116" t="s">
        <v>1070</v>
      </c>
      <c r="D143" s="90" t="s">
        <v>1071</v>
      </c>
      <c r="E143" s="90" t="s">
        <v>1072</v>
      </c>
      <c r="F143" s="90" t="s">
        <v>1073</v>
      </c>
      <c r="G143" s="90" t="str">
        <f>FIXED(livelloPxI,0)&amp;" / "&amp;FIXED(livelloQuotaKRI*100,0)&amp;"% / "&amp;FIXED(livelloMargine,2)&amp;" / "&amp;FIXED(livelloForti,0)</f>
        <v>12 / 50% / 1,00 / 2</v>
      </c>
    </row>
    <row r="144" spans="1:7" ht="28" customHeight="1" x14ac:dyDescent="0.4">
      <c r="A144" s="89" t="s">
        <v>181</v>
      </c>
      <c r="B144" s="90" t="s">
        <v>1074</v>
      </c>
      <c r="C144" s="116" t="s">
        <v>1075</v>
      </c>
      <c r="D144" s="90" t="s">
        <v>1076</v>
      </c>
      <c r="E144" s="90" t="s">
        <v>1077</v>
      </c>
      <c r="F144" s="90" t="s">
        <v>1033</v>
      </c>
      <c r="G144" s="90" t="s">
        <v>557</v>
      </c>
    </row>
    <row r="145" spans="1:7" ht="28" customHeight="1" x14ac:dyDescent="0.4">
      <c r="A145" s="89" t="s">
        <v>551</v>
      </c>
      <c r="B145" s="90" t="s">
        <v>1078</v>
      </c>
      <c r="C145" s="116" t="s">
        <v>1079</v>
      </c>
      <c r="D145" s="90" t="s">
        <v>1080</v>
      </c>
      <c r="E145" s="90" t="s">
        <v>1081</v>
      </c>
      <c r="F145" s="90" t="s">
        <v>1082</v>
      </c>
      <c r="G145" s="90" t="s">
        <v>1083</v>
      </c>
    </row>
    <row r="146" spans="1:7" ht="28" customHeight="1" x14ac:dyDescent="0.4">
      <c r="A146" s="89" t="s">
        <v>552</v>
      </c>
      <c r="B146" s="90" t="s">
        <v>1084</v>
      </c>
      <c r="C146" s="116" t="s">
        <v>1075</v>
      </c>
      <c r="D146" s="90" t="s">
        <v>1085</v>
      </c>
      <c r="E146" s="90" t="s">
        <v>1086</v>
      </c>
      <c r="F146" s="90" t="s">
        <v>852</v>
      </c>
      <c r="G146" s="90" t="s">
        <v>558</v>
      </c>
    </row>
    <row r="147" spans="1:7" ht="40" customHeight="1" x14ac:dyDescent="0.4">
      <c r="A147" s="89" t="s">
        <v>553</v>
      </c>
      <c r="B147" s="90" t="s">
        <v>1087</v>
      </c>
      <c r="C147" s="116" t="s">
        <v>1075</v>
      </c>
      <c r="D147" s="90" t="s">
        <v>1088</v>
      </c>
      <c r="E147" s="90" t="s">
        <v>1089</v>
      </c>
      <c r="F147" s="90" t="s">
        <v>1090</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59"/>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58" t="str">
        <f>"Horizon Scan NFR — RiskRegister — valutazioni dei rischi, una riga per rischio per ciclo   ·   "&amp;etichettaCiclo</f>
        <v>Horizon Scan NFR — RiskRegister — valutazioni dei rischi, una riga per rischio per ciclo   ·   Ciclo 2026Q3 · dati al 30/09/2026 · validato · Uso interno</v>
      </c>
      <c r="B1" s="159"/>
      <c r="C1" s="159"/>
      <c r="D1" s="159"/>
      <c r="E1" s="159"/>
      <c r="F1" s="159"/>
      <c r="G1" s="159"/>
      <c r="H1" s="159"/>
      <c r="I1" s="159"/>
      <c r="J1" s="159"/>
      <c r="K1" s="159"/>
      <c r="L1" s="159"/>
    </row>
    <row r="2" spans="1:32" ht="126.55" customHeight="1" x14ac:dyDescent="0.4">
      <c r="A2" s="149" t="s">
        <v>1091</v>
      </c>
      <c r="B2" s="142"/>
      <c r="C2" s="142"/>
      <c r="D2" s="142"/>
      <c r="E2" s="142"/>
      <c r="F2" s="142"/>
      <c r="G2" s="142"/>
      <c r="H2" s="142"/>
      <c r="I2" s="142"/>
      <c r="J2" s="142"/>
      <c r="K2" s="142"/>
      <c r="L2" s="142"/>
    </row>
    <row r="3" spans="1:32" x14ac:dyDescent="0.4">
      <c r="A3" s="214" t="s">
        <v>1092</v>
      </c>
      <c r="B3" s="142"/>
      <c r="C3" s="142"/>
      <c r="D3" s="142"/>
      <c r="E3" s="142"/>
      <c r="F3" s="142"/>
      <c r="G3" s="142"/>
      <c r="H3" s="142"/>
      <c r="I3" s="142"/>
      <c r="J3" s="119" t="s">
        <v>1093</v>
      </c>
      <c r="K3" s="214" t="s">
        <v>1092</v>
      </c>
      <c r="L3" s="142"/>
      <c r="M3" s="119" t="s">
        <v>1094</v>
      </c>
      <c r="N3" s="214" t="s">
        <v>1092</v>
      </c>
      <c r="O3" s="142"/>
      <c r="P3" s="142"/>
      <c r="Q3" s="142"/>
      <c r="R3" s="215" t="s">
        <v>1094</v>
      </c>
      <c r="S3" s="142"/>
      <c r="T3" s="119" t="s">
        <v>1093</v>
      </c>
      <c r="U3" s="119" t="s">
        <v>1094</v>
      </c>
      <c r="V3" s="216" t="s">
        <v>1095</v>
      </c>
      <c r="W3" s="142"/>
      <c r="X3" s="142"/>
      <c r="Y3" s="215" t="s">
        <v>1094</v>
      </c>
      <c r="Z3" s="142"/>
      <c r="AA3" s="142"/>
      <c r="AB3" s="142"/>
      <c r="AC3" s="120" t="s">
        <v>1095</v>
      </c>
      <c r="AD3" s="214" t="s">
        <v>1092</v>
      </c>
      <c r="AE3" s="142"/>
      <c r="AF3" s="119" t="s">
        <v>1093</v>
      </c>
    </row>
    <row r="4" spans="1:32" ht="179.05" customHeight="1" x14ac:dyDescent="0.4">
      <c r="A4" s="121" t="s">
        <v>1096</v>
      </c>
      <c r="B4" s="121" t="s">
        <v>1097</v>
      </c>
      <c r="C4" s="121" t="s">
        <v>1098</v>
      </c>
      <c r="D4" s="121" t="s">
        <v>1099</v>
      </c>
      <c r="E4" s="121" t="s">
        <v>1100</v>
      </c>
      <c r="F4" s="121" t="s">
        <v>1101</v>
      </c>
      <c r="G4" s="121" t="s">
        <v>1102</v>
      </c>
      <c r="H4" s="121" t="s">
        <v>1103</v>
      </c>
      <c r="I4" s="121" t="s">
        <v>1104</v>
      </c>
      <c r="J4" s="121" t="s">
        <v>1105</v>
      </c>
      <c r="K4" s="121" t="s">
        <v>1106</v>
      </c>
      <c r="L4" s="121" t="s">
        <v>1107</v>
      </c>
      <c r="M4" s="121" t="s">
        <v>1108</v>
      </c>
      <c r="N4" s="121" t="s">
        <v>1109</v>
      </c>
      <c r="O4" s="121" t="s">
        <v>1110</v>
      </c>
      <c r="P4" s="121" t="s">
        <v>1111</v>
      </c>
      <c r="Q4" s="121" t="s">
        <v>1112</v>
      </c>
      <c r="R4" s="121" t="s">
        <v>1113</v>
      </c>
      <c r="S4" s="121" t="s">
        <v>1114</v>
      </c>
      <c r="T4" s="121" t="s">
        <v>1115</v>
      </c>
      <c r="U4" s="121" t="s">
        <v>1116</v>
      </c>
      <c r="V4" s="121" t="s">
        <v>1117</v>
      </c>
      <c r="W4" s="121" t="s">
        <v>1118</v>
      </c>
      <c r="X4" s="121" t="s">
        <v>1119</v>
      </c>
      <c r="Y4" s="121" t="s">
        <v>1120</v>
      </c>
      <c r="Z4" s="121" t="s">
        <v>1121</v>
      </c>
      <c r="AA4" s="121" t="s">
        <v>1122</v>
      </c>
      <c r="AB4" s="121" t="s">
        <v>1123</v>
      </c>
      <c r="AC4" s="121" t="s">
        <v>1124</v>
      </c>
      <c r="AD4" s="121" t="s">
        <v>1125</v>
      </c>
      <c r="AE4" s="121" t="s">
        <v>1126</v>
      </c>
      <c r="AF4" s="121" t="s">
        <v>1127</v>
      </c>
    </row>
    <row r="5" spans="1:32" x14ac:dyDescent="0.4">
      <c r="A5" s="122" t="s">
        <v>451</v>
      </c>
      <c r="B5" s="122" t="s">
        <v>684</v>
      </c>
      <c r="C5" s="122" t="s">
        <v>689</v>
      </c>
      <c r="D5" s="122" t="s">
        <v>174</v>
      </c>
      <c r="E5" s="122" t="s">
        <v>550</v>
      </c>
      <c r="F5" s="122" t="s">
        <v>269</v>
      </c>
      <c r="G5" s="122" t="s">
        <v>203</v>
      </c>
      <c r="H5" s="122" t="s">
        <v>300</v>
      </c>
      <c r="I5" s="122" t="s">
        <v>206</v>
      </c>
      <c r="J5" s="62" t="s">
        <v>707</v>
      </c>
      <c r="K5" s="122" t="s">
        <v>204</v>
      </c>
      <c r="L5" s="122" t="s">
        <v>551</v>
      </c>
      <c r="M5" s="62" t="s">
        <v>178</v>
      </c>
      <c r="N5" s="122" t="s">
        <v>536</v>
      </c>
      <c r="O5" s="122" t="s">
        <v>725</v>
      </c>
      <c r="P5" s="122" t="s">
        <v>728</v>
      </c>
      <c r="Q5" s="122" t="s">
        <v>732</v>
      </c>
      <c r="R5" s="62" t="s">
        <v>422</v>
      </c>
      <c r="S5" s="62" t="s">
        <v>181</v>
      </c>
      <c r="T5" s="62" t="s">
        <v>250</v>
      </c>
      <c r="U5" s="62" t="s">
        <v>743</v>
      </c>
      <c r="V5" s="60" t="s">
        <v>746</v>
      </c>
      <c r="W5" s="60" t="s">
        <v>9</v>
      </c>
      <c r="X5" s="60" t="s">
        <v>755</v>
      </c>
      <c r="Y5" s="62" t="s">
        <v>759</v>
      </c>
      <c r="Z5" s="62" t="s">
        <v>444</v>
      </c>
      <c r="AA5" s="62" t="s">
        <v>766</v>
      </c>
      <c r="AB5" s="62" t="s">
        <v>272</v>
      </c>
      <c r="AC5" s="60" t="s">
        <v>773</v>
      </c>
      <c r="AD5" s="122" t="s">
        <v>778</v>
      </c>
      <c r="AE5" s="122" t="s">
        <v>781</v>
      </c>
      <c r="AF5" s="62" t="s">
        <v>783</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1128</v>
      </c>
      <c r="N6" s="125" t="s">
        <v>1129</v>
      </c>
      <c r="O6" s="125" t="s">
        <v>1130</v>
      </c>
      <c r="P6" s="125" t="s">
        <v>1131</v>
      </c>
      <c r="Q6" s="125" t="s">
        <v>1132</v>
      </c>
      <c r="R6" s="125"/>
      <c r="S6" s="109" t="s">
        <v>557</v>
      </c>
      <c r="T6" s="109" t="str">
        <f t="shared" ref="T6:T43" si="1">A6&amp;"|"&amp;C6</f>
        <v>2025Q4|NFR-01</v>
      </c>
      <c r="U6" s="123">
        <v>46022</v>
      </c>
      <c r="V6" s="109" t="s">
        <v>750</v>
      </c>
      <c r="W6" s="109" t="s">
        <v>754</v>
      </c>
      <c r="X6" s="123">
        <v>46037</v>
      </c>
      <c r="Y6" s="109" t="s">
        <v>617</v>
      </c>
      <c r="Z6" s="109" t="s">
        <v>765</v>
      </c>
      <c r="AA6" s="125" t="s">
        <v>1133</v>
      </c>
      <c r="AB6" s="109"/>
      <c r="AC6" s="109" t="s">
        <v>777</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1128</v>
      </c>
      <c r="N7" s="125" t="s">
        <v>1134</v>
      </c>
      <c r="O7" s="125" t="s">
        <v>1135</v>
      </c>
      <c r="P7" s="125" t="s">
        <v>1131</v>
      </c>
      <c r="Q7" s="125" t="s">
        <v>1136</v>
      </c>
      <c r="R7" s="125"/>
      <c r="S7" s="109" t="s">
        <v>563</v>
      </c>
      <c r="T7" s="109" t="str">
        <f t="shared" si="1"/>
        <v>2025Q4|NFR-02</v>
      </c>
      <c r="U7" s="123">
        <v>46022</v>
      </c>
      <c r="V7" s="109" t="s">
        <v>750</v>
      </c>
      <c r="W7" s="109" t="s">
        <v>754</v>
      </c>
      <c r="X7" s="123">
        <v>46037</v>
      </c>
      <c r="Y7" s="109" t="s">
        <v>617</v>
      </c>
      <c r="Z7" s="109" t="s">
        <v>765</v>
      </c>
      <c r="AA7" s="125" t="s">
        <v>1137</v>
      </c>
      <c r="AB7" s="109"/>
      <c r="AC7" s="109" t="s">
        <v>777</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1128</v>
      </c>
      <c r="N8" s="125" t="s">
        <v>1138</v>
      </c>
      <c r="O8" s="125" t="s">
        <v>1139</v>
      </c>
      <c r="P8" s="125" t="s">
        <v>1131</v>
      </c>
      <c r="Q8" s="125" t="s">
        <v>1140</v>
      </c>
      <c r="R8" s="125"/>
      <c r="S8" s="109" t="s">
        <v>569</v>
      </c>
      <c r="T8" s="109" t="str">
        <f t="shared" si="1"/>
        <v>2025Q4|NFR-03</v>
      </c>
      <c r="U8" s="123">
        <v>46022</v>
      </c>
      <c r="V8" s="109" t="s">
        <v>750</v>
      </c>
      <c r="W8" s="109" t="s">
        <v>754</v>
      </c>
      <c r="X8" s="123">
        <v>46037</v>
      </c>
      <c r="Y8" s="109" t="s">
        <v>617</v>
      </c>
      <c r="Z8" s="109" t="s">
        <v>765</v>
      </c>
      <c r="AA8" s="125" t="s">
        <v>1141</v>
      </c>
      <c r="AB8" s="109"/>
      <c r="AC8" s="109" t="s">
        <v>777</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1128</v>
      </c>
      <c r="N9" s="125" t="s">
        <v>1142</v>
      </c>
      <c r="O9" s="125" t="s">
        <v>1143</v>
      </c>
      <c r="P9" s="125" t="s">
        <v>1131</v>
      </c>
      <c r="Q9" s="125" t="s">
        <v>1144</v>
      </c>
      <c r="R9" s="125"/>
      <c r="S9" s="109" t="s">
        <v>575</v>
      </c>
      <c r="T9" s="109" t="str">
        <f t="shared" si="1"/>
        <v>2025Q4|NFR-04</v>
      </c>
      <c r="U9" s="123">
        <v>46022</v>
      </c>
      <c r="V9" s="109" t="s">
        <v>750</v>
      </c>
      <c r="W9" s="109" t="s">
        <v>754</v>
      </c>
      <c r="X9" s="123">
        <v>46037</v>
      </c>
      <c r="Y9" s="109" t="s">
        <v>617</v>
      </c>
      <c r="Z9" s="109" t="s">
        <v>765</v>
      </c>
      <c r="AA9" s="125" t="s">
        <v>1145</v>
      </c>
      <c r="AB9" s="109"/>
      <c r="AC9" s="109" t="s">
        <v>777</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1128</v>
      </c>
      <c r="N10" s="125" t="s">
        <v>1146</v>
      </c>
      <c r="O10" s="125" t="s">
        <v>1147</v>
      </c>
      <c r="P10" s="125" t="s">
        <v>1131</v>
      </c>
      <c r="Q10" s="125" t="s">
        <v>1148</v>
      </c>
      <c r="R10" s="125"/>
      <c r="S10" s="109" t="s">
        <v>579</v>
      </c>
      <c r="T10" s="109" t="str">
        <f t="shared" si="1"/>
        <v>2025Q4|NFR-05</v>
      </c>
      <c r="U10" s="123">
        <v>46022</v>
      </c>
      <c r="V10" s="109" t="s">
        <v>750</v>
      </c>
      <c r="W10" s="109" t="s">
        <v>754</v>
      </c>
      <c r="X10" s="123">
        <v>46037</v>
      </c>
      <c r="Y10" s="109" t="s">
        <v>617</v>
      </c>
      <c r="Z10" s="109" t="s">
        <v>765</v>
      </c>
      <c r="AA10" s="125" t="s">
        <v>1149</v>
      </c>
      <c r="AB10" s="109"/>
      <c r="AC10" s="109" t="s">
        <v>777</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1128</v>
      </c>
      <c r="N11" s="125" t="s">
        <v>1150</v>
      </c>
      <c r="O11" s="125" t="s">
        <v>1151</v>
      </c>
      <c r="P11" s="125" t="s">
        <v>1131</v>
      </c>
      <c r="Q11" s="125" t="s">
        <v>1152</v>
      </c>
      <c r="R11" s="125"/>
      <c r="S11" s="109" t="s">
        <v>563</v>
      </c>
      <c r="T11" s="109" t="str">
        <f t="shared" si="1"/>
        <v>2025Q4|NFR-07</v>
      </c>
      <c r="U11" s="123">
        <v>46022</v>
      </c>
      <c r="V11" s="109" t="s">
        <v>750</v>
      </c>
      <c r="W11" s="109" t="s">
        <v>754</v>
      </c>
      <c r="X11" s="123">
        <v>46037</v>
      </c>
      <c r="Y11" s="109" t="s">
        <v>617</v>
      </c>
      <c r="Z11" s="109" t="s">
        <v>765</v>
      </c>
      <c r="AA11" s="125" t="s">
        <v>1153</v>
      </c>
      <c r="AB11" s="109"/>
      <c r="AC11" s="109" t="s">
        <v>777</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1128</v>
      </c>
      <c r="N12" s="125" t="s">
        <v>1154</v>
      </c>
      <c r="O12" s="125" t="s">
        <v>1155</v>
      </c>
      <c r="P12" s="125" t="s">
        <v>1131</v>
      </c>
      <c r="Q12" s="125" t="s">
        <v>1156</v>
      </c>
      <c r="R12" s="125"/>
      <c r="S12" s="109" t="s">
        <v>584</v>
      </c>
      <c r="T12" s="109" t="str">
        <f t="shared" si="1"/>
        <v>2025Q4|NFR-08</v>
      </c>
      <c r="U12" s="123">
        <v>46022</v>
      </c>
      <c r="V12" s="109" t="s">
        <v>750</v>
      </c>
      <c r="W12" s="109" t="s">
        <v>754</v>
      </c>
      <c r="X12" s="123">
        <v>46037</v>
      </c>
      <c r="Y12" s="109" t="s">
        <v>617</v>
      </c>
      <c r="Z12" s="109" t="s">
        <v>765</v>
      </c>
      <c r="AA12" s="125" t="s">
        <v>1157</v>
      </c>
      <c r="AB12" s="109"/>
      <c r="AC12" s="109" t="s">
        <v>777</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1128</v>
      </c>
      <c r="N13" s="125" t="s">
        <v>1158</v>
      </c>
      <c r="O13" s="125" t="s">
        <v>1159</v>
      </c>
      <c r="P13" s="125" t="s">
        <v>1131</v>
      </c>
      <c r="Q13" s="125" t="s">
        <v>1160</v>
      </c>
      <c r="R13" s="125"/>
      <c r="S13" s="109" t="s">
        <v>606</v>
      </c>
      <c r="T13" s="109" t="str">
        <f t="shared" si="1"/>
        <v>2025Q4|NFR-11</v>
      </c>
      <c r="U13" s="123">
        <v>46022</v>
      </c>
      <c r="V13" s="109" t="s">
        <v>750</v>
      </c>
      <c r="W13" s="109" t="s">
        <v>754</v>
      </c>
      <c r="X13" s="123">
        <v>46037</v>
      </c>
      <c r="Y13" s="109" t="s">
        <v>617</v>
      </c>
      <c r="Z13" s="109" t="s">
        <v>765</v>
      </c>
      <c r="AA13" s="125" t="s">
        <v>1161</v>
      </c>
      <c r="AB13" s="109"/>
      <c r="AC13" s="109" t="s">
        <v>777</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1128</v>
      </c>
      <c r="N14" s="125" t="s">
        <v>1162</v>
      </c>
      <c r="O14" s="125" t="s">
        <v>1163</v>
      </c>
      <c r="P14" s="125" t="s">
        <v>1131</v>
      </c>
      <c r="Q14" s="125" t="s">
        <v>1164</v>
      </c>
      <c r="R14" s="125"/>
      <c r="S14" s="109" t="s">
        <v>579</v>
      </c>
      <c r="T14" s="109" t="str">
        <f t="shared" si="1"/>
        <v>2025Q4|NFR-12</v>
      </c>
      <c r="U14" s="123">
        <v>46022</v>
      </c>
      <c r="V14" s="109" t="s">
        <v>750</v>
      </c>
      <c r="W14" s="109" t="s">
        <v>754</v>
      </c>
      <c r="X14" s="123">
        <v>46037</v>
      </c>
      <c r="Y14" s="109" t="s">
        <v>617</v>
      </c>
      <c r="Z14" s="109" t="s">
        <v>765</v>
      </c>
      <c r="AA14" s="125" t="s">
        <v>1165</v>
      </c>
      <c r="AB14" s="109"/>
      <c r="AC14" s="109" t="s">
        <v>777</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722</v>
      </c>
      <c r="N15" s="125" t="s">
        <v>1129</v>
      </c>
      <c r="O15" s="125" t="s">
        <v>1130</v>
      </c>
      <c r="P15" s="125" t="s">
        <v>1166</v>
      </c>
      <c r="Q15" s="125" t="s">
        <v>1132</v>
      </c>
      <c r="R15" s="125"/>
      <c r="S15" s="109" t="s">
        <v>557</v>
      </c>
      <c r="T15" s="109" t="str">
        <f t="shared" si="1"/>
        <v>2026Q1|NFR-01</v>
      </c>
      <c r="U15" s="123">
        <v>46112</v>
      </c>
      <c r="V15" s="109" t="s">
        <v>750</v>
      </c>
      <c r="W15" s="109" t="s">
        <v>754</v>
      </c>
      <c r="X15" s="123">
        <v>46127</v>
      </c>
      <c r="Y15" s="109" t="s">
        <v>614</v>
      </c>
      <c r="Z15" s="109" t="s">
        <v>765</v>
      </c>
      <c r="AA15" s="125" t="s">
        <v>1167</v>
      </c>
      <c r="AB15" s="109"/>
      <c r="AC15" s="109" t="s">
        <v>777</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1128</v>
      </c>
      <c r="N16" s="125" t="s">
        <v>1134</v>
      </c>
      <c r="O16" s="125" t="s">
        <v>1135</v>
      </c>
      <c r="P16" s="125" t="s">
        <v>1131</v>
      </c>
      <c r="Q16" s="125" t="s">
        <v>1168</v>
      </c>
      <c r="R16" s="125"/>
      <c r="S16" s="109" t="s">
        <v>563</v>
      </c>
      <c r="T16" s="109" t="str">
        <f t="shared" si="1"/>
        <v>2026Q1|NFR-02</v>
      </c>
      <c r="U16" s="123">
        <v>46112</v>
      </c>
      <c r="V16" s="109" t="s">
        <v>750</v>
      </c>
      <c r="W16" s="109" t="s">
        <v>754</v>
      </c>
      <c r="X16" s="123">
        <v>46127</v>
      </c>
      <c r="Y16" s="109" t="s">
        <v>614</v>
      </c>
      <c r="Z16" s="109" t="s">
        <v>765</v>
      </c>
      <c r="AA16" s="125" t="s">
        <v>1137</v>
      </c>
      <c r="AB16" s="109"/>
      <c r="AC16" s="109" t="s">
        <v>777</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1128</v>
      </c>
      <c r="N17" s="125" t="s">
        <v>1138</v>
      </c>
      <c r="O17" s="125" t="s">
        <v>1139</v>
      </c>
      <c r="P17" s="125" t="s">
        <v>1131</v>
      </c>
      <c r="Q17" s="125" t="s">
        <v>1169</v>
      </c>
      <c r="R17" s="125"/>
      <c r="S17" s="109" t="s">
        <v>569</v>
      </c>
      <c r="T17" s="109" t="str">
        <f t="shared" si="1"/>
        <v>2026Q1|NFR-03</v>
      </c>
      <c r="U17" s="123">
        <v>46112</v>
      </c>
      <c r="V17" s="109" t="s">
        <v>750</v>
      </c>
      <c r="W17" s="109" t="s">
        <v>754</v>
      </c>
      <c r="X17" s="123">
        <v>46127</v>
      </c>
      <c r="Y17" s="109" t="s">
        <v>614</v>
      </c>
      <c r="Z17" s="109" t="s">
        <v>765</v>
      </c>
      <c r="AA17" s="125" t="s">
        <v>1141</v>
      </c>
      <c r="AB17" s="109"/>
      <c r="AC17" s="109" t="s">
        <v>777</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1128</v>
      </c>
      <c r="N18" s="125" t="s">
        <v>1142</v>
      </c>
      <c r="O18" s="125" t="s">
        <v>1143</v>
      </c>
      <c r="P18" s="125" t="s">
        <v>1131</v>
      </c>
      <c r="Q18" s="125" t="s">
        <v>1144</v>
      </c>
      <c r="R18" s="125"/>
      <c r="S18" s="109" t="s">
        <v>575</v>
      </c>
      <c r="T18" s="109" t="str">
        <f t="shared" si="1"/>
        <v>2026Q1|NFR-04</v>
      </c>
      <c r="U18" s="123">
        <v>46112</v>
      </c>
      <c r="V18" s="109" t="s">
        <v>750</v>
      </c>
      <c r="W18" s="109" t="s">
        <v>754</v>
      </c>
      <c r="X18" s="123">
        <v>46127</v>
      </c>
      <c r="Y18" s="109" t="s">
        <v>614</v>
      </c>
      <c r="Z18" s="109" t="s">
        <v>765</v>
      </c>
      <c r="AA18" s="125" t="s">
        <v>1145</v>
      </c>
      <c r="AB18" s="109"/>
      <c r="AC18" s="109" t="s">
        <v>777</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1128</v>
      </c>
      <c r="N19" s="125" t="s">
        <v>1146</v>
      </c>
      <c r="O19" s="125" t="s">
        <v>1147</v>
      </c>
      <c r="P19" s="125" t="s">
        <v>1131</v>
      </c>
      <c r="Q19" s="125" t="s">
        <v>1148</v>
      </c>
      <c r="R19" s="125"/>
      <c r="S19" s="109" t="s">
        <v>579</v>
      </c>
      <c r="T19" s="109" t="str">
        <f t="shared" si="1"/>
        <v>2026Q1|NFR-05</v>
      </c>
      <c r="U19" s="123">
        <v>46112</v>
      </c>
      <c r="V19" s="109" t="s">
        <v>750</v>
      </c>
      <c r="W19" s="109" t="s">
        <v>754</v>
      </c>
      <c r="X19" s="123">
        <v>46127</v>
      </c>
      <c r="Y19" s="109" t="s">
        <v>614</v>
      </c>
      <c r="Z19" s="109" t="s">
        <v>765</v>
      </c>
      <c r="AA19" s="125" t="s">
        <v>1149</v>
      </c>
      <c r="AB19" s="109"/>
      <c r="AC19" s="109" t="s">
        <v>777</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1170</v>
      </c>
      <c r="N20" s="125" t="s">
        <v>1171</v>
      </c>
      <c r="O20" s="125" t="s">
        <v>1172</v>
      </c>
      <c r="P20" s="125" t="s">
        <v>1131</v>
      </c>
      <c r="Q20" s="125" t="s">
        <v>1173</v>
      </c>
      <c r="R20" s="125"/>
      <c r="S20" s="109" t="s">
        <v>584</v>
      </c>
      <c r="T20" s="109" t="str">
        <f t="shared" si="1"/>
        <v>2026Q1|NFR-06</v>
      </c>
      <c r="U20" s="123">
        <v>46112</v>
      </c>
      <c r="V20" s="109" t="s">
        <v>750</v>
      </c>
      <c r="W20" s="109" t="s">
        <v>754</v>
      </c>
      <c r="X20" s="123">
        <v>46127</v>
      </c>
      <c r="Y20" s="109" t="s">
        <v>614</v>
      </c>
      <c r="Z20" s="109" t="s">
        <v>765</v>
      </c>
      <c r="AA20" s="125" t="s">
        <v>1141</v>
      </c>
      <c r="AB20" s="109"/>
      <c r="AC20" s="109" t="s">
        <v>777</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1128</v>
      </c>
      <c r="N21" s="125" t="s">
        <v>1150</v>
      </c>
      <c r="O21" s="125" t="s">
        <v>1151</v>
      </c>
      <c r="P21" s="125" t="s">
        <v>1131</v>
      </c>
      <c r="Q21" s="125" t="s">
        <v>1174</v>
      </c>
      <c r="R21" s="125"/>
      <c r="S21" s="109" t="s">
        <v>563</v>
      </c>
      <c r="T21" s="109" t="str">
        <f t="shared" si="1"/>
        <v>2026Q1|NFR-07</v>
      </c>
      <c r="U21" s="123">
        <v>46112</v>
      </c>
      <c r="V21" s="109" t="s">
        <v>750</v>
      </c>
      <c r="W21" s="109" t="s">
        <v>754</v>
      </c>
      <c r="X21" s="123">
        <v>46127</v>
      </c>
      <c r="Y21" s="109" t="s">
        <v>614</v>
      </c>
      <c r="Z21" s="109" t="s">
        <v>765</v>
      </c>
      <c r="AA21" s="125" t="s">
        <v>1153</v>
      </c>
      <c r="AB21" s="109"/>
      <c r="AC21" s="109" t="s">
        <v>777</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1128</v>
      </c>
      <c r="N22" s="125" t="s">
        <v>1154</v>
      </c>
      <c r="O22" s="125" t="s">
        <v>1155</v>
      </c>
      <c r="P22" s="125" t="s">
        <v>1131</v>
      </c>
      <c r="Q22" s="125" t="s">
        <v>1156</v>
      </c>
      <c r="R22" s="125"/>
      <c r="S22" s="109" t="s">
        <v>584</v>
      </c>
      <c r="T22" s="109" t="str">
        <f t="shared" si="1"/>
        <v>2026Q1|NFR-08</v>
      </c>
      <c r="U22" s="123">
        <v>46112</v>
      </c>
      <c r="V22" s="109" t="s">
        <v>750</v>
      </c>
      <c r="W22" s="109" t="s">
        <v>754</v>
      </c>
      <c r="X22" s="123">
        <v>46127</v>
      </c>
      <c r="Y22" s="109" t="s">
        <v>614</v>
      </c>
      <c r="Z22" s="109" t="s">
        <v>765</v>
      </c>
      <c r="AA22" s="125" t="s">
        <v>1157</v>
      </c>
      <c r="AB22" s="109"/>
      <c r="AC22" s="109" t="s">
        <v>777</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1170</v>
      </c>
      <c r="N23" s="125" t="s">
        <v>1175</v>
      </c>
      <c r="O23" s="125" t="s">
        <v>1176</v>
      </c>
      <c r="P23" s="125" t="s">
        <v>1131</v>
      </c>
      <c r="Q23" s="125" t="s">
        <v>1177</v>
      </c>
      <c r="R23" s="125"/>
      <c r="S23" s="109" t="s">
        <v>569</v>
      </c>
      <c r="T23" s="109" t="str">
        <f t="shared" si="1"/>
        <v>2026Q1|NFR-09</v>
      </c>
      <c r="U23" s="123">
        <v>46112</v>
      </c>
      <c r="V23" s="109" t="s">
        <v>750</v>
      </c>
      <c r="W23" s="109" t="s">
        <v>754</v>
      </c>
      <c r="X23" s="123">
        <v>46127</v>
      </c>
      <c r="Y23" s="109" t="s">
        <v>614</v>
      </c>
      <c r="Z23" s="109" t="s">
        <v>765</v>
      </c>
      <c r="AA23" s="125" t="s">
        <v>1178</v>
      </c>
      <c r="AB23" s="109"/>
      <c r="AC23" s="109" t="s">
        <v>777</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1170</v>
      </c>
      <c r="N24" s="125" t="s">
        <v>1179</v>
      </c>
      <c r="O24" s="125" t="s">
        <v>1180</v>
      </c>
      <c r="P24" s="125" t="s">
        <v>1131</v>
      </c>
      <c r="Q24" s="125" t="s">
        <v>1181</v>
      </c>
      <c r="R24" s="125"/>
      <c r="S24" s="109" t="s">
        <v>601</v>
      </c>
      <c r="T24" s="109" t="str">
        <f t="shared" si="1"/>
        <v>2026Q1|NFR-10</v>
      </c>
      <c r="U24" s="123">
        <v>46112</v>
      </c>
      <c r="V24" s="109" t="s">
        <v>750</v>
      </c>
      <c r="W24" s="109" t="s">
        <v>754</v>
      </c>
      <c r="X24" s="123">
        <v>46127</v>
      </c>
      <c r="Y24" s="109" t="s">
        <v>614</v>
      </c>
      <c r="Z24" s="109" t="s">
        <v>765</v>
      </c>
      <c r="AA24" s="125" t="s">
        <v>1141</v>
      </c>
      <c r="AB24" s="109"/>
      <c r="AC24" s="109" t="s">
        <v>777</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1128</v>
      </c>
      <c r="N25" s="125" t="s">
        <v>1158</v>
      </c>
      <c r="O25" s="125" t="s">
        <v>1159</v>
      </c>
      <c r="P25" s="125" t="s">
        <v>1131</v>
      </c>
      <c r="Q25" s="125" t="s">
        <v>1182</v>
      </c>
      <c r="R25" s="125"/>
      <c r="S25" s="109" t="s">
        <v>606</v>
      </c>
      <c r="T25" s="109" t="str">
        <f t="shared" si="1"/>
        <v>2026Q1|NFR-11</v>
      </c>
      <c r="U25" s="123">
        <v>46112</v>
      </c>
      <c r="V25" s="109" t="s">
        <v>750</v>
      </c>
      <c r="W25" s="109" t="s">
        <v>754</v>
      </c>
      <c r="X25" s="123">
        <v>46127</v>
      </c>
      <c r="Y25" s="109" t="s">
        <v>614</v>
      </c>
      <c r="Z25" s="109" t="s">
        <v>765</v>
      </c>
      <c r="AA25" s="125" t="s">
        <v>1161</v>
      </c>
      <c r="AB25" s="109"/>
      <c r="AC25" s="109" t="s">
        <v>777</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1128</v>
      </c>
      <c r="N26" s="125" t="s">
        <v>1162</v>
      </c>
      <c r="O26" s="125" t="s">
        <v>1163</v>
      </c>
      <c r="P26" s="125" t="s">
        <v>1131</v>
      </c>
      <c r="Q26" s="125" t="s">
        <v>1164</v>
      </c>
      <c r="R26" s="125"/>
      <c r="S26" s="109" t="s">
        <v>579</v>
      </c>
      <c r="T26" s="109" t="str">
        <f t="shared" si="1"/>
        <v>2026Q1|NFR-12</v>
      </c>
      <c r="U26" s="123">
        <v>46112</v>
      </c>
      <c r="V26" s="109" t="s">
        <v>750</v>
      </c>
      <c r="W26" s="109" t="s">
        <v>754</v>
      </c>
      <c r="X26" s="123">
        <v>46127</v>
      </c>
      <c r="Y26" s="109" t="s">
        <v>614</v>
      </c>
      <c r="Z26" s="109" t="s">
        <v>765</v>
      </c>
      <c r="AA26" s="125" t="s">
        <v>1165</v>
      </c>
      <c r="AB26" s="109"/>
      <c r="AC26" s="109" t="s">
        <v>777</v>
      </c>
      <c r="AD26" s="109"/>
      <c r="AE26" s="125"/>
      <c r="AF26" s="109" t="str">
        <f t="shared" si="2"/>
        <v/>
      </c>
    </row>
    <row r="27" spans="1:32" ht="72.900000000000006" x14ac:dyDescent="0.4">
      <c r="A27" s="109" t="s">
        <v>614</v>
      </c>
      <c r="B27" s="123">
        <v>46112</v>
      </c>
      <c r="C27" s="109" t="s">
        <v>1183</v>
      </c>
      <c r="D27" s="109" t="s">
        <v>1184</v>
      </c>
      <c r="E27" s="109" t="s">
        <v>469</v>
      </c>
      <c r="F27" s="109" t="s">
        <v>1185</v>
      </c>
      <c r="G27" s="109">
        <v>5</v>
      </c>
      <c r="H27" s="109"/>
      <c r="I27" s="109">
        <v>1</v>
      </c>
      <c r="J27" s="124">
        <f t="shared" si="0"/>
        <v>2.75</v>
      </c>
      <c r="K27" s="109">
        <v>1</v>
      </c>
      <c r="L27" s="109"/>
      <c r="M27" s="109" t="s">
        <v>1170</v>
      </c>
      <c r="N27" s="125" t="s">
        <v>1186</v>
      </c>
      <c r="O27" s="125" t="s">
        <v>1187</v>
      </c>
      <c r="P27" s="125" t="s">
        <v>1131</v>
      </c>
      <c r="Q27" s="125" t="s">
        <v>1188</v>
      </c>
      <c r="R27" s="125"/>
      <c r="S27" s="109" t="s">
        <v>584</v>
      </c>
      <c r="T27" s="109" t="str">
        <f t="shared" si="1"/>
        <v>2026Q1|NFR-13</v>
      </c>
      <c r="U27" s="123">
        <v>46112</v>
      </c>
      <c r="V27" s="109" t="s">
        <v>750</v>
      </c>
      <c r="W27" s="109" t="s">
        <v>754</v>
      </c>
      <c r="X27" s="123">
        <v>46127</v>
      </c>
      <c r="Y27" s="109" t="s">
        <v>614</v>
      </c>
      <c r="Z27" s="109" t="s">
        <v>102</v>
      </c>
      <c r="AA27" s="125" t="s">
        <v>1189</v>
      </c>
      <c r="AB27" s="109"/>
      <c r="AC27" s="109" t="s">
        <v>777</v>
      </c>
      <c r="AD27" s="109">
        <v>10</v>
      </c>
      <c r="AE27" s="125" t="s">
        <v>1190</v>
      </c>
      <c r="AF27" s="109" t="str">
        <f t="shared" si="2"/>
        <v/>
      </c>
    </row>
    <row r="28" spans="1:32" ht="72.900000000000006" x14ac:dyDescent="0.4">
      <c r="A28" s="109" t="s">
        <v>614</v>
      </c>
      <c r="B28" s="123">
        <v>46112</v>
      </c>
      <c r="C28" s="109" t="s">
        <v>1191</v>
      </c>
      <c r="D28" s="109" t="s">
        <v>1192</v>
      </c>
      <c r="E28" s="109" t="s">
        <v>467</v>
      </c>
      <c r="F28" s="109" t="s">
        <v>1193</v>
      </c>
      <c r="G28" s="109">
        <v>4</v>
      </c>
      <c r="H28" s="109">
        <v>4</v>
      </c>
      <c r="I28" s="109">
        <v>1</v>
      </c>
      <c r="J28" s="124">
        <f t="shared" si="0"/>
        <v>2.65</v>
      </c>
      <c r="K28" s="109">
        <v>1</v>
      </c>
      <c r="L28" s="109"/>
      <c r="M28" s="109" t="s">
        <v>1170</v>
      </c>
      <c r="N28" s="125" t="s">
        <v>1194</v>
      </c>
      <c r="O28" s="125" t="s">
        <v>1195</v>
      </c>
      <c r="P28" s="125" t="s">
        <v>1131</v>
      </c>
      <c r="Q28" s="125" t="s">
        <v>1131</v>
      </c>
      <c r="R28" s="125"/>
      <c r="S28" s="109" t="s">
        <v>563</v>
      </c>
      <c r="T28" s="109" t="str">
        <f t="shared" si="1"/>
        <v>2026Q1|NFR-14</v>
      </c>
      <c r="U28" s="123">
        <v>46112</v>
      </c>
      <c r="V28" s="109" t="s">
        <v>750</v>
      </c>
      <c r="W28" s="109" t="s">
        <v>754</v>
      </c>
      <c r="X28" s="123">
        <v>46127</v>
      </c>
      <c r="Y28" s="109" t="s">
        <v>614</v>
      </c>
      <c r="Z28" s="109" t="s">
        <v>102</v>
      </c>
      <c r="AA28" s="125" t="s">
        <v>1189</v>
      </c>
      <c r="AB28" s="109"/>
      <c r="AC28" s="109" t="s">
        <v>777</v>
      </c>
      <c r="AD28" s="109">
        <v>5</v>
      </c>
      <c r="AE28" s="125" t="s">
        <v>1196</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722</v>
      </c>
      <c r="N29" s="125" t="s">
        <v>1129</v>
      </c>
      <c r="O29" s="125" t="s">
        <v>1130</v>
      </c>
      <c r="P29" s="125" t="s">
        <v>1197</v>
      </c>
      <c r="Q29" s="125" t="s">
        <v>1198</v>
      </c>
      <c r="R29" s="125"/>
      <c r="S29" s="109" t="s">
        <v>557</v>
      </c>
      <c r="T29" s="109" t="str">
        <f t="shared" si="1"/>
        <v>2026Q2|NFR-01</v>
      </c>
      <c r="U29" s="123">
        <v>46203</v>
      </c>
      <c r="V29" s="109" t="s">
        <v>750</v>
      </c>
      <c r="W29" s="109" t="s">
        <v>754</v>
      </c>
      <c r="X29" s="123">
        <v>46218</v>
      </c>
      <c r="Y29" s="109" t="s">
        <v>608</v>
      </c>
      <c r="Z29" s="109" t="s">
        <v>765</v>
      </c>
      <c r="AA29" s="125" t="s">
        <v>1167</v>
      </c>
      <c r="AB29" s="109"/>
      <c r="AC29" s="109" t="s">
        <v>777</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1128</v>
      </c>
      <c r="N30" s="125" t="s">
        <v>1134</v>
      </c>
      <c r="O30" s="125" t="s">
        <v>1135</v>
      </c>
      <c r="P30" s="125" t="s">
        <v>1131</v>
      </c>
      <c r="Q30" s="125" t="s">
        <v>1199</v>
      </c>
      <c r="R30" s="125"/>
      <c r="S30" s="109" t="s">
        <v>563</v>
      </c>
      <c r="T30" s="109" t="str">
        <f t="shared" si="1"/>
        <v>2026Q2|NFR-02</v>
      </c>
      <c r="U30" s="123">
        <v>46203</v>
      </c>
      <c r="V30" s="109" t="s">
        <v>750</v>
      </c>
      <c r="W30" s="109" t="s">
        <v>754</v>
      </c>
      <c r="X30" s="123">
        <v>46218</v>
      </c>
      <c r="Y30" s="109" t="s">
        <v>608</v>
      </c>
      <c r="Z30" s="109" t="s">
        <v>765</v>
      </c>
      <c r="AA30" s="125" t="s">
        <v>1137</v>
      </c>
      <c r="AB30" s="109"/>
      <c r="AC30" s="109" t="s">
        <v>777</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1128</v>
      </c>
      <c r="N31" s="125" t="s">
        <v>1138</v>
      </c>
      <c r="O31" s="125" t="s">
        <v>1139</v>
      </c>
      <c r="P31" s="125" t="s">
        <v>1131</v>
      </c>
      <c r="Q31" s="125" t="s">
        <v>1169</v>
      </c>
      <c r="R31" s="125"/>
      <c r="S31" s="109" t="s">
        <v>569</v>
      </c>
      <c r="T31" s="109" t="str">
        <f t="shared" si="1"/>
        <v>2026Q2|NFR-03</v>
      </c>
      <c r="U31" s="123">
        <v>46203</v>
      </c>
      <c r="V31" s="109" t="s">
        <v>750</v>
      </c>
      <c r="W31" s="109" t="s">
        <v>754</v>
      </c>
      <c r="X31" s="123">
        <v>46218</v>
      </c>
      <c r="Y31" s="109" t="s">
        <v>608</v>
      </c>
      <c r="Z31" s="109" t="s">
        <v>765</v>
      </c>
      <c r="AA31" s="125" t="s">
        <v>1141</v>
      </c>
      <c r="AB31" s="109"/>
      <c r="AC31" s="109" t="s">
        <v>777</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722</v>
      </c>
      <c r="N32" s="125" t="s">
        <v>1142</v>
      </c>
      <c r="O32" s="125" t="s">
        <v>1143</v>
      </c>
      <c r="P32" s="125" t="s">
        <v>1200</v>
      </c>
      <c r="Q32" s="125" t="s">
        <v>1201</v>
      </c>
      <c r="R32" s="125"/>
      <c r="S32" s="109" t="s">
        <v>575</v>
      </c>
      <c r="T32" s="109" t="str">
        <f t="shared" si="1"/>
        <v>2026Q2|NFR-04</v>
      </c>
      <c r="U32" s="123">
        <v>46203</v>
      </c>
      <c r="V32" s="109" t="s">
        <v>750</v>
      </c>
      <c r="W32" s="109" t="s">
        <v>754</v>
      </c>
      <c r="X32" s="123">
        <v>46218</v>
      </c>
      <c r="Y32" s="109" t="s">
        <v>608</v>
      </c>
      <c r="Z32" s="109" t="s">
        <v>765</v>
      </c>
      <c r="AA32" s="125" t="s">
        <v>1141</v>
      </c>
      <c r="AB32" s="109"/>
      <c r="AC32" s="109" t="s">
        <v>777</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722</v>
      </c>
      <c r="N33" s="125" t="s">
        <v>1146</v>
      </c>
      <c r="O33" s="125" t="s">
        <v>1147</v>
      </c>
      <c r="P33" s="125" t="s">
        <v>1202</v>
      </c>
      <c r="Q33" s="125" t="s">
        <v>1203</v>
      </c>
      <c r="R33" s="125"/>
      <c r="S33" s="109" t="s">
        <v>579</v>
      </c>
      <c r="T33" s="109" t="str">
        <f t="shared" si="1"/>
        <v>2026Q2|NFR-05</v>
      </c>
      <c r="U33" s="123">
        <v>46203</v>
      </c>
      <c r="V33" s="109" t="s">
        <v>750</v>
      </c>
      <c r="W33" s="109" t="s">
        <v>754</v>
      </c>
      <c r="X33" s="123">
        <v>46218</v>
      </c>
      <c r="Y33" s="109" t="s">
        <v>608</v>
      </c>
      <c r="Z33" s="109" t="s">
        <v>765</v>
      </c>
      <c r="AA33" s="125" t="s">
        <v>1141</v>
      </c>
      <c r="AB33" s="109"/>
      <c r="AC33" s="109" t="s">
        <v>777</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1128</v>
      </c>
      <c r="N34" s="125" t="s">
        <v>1171</v>
      </c>
      <c r="O34" s="125" t="s">
        <v>1172</v>
      </c>
      <c r="P34" s="125" t="s">
        <v>1131</v>
      </c>
      <c r="Q34" s="125" t="s">
        <v>1173</v>
      </c>
      <c r="R34" s="125"/>
      <c r="S34" s="109" t="s">
        <v>584</v>
      </c>
      <c r="T34" s="109" t="str">
        <f t="shared" si="1"/>
        <v>2026Q2|NFR-06</v>
      </c>
      <c r="U34" s="123">
        <v>46203</v>
      </c>
      <c r="V34" s="109" t="s">
        <v>750</v>
      </c>
      <c r="W34" s="109" t="s">
        <v>754</v>
      </c>
      <c r="X34" s="123">
        <v>46218</v>
      </c>
      <c r="Y34" s="109" t="s">
        <v>608</v>
      </c>
      <c r="Z34" s="109" t="s">
        <v>765</v>
      </c>
      <c r="AA34" s="125" t="s">
        <v>1141</v>
      </c>
      <c r="AB34" s="109"/>
      <c r="AC34" s="109" t="s">
        <v>777</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1128</v>
      </c>
      <c r="N35" s="125" t="s">
        <v>1150</v>
      </c>
      <c r="O35" s="125" t="s">
        <v>1151</v>
      </c>
      <c r="P35" s="125" t="s">
        <v>1131</v>
      </c>
      <c r="Q35" s="125" t="s">
        <v>1174</v>
      </c>
      <c r="R35" s="125"/>
      <c r="S35" s="109" t="s">
        <v>563</v>
      </c>
      <c r="T35" s="109" t="str">
        <f t="shared" si="1"/>
        <v>2026Q2|NFR-07</v>
      </c>
      <c r="U35" s="123">
        <v>46203</v>
      </c>
      <c r="V35" s="109" t="s">
        <v>750</v>
      </c>
      <c r="W35" s="109" t="s">
        <v>754</v>
      </c>
      <c r="X35" s="123">
        <v>46218</v>
      </c>
      <c r="Y35" s="109" t="s">
        <v>608</v>
      </c>
      <c r="Z35" s="109" t="s">
        <v>765</v>
      </c>
      <c r="AA35" s="125" t="s">
        <v>1153</v>
      </c>
      <c r="AB35" s="109"/>
      <c r="AC35" s="109" t="s">
        <v>777</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1128</v>
      </c>
      <c r="N36" s="125" t="s">
        <v>1154</v>
      </c>
      <c r="O36" s="125" t="s">
        <v>1155</v>
      </c>
      <c r="P36" s="125" t="s">
        <v>1131</v>
      </c>
      <c r="Q36" s="125" t="s">
        <v>1204</v>
      </c>
      <c r="R36" s="125"/>
      <c r="S36" s="109" t="s">
        <v>584</v>
      </c>
      <c r="T36" s="109" t="str">
        <f t="shared" si="1"/>
        <v>2026Q2|NFR-08</v>
      </c>
      <c r="U36" s="123">
        <v>46203</v>
      </c>
      <c r="V36" s="109" t="s">
        <v>750</v>
      </c>
      <c r="W36" s="109" t="s">
        <v>754</v>
      </c>
      <c r="X36" s="123">
        <v>46218</v>
      </c>
      <c r="Y36" s="109" t="s">
        <v>608</v>
      </c>
      <c r="Z36" s="109" t="s">
        <v>765</v>
      </c>
      <c r="AA36" s="125" t="s">
        <v>1157</v>
      </c>
      <c r="AB36" s="109"/>
      <c r="AC36" s="109" t="s">
        <v>777</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1128</v>
      </c>
      <c r="N37" s="125" t="s">
        <v>1175</v>
      </c>
      <c r="O37" s="125" t="s">
        <v>1176</v>
      </c>
      <c r="P37" s="125" t="s">
        <v>1131</v>
      </c>
      <c r="Q37" s="125" t="s">
        <v>1177</v>
      </c>
      <c r="R37" s="125"/>
      <c r="S37" s="109" t="s">
        <v>569</v>
      </c>
      <c r="T37" s="109" t="str">
        <f t="shared" si="1"/>
        <v>2026Q2|NFR-09</v>
      </c>
      <c r="U37" s="123">
        <v>46203</v>
      </c>
      <c r="V37" s="109" t="s">
        <v>750</v>
      </c>
      <c r="W37" s="109" t="s">
        <v>754</v>
      </c>
      <c r="X37" s="123">
        <v>46218</v>
      </c>
      <c r="Y37" s="109" t="s">
        <v>608</v>
      </c>
      <c r="Z37" s="109" t="s">
        <v>765</v>
      </c>
      <c r="AA37" s="125" t="s">
        <v>1178</v>
      </c>
      <c r="AB37" s="109"/>
      <c r="AC37" s="109" t="s">
        <v>777</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1128</v>
      </c>
      <c r="N38" s="125" t="s">
        <v>1179</v>
      </c>
      <c r="O38" s="125" t="s">
        <v>1180</v>
      </c>
      <c r="P38" s="125" t="s">
        <v>1131</v>
      </c>
      <c r="Q38" s="125" t="s">
        <v>1181</v>
      </c>
      <c r="R38" s="125"/>
      <c r="S38" s="109" t="s">
        <v>601</v>
      </c>
      <c r="T38" s="109" t="str">
        <f t="shared" si="1"/>
        <v>2026Q2|NFR-10</v>
      </c>
      <c r="U38" s="123">
        <v>46203</v>
      </c>
      <c r="V38" s="109" t="s">
        <v>750</v>
      </c>
      <c r="W38" s="109" t="s">
        <v>967</v>
      </c>
      <c r="X38" s="123">
        <v>46218</v>
      </c>
      <c r="Y38" s="109" t="s">
        <v>608</v>
      </c>
      <c r="Z38" s="109" t="s">
        <v>765</v>
      </c>
      <c r="AA38" s="125" t="s">
        <v>1141</v>
      </c>
      <c r="AB38" s="109"/>
      <c r="AC38" s="109" t="s">
        <v>777</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1128</v>
      </c>
      <c r="N39" s="125" t="s">
        <v>1158</v>
      </c>
      <c r="O39" s="125" t="s">
        <v>1159</v>
      </c>
      <c r="P39" s="125" t="s">
        <v>1131</v>
      </c>
      <c r="Q39" s="125" t="s">
        <v>1182</v>
      </c>
      <c r="R39" s="125"/>
      <c r="S39" s="109" t="s">
        <v>606</v>
      </c>
      <c r="T39" s="109" t="str">
        <f t="shared" si="1"/>
        <v>2026Q2|NFR-11</v>
      </c>
      <c r="U39" s="123">
        <v>46203</v>
      </c>
      <c r="V39" s="109" t="s">
        <v>750</v>
      </c>
      <c r="W39" s="109" t="s">
        <v>754</v>
      </c>
      <c r="X39" s="123">
        <v>46218</v>
      </c>
      <c r="Y39" s="109" t="s">
        <v>608</v>
      </c>
      <c r="Z39" s="109" t="s">
        <v>765</v>
      </c>
      <c r="AA39" s="125" t="s">
        <v>1161</v>
      </c>
      <c r="AB39" s="109"/>
      <c r="AC39" s="109" t="s">
        <v>777</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722</v>
      </c>
      <c r="N40" s="125" t="s">
        <v>1162</v>
      </c>
      <c r="O40" s="125" t="s">
        <v>1163</v>
      </c>
      <c r="P40" s="125" t="s">
        <v>1205</v>
      </c>
      <c r="Q40" s="125" t="s">
        <v>1206</v>
      </c>
      <c r="R40" s="125" t="s">
        <v>1207</v>
      </c>
      <c r="S40" s="109" t="s">
        <v>579</v>
      </c>
      <c r="T40" s="109" t="str">
        <f t="shared" si="1"/>
        <v>2026Q2|NFR-12</v>
      </c>
      <c r="U40" s="123">
        <v>46203</v>
      </c>
      <c r="V40" s="109" t="s">
        <v>750</v>
      </c>
      <c r="W40" s="109" t="s">
        <v>754</v>
      </c>
      <c r="X40" s="123">
        <v>46218</v>
      </c>
      <c r="Y40" s="109" t="s">
        <v>608</v>
      </c>
      <c r="Z40" s="109" t="s">
        <v>765</v>
      </c>
      <c r="AA40" s="125" t="s">
        <v>1208</v>
      </c>
      <c r="AB40" s="109"/>
      <c r="AC40" s="109" t="s">
        <v>777</v>
      </c>
      <c r="AD40" s="109"/>
      <c r="AE40" s="125"/>
      <c r="AF40" s="109" t="str">
        <f t="shared" si="2"/>
        <v/>
      </c>
    </row>
    <row r="41" spans="1:32" ht="72.900000000000006" x14ac:dyDescent="0.4">
      <c r="A41" s="109" t="s">
        <v>608</v>
      </c>
      <c r="B41" s="123">
        <v>46203</v>
      </c>
      <c r="C41" s="109" t="s">
        <v>1183</v>
      </c>
      <c r="D41" s="109" t="s">
        <v>1184</v>
      </c>
      <c r="E41" s="109" t="s">
        <v>469</v>
      </c>
      <c r="F41" s="109" t="s">
        <v>1185</v>
      </c>
      <c r="G41" s="109">
        <v>5</v>
      </c>
      <c r="H41" s="109"/>
      <c r="I41" s="109">
        <v>1</v>
      </c>
      <c r="J41" s="124">
        <f t="shared" si="0"/>
        <v>2.75</v>
      </c>
      <c r="K41" s="109">
        <v>1</v>
      </c>
      <c r="L41" s="109"/>
      <c r="M41" s="109" t="s">
        <v>1128</v>
      </c>
      <c r="N41" s="125" t="s">
        <v>1186</v>
      </c>
      <c r="O41" s="125" t="s">
        <v>1187</v>
      </c>
      <c r="P41" s="125" t="s">
        <v>1131</v>
      </c>
      <c r="Q41" s="125" t="s">
        <v>1188</v>
      </c>
      <c r="R41" s="125"/>
      <c r="S41" s="109" t="s">
        <v>584</v>
      </c>
      <c r="T41" s="109" t="str">
        <f t="shared" si="1"/>
        <v>2026Q2|NFR-13</v>
      </c>
      <c r="U41" s="123">
        <v>46203</v>
      </c>
      <c r="V41" s="109" t="s">
        <v>750</v>
      </c>
      <c r="W41" s="109" t="s">
        <v>754</v>
      </c>
      <c r="X41" s="123">
        <v>46127</v>
      </c>
      <c r="Y41" s="109" t="s">
        <v>614</v>
      </c>
      <c r="Z41" s="109" t="s">
        <v>102</v>
      </c>
      <c r="AA41" s="125" t="s">
        <v>1189</v>
      </c>
      <c r="AB41" s="109"/>
      <c r="AC41" s="109" t="s">
        <v>777</v>
      </c>
      <c r="AD41" s="109">
        <v>10</v>
      </c>
      <c r="AE41" s="125" t="s">
        <v>1190</v>
      </c>
      <c r="AF41" s="109" t="str">
        <f t="shared" si="2"/>
        <v/>
      </c>
    </row>
    <row r="42" spans="1:32" ht="72.900000000000006" x14ac:dyDescent="0.4">
      <c r="A42" s="109" t="s">
        <v>608</v>
      </c>
      <c r="B42" s="123">
        <v>46203</v>
      </c>
      <c r="C42" s="109" t="s">
        <v>1191</v>
      </c>
      <c r="D42" s="109" t="s">
        <v>1192</v>
      </c>
      <c r="E42" s="109" t="s">
        <v>467</v>
      </c>
      <c r="F42" s="109" t="s">
        <v>1193</v>
      </c>
      <c r="G42" s="109">
        <v>4</v>
      </c>
      <c r="H42" s="109">
        <v>4</v>
      </c>
      <c r="I42" s="109">
        <v>1</v>
      </c>
      <c r="J42" s="124">
        <f t="shared" si="0"/>
        <v>2.9</v>
      </c>
      <c r="K42" s="109">
        <v>2</v>
      </c>
      <c r="L42" s="109"/>
      <c r="M42" s="109" t="s">
        <v>722</v>
      </c>
      <c r="N42" s="125" t="s">
        <v>1194</v>
      </c>
      <c r="O42" s="125" t="s">
        <v>1195</v>
      </c>
      <c r="P42" s="125" t="s">
        <v>1209</v>
      </c>
      <c r="Q42" s="125" t="s">
        <v>1210</v>
      </c>
      <c r="R42" s="125"/>
      <c r="S42" s="109" t="s">
        <v>563</v>
      </c>
      <c r="T42" s="109" t="str">
        <f t="shared" si="1"/>
        <v>2026Q2|NFR-14</v>
      </c>
      <c r="U42" s="123">
        <v>46203</v>
      </c>
      <c r="V42" s="109" t="s">
        <v>750</v>
      </c>
      <c r="W42" s="109" t="s">
        <v>754</v>
      </c>
      <c r="X42" s="123">
        <v>46218</v>
      </c>
      <c r="Y42" s="109" t="s">
        <v>608</v>
      </c>
      <c r="Z42" s="109" t="s">
        <v>102</v>
      </c>
      <c r="AA42" s="125" t="s">
        <v>1211</v>
      </c>
      <c r="AB42" s="109"/>
      <c r="AC42" s="109" t="s">
        <v>777</v>
      </c>
      <c r="AD42" s="109">
        <v>5</v>
      </c>
      <c r="AE42" s="125" t="s">
        <v>1196</v>
      </c>
      <c r="AF42" s="109" t="str">
        <f t="shared" si="2"/>
        <v/>
      </c>
    </row>
    <row r="43" spans="1:32" ht="72.900000000000006" x14ac:dyDescent="0.4">
      <c r="A43" s="109" t="s">
        <v>608</v>
      </c>
      <c r="B43" s="123">
        <v>46203</v>
      </c>
      <c r="C43" s="109" t="s">
        <v>1212</v>
      </c>
      <c r="D43" s="109" t="s">
        <v>1213</v>
      </c>
      <c r="E43" s="109" t="s">
        <v>463</v>
      </c>
      <c r="F43" s="109" t="s">
        <v>600</v>
      </c>
      <c r="G43" s="109">
        <v>3</v>
      </c>
      <c r="H43" s="109"/>
      <c r="I43" s="109">
        <v>2</v>
      </c>
      <c r="J43" s="124">
        <f t="shared" si="0"/>
        <v>2.13</v>
      </c>
      <c r="K43" s="109">
        <v>1</v>
      </c>
      <c r="L43" s="109"/>
      <c r="M43" s="109" t="s">
        <v>1170</v>
      </c>
      <c r="N43" s="125" t="s">
        <v>1214</v>
      </c>
      <c r="O43" s="125" t="s">
        <v>1215</v>
      </c>
      <c r="P43" s="125" t="s">
        <v>1131</v>
      </c>
      <c r="Q43" s="125" t="s">
        <v>1216</v>
      </c>
      <c r="R43" s="125"/>
      <c r="S43" s="109" t="s">
        <v>601</v>
      </c>
      <c r="T43" s="109" t="str">
        <f t="shared" si="1"/>
        <v>2026Q2|NFR-15</v>
      </c>
      <c r="U43" s="123">
        <v>46203</v>
      </c>
      <c r="V43" s="109" t="s">
        <v>750</v>
      </c>
      <c r="W43" s="109" t="s">
        <v>754</v>
      </c>
      <c r="X43" s="123">
        <v>46218</v>
      </c>
      <c r="Y43" s="109" t="s">
        <v>608</v>
      </c>
      <c r="Z43" s="109" t="s">
        <v>102</v>
      </c>
      <c r="AA43" s="125" t="s">
        <v>1217</v>
      </c>
      <c r="AB43" s="109"/>
      <c r="AC43" s="109" t="s">
        <v>777</v>
      </c>
      <c r="AD43" s="109">
        <v>4</v>
      </c>
      <c r="AE43" s="125" t="s">
        <v>1218</v>
      </c>
      <c r="AF43" s="109" t="str">
        <f t="shared" si="2"/>
        <v/>
      </c>
    </row>
    <row r="44" spans="1:32" ht="233.15" x14ac:dyDescent="0.4">
      <c r="A44" s="129" t="s">
        <v>1506</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1128</v>
      </c>
      <c r="N44" s="130" t="s">
        <v>1129</v>
      </c>
      <c r="O44" s="130" t="s">
        <v>1542</v>
      </c>
      <c r="P44" s="130" t="s">
        <v>1131</v>
      </c>
      <c r="Q44" s="130" t="s">
        <v>1543</v>
      </c>
      <c r="R44" s="125"/>
      <c r="S44" s="129" t="s">
        <v>557</v>
      </c>
      <c r="T44" s="109" t="str">
        <f t="shared" ref="T44:T59" si="4">A44&amp;"|"&amp;C44</f>
        <v>2026Q3|NFR-01</v>
      </c>
      <c r="U44" s="123">
        <v>46303</v>
      </c>
      <c r="V44" s="129" t="s">
        <v>750</v>
      </c>
      <c r="W44" s="129" t="s">
        <v>754</v>
      </c>
      <c r="X44" s="123">
        <v>46303</v>
      </c>
      <c r="Y44" s="129" t="s">
        <v>1506</v>
      </c>
      <c r="Z44" s="129" t="s">
        <v>765</v>
      </c>
      <c r="AA44" s="130" t="s">
        <v>1167</v>
      </c>
      <c r="AB44" s="109"/>
      <c r="AC44" s="129" t="s">
        <v>777</v>
      </c>
      <c r="AD44" s="109"/>
      <c r="AE44" s="125"/>
      <c r="AF44" s="109" t="str">
        <f t="shared" ref="AF44:AF59" si="5">IF(AND(A44=cicloCorrente,Z44="Osservazione"),N(J44)*100000+1-ROW()/1000000,"")</f>
        <v/>
      </c>
    </row>
    <row r="45" spans="1:32" ht="174.9" x14ac:dyDescent="0.4">
      <c r="A45" s="129" t="s">
        <v>1506</v>
      </c>
      <c r="B45" s="123">
        <v>46295</v>
      </c>
      <c r="C45" s="129" t="s">
        <v>560</v>
      </c>
      <c r="D45" s="129" t="s">
        <v>561</v>
      </c>
      <c r="E45" s="129" t="s">
        <v>474</v>
      </c>
      <c r="F45" s="129" t="s">
        <v>562</v>
      </c>
      <c r="G45" s="109">
        <v>4</v>
      </c>
      <c r="H45" s="109">
        <v>4</v>
      </c>
      <c r="I45" s="109">
        <v>3</v>
      </c>
      <c r="J45" s="124">
        <f t="shared" si="3"/>
        <v>3.3</v>
      </c>
      <c r="K45" s="109">
        <v>2</v>
      </c>
      <c r="L45" s="109"/>
      <c r="M45" s="129" t="s">
        <v>1128</v>
      </c>
      <c r="N45" s="130" t="s">
        <v>1134</v>
      </c>
      <c r="O45" s="130" t="s">
        <v>1544</v>
      </c>
      <c r="P45" s="130" t="s">
        <v>1131</v>
      </c>
      <c r="Q45" s="130" t="s">
        <v>1545</v>
      </c>
      <c r="R45" s="130" t="s">
        <v>1546</v>
      </c>
      <c r="S45" s="129" t="s">
        <v>563</v>
      </c>
      <c r="T45" s="109" t="str">
        <f t="shared" si="4"/>
        <v>2026Q3|NFR-02</v>
      </c>
      <c r="U45" s="123">
        <v>46303</v>
      </c>
      <c r="V45" s="129" t="s">
        <v>750</v>
      </c>
      <c r="W45" s="129" t="s">
        <v>754</v>
      </c>
      <c r="X45" s="123">
        <v>46303</v>
      </c>
      <c r="Y45" s="129" t="s">
        <v>1506</v>
      </c>
      <c r="Z45" s="129" t="s">
        <v>765</v>
      </c>
      <c r="AA45" s="130" t="s">
        <v>1137</v>
      </c>
      <c r="AB45" s="109"/>
      <c r="AC45" s="129" t="s">
        <v>777</v>
      </c>
      <c r="AD45" s="109"/>
      <c r="AE45" s="125"/>
      <c r="AF45" s="109" t="str">
        <f t="shared" si="5"/>
        <v/>
      </c>
    </row>
    <row r="46" spans="1:32" ht="145.75" x14ac:dyDescent="0.4">
      <c r="A46" s="129" t="s">
        <v>1506</v>
      </c>
      <c r="B46" s="123">
        <v>46295</v>
      </c>
      <c r="C46" s="129" t="s">
        <v>566</v>
      </c>
      <c r="D46" s="129" t="s">
        <v>567</v>
      </c>
      <c r="E46" s="129" t="s">
        <v>461</v>
      </c>
      <c r="F46" s="129" t="s">
        <v>568</v>
      </c>
      <c r="G46" s="109">
        <v>3</v>
      </c>
      <c r="H46" s="109">
        <v>2</v>
      </c>
      <c r="I46" s="109">
        <v>4</v>
      </c>
      <c r="J46" s="124">
        <f t="shared" si="3"/>
        <v>3</v>
      </c>
      <c r="K46" s="109">
        <v>3</v>
      </c>
      <c r="L46" s="109"/>
      <c r="M46" s="129" t="s">
        <v>722</v>
      </c>
      <c r="N46" s="130" t="s">
        <v>1138</v>
      </c>
      <c r="O46" s="130" t="s">
        <v>1547</v>
      </c>
      <c r="P46" s="130" t="s">
        <v>1548</v>
      </c>
      <c r="Q46" s="130" t="s">
        <v>1549</v>
      </c>
      <c r="R46" s="130"/>
      <c r="S46" s="129" t="s">
        <v>569</v>
      </c>
      <c r="T46" s="109" t="str">
        <f t="shared" si="4"/>
        <v>2026Q3|NFR-03</v>
      </c>
      <c r="U46" s="123">
        <v>46303</v>
      </c>
      <c r="V46" s="129" t="s">
        <v>750</v>
      </c>
      <c r="W46" s="129" t="s">
        <v>754</v>
      </c>
      <c r="X46" s="123">
        <v>46303</v>
      </c>
      <c r="Y46" s="129" t="s">
        <v>1506</v>
      </c>
      <c r="Z46" s="129" t="s">
        <v>765</v>
      </c>
      <c r="AA46" s="130" t="s">
        <v>1550</v>
      </c>
      <c r="AB46" s="109"/>
      <c r="AC46" s="129" t="s">
        <v>777</v>
      </c>
      <c r="AD46" s="109"/>
      <c r="AE46" s="125"/>
      <c r="AF46" s="109" t="str">
        <f t="shared" si="5"/>
        <v/>
      </c>
    </row>
    <row r="47" spans="1:32" ht="87.45" x14ac:dyDescent="0.4">
      <c r="A47" s="129" t="s">
        <v>1506</v>
      </c>
      <c r="B47" s="123">
        <v>46295</v>
      </c>
      <c r="C47" s="129" t="s">
        <v>572</v>
      </c>
      <c r="D47" s="129" t="s">
        <v>573</v>
      </c>
      <c r="E47" s="129" t="s">
        <v>471</v>
      </c>
      <c r="F47" s="129" t="s">
        <v>574</v>
      </c>
      <c r="G47" s="109">
        <v>3</v>
      </c>
      <c r="H47" s="109">
        <v>2</v>
      </c>
      <c r="I47" s="109">
        <v>3</v>
      </c>
      <c r="J47" s="124">
        <f t="shared" si="3"/>
        <v>2.8</v>
      </c>
      <c r="K47" s="109">
        <v>3</v>
      </c>
      <c r="L47" s="109"/>
      <c r="M47" s="129" t="s">
        <v>1128</v>
      </c>
      <c r="N47" s="130" t="s">
        <v>1142</v>
      </c>
      <c r="O47" s="130" t="s">
        <v>1551</v>
      </c>
      <c r="P47" s="130" t="s">
        <v>1131</v>
      </c>
      <c r="Q47" s="130" t="s">
        <v>1552</v>
      </c>
      <c r="R47" s="130"/>
      <c r="S47" s="129" t="s">
        <v>575</v>
      </c>
      <c r="T47" s="109" t="str">
        <f t="shared" si="4"/>
        <v>2026Q3|NFR-04</v>
      </c>
      <c r="U47" s="123">
        <v>46303</v>
      </c>
      <c r="V47" s="129" t="s">
        <v>750</v>
      </c>
      <c r="W47" s="129" t="s">
        <v>754</v>
      </c>
      <c r="X47" s="123">
        <v>46303</v>
      </c>
      <c r="Y47" s="129" t="s">
        <v>1506</v>
      </c>
      <c r="Z47" s="129" t="s">
        <v>765</v>
      </c>
      <c r="AA47" s="130" t="s">
        <v>1141</v>
      </c>
      <c r="AB47" s="109"/>
      <c r="AC47" s="129" t="s">
        <v>777</v>
      </c>
      <c r="AD47" s="109"/>
      <c r="AE47" s="125"/>
      <c r="AF47" s="109" t="str">
        <f t="shared" si="5"/>
        <v/>
      </c>
    </row>
    <row r="48" spans="1:32" ht="131.15" x14ac:dyDescent="0.4">
      <c r="A48" s="129" t="s">
        <v>1506</v>
      </c>
      <c r="B48" s="123">
        <v>46295</v>
      </c>
      <c r="C48" s="129" t="s">
        <v>576</v>
      </c>
      <c r="D48" s="129" t="s">
        <v>577</v>
      </c>
      <c r="E48" s="129" t="s">
        <v>478</v>
      </c>
      <c r="F48" s="129" t="s">
        <v>578</v>
      </c>
      <c r="G48" s="109">
        <v>3</v>
      </c>
      <c r="H48" s="109">
        <v>3</v>
      </c>
      <c r="I48" s="109">
        <v>3</v>
      </c>
      <c r="J48" s="124">
        <f t="shared" si="3"/>
        <v>3</v>
      </c>
      <c r="K48" s="109">
        <v>3</v>
      </c>
      <c r="L48" s="109"/>
      <c r="M48" s="129" t="s">
        <v>1128</v>
      </c>
      <c r="N48" s="130" t="s">
        <v>1146</v>
      </c>
      <c r="O48" s="130" t="s">
        <v>1553</v>
      </c>
      <c r="P48" s="130" t="s">
        <v>1131</v>
      </c>
      <c r="Q48" s="130" t="s">
        <v>1203</v>
      </c>
      <c r="R48" s="130"/>
      <c r="S48" s="129" t="s">
        <v>579</v>
      </c>
      <c r="T48" s="109" t="str">
        <f t="shared" si="4"/>
        <v>2026Q3|NFR-05</v>
      </c>
      <c r="U48" s="123">
        <v>46303</v>
      </c>
      <c r="V48" s="129" t="s">
        <v>750</v>
      </c>
      <c r="W48" s="129" t="s">
        <v>754</v>
      </c>
      <c r="X48" s="123">
        <v>46303</v>
      </c>
      <c r="Y48" s="129" t="s">
        <v>1506</v>
      </c>
      <c r="Z48" s="129" t="s">
        <v>765</v>
      </c>
      <c r="AA48" s="130" t="s">
        <v>1141</v>
      </c>
      <c r="AB48" s="109"/>
      <c r="AC48" s="129" t="s">
        <v>777</v>
      </c>
      <c r="AD48" s="109"/>
      <c r="AE48" s="125"/>
      <c r="AF48" s="109" t="str">
        <f t="shared" si="5"/>
        <v/>
      </c>
    </row>
    <row r="49" spans="1:32" ht="131.15" x14ac:dyDescent="0.4">
      <c r="A49" s="129" t="s">
        <v>1506</v>
      </c>
      <c r="B49" s="123">
        <v>46295</v>
      </c>
      <c r="C49" s="129" t="s">
        <v>581</v>
      </c>
      <c r="D49" s="129" t="s">
        <v>582</v>
      </c>
      <c r="E49" s="129" t="s">
        <v>469</v>
      </c>
      <c r="F49" s="129" t="s">
        <v>583</v>
      </c>
      <c r="G49" s="109">
        <v>3</v>
      </c>
      <c r="H49" s="109">
        <v>3</v>
      </c>
      <c r="I49" s="109">
        <v>3</v>
      </c>
      <c r="J49" s="124">
        <f t="shared" si="3"/>
        <v>3</v>
      </c>
      <c r="K49" s="109">
        <v>3</v>
      </c>
      <c r="L49" s="109">
        <v>1</v>
      </c>
      <c r="M49" s="129" t="s">
        <v>1128</v>
      </c>
      <c r="N49" s="130" t="s">
        <v>1171</v>
      </c>
      <c r="O49" s="130" t="s">
        <v>1554</v>
      </c>
      <c r="P49" s="130" t="s">
        <v>1131</v>
      </c>
      <c r="Q49" s="130" t="s">
        <v>1555</v>
      </c>
      <c r="R49" s="130" t="s">
        <v>1556</v>
      </c>
      <c r="S49" s="129" t="s">
        <v>584</v>
      </c>
      <c r="T49" s="109" t="str">
        <f t="shared" si="4"/>
        <v>2026Q3|NFR-06</v>
      </c>
      <c r="U49" s="123">
        <v>46303</v>
      </c>
      <c r="V49" s="129" t="s">
        <v>750</v>
      </c>
      <c r="W49" s="129" t="s">
        <v>967</v>
      </c>
      <c r="X49" s="123">
        <v>46303</v>
      </c>
      <c r="Y49" s="129" t="s">
        <v>1506</v>
      </c>
      <c r="Z49" s="129" t="s">
        <v>765</v>
      </c>
      <c r="AA49" s="130" t="s">
        <v>1141</v>
      </c>
      <c r="AB49" s="109"/>
      <c r="AC49" s="129" t="s">
        <v>777</v>
      </c>
      <c r="AD49" s="109"/>
      <c r="AE49" s="125"/>
      <c r="AF49" s="109" t="str">
        <f t="shared" si="5"/>
        <v/>
      </c>
    </row>
    <row r="50" spans="1:32" ht="102" x14ac:dyDescent="0.4">
      <c r="A50" s="129" t="s">
        <v>1506</v>
      </c>
      <c r="B50" s="123">
        <v>46295</v>
      </c>
      <c r="C50" s="129" t="s">
        <v>587</v>
      </c>
      <c r="D50" s="129" t="s">
        <v>588</v>
      </c>
      <c r="E50" s="129" t="s">
        <v>474</v>
      </c>
      <c r="F50" s="129" t="s">
        <v>589</v>
      </c>
      <c r="G50" s="109">
        <v>4</v>
      </c>
      <c r="H50" s="109">
        <v>5</v>
      </c>
      <c r="I50" s="109">
        <v>3</v>
      </c>
      <c r="J50" s="124">
        <f t="shared" si="3"/>
        <v>3.75</v>
      </c>
      <c r="K50" s="109">
        <v>3</v>
      </c>
      <c r="L50" s="109"/>
      <c r="M50" s="129" t="s">
        <v>1128</v>
      </c>
      <c r="N50" s="130" t="s">
        <v>1150</v>
      </c>
      <c r="O50" s="130" t="s">
        <v>1557</v>
      </c>
      <c r="P50" s="130" t="s">
        <v>1131</v>
      </c>
      <c r="Q50" s="130" t="s">
        <v>1558</v>
      </c>
      <c r="R50" s="130"/>
      <c r="S50" s="129" t="s">
        <v>563</v>
      </c>
      <c r="T50" s="109" t="str">
        <f t="shared" si="4"/>
        <v>2026Q3|NFR-07</v>
      </c>
      <c r="U50" s="123">
        <v>46303</v>
      </c>
      <c r="V50" s="129" t="s">
        <v>750</v>
      </c>
      <c r="W50" s="129" t="s">
        <v>754</v>
      </c>
      <c r="X50" s="123">
        <v>46303</v>
      </c>
      <c r="Y50" s="129" t="s">
        <v>1506</v>
      </c>
      <c r="Z50" s="129" t="s">
        <v>765</v>
      </c>
      <c r="AA50" s="130" t="s">
        <v>1153</v>
      </c>
      <c r="AB50" s="109"/>
      <c r="AC50" s="129" t="s">
        <v>777</v>
      </c>
      <c r="AD50" s="109"/>
      <c r="AE50" s="125"/>
      <c r="AF50" s="109" t="str">
        <f t="shared" si="5"/>
        <v/>
      </c>
    </row>
    <row r="51" spans="1:32" ht="87.45" x14ac:dyDescent="0.4">
      <c r="A51" s="129" t="s">
        <v>1506</v>
      </c>
      <c r="B51" s="123">
        <v>46295</v>
      </c>
      <c r="C51" s="129" t="s">
        <v>591</v>
      </c>
      <c r="D51" s="129" t="s">
        <v>592</v>
      </c>
      <c r="E51" s="129" t="s">
        <v>469</v>
      </c>
      <c r="F51" s="129" t="s">
        <v>593</v>
      </c>
      <c r="G51" s="109">
        <v>3</v>
      </c>
      <c r="H51" s="109">
        <v>3</v>
      </c>
      <c r="I51" s="109">
        <v>3</v>
      </c>
      <c r="J51" s="124">
        <f t="shared" si="3"/>
        <v>2.75</v>
      </c>
      <c r="K51" s="109">
        <v>2</v>
      </c>
      <c r="L51" s="109"/>
      <c r="M51" s="129" t="s">
        <v>1128</v>
      </c>
      <c r="N51" s="130" t="s">
        <v>1154</v>
      </c>
      <c r="O51" s="130" t="s">
        <v>1559</v>
      </c>
      <c r="P51" s="130" t="s">
        <v>1131</v>
      </c>
      <c r="Q51" s="130" t="s">
        <v>1204</v>
      </c>
      <c r="R51" s="130"/>
      <c r="S51" s="129" t="s">
        <v>584</v>
      </c>
      <c r="T51" s="109" t="str">
        <f t="shared" si="4"/>
        <v>2026Q3|NFR-08</v>
      </c>
      <c r="U51" s="123">
        <v>46303</v>
      </c>
      <c r="V51" s="129" t="s">
        <v>750</v>
      </c>
      <c r="W51" s="129" t="s">
        <v>754</v>
      </c>
      <c r="X51" s="123">
        <v>46303</v>
      </c>
      <c r="Y51" s="129" t="s">
        <v>1506</v>
      </c>
      <c r="Z51" s="129" t="s">
        <v>765</v>
      </c>
      <c r="AA51" s="130" t="s">
        <v>1157</v>
      </c>
      <c r="AB51" s="109"/>
      <c r="AC51" s="129" t="s">
        <v>777</v>
      </c>
      <c r="AD51" s="109"/>
      <c r="AE51" s="125"/>
      <c r="AF51" s="109" t="str">
        <f t="shared" si="5"/>
        <v/>
      </c>
    </row>
    <row r="52" spans="1:32" ht="87.45" x14ac:dyDescent="0.4">
      <c r="A52" s="129" t="s">
        <v>1506</v>
      </c>
      <c r="B52" s="123">
        <v>46295</v>
      </c>
      <c r="C52" s="129" t="s">
        <v>595</v>
      </c>
      <c r="D52" s="129" t="s">
        <v>596</v>
      </c>
      <c r="E52" s="129" t="s">
        <v>463</v>
      </c>
      <c r="F52" s="129" t="s">
        <v>597</v>
      </c>
      <c r="G52" s="109">
        <v>4</v>
      </c>
      <c r="H52" s="109">
        <v>3</v>
      </c>
      <c r="I52" s="109">
        <v>2</v>
      </c>
      <c r="J52" s="124">
        <f t="shared" si="3"/>
        <v>2.9</v>
      </c>
      <c r="K52" s="109">
        <v>2</v>
      </c>
      <c r="L52" s="109"/>
      <c r="M52" s="129" t="s">
        <v>1128</v>
      </c>
      <c r="N52" s="130" t="s">
        <v>1175</v>
      </c>
      <c r="O52" s="130" t="s">
        <v>1560</v>
      </c>
      <c r="P52" s="130" t="s">
        <v>1131</v>
      </c>
      <c r="Q52" s="130" t="s">
        <v>1561</v>
      </c>
      <c r="R52" s="130"/>
      <c r="S52" s="129" t="s">
        <v>569</v>
      </c>
      <c r="T52" s="109" t="str">
        <f t="shared" si="4"/>
        <v>2026Q3|NFR-09</v>
      </c>
      <c r="U52" s="123">
        <v>46303</v>
      </c>
      <c r="V52" s="129" t="s">
        <v>750</v>
      </c>
      <c r="W52" s="129" t="s">
        <v>754</v>
      </c>
      <c r="X52" s="123">
        <v>46303</v>
      </c>
      <c r="Y52" s="129" t="s">
        <v>1506</v>
      </c>
      <c r="Z52" s="129" t="s">
        <v>765</v>
      </c>
      <c r="AA52" s="130" t="s">
        <v>1178</v>
      </c>
      <c r="AB52" s="109"/>
      <c r="AC52" s="129" t="s">
        <v>777</v>
      </c>
      <c r="AD52" s="109"/>
      <c r="AE52" s="125"/>
      <c r="AF52" s="109" t="str">
        <f t="shared" si="5"/>
        <v/>
      </c>
    </row>
    <row r="53" spans="1:32" ht="102" x14ac:dyDescent="0.4">
      <c r="A53" s="129" t="s">
        <v>1506</v>
      </c>
      <c r="B53" s="123">
        <v>46295</v>
      </c>
      <c r="C53" s="129" t="s">
        <v>598</v>
      </c>
      <c r="D53" s="129" t="s">
        <v>599</v>
      </c>
      <c r="E53" s="129" t="s">
        <v>461</v>
      </c>
      <c r="F53" s="129" t="s">
        <v>600</v>
      </c>
      <c r="G53" s="109">
        <v>3</v>
      </c>
      <c r="H53" s="109">
        <v>3</v>
      </c>
      <c r="I53" s="109">
        <v>3</v>
      </c>
      <c r="J53" s="124">
        <f t="shared" si="3"/>
        <v>3</v>
      </c>
      <c r="K53" s="109">
        <v>3</v>
      </c>
      <c r="L53" s="109"/>
      <c r="M53" s="129" t="s">
        <v>722</v>
      </c>
      <c r="N53" s="130" t="s">
        <v>1179</v>
      </c>
      <c r="O53" s="130" t="s">
        <v>1562</v>
      </c>
      <c r="P53" s="130" t="s">
        <v>1630</v>
      </c>
      <c r="Q53" s="130" t="s">
        <v>1563</v>
      </c>
      <c r="R53" s="130"/>
      <c r="S53" s="129" t="s">
        <v>601</v>
      </c>
      <c r="T53" s="109" t="str">
        <f t="shared" si="4"/>
        <v>2026Q3|NFR-10</v>
      </c>
      <c r="U53" s="123">
        <v>46303</v>
      </c>
      <c r="V53" s="129" t="s">
        <v>750</v>
      </c>
      <c r="W53" s="129" t="s">
        <v>967</v>
      </c>
      <c r="X53" s="123">
        <v>46303</v>
      </c>
      <c r="Y53" s="129" t="s">
        <v>1506</v>
      </c>
      <c r="Z53" s="129" t="s">
        <v>765</v>
      </c>
      <c r="AA53" s="130" t="s">
        <v>1141</v>
      </c>
      <c r="AB53" s="109"/>
      <c r="AC53" s="129" t="s">
        <v>777</v>
      </c>
      <c r="AD53" s="109"/>
      <c r="AE53" s="125"/>
      <c r="AF53" s="109" t="str">
        <f t="shared" si="5"/>
        <v/>
      </c>
    </row>
    <row r="54" spans="1:32" ht="87.45" x14ac:dyDescent="0.4">
      <c r="A54" s="129" t="s">
        <v>1506</v>
      </c>
      <c r="B54" s="123">
        <v>46295</v>
      </c>
      <c r="C54" s="129" t="s">
        <v>604</v>
      </c>
      <c r="D54" s="129" t="s">
        <v>605</v>
      </c>
      <c r="E54" s="129" t="s">
        <v>467</v>
      </c>
      <c r="F54" s="129" t="s">
        <v>578</v>
      </c>
      <c r="G54" s="109">
        <v>3</v>
      </c>
      <c r="H54" s="109">
        <v>2</v>
      </c>
      <c r="I54" s="109">
        <v>3</v>
      </c>
      <c r="J54" s="124">
        <f t="shared" si="3"/>
        <v>2.8</v>
      </c>
      <c r="K54" s="109">
        <v>3</v>
      </c>
      <c r="L54" s="109">
        <v>3</v>
      </c>
      <c r="M54" s="129" t="s">
        <v>1128</v>
      </c>
      <c r="N54" s="130" t="s">
        <v>1158</v>
      </c>
      <c r="O54" s="130" t="s">
        <v>1564</v>
      </c>
      <c r="P54" s="130" t="s">
        <v>1131</v>
      </c>
      <c r="Q54" s="130" t="s">
        <v>1565</v>
      </c>
      <c r="R54" s="130"/>
      <c r="S54" s="129" t="s">
        <v>606</v>
      </c>
      <c r="T54" s="109" t="str">
        <f t="shared" si="4"/>
        <v>2026Q3|NFR-11</v>
      </c>
      <c r="U54" s="123">
        <v>46303</v>
      </c>
      <c r="V54" s="129" t="s">
        <v>750</v>
      </c>
      <c r="W54" s="129" t="s">
        <v>754</v>
      </c>
      <c r="X54" s="123">
        <v>46303</v>
      </c>
      <c r="Y54" s="129" t="s">
        <v>1506</v>
      </c>
      <c r="Z54" s="129" t="s">
        <v>765</v>
      </c>
      <c r="AA54" s="130" t="s">
        <v>1161</v>
      </c>
      <c r="AB54" s="109"/>
      <c r="AC54" s="129" t="s">
        <v>777</v>
      </c>
      <c r="AD54" s="109"/>
      <c r="AE54" s="125"/>
      <c r="AF54" s="109" t="str">
        <f t="shared" si="5"/>
        <v/>
      </c>
    </row>
    <row r="55" spans="1:32" ht="87.45" x14ac:dyDescent="0.4">
      <c r="A55" s="129" t="s">
        <v>1506</v>
      </c>
      <c r="B55" s="123">
        <v>46295</v>
      </c>
      <c r="C55" s="129" t="s">
        <v>611</v>
      </c>
      <c r="D55" s="129" t="s">
        <v>612</v>
      </c>
      <c r="E55" s="129" t="s">
        <v>478</v>
      </c>
      <c r="F55" s="129" t="s">
        <v>578</v>
      </c>
      <c r="G55" s="109">
        <v>3</v>
      </c>
      <c r="H55" s="109">
        <v>4</v>
      </c>
      <c r="I55" s="109">
        <v>4</v>
      </c>
      <c r="J55" s="124">
        <f t="shared" si="3"/>
        <v>3.65</v>
      </c>
      <c r="K55" s="109">
        <v>4</v>
      </c>
      <c r="L55" s="109"/>
      <c r="M55" s="129" t="s">
        <v>1128</v>
      </c>
      <c r="N55" s="130" t="s">
        <v>1162</v>
      </c>
      <c r="O55" s="130" t="s">
        <v>1566</v>
      </c>
      <c r="P55" s="130" t="s">
        <v>1131</v>
      </c>
      <c r="Q55" s="130" t="s">
        <v>1567</v>
      </c>
      <c r="R55" s="130"/>
      <c r="S55" s="129" t="s">
        <v>579</v>
      </c>
      <c r="T55" s="109" t="str">
        <f t="shared" si="4"/>
        <v>2026Q3|NFR-12</v>
      </c>
      <c r="U55" s="123">
        <v>46303</v>
      </c>
      <c r="V55" s="129" t="s">
        <v>750</v>
      </c>
      <c r="W55" s="129" t="s">
        <v>754</v>
      </c>
      <c r="X55" s="123">
        <v>46303</v>
      </c>
      <c r="Y55" s="129" t="s">
        <v>1506</v>
      </c>
      <c r="Z55" s="129" t="s">
        <v>765</v>
      </c>
      <c r="AA55" s="130" t="s">
        <v>1208</v>
      </c>
      <c r="AB55" s="109"/>
      <c r="AC55" s="129" t="s">
        <v>777</v>
      </c>
      <c r="AD55" s="109"/>
      <c r="AE55" s="125"/>
      <c r="AF55" s="109" t="str">
        <f t="shared" si="5"/>
        <v/>
      </c>
    </row>
    <row r="56" spans="1:32" ht="102" x14ac:dyDescent="0.4">
      <c r="A56" s="129" t="s">
        <v>1506</v>
      </c>
      <c r="B56" s="123">
        <v>46295</v>
      </c>
      <c r="C56" s="129" t="s">
        <v>1568</v>
      </c>
      <c r="D56" s="129" t="s">
        <v>1569</v>
      </c>
      <c r="E56" s="129" t="s">
        <v>476</v>
      </c>
      <c r="F56" s="129" t="s">
        <v>1570</v>
      </c>
      <c r="G56" s="109">
        <v>3</v>
      </c>
      <c r="H56" s="109"/>
      <c r="I56" s="109">
        <v>1</v>
      </c>
      <c r="J56" s="124">
        <f t="shared" si="3"/>
        <v>2.19</v>
      </c>
      <c r="K56" s="109">
        <v>2</v>
      </c>
      <c r="L56" s="109"/>
      <c r="M56" s="129" t="s">
        <v>1170</v>
      </c>
      <c r="N56" s="130" t="s">
        <v>1571</v>
      </c>
      <c r="O56" s="130" t="s">
        <v>1572</v>
      </c>
      <c r="P56" s="130" t="s">
        <v>1131</v>
      </c>
      <c r="Q56" s="130" t="s">
        <v>1573</v>
      </c>
      <c r="R56" s="130"/>
      <c r="S56" s="129" t="s">
        <v>1574</v>
      </c>
      <c r="T56" s="109" t="str">
        <f t="shared" si="4"/>
        <v>2026Q3|NFR-16</v>
      </c>
      <c r="U56" s="123">
        <v>46303</v>
      </c>
      <c r="V56" s="129" t="s">
        <v>750</v>
      </c>
      <c r="W56" s="129" t="s">
        <v>754</v>
      </c>
      <c r="X56" s="123">
        <v>46303</v>
      </c>
      <c r="Y56" s="129" t="s">
        <v>1506</v>
      </c>
      <c r="Z56" s="129" t="s">
        <v>102</v>
      </c>
      <c r="AA56" s="130" t="s">
        <v>1211</v>
      </c>
      <c r="AB56" s="109"/>
      <c r="AC56" s="129" t="s">
        <v>777</v>
      </c>
      <c r="AD56" s="109">
        <v>5</v>
      </c>
      <c r="AE56" s="130" t="s">
        <v>1575</v>
      </c>
      <c r="AF56" s="109">
        <f t="shared" si="5"/>
        <v>219000.99994400001</v>
      </c>
    </row>
    <row r="57" spans="1:32" ht="72.900000000000006" x14ac:dyDescent="0.4">
      <c r="A57" s="129" t="s">
        <v>1506</v>
      </c>
      <c r="B57" s="123">
        <v>46295</v>
      </c>
      <c r="C57" s="129" t="s">
        <v>1183</v>
      </c>
      <c r="D57" s="129" t="s">
        <v>1184</v>
      </c>
      <c r="E57" s="129" t="s">
        <v>469</v>
      </c>
      <c r="F57" s="129" t="s">
        <v>1185</v>
      </c>
      <c r="G57" s="109">
        <v>5</v>
      </c>
      <c r="H57" s="109"/>
      <c r="I57" s="109">
        <v>1</v>
      </c>
      <c r="J57" s="124">
        <f t="shared" si="3"/>
        <v>2.75</v>
      </c>
      <c r="K57" s="109">
        <v>1</v>
      </c>
      <c r="L57" s="109"/>
      <c r="M57" s="129" t="s">
        <v>1128</v>
      </c>
      <c r="N57" s="130" t="s">
        <v>1186</v>
      </c>
      <c r="O57" s="130" t="s">
        <v>1187</v>
      </c>
      <c r="P57" s="130" t="s">
        <v>1131</v>
      </c>
      <c r="Q57" s="130" t="s">
        <v>1188</v>
      </c>
      <c r="R57" s="130"/>
      <c r="S57" s="129" t="s">
        <v>584</v>
      </c>
      <c r="T57" s="109" t="str">
        <f t="shared" si="4"/>
        <v>2026Q3|NFR-13</v>
      </c>
      <c r="U57" s="123">
        <v>46303</v>
      </c>
      <c r="V57" s="129" t="s">
        <v>750</v>
      </c>
      <c r="W57" s="129" t="s">
        <v>754</v>
      </c>
      <c r="X57" s="123">
        <v>46127</v>
      </c>
      <c r="Y57" s="129" t="s">
        <v>614</v>
      </c>
      <c r="Z57" s="129" t="s">
        <v>102</v>
      </c>
      <c r="AA57" s="130" t="s">
        <v>1189</v>
      </c>
      <c r="AB57" s="109"/>
      <c r="AC57" s="129" t="s">
        <v>777</v>
      </c>
      <c r="AD57" s="109">
        <v>10</v>
      </c>
      <c r="AE57" s="130" t="s">
        <v>1190</v>
      </c>
      <c r="AF57" s="109">
        <f t="shared" si="5"/>
        <v>275000.99994299997</v>
      </c>
    </row>
    <row r="58" spans="1:32" ht="72.900000000000006" x14ac:dyDescent="0.4">
      <c r="A58" s="129" t="s">
        <v>1506</v>
      </c>
      <c r="B58" s="123">
        <v>46295</v>
      </c>
      <c r="C58" s="129" t="s">
        <v>1191</v>
      </c>
      <c r="D58" s="129" t="s">
        <v>1192</v>
      </c>
      <c r="E58" s="129" t="s">
        <v>467</v>
      </c>
      <c r="F58" s="129" t="s">
        <v>1193</v>
      </c>
      <c r="G58" s="109">
        <v>4</v>
      </c>
      <c r="H58" s="109">
        <v>4</v>
      </c>
      <c r="I58" s="109">
        <v>1</v>
      </c>
      <c r="J58" s="124">
        <f t="shared" si="3"/>
        <v>2.9</v>
      </c>
      <c r="K58" s="109">
        <v>2</v>
      </c>
      <c r="L58" s="109"/>
      <c r="M58" s="129" t="s">
        <v>1128</v>
      </c>
      <c r="N58" s="130" t="s">
        <v>1194</v>
      </c>
      <c r="O58" s="130" t="s">
        <v>1195</v>
      </c>
      <c r="P58" s="130" t="s">
        <v>1131</v>
      </c>
      <c r="Q58" s="130" t="s">
        <v>1210</v>
      </c>
      <c r="R58" s="130"/>
      <c r="S58" s="129" t="s">
        <v>563</v>
      </c>
      <c r="T58" s="109" t="str">
        <f t="shared" si="4"/>
        <v>2026Q3|NFR-14</v>
      </c>
      <c r="U58" s="123">
        <v>46303</v>
      </c>
      <c r="V58" s="129" t="s">
        <v>750</v>
      </c>
      <c r="W58" s="129" t="s">
        <v>754</v>
      </c>
      <c r="X58" s="123">
        <v>46218</v>
      </c>
      <c r="Y58" s="129" t="s">
        <v>608</v>
      </c>
      <c r="Z58" s="129" t="s">
        <v>102</v>
      </c>
      <c r="AA58" s="130" t="s">
        <v>1211</v>
      </c>
      <c r="AB58" s="109"/>
      <c r="AC58" s="129" t="s">
        <v>777</v>
      </c>
      <c r="AD58" s="109">
        <v>5</v>
      </c>
      <c r="AE58" s="130" t="s">
        <v>1196</v>
      </c>
      <c r="AF58" s="109">
        <f t="shared" si="5"/>
        <v>290000.99994200002</v>
      </c>
    </row>
    <row r="59" spans="1:32" ht="72.900000000000006" x14ac:dyDescent="0.4">
      <c r="A59" s="129" t="s">
        <v>1506</v>
      </c>
      <c r="B59" s="123">
        <v>46295</v>
      </c>
      <c r="C59" s="129" t="s">
        <v>1212</v>
      </c>
      <c r="D59" s="129" t="s">
        <v>1213</v>
      </c>
      <c r="E59" s="129" t="s">
        <v>463</v>
      </c>
      <c r="F59" s="129" t="s">
        <v>600</v>
      </c>
      <c r="G59" s="109">
        <v>3</v>
      </c>
      <c r="H59" s="109"/>
      <c r="I59" s="109">
        <v>2</v>
      </c>
      <c r="J59" s="124">
        <f t="shared" si="3"/>
        <v>2.13</v>
      </c>
      <c r="K59" s="109">
        <v>1</v>
      </c>
      <c r="L59" s="109"/>
      <c r="M59" s="129" t="s">
        <v>1128</v>
      </c>
      <c r="N59" s="130" t="s">
        <v>1214</v>
      </c>
      <c r="O59" s="130" t="s">
        <v>1215</v>
      </c>
      <c r="P59" s="130" t="s">
        <v>1131</v>
      </c>
      <c r="Q59" s="130" t="s">
        <v>1216</v>
      </c>
      <c r="R59" s="130"/>
      <c r="S59" s="129" t="s">
        <v>601</v>
      </c>
      <c r="T59" s="109" t="str">
        <f t="shared" si="4"/>
        <v>2026Q3|NFR-15</v>
      </c>
      <c r="U59" s="123">
        <v>46303</v>
      </c>
      <c r="V59" s="129" t="s">
        <v>750</v>
      </c>
      <c r="W59" s="129" t="s">
        <v>754</v>
      </c>
      <c r="X59" s="123">
        <v>46218</v>
      </c>
      <c r="Y59" s="129" t="s">
        <v>608</v>
      </c>
      <c r="Z59" s="129" t="s">
        <v>102</v>
      </c>
      <c r="AA59" s="130" t="s">
        <v>1217</v>
      </c>
      <c r="AB59" s="109"/>
      <c r="AC59" s="129" t="s">
        <v>777</v>
      </c>
      <c r="AD59" s="109">
        <v>4</v>
      </c>
      <c r="AE59" s="130" t="s">
        <v>1218</v>
      </c>
      <c r="AF59" s="109">
        <f t="shared" si="5"/>
        <v>213000.99994099999</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16" xr:uid="{00000000-0002-0000-1100-000000000000}">
      <formula1>codiciL1</formula1>
    </dataValidation>
    <dataValidation type="list" allowBlank="1" sqref="M6:M20016" xr:uid="{00000000-0002-0000-1100-000001000000}">
      <formula1>"Confermato,Variato,Nuovo"</formula1>
    </dataValidation>
    <dataValidation type="list" allowBlank="1" sqref="Z6:Z20016" xr:uid="{00000000-0002-0000-1100-000002000000}">
      <formula1>"Radar,Radar, in uscita,Osservazione,Dismesso"</formula1>
    </dataValidation>
    <dataValidation type="list" allowBlank="1" sqref="AC6:AC20016"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58" t="str">
        <f>"Horizon Scan NFR — Azioni — azioni di mitigazione proposte e loro stato   ·   "&amp;etichettaCiclo</f>
        <v>Horizon Scan NFR — Azioni — azioni di mitigazione proposte e loro stato   ·   Ciclo 2026Q3 · dati al 30/09/2026 · validato · Uso interno</v>
      </c>
      <c r="B1" s="159"/>
      <c r="C1" s="159"/>
      <c r="D1" s="159"/>
      <c r="E1" s="159"/>
      <c r="F1" s="159"/>
      <c r="G1" s="159"/>
      <c r="H1" s="159"/>
      <c r="I1" s="159"/>
      <c r="J1" s="159"/>
      <c r="K1" s="159"/>
      <c r="L1" s="159"/>
    </row>
    <row r="2" spans="1:12" ht="72.55" customHeight="1" x14ac:dyDescent="0.4">
      <c r="A2" s="149" t="s">
        <v>1219</v>
      </c>
      <c r="B2" s="142"/>
      <c r="C2" s="142"/>
      <c r="D2" s="142"/>
      <c r="E2" s="142"/>
      <c r="F2" s="142"/>
      <c r="G2" s="142"/>
      <c r="H2" s="142"/>
    </row>
    <row r="3" spans="1:12" x14ac:dyDescent="0.4">
      <c r="A3" s="214" t="s">
        <v>1092</v>
      </c>
      <c r="B3" s="142"/>
      <c r="C3" s="119" t="s">
        <v>1094</v>
      </c>
      <c r="D3" s="214" t="s">
        <v>1092</v>
      </c>
      <c r="E3" s="142"/>
      <c r="F3" s="142"/>
      <c r="G3" s="119" t="s">
        <v>1093</v>
      </c>
      <c r="H3" s="118" t="s">
        <v>1092</v>
      </c>
      <c r="I3" s="216" t="s">
        <v>1095</v>
      </c>
      <c r="J3" s="142"/>
      <c r="K3" s="142"/>
      <c r="L3" s="142"/>
    </row>
    <row r="4" spans="1:12" ht="80.05" customHeight="1" x14ac:dyDescent="0.4">
      <c r="A4" s="121" t="s">
        <v>1220</v>
      </c>
      <c r="B4" s="121" t="s">
        <v>1221</v>
      </c>
      <c r="C4" s="121" t="s">
        <v>1222</v>
      </c>
      <c r="D4" s="121" t="s">
        <v>1223</v>
      </c>
      <c r="E4" s="121" t="s">
        <v>1224</v>
      </c>
      <c r="F4" s="121" t="s">
        <v>1225</v>
      </c>
      <c r="G4" s="121" t="s">
        <v>1226</v>
      </c>
      <c r="H4" s="121" t="s">
        <v>1227</v>
      </c>
      <c r="I4" s="121" t="s">
        <v>1228</v>
      </c>
      <c r="J4" s="121" t="s">
        <v>1229</v>
      </c>
      <c r="K4" s="121" t="s">
        <v>1230</v>
      </c>
      <c r="L4" s="121" t="s">
        <v>1231</v>
      </c>
    </row>
    <row r="5" spans="1:12" x14ac:dyDescent="0.4">
      <c r="A5" s="122" t="s">
        <v>451</v>
      </c>
      <c r="B5" s="122" t="s">
        <v>689</v>
      </c>
      <c r="C5" s="62" t="s">
        <v>789</v>
      </c>
      <c r="D5" s="122" t="s">
        <v>536</v>
      </c>
      <c r="E5" s="122" t="s">
        <v>181</v>
      </c>
      <c r="F5" s="122" t="s">
        <v>267</v>
      </c>
      <c r="G5" s="62" t="s">
        <v>799</v>
      </c>
      <c r="H5" s="122" t="s">
        <v>725</v>
      </c>
      <c r="I5" s="60" t="s">
        <v>444</v>
      </c>
      <c r="J5" s="60" t="s">
        <v>808</v>
      </c>
      <c r="K5" s="60" t="s">
        <v>811</v>
      </c>
      <c r="L5" s="60" t="s">
        <v>9</v>
      </c>
    </row>
    <row r="6" spans="1:12" ht="29.15" x14ac:dyDescent="0.4">
      <c r="A6" s="109" t="s">
        <v>608</v>
      </c>
      <c r="B6" s="109" t="s">
        <v>554</v>
      </c>
      <c r="C6" s="109" t="s">
        <v>792</v>
      </c>
      <c r="D6" s="125" t="s">
        <v>1232</v>
      </c>
      <c r="E6" s="109" t="s">
        <v>557</v>
      </c>
      <c r="F6" s="109" t="s">
        <v>798</v>
      </c>
      <c r="G6" s="109">
        <f t="shared" ref="G6:G17" si="0">IFERROR(VALUE(LEFT(F6,FIND(" ",F6)-1)),"")</f>
        <v>6</v>
      </c>
      <c r="H6" s="125" t="s">
        <v>1233</v>
      </c>
      <c r="I6" s="109" t="s">
        <v>807</v>
      </c>
      <c r="J6" s="123">
        <v>46218</v>
      </c>
      <c r="K6" s="109" t="s">
        <v>750</v>
      </c>
      <c r="L6" s="109" t="s">
        <v>754</v>
      </c>
    </row>
    <row r="7" spans="1:12" ht="29.15" x14ac:dyDescent="0.4">
      <c r="A7" s="109" t="s">
        <v>608</v>
      </c>
      <c r="B7" s="109" t="s">
        <v>560</v>
      </c>
      <c r="C7" s="109" t="s">
        <v>1234</v>
      </c>
      <c r="D7" s="125" t="s">
        <v>1235</v>
      </c>
      <c r="E7" s="109" t="s">
        <v>563</v>
      </c>
      <c r="F7" s="109" t="s">
        <v>1236</v>
      </c>
      <c r="G7" s="109">
        <f t="shared" si="0"/>
        <v>12</v>
      </c>
      <c r="H7" s="125" t="s">
        <v>1237</v>
      </c>
      <c r="I7" s="109" t="s">
        <v>807</v>
      </c>
      <c r="J7" s="123">
        <v>46218</v>
      </c>
      <c r="K7" s="109" t="s">
        <v>750</v>
      </c>
      <c r="L7" s="109" t="s">
        <v>754</v>
      </c>
    </row>
    <row r="8" spans="1:12" ht="29.15" x14ac:dyDescent="0.4">
      <c r="A8" s="109" t="s">
        <v>608</v>
      </c>
      <c r="B8" s="109" t="s">
        <v>566</v>
      </c>
      <c r="C8" s="109" t="s">
        <v>1238</v>
      </c>
      <c r="D8" s="125" t="s">
        <v>1239</v>
      </c>
      <c r="E8" s="109" t="s">
        <v>569</v>
      </c>
      <c r="F8" s="109" t="s">
        <v>798</v>
      </c>
      <c r="G8" s="109">
        <f t="shared" si="0"/>
        <v>6</v>
      </c>
      <c r="H8" s="125" t="s">
        <v>1240</v>
      </c>
      <c r="I8" s="109" t="s">
        <v>807</v>
      </c>
      <c r="J8" s="123">
        <v>46218</v>
      </c>
      <c r="K8" s="109" t="s">
        <v>750</v>
      </c>
      <c r="L8" s="109" t="s">
        <v>754</v>
      </c>
    </row>
    <row r="9" spans="1:12" ht="29.15" x14ac:dyDescent="0.4">
      <c r="A9" s="109" t="s">
        <v>608</v>
      </c>
      <c r="B9" s="109" t="s">
        <v>572</v>
      </c>
      <c r="C9" s="109" t="s">
        <v>1241</v>
      </c>
      <c r="D9" s="125" t="s">
        <v>1242</v>
      </c>
      <c r="E9" s="109" t="s">
        <v>575</v>
      </c>
      <c r="F9" s="109" t="s">
        <v>1236</v>
      </c>
      <c r="G9" s="109">
        <f t="shared" si="0"/>
        <v>12</v>
      </c>
      <c r="H9" s="125" t="s">
        <v>1243</v>
      </c>
      <c r="I9" s="109" t="s">
        <v>807</v>
      </c>
      <c r="J9" s="123">
        <v>46218</v>
      </c>
      <c r="K9" s="109" t="s">
        <v>750</v>
      </c>
      <c r="L9" s="109" t="s">
        <v>754</v>
      </c>
    </row>
    <row r="10" spans="1:12" ht="29.15" x14ac:dyDescent="0.4">
      <c r="A10" s="109" t="s">
        <v>608</v>
      </c>
      <c r="B10" s="109" t="s">
        <v>576</v>
      </c>
      <c r="C10" s="109" t="s">
        <v>1244</v>
      </c>
      <c r="D10" s="125" t="s">
        <v>1245</v>
      </c>
      <c r="E10" s="109" t="s">
        <v>579</v>
      </c>
      <c r="F10" s="109" t="s">
        <v>1246</v>
      </c>
      <c r="G10" s="109">
        <f t="shared" si="0"/>
        <v>3</v>
      </c>
      <c r="H10" s="125" t="s">
        <v>1247</v>
      </c>
      <c r="I10" s="109" t="s">
        <v>1248</v>
      </c>
      <c r="J10" s="123">
        <v>46218</v>
      </c>
      <c r="K10" s="109" t="s">
        <v>750</v>
      </c>
      <c r="L10" s="109" t="s">
        <v>1249</v>
      </c>
    </row>
    <row r="11" spans="1:12" ht="29.15" x14ac:dyDescent="0.4">
      <c r="A11" s="109" t="s">
        <v>608</v>
      </c>
      <c r="B11" s="109" t="s">
        <v>581</v>
      </c>
      <c r="C11" s="109" t="s">
        <v>1250</v>
      </c>
      <c r="D11" s="125" t="s">
        <v>1251</v>
      </c>
      <c r="E11" s="109" t="s">
        <v>584</v>
      </c>
      <c r="F11" s="109" t="s">
        <v>1246</v>
      </c>
      <c r="G11" s="109">
        <f t="shared" si="0"/>
        <v>3</v>
      </c>
      <c r="H11" s="125" t="s">
        <v>1252</v>
      </c>
      <c r="I11" s="109" t="s">
        <v>807</v>
      </c>
      <c r="J11" s="123">
        <v>46218</v>
      </c>
      <c r="K11" s="109" t="s">
        <v>750</v>
      </c>
      <c r="L11" s="109" t="s">
        <v>754</v>
      </c>
    </row>
    <row r="12" spans="1:12" ht="29.15" x14ac:dyDescent="0.4">
      <c r="A12" s="109" t="s">
        <v>608</v>
      </c>
      <c r="B12" s="109" t="s">
        <v>587</v>
      </c>
      <c r="C12" s="109" t="s">
        <v>1253</v>
      </c>
      <c r="D12" s="125" t="s">
        <v>1254</v>
      </c>
      <c r="E12" s="109" t="s">
        <v>563</v>
      </c>
      <c r="F12" s="109" t="s">
        <v>798</v>
      </c>
      <c r="G12" s="109">
        <f t="shared" si="0"/>
        <v>6</v>
      </c>
      <c r="H12" s="125" t="s">
        <v>1255</v>
      </c>
      <c r="I12" s="109" t="s">
        <v>807</v>
      </c>
      <c r="J12" s="123">
        <v>46218</v>
      </c>
      <c r="K12" s="109" t="s">
        <v>750</v>
      </c>
      <c r="L12" s="109" t="s">
        <v>754</v>
      </c>
    </row>
    <row r="13" spans="1:12" ht="29.15" x14ac:dyDescent="0.4">
      <c r="A13" s="109" t="s">
        <v>608</v>
      </c>
      <c r="B13" s="109" t="s">
        <v>591</v>
      </c>
      <c r="C13" s="109" t="s">
        <v>1256</v>
      </c>
      <c r="D13" s="125" t="s">
        <v>1257</v>
      </c>
      <c r="E13" s="109" t="s">
        <v>584</v>
      </c>
      <c r="F13" s="109" t="s">
        <v>1246</v>
      </c>
      <c r="G13" s="109">
        <f t="shared" si="0"/>
        <v>3</v>
      </c>
      <c r="H13" s="125" t="s">
        <v>1258</v>
      </c>
      <c r="I13" s="109" t="s">
        <v>807</v>
      </c>
      <c r="J13" s="123">
        <v>46218</v>
      </c>
      <c r="K13" s="109" t="s">
        <v>750</v>
      </c>
      <c r="L13" s="109" t="s">
        <v>754</v>
      </c>
    </row>
    <row r="14" spans="1:12" ht="29.15" x14ac:dyDescent="0.4">
      <c r="A14" s="109" t="s">
        <v>608</v>
      </c>
      <c r="B14" s="109" t="s">
        <v>595</v>
      </c>
      <c r="C14" s="109" t="s">
        <v>1259</v>
      </c>
      <c r="D14" s="125" t="s">
        <v>1260</v>
      </c>
      <c r="E14" s="109" t="s">
        <v>569</v>
      </c>
      <c r="F14" s="109" t="s">
        <v>1236</v>
      </c>
      <c r="G14" s="109">
        <f t="shared" si="0"/>
        <v>12</v>
      </c>
      <c r="H14" s="125" t="s">
        <v>1261</v>
      </c>
      <c r="I14" s="109" t="s">
        <v>807</v>
      </c>
      <c r="J14" s="123">
        <v>46218</v>
      </c>
      <c r="K14" s="109" t="s">
        <v>750</v>
      </c>
      <c r="L14" s="109" t="s">
        <v>754</v>
      </c>
    </row>
    <row r="15" spans="1:12" ht="29.15" x14ac:dyDescent="0.4">
      <c r="A15" s="109" t="s">
        <v>608</v>
      </c>
      <c r="B15" s="109" t="s">
        <v>598</v>
      </c>
      <c r="C15" s="109" t="s">
        <v>1262</v>
      </c>
      <c r="D15" s="125" t="s">
        <v>1263</v>
      </c>
      <c r="E15" s="109" t="s">
        <v>601</v>
      </c>
      <c r="F15" s="109" t="s">
        <v>1246</v>
      </c>
      <c r="G15" s="109">
        <f t="shared" si="0"/>
        <v>3</v>
      </c>
      <c r="H15" s="125" t="s">
        <v>1264</v>
      </c>
      <c r="I15" s="109" t="s">
        <v>807</v>
      </c>
      <c r="J15" s="123">
        <v>46218</v>
      </c>
      <c r="K15" s="109" t="s">
        <v>750</v>
      </c>
      <c r="L15" s="109" t="s">
        <v>754</v>
      </c>
    </row>
    <row r="16" spans="1:12" ht="29.15" x14ac:dyDescent="0.4">
      <c r="A16" s="109" t="s">
        <v>608</v>
      </c>
      <c r="B16" s="109" t="s">
        <v>604</v>
      </c>
      <c r="C16" s="109" t="s">
        <v>1265</v>
      </c>
      <c r="D16" s="125" t="s">
        <v>1266</v>
      </c>
      <c r="E16" s="109" t="s">
        <v>606</v>
      </c>
      <c r="F16" s="109" t="s">
        <v>1236</v>
      </c>
      <c r="G16" s="109">
        <f t="shared" si="0"/>
        <v>12</v>
      </c>
      <c r="H16" s="125" t="s">
        <v>1267</v>
      </c>
      <c r="I16" s="109" t="s">
        <v>807</v>
      </c>
      <c r="J16" s="123">
        <v>46218</v>
      </c>
      <c r="K16" s="109" t="s">
        <v>750</v>
      </c>
      <c r="L16" s="109" t="s">
        <v>754</v>
      </c>
    </row>
    <row r="17" spans="1:12" ht="29.15" x14ac:dyDescent="0.4">
      <c r="A17" s="109" t="s">
        <v>608</v>
      </c>
      <c r="B17" s="109" t="s">
        <v>611</v>
      </c>
      <c r="C17" s="109" t="s">
        <v>1268</v>
      </c>
      <c r="D17" s="125" t="s">
        <v>1269</v>
      </c>
      <c r="E17" s="109" t="s">
        <v>579</v>
      </c>
      <c r="F17" s="109" t="s">
        <v>1246</v>
      </c>
      <c r="G17" s="109">
        <f t="shared" si="0"/>
        <v>3</v>
      </c>
      <c r="H17" s="125" t="s">
        <v>1270</v>
      </c>
      <c r="I17" s="109" t="s">
        <v>807</v>
      </c>
      <c r="J17" s="123">
        <v>46218</v>
      </c>
      <c r="K17" s="109" t="s">
        <v>750</v>
      </c>
      <c r="L17" s="109" t="s">
        <v>754</v>
      </c>
    </row>
    <row r="18" spans="1:12" ht="29.15" x14ac:dyDescent="0.4">
      <c r="A18" s="129" t="s">
        <v>1506</v>
      </c>
      <c r="B18" s="129" t="s">
        <v>554</v>
      </c>
      <c r="C18" s="129" t="s">
        <v>1576</v>
      </c>
      <c r="D18" s="130" t="s">
        <v>1577</v>
      </c>
      <c r="E18" s="129" t="s">
        <v>557</v>
      </c>
      <c r="F18" s="129" t="s">
        <v>1246</v>
      </c>
      <c r="G18" s="109">
        <f t="shared" ref="G18:G32" si="1">IFERROR(VALUE(LEFT(F18,FIND(" ",F18)-1)),"")</f>
        <v>3</v>
      </c>
      <c r="H18" s="130" t="s">
        <v>1578</v>
      </c>
      <c r="I18" s="129" t="s">
        <v>807</v>
      </c>
      <c r="J18" s="123">
        <v>46303</v>
      </c>
      <c r="K18" s="129" t="s">
        <v>750</v>
      </c>
      <c r="L18" s="129" t="s">
        <v>754</v>
      </c>
    </row>
    <row r="19" spans="1:12" ht="29.15" x14ac:dyDescent="0.4">
      <c r="A19" s="129" t="s">
        <v>1506</v>
      </c>
      <c r="B19" s="129" t="s">
        <v>554</v>
      </c>
      <c r="C19" s="129" t="s">
        <v>1579</v>
      </c>
      <c r="D19" s="130" t="s">
        <v>1580</v>
      </c>
      <c r="E19" s="129" t="s">
        <v>1581</v>
      </c>
      <c r="F19" s="129" t="s">
        <v>798</v>
      </c>
      <c r="G19" s="109">
        <f t="shared" si="1"/>
        <v>6</v>
      </c>
      <c r="H19" s="130" t="s">
        <v>1582</v>
      </c>
      <c r="I19" s="129" t="s">
        <v>807</v>
      </c>
      <c r="J19" s="123">
        <v>46303</v>
      </c>
      <c r="K19" s="129" t="s">
        <v>750</v>
      </c>
      <c r="L19" s="129" t="s">
        <v>754</v>
      </c>
    </row>
    <row r="20" spans="1:12" ht="29.15" x14ac:dyDescent="0.4">
      <c r="A20" s="129" t="s">
        <v>1506</v>
      </c>
      <c r="B20" s="129" t="s">
        <v>560</v>
      </c>
      <c r="C20" s="129" t="s">
        <v>1583</v>
      </c>
      <c r="D20" s="130" t="s">
        <v>1584</v>
      </c>
      <c r="E20" s="129" t="s">
        <v>563</v>
      </c>
      <c r="F20" s="129" t="s">
        <v>1246</v>
      </c>
      <c r="G20" s="109">
        <f t="shared" si="1"/>
        <v>3</v>
      </c>
      <c r="H20" s="130" t="s">
        <v>1585</v>
      </c>
      <c r="I20" s="129" t="s">
        <v>807</v>
      </c>
      <c r="J20" s="123">
        <v>46303</v>
      </c>
      <c r="K20" s="129" t="s">
        <v>750</v>
      </c>
      <c r="L20" s="129" t="s">
        <v>754</v>
      </c>
    </row>
    <row r="21" spans="1:12" ht="29.15" x14ac:dyDescent="0.4">
      <c r="A21" s="129" t="s">
        <v>1506</v>
      </c>
      <c r="B21" s="129" t="s">
        <v>560</v>
      </c>
      <c r="C21" s="129" t="s">
        <v>1586</v>
      </c>
      <c r="D21" s="130" t="s">
        <v>1587</v>
      </c>
      <c r="E21" s="129" t="s">
        <v>1588</v>
      </c>
      <c r="F21" s="129" t="s">
        <v>1236</v>
      </c>
      <c r="G21" s="109">
        <f t="shared" si="1"/>
        <v>12</v>
      </c>
      <c r="H21" s="130" t="s">
        <v>1589</v>
      </c>
      <c r="I21" s="129" t="s">
        <v>807</v>
      </c>
      <c r="J21" s="123">
        <v>46303</v>
      </c>
      <c r="K21" s="129" t="s">
        <v>750</v>
      </c>
      <c r="L21" s="129" t="s">
        <v>754</v>
      </c>
    </row>
    <row r="22" spans="1:12" ht="29.15" x14ac:dyDescent="0.4">
      <c r="A22" s="129" t="s">
        <v>1506</v>
      </c>
      <c r="B22" s="129" t="s">
        <v>566</v>
      </c>
      <c r="C22" s="129" t="s">
        <v>1590</v>
      </c>
      <c r="D22" s="130" t="s">
        <v>1591</v>
      </c>
      <c r="E22" s="129" t="s">
        <v>569</v>
      </c>
      <c r="F22" s="129" t="s">
        <v>1246</v>
      </c>
      <c r="G22" s="109">
        <f t="shared" si="1"/>
        <v>3</v>
      </c>
      <c r="H22" s="130" t="s">
        <v>1592</v>
      </c>
      <c r="I22" s="129" t="s">
        <v>807</v>
      </c>
      <c r="J22" s="123">
        <v>46303</v>
      </c>
      <c r="K22" s="129" t="s">
        <v>750</v>
      </c>
      <c r="L22" s="129" t="s">
        <v>754</v>
      </c>
    </row>
    <row r="23" spans="1:12" ht="43.75" x14ac:dyDescent="0.4">
      <c r="A23" s="129" t="s">
        <v>1506</v>
      </c>
      <c r="B23" s="129" t="s">
        <v>572</v>
      </c>
      <c r="C23" s="129" t="s">
        <v>1593</v>
      </c>
      <c r="D23" s="130" t="s">
        <v>1594</v>
      </c>
      <c r="E23" s="129" t="s">
        <v>575</v>
      </c>
      <c r="F23" s="129" t="s">
        <v>798</v>
      </c>
      <c r="G23" s="109">
        <f t="shared" si="1"/>
        <v>6</v>
      </c>
      <c r="H23" s="130" t="s">
        <v>1595</v>
      </c>
      <c r="I23" s="129" t="s">
        <v>807</v>
      </c>
      <c r="J23" s="123">
        <v>46303</v>
      </c>
      <c r="K23" s="129" t="s">
        <v>750</v>
      </c>
      <c r="L23" s="129" t="s">
        <v>754</v>
      </c>
    </row>
    <row r="24" spans="1:12" ht="29.15" x14ac:dyDescent="0.4">
      <c r="A24" s="129" t="s">
        <v>1506</v>
      </c>
      <c r="B24" s="129" t="s">
        <v>576</v>
      </c>
      <c r="C24" s="129" t="s">
        <v>1596</v>
      </c>
      <c r="D24" s="130" t="s">
        <v>1245</v>
      </c>
      <c r="E24" s="129" t="s">
        <v>579</v>
      </c>
      <c r="F24" s="129" t="s">
        <v>1246</v>
      </c>
      <c r="G24" s="109">
        <f t="shared" si="1"/>
        <v>3</v>
      </c>
      <c r="H24" s="130" t="s">
        <v>1597</v>
      </c>
      <c r="I24" s="129" t="s">
        <v>807</v>
      </c>
      <c r="J24" s="123">
        <v>46303</v>
      </c>
      <c r="K24" s="129" t="s">
        <v>750</v>
      </c>
      <c r="L24" s="129" t="s">
        <v>754</v>
      </c>
    </row>
    <row r="25" spans="1:12" ht="29.15" x14ac:dyDescent="0.4">
      <c r="A25" s="129" t="s">
        <v>1506</v>
      </c>
      <c r="B25" s="129" t="s">
        <v>581</v>
      </c>
      <c r="C25" s="129" t="s">
        <v>1598</v>
      </c>
      <c r="D25" s="130" t="s">
        <v>1599</v>
      </c>
      <c r="E25" s="129" t="s">
        <v>1600</v>
      </c>
      <c r="F25" s="129" t="s">
        <v>798</v>
      </c>
      <c r="G25" s="109">
        <f t="shared" si="1"/>
        <v>6</v>
      </c>
      <c r="H25" s="130" t="s">
        <v>1601</v>
      </c>
      <c r="I25" s="129" t="s">
        <v>807</v>
      </c>
      <c r="J25" s="123">
        <v>46303</v>
      </c>
      <c r="K25" s="129" t="s">
        <v>750</v>
      </c>
      <c r="L25" s="129" t="s">
        <v>754</v>
      </c>
    </row>
    <row r="26" spans="1:12" ht="29.15" x14ac:dyDescent="0.4">
      <c r="A26" s="129" t="s">
        <v>1506</v>
      </c>
      <c r="B26" s="129" t="s">
        <v>581</v>
      </c>
      <c r="C26" s="129" t="s">
        <v>1602</v>
      </c>
      <c r="D26" s="130" t="s">
        <v>1603</v>
      </c>
      <c r="E26" s="129" t="s">
        <v>584</v>
      </c>
      <c r="F26" s="129" t="s">
        <v>798</v>
      </c>
      <c r="G26" s="109">
        <f t="shared" si="1"/>
        <v>6</v>
      </c>
      <c r="H26" s="130" t="s">
        <v>1604</v>
      </c>
      <c r="I26" s="129" t="s">
        <v>807</v>
      </c>
      <c r="J26" s="123">
        <v>46303</v>
      </c>
      <c r="K26" s="129" t="s">
        <v>750</v>
      </c>
      <c r="L26" s="129" t="s">
        <v>754</v>
      </c>
    </row>
    <row r="27" spans="1:12" ht="43.75" x14ac:dyDescent="0.4">
      <c r="A27" s="129" t="s">
        <v>1506</v>
      </c>
      <c r="B27" s="129" t="s">
        <v>587</v>
      </c>
      <c r="C27" s="129" t="s">
        <v>1605</v>
      </c>
      <c r="D27" s="130" t="s">
        <v>1606</v>
      </c>
      <c r="E27" s="129" t="s">
        <v>563</v>
      </c>
      <c r="F27" s="129" t="s">
        <v>798</v>
      </c>
      <c r="G27" s="109">
        <f t="shared" si="1"/>
        <v>6</v>
      </c>
      <c r="H27" s="130" t="s">
        <v>1607</v>
      </c>
      <c r="I27" s="129" t="s">
        <v>807</v>
      </c>
      <c r="J27" s="123">
        <v>46303</v>
      </c>
      <c r="K27" s="129" t="s">
        <v>750</v>
      </c>
      <c r="L27" s="129" t="s">
        <v>754</v>
      </c>
    </row>
    <row r="28" spans="1:12" ht="29.15" x14ac:dyDescent="0.4">
      <c r="A28" s="129" t="s">
        <v>1506</v>
      </c>
      <c r="B28" s="129" t="s">
        <v>591</v>
      </c>
      <c r="C28" s="129" t="s">
        <v>1608</v>
      </c>
      <c r="D28" s="130" t="s">
        <v>1609</v>
      </c>
      <c r="E28" s="129" t="s">
        <v>584</v>
      </c>
      <c r="F28" s="129" t="s">
        <v>1246</v>
      </c>
      <c r="G28" s="109">
        <f t="shared" si="1"/>
        <v>3</v>
      </c>
      <c r="H28" s="130" t="s">
        <v>1610</v>
      </c>
      <c r="I28" s="129" t="s">
        <v>1248</v>
      </c>
      <c r="J28" s="123">
        <v>46303</v>
      </c>
      <c r="K28" s="129" t="s">
        <v>750</v>
      </c>
      <c r="L28" s="129" t="s">
        <v>1249</v>
      </c>
    </row>
    <row r="29" spans="1:12" ht="43.75" x14ac:dyDescent="0.4">
      <c r="A29" s="129" t="s">
        <v>1506</v>
      </c>
      <c r="B29" s="129" t="s">
        <v>595</v>
      </c>
      <c r="C29" s="129" t="s">
        <v>1611</v>
      </c>
      <c r="D29" s="130" t="s">
        <v>1612</v>
      </c>
      <c r="E29" s="129" t="s">
        <v>569</v>
      </c>
      <c r="F29" s="129" t="s">
        <v>1236</v>
      </c>
      <c r="G29" s="109">
        <f t="shared" si="1"/>
        <v>12</v>
      </c>
      <c r="H29" s="130" t="s">
        <v>1613</v>
      </c>
      <c r="I29" s="129" t="s">
        <v>807</v>
      </c>
      <c r="J29" s="123">
        <v>46303</v>
      </c>
      <c r="K29" s="129" t="s">
        <v>750</v>
      </c>
      <c r="L29" s="129" t="s">
        <v>754</v>
      </c>
    </row>
    <row r="30" spans="1:12" ht="43.75" x14ac:dyDescent="0.4">
      <c r="A30" s="129" t="s">
        <v>1506</v>
      </c>
      <c r="B30" s="129" t="s">
        <v>598</v>
      </c>
      <c r="C30" s="129" t="s">
        <v>1614</v>
      </c>
      <c r="D30" s="130" t="s">
        <v>1615</v>
      </c>
      <c r="E30" s="129" t="s">
        <v>601</v>
      </c>
      <c r="F30" s="129" t="s">
        <v>1246</v>
      </c>
      <c r="G30" s="109">
        <f t="shared" si="1"/>
        <v>3</v>
      </c>
      <c r="H30" s="130" t="s">
        <v>1616</v>
      </c>
      <c r="I30" s="129" t="s">
        <v>807</v>
      </c>
      <c r="J30" s="123">
        <v>46303</v>
      </c>
      <c r="K30" s="129" t="s">
        <v>750</v>
      </c>
      <c r="L30" s="129" t="s">
        <v>754</v>
      </c>
    </row>
    <row r="31" spans="1:12" ht="43.75" x14ac:dyDescent="0.4">
      <c r="A31" s="129" t="s">
        <v>1506</v>
      </c>
      <c r="B31" s="129" t="s">
        <v>604</v>
      </c>
      <c r="C31" s="129" t="s">
        <v>1617</v>
      </c>
      <c r="D31" s="130" t="s">
        <v>1618</v>
      </c>
      <c r="E31" s="129" t="s">
        <v>606</v>
      </c>
      <c r="F31" s="129" t="s">
        <v>1236</v>
      </c>
      <c r="G31" s="109">
        <f t="shared" si="1"/>
        <v>12</v>
      </c>
      <c r="H31" s="130" t="s">
        <v>1619</v>
      </c>
      <c r="I31" s="129" t="s">
        <v>807</v>
      </c>
      <c r="J31" s="123">
        <v>46303</v>
      </c>
      <c r="K31" s="129" t="s">
        <v>750</v>
      </c>
      <c r="L31" s="129" t="s">
        <v>754</v>
      </c>
    </row>
    <row r="32" spans="1:12" ht="43.75" x14ac:dyDescent="0.4">
      <c r="A32" s="129" t="s">
        <v>1506</v>
      </c>
      <c r="B32" s="129" t="s">
        <v>611</v>
      </c>
      <c r="C32" s="129" t="s">
        <v>1620</v>
      </c>
      <c r="D32" s="130" t="s">
        <v>1621</v>
      </c>
      <c r="E32" s="129" t="s">
        <v>579</v>
      </c>
      <c r="F32" s="129" t="s">
        <v>1246</v>
      </c>
      <c r="G32" s="109">
        <f t="shared" si="1"/>
        <v>3</v>
      </c>
      <c r="H32" s="130" t="s">
        <v>1622</v>
      </c>
      <c r="I32" s="129" t="s">
        <v>807</v>
      </c>
      <c r="J32" s="123">
        <v>46303</v>
      </c>
      <c r="K32" s="129" t="s">
        <v>750</v>
      </c>
      <c r="L32" s="129" t="s">
        <v>754</v>
      </c>
    </row>
  </sheetData>
  <mergeCells count="5">
    <mergeCell ref="I3:L3"/>
    <mergeCell ref="A2:H2"/>
    <mergeCell ref="A1:L1"/>
    <mergeCell ref="D3:F3"/>
    <mergeCell ref="A3:B3"/>
  </mergeCells>
  <dataValidations count="1">
    <dataValidation type="list" allowBlank="1" sqref="I6:I20015"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58" t="str">
        <f>"Horizon Scan NFR — KRI — storico degli indicatori, una riga per KRI per ciclo   ·   "&amp;etichettaCiclo</f>
        <v>Horizon Scan NFR — KRI — storico degli indicatori, una riga per KRI per ciclo   ·   Ciclo 2026Q3 · dati al 30/09/2026 · validato · Uso interno</v>
      </c>
      <c r="B1" s="159"/>
      <c r="C1" s="159"/>
      <c r="D1" s="159"/>
      <c r="E1" s="159"/>
      <c r="F1" s="159"/>
      <c r="G1" s="159"/>
      <c r="H1" s="159"/>
      <c r="I1" s="159"/>
      <c r="J1" s="159"/>
      <c r="K1" s="159"/>
      <c r="L1" s="159"/>
    </row>
    <row r="2" spans="1:20" ht="86.05" customHeight="1" x14ac:dyDescent="0.4">
      <c r="A2" s="149" t="s">
        <v>1271</v>
      </c>
      <c r="B2" s="142"/>
      <c r="C2" s="142"/>
      <c r="D2" s="142"/>
      <c r="E2" s="142"/>
      <c r="F2" s="142"/>
      <c r="G2" s="142"/>
      <c r="H2" s="142"/>
      <c r="I2" s="142"/>
    </row>
    <row r="3" spans="1:20" x14ac:dyDescent="0.4">
      <c r="A3" s="118" t="s">
        <v>1092</v>
      </c>
      <c r="B3" s="119" t="s">
        <v>1094</v>
      </c>
      <c r="C3" s="214" t="s">
        <v>1092</v>
      </c>
      <c r="D3" s="142"/>
      <c r="E3" s="142"/>
      <c r="F3" s="142"/>
      <c r="G3" s="142"/>
      <c r="H3" s="142"/>
      <c r="I3" s="142"/>
      <c r="J3" s="142"/>
      <c r="K3" s="119" t="s">
        <v>1094</v>
      </c>
      <c r="L3" s="214" t="s">
        <v>1092</v>
      </c>
      <c r="M3" s="142"/>
      <c r="N3" s="119" t="s">
        <v>1093</v>
      </c>
      <c r="O3" s="215" t="s">
        <v>1094</v>
      </c>
      <c r="P3" s="142"/>
      <c r="Q3" s="214" t="s">
        <v>1092</v>
      </c>
      <c r="R3" s="142"/>
      <c r="S3" s="119" t="s">
        <v>1093</v>
      </c>
      <c r="T3" s="120" t="s">
        <v>1095</v>
      </c>
    </row>
    <row r="4" spans="1:20" ht="113.05" customHeight="1" x14ac:dyDescent="0.4">
      <c r="A4" s="121" t="s">
        <v>1272</v>
      </c>
      <c r="B4" s="121" t="s">
        <v>1273</v>
      </c>
      <c r="C4" s="121" t="s">
        <v>1274</v>
      </c>
      <c r="D4" s="121" t="s">
        <v>1275</v>
      </c>
      <c r="E4" s="121" t="s">
        <v>1276</v>
      </c>
      <c r="F4" s="121" t="s">
        <v>1277</v>
      </c>
      <c r="G4" s="121" t="s">
        <v>1278</v>
      </c>
      <c r="H4" s="121" t="s">
        <v>1279</v>
      </c>
      <c r="I4" s="121" t="s">
        <v>1280</v>
      </c>
      <c r="J4" s="121" t="s">
        <v>1281</v>
      </c>
      <c r="K4" s="121" t="s">
        <v>1282</v>
      </c>
      <c r="L4" s="121" t="s">
        <v>1283</v>
      </c>
      <c r="M4" s="121" t="s">
        <v>1284</v>
      </c>
      <c r="N4" s="121" t="s">
        <v>1285</v>
      </c>
      <c r="O4" s="121" t="s">
        <v>1286</v>
      </c>
      <c r="P4" s="121" t="s">
        <v>1287</v>
      </c>
      <c r="Q4" s="121" t="s">
        <v>1288</v>
      </c>
      <c r="R4" s="121" t="s">
        <v>1289</v>
      </c>
      <c r="S4" s="121" t="s">
        <v>1290</v>
      </c>
      <c r="T4" s="121" t="s">
        <v>1231</v>
      </c>
    </row>
    <row r="5" spans="1:20" x14ac:dyDescent="0.4">
      <c r="A5" s="122" t="s">
        <v>451</v>
      </c>
      <c r="B5" s="62" t="s">
        <v>438</v>
      </c>
      <c r="C5" s="122" t="s">
        <v>689</v>
      </c>
      <c r="D5" s="122" t="s">
        <v>174</v>
      </c>
      <c r="E5" s="122" t="s">
        <v>447</v>
      </c>
      <c r="F5" s="122" t="s">
        <v>823</v>
      </c>
      <c r="G5" s="122" t="s">
        <v>826</v>
      </c>
      <c r="H5" s="122" t="s">
        <v>829</v>
      </c>
      <c r="I5" s="122" t="s">
        <v>833</v>
      </c>
      <c r="J5" s="122" t="s">
        <v>835</v>
      </c>
      <c r="K5" s="62" t="s">
        <v>839</v>
      </c>
      <c r="L5" s="122" t="s">
        <v>842</v>
      </c>
      <c r="M5" s="122" t="s">
        <v>844</v>
      </c>
      <c r="N5" s="62" t="s">
        <v>444</v>
      </c>
      <c r="O5" s="62" t="s">
        <v>849</v>
      </c>
      <c r="P5" s="62" t="s">
        <v>853</v>
      </c>
      <c r="Q5" s="122" t="s">
        <v>856</v>
      </c>
      <c r="R5" s="122" t="s">
        <v>725</v>
      </c>
      <c r="S5" s="62" t="s">
        <v>250</v>
      </c>
      <c r="T5" s="60" t="s">
        <v>9</v>
      </c>
    </row>
    <row r="6" spans="1:20" ht="29.15" x14ac:dyDescent="0.4">
      <c r="A6" s="109" t="s">
        <v>617</v>
      </c>
      <c r="B6" s="109" t="s">
        <v>437</v>
      </c>
      <c r="C6" s="109" t="s">
        <v>554</v>
      </c>
      <c r="D6" s="125" t="s">
        <v>1291</v>
      </c>
      <c r="E6" s="109" t="s">
        <v>822</v>
      </c>
      <c r="F6" s="109" t="s">
        <v>825</v>
      </c>
      <c r="G6" s="109" t="s">
        <v>828</v>
      </c>
      <c r="H6" s="109">
        <v>3</v>
      </c>
      <c r="I6" s="109">
        <v>6</v>
      </c>
      <c r="J6" s="109">
        <v>2.1</v>
      </c>
      <c r="K6" s="123">
        <v>46022</v>
      </c>
      <c r="L6" s="109" t="s">
        <v>828</v>
      </c>
      <c r="M6" s="125" t="s">
        <v>846</v>
      </c>
      <c r="N6" s="109" t="str">
        <f t="shared" ref="N6:N37" si="0">IF(OR(H6="",I6=""),"Soglie da definire",IF(I6&lt;H6,"SOGLIE INVERTITE — correggere",IF(J6="","Non rilevato",IF(J6&gt;=I6,"Rosso",IF(J6&gt;=H6,"Ambra","Verde")))))</f>
        <v>Verde</v>
      </c>
      <c r="O6" s="109" t="s">
        <v>558</v>
      </c>
      <c r="P6" s="109" t="s">
        <v>617</v>
      </c>
      <c r="Q6" s="109" t="s">
        <v>617</v>
      </c>
      <c r="R6" s="125" t="s">
        <v>1292</v>
      </c>
      <c r="S6" s="109" t="str">
        <f t="shared" ref="S6:S37" si="1">A6&amp;"|"&amp;B6</f>
        <v>2025Q4|NFR-01-K1</v>
      </c>
      <c r="T6" s="109" t="s">
        <v>754</v>
      </c>
    </row>
    <row r="7" spans="1:20" ht="29.15" x14ac:dyDescent="0.4">
      <c r="A7" s="109" t="s">
        <v>617</v>
      </c>
      <c r="B7" s="109" t="s">
        <v>1293</v>
      </c>
      <c r="C7" s="109" t="s">
        <v>554</v>
      </c>
      <c r="D7" s="125" t="s">
        <v>1294</v>
      </c>
      <c r="E7" s="109" t="s">
        <v>1295</v>
      </c>
      <c r="F7" s="109" t="s">
        <v>1296</v>
      </c>
      <c r="G7" s="109" t="s">
        <v>1297</v>
      </c>
      <c r="H7" s="109">
        <v>4</v>
      </c>
      <c r="I7" s="109">
        <v>12</v>
      </c>
      <c r="J7" s="109">
        <v>5</v>
      </c>
      <c r="K7" s="123">
        <v>46022</v>
      </c>
      <c r="L7" s="109" t="s">
        <v>1297</v>
      </c>
      <c r="M7" s="125" t="s">
        <v>846</v>
      </c>
      <c r="N7" s="109" t="str">
        <f t="shared" si="0"/>
        <v>Ambra</v>
      </c>
      <c r="O7" s="109" t="s">
        <v>558</v>
      </c>
      <c r="P7" s="109" t="s">
        <v>617</v>
      </c>
      <c r="Q7" s="109" t="s">
        <v>617</v>
      </c>
      <c r="R7" s="125" t="s">
        <v>1298</v>
      </c>
      <c r="S7" s="109" t="str">
        <f t="shared" si="1"/>
        <v>2025Q4|NFR-01-K3</v>
      </c>
      <c r="T7" s="109" t="s">
        <v>754</v>
      </c>
    </row>
    <row r="8" spans="1:20" ht="29.15" x14ac:dyDescent="0.4">
      <c r="A8" s="109" t="s">
        <v>617</v>
      </c>
      <c r="B8" s="109" t="s">
        <v>1299</v>
      </c>
      <c r="C8" s="109" t="s">
        <v>560</v>
      </c>
      <c r="D8" s="125" t="s">
        <v>1300</v>
      </c>
      <c r="E8" s="109" t="s">
        <v>1295</v>
      </c>
      <c r="F8" s="109" t="s">
        <v>1301</v>
      </c>
      <c r="G8" s="109" t="s">
        <v>1302</v>
      </c>
      <c r="H8" s="109">
        <v>60</v>
      </c>
      <c r="I8" s="109">
        <v>75</v>
      </c>
      <c r="J8" s="109">
        <v>74</v>
      </c>
      <c r="K8" s="123">
        <v>46022</v>
      </c>
      <c r="L8" s="109" t="s">
        <v>1302</v>
      </c>
      <c r="M8" s="125" t="s">
        <v>846</v>
      </c>
      <c r="N8" s="109" t="str">
        <f t="shared" si="0"/>
        <v>Ambra</v>
      </c>
      <c r="O8" s="109" t="s">
        <v>558</v>
      </c>
      <c r="P8" s="109" t="s">
        <v>617</v>
      </c>
      <c r="Q8" s="109" t="s">
        <v>617</v>
      </c>
      <c r="R8" s="125" t="s">
        <v>1303</v>
      </c>
      <c r="S8" s="109" t="str">
        <f t="shared" si="1"/>
        <v>2025Q4|NFR-02-K1</v>
      </c>
      <c r="T8" s="109" t="s">
        <v>754</v>
      </c>
    </row>
    <row r="9" spans="1:20" ht="29.15" x14ac:dyDescent="0.4">
      <c r="A9" s="109" t="s">
        <v>617</v>
      </c>
      <c r="B9" s="109" t="s">
        <v>1304</v>
      </c>
      <c r="C9" s="109" t="s">
        <v>560</v>
      </c>
      <c r="D9" s="125" t="s">
        <v>1305</v>
      </c>
      <c r="E9" s="109" t="s">
        <v>822</v>
      </c>
      <c r="F9" s="109" t="s">
        <v>1306</v>
      </c>
      <c r="G9" s="109" t="s">
        <v>1307</v>
      </c>
      <c r="H9" s="109">
        <v>2</v>
      </c>
      <c r="I9" s="109">
        <v>4</v>
      </c>
      <c r="J9" s="109">
        <v>2</v>
      </c>
      <c r="K9" s="123">
        <v>46022</v>
      </c>
      <c r="L9" s="109" t="s">
        <v>1307</v>
      </c>
      <c r="M9" s="125" t="s">
        <v>846</v>
      </c>
      <c r="N9" s="109" t="str">
        <f t="shared" si="0"/>
        <v>Ambra</v>
      </c>
      <c r="O9" s="109" t="s">
        <v>558</v>
      </c>
      <c r="P9" s="109" t="s">
        <v>617</v>
      </c>
      <c r="Q9" s="109" t="s">
        <v>617</v>
      </c>
      <c r="R9" s="125" t="s">
        <v>1308</v>
      </c>
      <c r="S9" s="109" t="str">
        <f t="shared" si="1"/>
        <v>2025Q4|NFR-02-K2</v>
      </c>
      <c r="T9" s="109" t="s">
        <v>754</v>
      </c>
    </row>
    <row r="10" spans="1:20" ht="29.15" x14ac:dyDescent="0.4">
      <c r="A10" s="109" t="s">
        <v>617</v>
      </c>
      <c r="B10" s="109" t="s">
        <v>1309</v>
      </c>
      <c r="C10" s="109" t="s">
        <v>566</v>
      </c>
      <c r="D10" s="125" t="s">
        <v>1310</v>
      </c>
      <c r="E10" s="109" t="s">
        <v>822</v>
      </c>
      <c r="F10" s="109" t="s">
        <v>1311</v>
      </c>
      <c r="G10" s="109" t="s">
        <v>1312</v>
      </c>
      <c r="H10" s="109">
        <v>1.5</v>
      </c>
      <c r="I10" s="109">
        <v>3</v>
      </c>
      <c r="J10" s="109">
        <v>0.6</v>
      </c>
      <c r="K10" s="123">
        <v>46022</v>
      </c>
      <c r="L10" s="109" t="s">
        <v>1312</v>
      </c>
      <c r="M10" s="125" t="s">
        <v>846</v>
      </c>
      <c r="N10" s="109" t="str">
        <f t="shared" si="0"/>
        <v>Verde</v>
      </c>
      <c r="O10" s="109" t="s">
        <v>558</v>
      </c>
      <c r="P10" s="109" t="s">
        <v>617</v>
      </c>
      <c r="Q10" s="109" t="s">
        <v>617</v>
      </c>
      <c r="R10" s="125" t="s">
        <v>1313</v>
      </c>
      <c r="S10" s="109" t="str">
        <f t="shared" si="1"/>
        <v>2025Q4|NFR-03-K1</v>
      </c>
      <c r="T10" s="109" t="s">
        <v>754</v>
      </c>
    </row>
    <row r="11" spans="1:20" ht="29.15" x14ac:dyDescent="0.4">
      <c r="A11" s="109" t="s">
        <v>617</v>
      </c>
      <c r="B11" s="109" t="s">
        <v>1314</v>
      </c>
      <c r="C11" s="109" t="s">
        <v>566</v>
      </c>
      <c r="D11" s="125" t="s">
        <v>1315</v>
      </c>
      <c r="E11" s="109" t="s">
        <v>1295</v>
      </c>
      <c r="F11" s="109" t="s">
        <v>1301</v>
      </c>
      <c r="G11" s="109" t="s">
        <v>1316</v>
      </c>
      <c r="H11" s="109">
        <v>20</v>
      </c>
      <c r="I11" s="109">
        <v>40</v>
      </c>
      <c r="J11" s="109">
        <v>55</v>
      </c>
      <c r="K11" s="123">
        <v>46022</v>
      </c>
      <c r="L11" s="109" t="s">
        <v>1316</v>
      </c>
      <c r="M11" s="125" t="s">
        <v>846</v>
      </c>
      <c r="N11" s="109" t="str">
        <f t="shared" si="0"/>
        <v>Rosso</v>
      </c>
      <c r="O11" s="109" t="s">
        <v>558</v>
      </c>
      <c r="P11" s="109" t="s">
        <v>617</v>
      </c>
      <c r="Q11" s="109" t="s">
        <v>617</v>
      </c>
      <c r="R11" s="125" t="s">
        <v>1317</v>
      </c>
      <c r="S11" s="109" t="str">
        <f t="shared" si="1"/>
        <v>2025Q4|NFR-03-K2</v>
      </c>
      <c r="T11" s="109" t="s">
        <v>754</v>
      </c>
    </row>
    <row r="12" spans="1:20" ht="29.15" x14ac:dyDescent="0.4">
      <c r="A12" s="109" t="s">
        <v>617</v>
      </c>
      <c r="B12" s="109" t="s">
        <v>1318</v>
      </c>
      <c r="C12" s="109" t="s">
        <v>572</v>
      </c>
      <c r="D12" s="125" t="s">
        <v>1319</v>
      </c>
      <c r="E12" s="109" t="s">
        <v>1295</v>
      </c>
      <c r="F12" s="109" t="s">
        <v>1306</v>
      </c>
      <c r="G12" s="109" t="s">
        <v>1320</v>
      </c>
      <c r="H12" s="109">
        <v>1</v>
      </c>
      <c r="I12" s="109">
        <v>3</v>
      </c>
      <c r="J12" s="109">
        <v>2</v>
      </c>
      <c r="K12" s="123">
        <v>46022</v>
      </c>
      <c r="L12" s="109" t="s">
        <v>1320</v>
      </c>
      <c r="M12" s="125" t="s">
        <v>846</v>
      </c>
      <c r="N12" s="109" t="str">
        <f t="shared" si="0"/>
        <v>Ambra</v>
      </c>
      <c r="O12" s="109" t="s">
        <v>558</v>
      </c>
      <c r="P12" s="109" t="s">
        <v>617</v>
      </c>
      <c r="Q12" s="109" t="s">
        <v>617</v>
      </c>
      <c r="R12" s="125" t="s">
        <v>1321</v>
      </c>
      <c r="S12" s="109" t="str">
        <f t="shared" si="1"/>
        <v>2025Q4|NFR-04-K1</v>
      </c>
      <c r="T12" s="109" t="s">
        <v>754</v>
      </c>
    </row>
    <row r="13" spans="1:20" ht="29.15" x14ac:dyDescent="0.4">
      <c r="A13" s="109" t="s">
        <v>617</v>
      </c>
      <c r="B13" s="109" t="s">
        <v>1322</v>
      </c>
      <c r="C13" s="109" t="s">
        <v>572</v>
      </c>
      <c r="D13" s="125" t="s">
        <v>1323</v>
      </c>
      <c r="E13" s="109" t="s">
        <v>822</v>
      </c>
      <c r="F13" s="109" t="s">
        <v>1324</v>
      </c>
      <c r="G13" s="109" t="s">
        <v>1325</v>
      </c>
      <c r="H13" s="109">
        <v>2</v>
      </c>
      <c r="I13" s="109">
        <v>5</v>
      </c>
      <c r="J13" s="109">
        <v>0</v>
      </c>
      <c r="K13" s="123">
        <v>46022</v>
      </c>
      <c r="L13" s="109" t="s">
        <v>1325</v>
      </c>
      <c r="M13" s="125" t="s">
        <v>846</v>
      </c>
      <c r="N13" s="109" t="str">
        <f t="shared" si="0"/>
        <v>Verde</v>
      </c>
      <c r="O13" s="109" t="s">
        <v>558</v>
      </c>
      <c r="P13" s="109" t="s">
        <v>617</v>
      </c>
      <c r="Q13" s="109" t="s">
        <v>617</v>
      </c>
      <c r="R13" s="125" t="s">
        <v>1326</v>
      </c>
      <c r="S13" s="109" t="str">
        <f t="shared" si="1"/>
        <v>2025Q4|NFR-04-K2</v>
      </c>
      <c r="T13" s="109" t="s">
        <v>754</v>
      </c>
    </row>
    <row r="14" spans="1:20" ht="29.15" x14ac:dyDescent="0.4">
      <c r="A14" s="109" t="s">
        <v>617</v>
      </c>
      <c r="B14" s="109" t="s">
        <v>1327</v>
      </c>
      <c r="C14" s="109" t="s">
        <v>576</v>
      </c>
      <c r="D14" s="125" t="s">
        <v>1328</v>
      </c>
      <c r="E14" s="109" t="s">
        <v>822</v>
      </c>
      <c r="F14" s="109" t="s">
        <v>1306</v>
      </c>
      <c r="G14" s="109" t="s">
        <v>1329</v>
      </c>
      <c r="H14" s="109">
        <v>3</v>
      </c>
      <c r="I14" s="109">
        <v>6</v>
      </c>
      <c r="J14" s="109">
        <v>4</v>
      </c>
      <c r="K14" s="123">
        <v>46022</v>
      </c>
      <c r="L14" s="109" t="s">
        <v>1329</v>
      </c>
      <c r="M14" s="125" t="s">
        <v>846</v>
      </c>
      <c r="N14" s="109" t="str">
        <f t="shared" si="0"/>
        <v>Ambra</v>
      </c>
      <c r="O14" s="109" t="s">
        <v>558</v>
      </c>
      <c r="P14" s="109" t="s">
        <v>617</v>
      </c>
      <c r="Q14" s="109" t="s">
        <v>617</v>
      </c>
      <c r="R14" s="125" t="s">
        <v>1330</v>
      </c>
      <c r="S14" s="109" t="str">
        <f t="shared" si="1"/>
        <v>2025Q4|NFR-05-K2</v>
      </c>
      <c r="T14" s="109" t="s">
        <v>754</v>
      </c>
    </row>
    <row r="15" spans="1:20" ht="29.15" x14ac:dyDescent="0.4">
      <c r="A15" s="109" t="s">
        <v>617</v>
      </c>
      <c r="B15" s="109" t="s">
        <v>1331</v>
      </c>
      <c r="C15" s="109" t="s">
        <v>576</v>
      </c>
      <c r="D15" s="125" t="s">
        <v>1332</v>
      </c>
      <c r="E15" s="109" t="s">
        <v>1295</v>
      </c>
      <c r="F15" s="109" t="s">
        <v>1301</v>
      </c>
      <c r="G15" s="109" t="s">
        <v>1333</v>
      </c>
      <c r="H15" s="109">
        <v>30</v>
      </c>
      <c r="I15" s="109">
        <v>60</v>
      </c>
      <c r="J15" s="109">
        <v>55</v>
      </c>
      <c r="K15" s="123">
        <v>46022</v>
      </c>
      <c r="L15" s="109" t="s">
        <v>1333</v>
      </c>
      <c r="M15" s="125" t="s">
        <v>846</v>
      </c>
      <c r="N15" s="109" t="str">
        <f t="shared" si="0"/>
        <v>Ambra</v>
      </c>
      <c r="O15" s="109" t="s">
        <v>558</v>
      </c>
      <c r="P15" s="109" t="s">
        <v>617</v>
      </c>
      <c r="Q15" s="109" t="s">
        <v>617</v>
      </c>
      <c r="R15" s="125" t="s">
        <v>1334</v>
      </c>
      <c r="S15" s="109" t="str">
        <f t="shared" si="1"/>
        <v>2025Q4|NFR-05-K3</v>
      </c>
      <c r="T15" s="109" t="s">
        <v>754</v>
      </c>
    </row>
    <row r="16" spans="1:20" ht="29.15" x14ac:dyDescent="0.4">
      <c r="A16" s="109" t="s">
        <v>617</v>
      </c>
      <c r="B16" s="109" t="s">
        <v>1335</v>
      </c>
      <c r="C16" s="109" t="s">
        <v>587</v>
      </c>
      <c r="D16" s="125" t="s">
        <v>1336</v>
      </c>
      <c r="E16" s="109" t="s">
        <v>1295</v>
      </c>
      <c r="F16" s="109" t="s">
        <v>1306</v>
      </c>
      <c r="G16" s="109" t="s">
        <v>1302</v>
      </c>
      <c r="H16" s="109">
        <v>1</v>
      </c>
      <c r="I16" s="109">
        <v>2</v>
      </c>
      <c r="J16" s="109">
        <v>2</v>
      </c>
      <c r="K16" s="123">
        <v>46022</v>
      </c>
      <c r="L16" s="109" t="s">
        <v>1302</v>
      </c>
      <c r="M16" s="125" t="s">
        <v>846</v>
      </c>
      <c r="N16" s="109" t="str">
        <f t="shared" si="0"/>
        <v>Rosso</v>
      </c>
      <c r="O16" s="109" t="s">
        <v>558</v>
      </c>
      <c r="P16" s="109" t="s">
        <v>617</v>
      </c>
      <c r="Q16" s="109" t="s">
        <v>617</v>
      </c>
      <c r="R16" s="125" t="s">
        <v>1337</v>
      </c>
      <c r="S16" s="109" t="str">
        <f t="shared" si="1"/>
        <v>2025Q4|NFR-07-K1</v>
      </c>
      <c r="T16" s="109" t="s">
        <v>754</v>
      </c>
    </row>
    <row r="17" spans="1:20" ht="29.15" x14ac:dyDescent="0.4">
      <c r="A17" s="109" t="s">
        <v>617</v>
      </c>
      <c r="B17" s="109" t="s">
        <v>1338</v>
      </c>
      <c r="C17" s="109" t="s">
        <v>587</v>
      </c>
      <c r="D17" s="125" t="s">
        <v>1339</v>
      </c>
      <c r="E17" s="109" t="s">
        <v>822</v>
      </c>
      <c r="F17" s="109" t="s">
        <v>1296</v>
      </c>
      <c r="G17" s="109" t="s">
        <v>1307</v>
      </c>
      <c r="H17" s="109">
        <v>4</v>
      </c>
      <c r="I17" s="109">
        <v>12</v>
      </c>
      <c r="J17" s="109">
        <v>1.5</v>
      </c>
      <c r="K17" s="123">
        <v>46022</v>
      </c>
      <c r="L17" s="109" t="s">
        <v>1307</v>
      </c>
      <c r="M17" s="125" t="s">
        <v>846</v>
      </c>
      <c r="N17" s="109" t="str">
        <f t="shared" si="0"/>
        <v>Verde</v>
      </c>
      <c r="O17" s="109" t="s">
        <v>558</v>
      </c>
      <c r="P17" s="109" t="s">
        <v>617</v>
      </c>
      <c r="Q17" s="109" t="s">
        <v>617</v>
      </c>
      <c r="R17" s="125" t="s">
        <v>1340</v>
      </c>
      <c r="S17" s="109" t="str">
        <f t="shared" si="1"/>
        <v>2025Q4|NFR-07-K2</v>
      </c>
      <c r="T17" s="109" t="s">
        <v>754</v>
      </c>
    </row>
    <row r="18" spans="1:20" ht="29.15" x14ac:dyDescent="0.4">
      <c r="A18" s="109" t="s">
        <v>617</v>
      </c>
      <c r="B18" s="109" t="s">
        <v>1341</v>
      </c>
      <c r="C18" s="109" t="s">
        <v>591</v>
      </c>
      <c r="D18" s="125" t="s">
        <v>1342</v>
      </c>
      <c r="E18" s="109" t="s">
        <v>822</v>
      </c>
      <c r="F18" s="109" t="s">
        <v>1343</v>
      </c>
      <c r="G18" s="109" t="s">
        <v>1344</v>
      </c>
      <c r="H18" s="109">
        <v>20</v>
      </c>
      <c r="I18" s="109">
        <v>50</v>
      </c>
      <c r="J18" s="109">
        <v>35</v>
      </c>
      <c r="K18" s="123">
        <v>46022</v>
      </c>
      <c r="L18" s="109" t="s">
        <v>1344</v>
      </c>
      <c r="M18" s="125" t="s">
        <v>846</v>
      </c>
      <c r="N18" s="109" t="str">
        <f t="shared" si="0"/>
        <v>Ambra</v>
      </c>
      <c r="O18" s="109" t="s">
        <v>558</v>
      </c>
      <c r="P18" s="109" t="s">
        <v>617</v>
      </c>
      <c r="Q18" s="109" t="s">
        <v>617</v>
      </c>
      <c r="R18" s="125" t="s">
        <v>1345</v>
      </c>
      <c r="S18" s="109" t="str">
        <f t="shared" si="1"/>
        <v>2025Q4|NFR-08-K1</v>
      </c>
      <c r="T18" s="109" t="s">
        <v>754</v>
      </c>
    </row>
    <row r="19" spans="1:20" ht="29.15" x14ac:dyDescent="0.4">
      <c r="A19" s="109" t="s">
        <v>617</v>
      </c>
      <c r="B19" s="109" t="s">
        <v>1346</v>
      </c>
      <c r="C19" s="109" t="s">
        <v>591</v>
      </c>
      <c r="D19" s="125" t="s">
        <v>1347</v>
      </c>
      <c r="E19" s="109" t="s">
        <v>1295</v>
      </c>
      <c r="F19" s="109" t="s">
        <v>1301</v>
      </c>
      <c r="G19" s="109" t="s">
        <v>1348</v>
      </c>
      <c r="H19" s="109">
        <v>5</v>
      </c>
      <c r="I19" s="109">
        <v>15</v>
      </c>
      <c r="J19" s="109">
        <v>12</v>
      </c>
      <c r="K19" s="123">
        <v>46022</v>
      </c>
      <c r="L19" s="109" t="s">
        <v>1348</v>
      </c>
      <c r="M19" s="125" t="s">
        <v>846</v>
      </c>
      <c r="N19" s="109" t="str">
        <f t="shared" si="0"/>
        <v>Ambra</v>
      </c>
      <c r="O19" s="109" t="s">
        <v>558</v>
      </c>
      <c r="P19" s="109" t="s">
        <v>617</v>
      </c>
      <c r="Q19" s="109" t="s">
        <v>617</v>
      </c>
      <c r="R19" s="125" t="s">
        <v>1349</v>
      </c>
      <c r="S19" s="109" t="str">
        <f t="shared" si="1"/>
        <v>2025Q4|NFR-08-K2</v>
      </c>
      <c r="T19" s="109" t="s">
        <v>754</v>
      </c>
    </row>
    <row r="20" spans="1:20" ht="29.15" x14ac:dyDescent="0.4">
      <c r="A20" s="109" t="s">
        <v>617</v>
      </c>
      <c r="B20" s="109" t="s">
        <v>1350</v>
      </c>
      <c r="C20" s="109" t="s">
        <v>604</v>
      </c>
      <c r="D20" s="125" t="s">
        <v>1351</v>
      </c>
      <c r="E20" s="109" t="s">
        <v>1295</v>
      </c>
      <c r="F20" s="109" t="s">
        <v>1306</v>
      </c>
      <c r="G20" s="109" t="s">
        <v>1352</v>
      </c>
      <c r="H20" s="109">
        <v>3</v>
      </c>
      <c r="I20" s="109">
        <v>8</v>
      </c>
      <c r="J20" s="109">
        <v>9</v>
      </c>
      <c r="K20" s="123">
        <v>46022</v>
      </c>
      <c r="L20" s="109" t="s">
        <v>1352</v>
      </c>
      <c r="M20" s="125" t="s">
        <v>846</v>
      </c>
      <c r="N20" s="109" t="str">
        <f t="shared" si="0"/>
        <v>Rosso</v>
      </c>
      <c r="O20" s="109" t="s">
        <v>558</v>
      </c>
      <c r="P20" s="109" t="s">
        <v>617</v>
      </c>
      <c r="Q20" s="109" t="s">
        <v>617</v>
      </c>
      <c r="R20" s="125" t="s">
        <v>1353</v>
      </c>
      <c r="S20" s="109" t="str">
        <f t="shared" si="1"/>
        <v>2025Q4|NFR-11-K1</v>
      </c>
      <c r="T20" s="109" t="s">
        <v>754</v>
      </c>
    </row>
    <row r="21" spans="1:20" ht="29.15" x14ac:dyDescent="0.4">
      <c r="A21" s="109" t="s">
        <v>617</v>
      </c>
      <c r="B21" s="109" t="s">
        <v>1354</v>
      </c>
      <c r="C21" s="109" t="s">
        <v>604</v>
      </c>
      <c r="D21" s="125" t="s">
        <v>1355</v>
      </c>
      <c r="E21" s="109" t="s">
        <v>822</v>
      </c>
      <c r="F21" s="109" t="s">
        <v>1306</v>
      </c>
      <c r="G21" s="109" t="s">
        <v>1356</v>
      </c>
      <c r="H21" s="109">
        <v>2</v>
      </c>
      <c r="I21" s="109">
        <v>6</v>
      </c>
      <c r="J21" s="109">
        <v>4</v>
      </c>
      <c r="K21" s="123">
        <v>46022</v>
      </c>
      <c r="L21" s="109" t="s">
        <v>1356</v>
      </c>
      <c r="M21" s="125" t="s">
        <v>846</v>
      </c>
      <c r="N21" s="109" t="str">
        <f t="shared" si="0"/>
        <v>Ambra</v>
      </c>
      <c r="O21" s="109" t="s">
        <v>558</v>
      </c>
      <c r="P21" s="109" t="s">
        <v>617</v>
      </c>
      <c r="Q21" s="109" t="s">
        <v>617</v>
      </c>
      <c r="R21" s="125" t="s">
        <v>1357</v>
      </c>
      <c r="S21" s="109" t="str">
        <f t="shared" si="1"/>
        <v>2025Q4|NFR-11-K2</v>
      </c>
      <c r="T21" s="109" t="s">
        <v>754</v>
      </c>
    </row>
    <row r="22" spans="1:20" ht="29.15" x14ac:dyDescent="0.4">
      <c r="A22" s="109" t="s">
        <v>617</v>
      </c>
      <c r="B22" s="109" t="s">
        <v>1358</v>
      </c>
      <c r="C22" s="109" t="s">
        <v>611</v>
      </c>
      <c r="D22" s="125" t="s">
        <v>1359</v>
      </c>
      <c r="E22" s="109" t="s">
        <v>822</v>
      </c>
      <c r="F22" s="109" t="s">
        <v>1306</v>
      </c>
      <c r="G22" s="109" t="s">
        <v>1360</v>
      </c>
      <c r="H22" s="109">
        <v>10</v>
      </c>
      <c r="I22" s="109">
        <v>30</v>
      </c>
      <c r="J22" s="109">
        <v>4</v>
      </c>
      <c r="K22" s="123">
        <v>46022</v>
      </c>
      <c r="L22" s="109" t="s">
        <v>1360</v>
      </c>
      <c r="M22" s="125" t="s">
        <v>846</v>
      </c>
      <c r="N22" s="109" t="str">
        <f t="shared" si="0"/>
        <v>Verde</v>
      </c>
      <c r="O22" s="109" t="s">
        <v>558</v>
      </c>
      <c r="P22" s="109" t="s">
        <v>617</v>
      </c>
      <c r="Q22" s="109" t="s">
        <v>617</v>
      </c>
      <c r="R22" s="125" t="s">
        <v>1361</v>
      </c>
      <c r="S22" s="109" t="str">
        <f t="shared" si="1"/>
        <v>2025Q4|NFR-12-K1</v>
      </c>
      <c r="T22" s="109" t="s">
        <v>754</v>
      </c>
    </row>
    <row r="23" spans="1:20" ht="29.15" x14ac:dyDescent="0.4">
      <c r="A23" s="109" t="s">
        <v>617</v>
      </c>
      <c r="B23" s="109" t="s">
        <v>1362</v>
      </c>
      <c r="C23" s="109" t="s">
        <v>611</v>
      </c>
      <c r="D23" s="125" t="s">
        <v>1363</v>
      </c>
      <c r="E23" s="109" t="s">
        <v>1295</v>
      </c>
      <c r="F23" s="109" t="s">
        <v>1296</v>
      </c>
      <c r="G23" s="109" t="s">
        <v>1364</v>
      </c>
      <c r="H23" s="109">
        <v>4</v>
      </c>
      <c r="I23" s="109">
        <v>12</v>
      </c>
      <c r="J23" s="109">
        <v>3</v>
      </c>
      <c r="K23" s="123">
        <v>46022</v>
      </c>
      <c r="L23" s="109" t="s">
        <v>1364</v>
      </c>
      <c r="M23" s="125" t="s">
        <v>846</v>
      </c>
      <c r="N23" s="109" t="str">
        <f t="shared" si="0"/>
        <v>Verde</v>
      </c>
      <c r="O23" s="109" t="s">
        <v>558</v>
      </c>
      <c r="P23" s="109" t="s">
        <v>617</v>
      </c>
      <c r="Q23" s="109" t="s">
        <v>617</v>
      </c>
      <c r="R23" s="125" t="s">
        <v>1365</v>
      </c>
      <c r="S23" s="109" t="str">
        <f t="shared" si="1"/>
        <v>2025Q4|NFR-12-K3</v>
      </c>
      <c r="T23" s="109" t="s">
        <v>754</v>
      </c>
    </row>
    <row r="24" spans="1:20" ht="29.15" x14ac:dyDescent="0.4">
      <c r="A24" s="109" t="s">
        <v>614</v>
      </c>
      <c r="B24" s="109" t="s">
        <v>437</v>
      </c>
      <c r="C24" s="109" t="s">
        <v>554</v>
      </c>
      <c r="D24" s="125" t="s">
        <v>1291</v>
      </c>
      <c r="E24" s="109" t="s">
        <v>822</v>
      </c>
      <c r="F24" s="109" t="s">
        <v>825</v>
      </c>
      <c r="G24" s="109" t="s">
        <v>828</v>
      </c>
      <c r="H24" s="109">
        <v>3</v>
      </c>
      <c r="I24" s="109">
        <v>6</v>
      </c>
      <c r="J24" s="109">
        <v>3.4</v>
      </c>
      <c r="K24" s="123">
        <v>46112</v>
      </c>
      <c r="L24" s="109" t="s">
        <v>828</v>
      </c>
      <c r="M24" s="125" t="s">
        <v>846</v>
      </c>
      <c r="N24" s="109" t="str">
        <f t="shared" si="0"/>
        <v>Ambra</v>
      </c>
      <c r="O24" s="109" t="s">
        <v>558</v>
      </c>
      <c r="P24" s="109" t="s">
        <v>617</v>
      </c>
      <c r="Q24" s="109" t="s">
        <v>617</v>
      </c>
      <c r="R24" s="125" t="s">
        <v>1292</v>
      </c>
      <c r="S24" s="109" t="str">
        <f t="shared" si="1"/>
        <v>2026Q1|NFR-01-K1</v>
      </c>
      <c r="T24" s="109" t="s">
        <v>754</v>
      </c>
    </row>
    <row r="25" spans="1:20" ht="29.15" x14ac:dyDescent="0.4">
      <c r="A25" s="109" t="s">
        <v>614</v>
      </c>
      <c r="B25" s="109" t="s">
        <v>1293</v>
      </c>
      <c r="C25" s="109" t="s">
        <v>554</v>
      </c>
      <c r="D25" s="125" t="s">
        <v>1294</v>
      </c>
      <c r="E25" s="109" t="s">
        <v>1295</v>
      </c>
      <c r="F25" s="109" t="s">
        <v>1296</v>
      </c>
      <c r="G25" s="109" t="s">
        <v>1297</v>
      </c>
      <c r="H25" s="109">
        <v>4</v>
      </c>
      <c r="I25" s="109">
        <v>12</v>
      </c>
      <c r="J25" s="109">
        <v>3.5</v>
      </c>
      <c r="K25" s="123">
        <v>46112</v>
      </c>
      <c r="L25" s="109" t="s">
        <v>1297</v>
      </c>
      <c r="M25" s="125" t="s">
        <v>846</v>
      </c>
      <c r="N25" s="109" t="str">
        <f t="shared" si="0"/>
        <v>Verde</v>
      </c>
      <c r="O25" s="109" t="s">
        <v>558</v>
      </c>
      <c r="P25" s="109" t="s">
        <v>617</v>
      </c>
      <c r="Q25" s="109" t="s">
        <v>617</v>
      </c>
      <c r="R25" s="125" t="s">
        <v>1298</v>
      </c>
      <c r="S25" s="109" t="str">
        <f t="shared" si="1"/>
        <v>2026Q1|NFR-01-K3</v>
      </c>
      <c r="T25" s="109" t="s">
        <v>754</v>
      </c>
    </row>
    <row r="26" spans="1:20" ht="29.15" x14ac:dyDescent="0.4">
      <c r="A26" s="109" t="s">
        <v>614</v>
      </c>
      <c r="B26" s="109" t="s">
        <v>1299</v>
      </c>
      <c r="C26" s="109" t="s">
        <v>560</v>
      </c>
      <c r="D26" s="125" t="s">
        <v>1300</v>
      </c>
      <c r="E26" s="109" t="s">
        <v>1295</v>
      </c>
      <c r="F26" s="109" t="s">
        <v>1301</v>
      </c>
      <c r="G26" s="109" t="s">
        <v>1302</v>
      </c>
      <c r="H26" s="109">
        <v>60</v>
      </c>
      <c r="I26" s="109">
        <v>75</v>
      </c>
      <c r="J26" s="109">
        <v>76</v>
      </c>
      <c r="K26" s="123">
        <v>46112</v>
      </c>
      <c r="L26" s="109" t="s">
        <v>1302</v>
      </c>
      <c r="M26" s="125" t="s">
        <v>846</v>
      </c>
      <c r="N26" s="109" t="str">
        <f t="shared" si="0"/>
        <v>Rosso</v>
      </c>
      <c r="O26" s="109" t="s">
        <v>558</v>
      </c>
      <c r="P26" s="109" t="s">
        <v>617</v>
      </c>
      <c r="Q26" s="109" t="s">
        <v>617</v>
      </c>
      <c r="R26" s="125" t="s">
        <v>1303</v>
      </c>
      <c r="S26" s="109" t="str">
        <f t="shared" si="1"/>
        <v>2026Q1|NFR-02-K1</v>
      </c>
      <c r="T26" s="109" t="s">
        <v>754</v>
      </c>
    </row>
    <row r="27" spans="1:20" ht="29.15" x14ac:dyDescent="0.4">
      <c r="A27" s="109" t="s">
        <v>614</v>
      </c>
      <c r="B27" s="109" t="s">
        <v>1304</v>
      </c>
      <c r="C27" s="109" t="s">
        <v>560</v>
      </c>
      <c r="D27" s="125" t="s">
        <v>1305</v>
      </c>
      <c r="E27" s="109" t="s">
        <v>822</v>
      </c>
      <c r="F27" s="109" t="s">
        <v>1306</v>
      </c>
      <c r="G27" s="109" t="s">
        <v>1307</v>
      </c>
      <c r="H27" s="109">
        <v>2</v>
      </c>
      <c r="I27" s="109">
        <v>4</v>
      </c>
      <c r="J27" s="109">
        <v>0</v>
      </c>
      <c r="K27" s="123">
        <v>46112</v>
      </c>
      <c r="L27" s="109" t="s">
        <v>1307</v>
      </c>
      <c r="M27" s="125" t="s">
        <v>846</v>
      </c>
      <c r="N27" s="109" t="str">
        <f t="shared" si="0"/>
        <v>Verde</v>
      </c>
      <c r="O27" s="109" t="s">
        <v>558</v>
      </c>
      <c r="P27" s="109" t="s">
        <v>617</v>
      </c>
      <c r="Q27" s="109" t="s">
        <v>617</v>
      </c>
      <c r="R27" s="125" t="s">
        <v>1308</v>
      </c>
      <c r="S27" s="109" t="str">
        <f t="shared" si="1"/>
        <v>2026Q1|NFR-02-K2</v>
      </c>
      <c r="T27" s="109" t="s">
        <v>754</v>
      </c>
    </row>
    <row r="28" spans="1:20" ht="29.15" x14ac:dyDescent="0.4">
      <c r="A28" s="109" t="s">
        <v>614</v>
      </c>
      <c r="B28" s="109" t="s">
        <v>1309</v>
      </c>
      <c r="C28" s="109" t="s">
        <v>566</v>
      </c>
      <c r="D28" s="125" t="s">
        <v>1310</v>
      </c>
      <c r="E28" s="109" t="s">
        <v>822</v>
      </c>
      <c r="F28" s="109" t="s">
        <v>1311</v>
      </c>
      <c r="G28" s="109" t="s">
        <v>1312</v>
      </c>
      <c r="H28" s="109">
        <v>1.5</v>
      </c>
      <c r="I28" s="109">
        <v>3</v>
      </c>
      <c r="J28" s="109">
        <v>0.7</v>
      </c>
      <c r="K28" s="123">
        <v>46112</v>
      </c>
      <c r="L28" s="109" t="s">
        <v>1312</v>
      </c>
      <c r="M28" s="125" t="s">
        <v>846</v>
      </c>
      <c r="N28" s="109" t="str">
        <f t="shared" si="0"/>
        <v>Verde</v>
      </c>
      <c r="O28" s="109" t="s">
        <v>558</v>
      </c>
      <c r="P28" s="109" t="s">
        <v>617</v>
      </c>
      <c r="Q28" s="109" t="s">
        <v>617</v>
      </c>
      <c r="R28" s="125" t="s">
        <v>1313</v>
      </c>
      <c r="S28" s="109" t="str">
        <f t="shared" si="1"/>
        <v>2026Q1|NFR-03-K1</v>
      </c>
      <c r="T28" s="109" t="s">
        <v>754</v>
      </c>
    </row>
    <row r="29" spans="1:20" ht="29.15" x14ac:dyDescent="0.4">
      <c r="A29" s="109" t="s">
        <v>614</v>
      </c>
      <c r="B29" s="109" t="s">
        <v>1314</v>
      </c>
      <c r="C29" s="109" t="s">
        <v>566</v>
      </c>
      <c r="D29" s="125" t="s">
        <v>1315</v>
      </c>
      <c r="E29" s="109" t="s">
        <v>1295</v>
      </c>
      <c r="F29" s="109" t="s">
        <v>1301</v>
      </c>
      <c r="G29" s="109" t="s">
        <v>1316</v>
      </c>
      <c r="H29" s="109">
        <v>20</v>
      </c>
      <c r="I29" s="109">
        <v>40</v>
      </c>
      <c r="J29" s="109"/>
      <c r="K29" s="123"/>
      <c r="L29" s="109"/>
      <c r="M29" s="125" t="s">
        <v>1366</v>
      </c>
      <c r="N29" s="109" t="str">
        <f t="shared" si="0"/>
        <v>Non rilevato</v>
      </c>
      <c r="O29" s="109" t="s">
        <v>558</v>
      </c>
      <c r="P29" s="109" t="s">
        <v>617</v>
      </c>
      <c r="Q29" s="109" t="s">
        <v>617</v>
      </c>
      <c r="R29" s="125" t="s">
        <v>1317</v>
      </c>
      <c r="S29" s="109" t="str">
        <f t="shared" si="1"/>
        <v>2026Q1|NFR-03-K2</v>
      </c>
      <c r="T29" s="109" t="s">
        <v>754</v>
      </c>
    </row>
    <row r="30" spans="1:20" ht="29.15" x14ac:dyDescent="0.4">
      <c r="A30" s="109" t="s">
        <v>614</v>
      </c>
      <c r="B30" s="109" t="s">
        <v>1318</v>
      </c>
      <c r="C30" s="109" t="s">
        <v>572</v>
      </c>
      <c r="D30" s="125" t="s">
        <v>1319</v>
      </c>
      <c r="E30" s="109" t="s">
        <v>1295</v>
      </c>
      <c r="F30" s="109" t="s">
        <v>1306</v>
      </c>
      <c r="G30" s="109" t="s">
        <v>1320</v>
      </c>
      <c r="H30" s="109">
        <v>1</v>
      </c>
      <c r="I30" s="109">
        <v>3</v>
      </c>
      <c r="J30" s="109">
        <v>2</v>
      </c>
      <c r="K30" s="123">
        <v>46112</v>
      </c>
      <c r="L30" s="109" t="s">
        <v>1320</v>
      </c>
      <c r="M30" s="125" t="s">
        <v>846</v>
      </c>
      <c r="N30" s="109" t="str">
        <f t="shared" si="0"/>
        <v>Ambra</v>
      </c>
      <c r="O30" s="109" t="s">
        <v>558</v>
      </c>
      <c r="P30" s="109" t="s">
        <v>617</v>
      </c>
      <c r="Q30" s="109" t="s">
        <v>617</v>
      </c>
      <c r="R30" s="125" t="s">
        <v>1321</v>
      </c>
      <c r="S30" s="109" t="str">
        <f t="shared" si="1"/>
        <v>2026Q1|NFR-04-K1</v>
      </c>
      <c r="T30" s="109" t="s">
        <v>754</v>
      </c>
    </row>
    <row r="31" spans="1:20" ht="29.15" x14ac:dyDescent="0.4">
      <c r="A31" s="109" t="s">
        <v>614</v>
      </c>
      <c r="B31" s="109" t="s">
        <v>1322</v>
      </c>
      <c r="C31" s="109" t="s">
        <v>572</v>
      </c>
      <c r="D31" s="125" t="s">
        <v>1323</v>
      </c>
      <c r="E31" s="109" t="s">
        <v>822</v>
      </c>
      <c r="F31" s="109" t="s">
        <v>1324</v>
      </c>
      <c r="G31" s="109" t="s">
        <v>1325</v>
      </c>
      <c r="H31" s="109">
        <v>2</v>
      </c>
      <c r="I31" s="109">
        <v>5</v>
      </c>
      <c r="J31" s="109">
        <v>1</v>
      </c>
      <c r="K31" s="123">
        <v>46112</v>
      </c>
      <c r="L31" s="109" t="s">
        <v>1325</v>
      </c>
      <c r="M31" s="125" t="s">
        <v>846</v>
      </c>
      <c r="N31" s="109" t="str">
        <f t="shared" si="0"/>
        <v>Verde</v>
      </c>
      <c r="O31" s="109" t="s">
        <v>558</v>
      </c>
      <c r="P31" s="109" t="s">
        <v>617</v>
      </c>
      <c r="Q31" s="109" t="s">
        <v>617</v>
      </c>
      <c r="R31" s="125" t="s">
        <v>1326</v>
      </c>
      <c r="S31" s="109" t="str">
        <f t="shared" si="1"/>
        <v>2026Q1|NFR-04-K2</v>
      </c>
      <c r="T31" s="109" t="s">
        <v>754</v>
      </c>
    </row>
    <row r="32" spans="1:20" ht="29.15" x14ac:dyDescent="0.4">
      <c r="A32" s="109" t="s">
        <v>614</v>
      </c>
      <c r="B32" s="109" t="s">
        <v>1327</v>
      </c>
      <c r="C32" s="109" t="s">
        <v>576</v>
      </c>
      <c r="D32" s="125" t="s">
        <v>1328</v>
      </c>
      <c r="E32" s="109" t="s">
        <v>822</v>
      </c>
      <c r="F32" s="109" t="s">
        <v>1306</v>
      </c>
      <c r="G32" s="109" t="s">
        <v>1329</v>
      </c>
      <c r="H32" s="109">
        <v>3</v>
      </c>
      <c r="I32" s="109">
        <v>6</v>
      </c>
      <c r="J32" s="109">
        <v>9</v>
      </c>
      <c r="K32" s="123">
        <v>46112</v>
      </c>
      <c r="L32" s="109" t="s">
        <v>1329</v>
      </c>
      <c r="M32" s="125" t="s">
        <v>846</v>
      </c>
      <c r="N32" s="109" t="str">
        <f t="shared" si="0"/>
        <v>Rosso</v>
      </c>
      <c r="O32" s="109" t="s">
        <v>558</v>
      </c>
      <c r="P32" s="109" t="s">
        <v>617</v>
      </c>
      <c r="Q32" s="109" t="s">
        <v>617</v>
      </c>
      <c r="R32" s="125" t="s">
        <v>1330</v>
      </c>
      <c r="S32" s="109" t="str">
        <f t="shared" si="1"/>
        <v>2026Q1|NFR-05-K2</v>
      </c>
      <c r="T32" s="109" t="s">
        <v>754</v>
      </c>
    </row>
    <row r="33" spans="1:20" ht="29.15" x14ac:dyDescent="0.4">
      <c r="A33" s="109" t="s">
        <v>614</v>
      </c>
      <c r="B33" s="109" t="s">
        <v>1331</v>
      </c>
      <c r="C33" s="109" t="s">
        <v>576</v>
      </c>
      <c r="D33" s="125" t="s">
        <v>1332</v>
      </c>
      <c r="E33" s="109" t="s">
        <v>1295</v>
      </c>
      <c r="F33" s="109" t="s">
        <v>1301</v>
      </c>
      <c r="G33" s="109" t="s">
        <v>1333</v>
      </c>
      <c r="H33" s="109">
        <v>30</v>
      </c>
      <c r="I33" s="109">
        <v>60</v>
      </c>
      <c r="J33" s="109">
        <v>40</v>
      </c>
      <c r="K33" s="123">
        <v>46112</v>
      </c>
      <c r="L33" s="109" t="s">
        <v>1333</v>
      </c>
      <c r="M33" s="125" t="s">
        <v>846</v>
      </c>
      <c r="N33" s="109" t="str">
        <f t="shared" si="0"/>
        <v>Ambra</v>
      </c>
      <c r="O33" s="109" t="s">
        <v>558</v>
      </c>
      <c r="P33" s="109" t="s">
        <v>617</v>
      </c>
      <c r="Q33" s="109" t="s">
        <v>617</v>
      </c>
      <c r="R33" s="125" t="s">
        <v>1334</v>
      </c>
      <c r="S33" s="109" t="str">
        <f t="shared" si="1"/>
        <v>2026Q1|NFR-05-K3</v>
      </c>
      <c r="T33" s="109" t="s">
        <v>754</v>
      </c>
    </row>
    <row r="34" spans="1:20" ht="29.15" x14ac:dyDescent="0.4">
      <c r="A34" s="109" t="s">
        <v>614</v>
      </c>
      <c r="B34" s="109" t="s">
        <v>1367</v>
      </c>
      <c r="C34" s="109" t="s">
        <v>581</v>
      </c>
      <c r="D34" s="125" t="s">
        <v>1368</v>
      </c>
      <c r="E34" s="109" t="s">
        <v>822</v>
      </c>
      <c r="F34" s="109" t="s">
        <v>1343</v>
      </c>
      <c r="G34" s="109" t="s">
        <v>1369</v>
      </c>
      <c r="H34" s="109">
        <v>10</v>
      </c>
      <c r="I34" s="109">
        <v>30</v>
      </c>
      <c r="J34" s="109">
        <v>22</v>
      </c>
      <c r="K34" s="123">
        <v>46112</v>
      </c>
      <c r="L34" s="109" t="s">
        <v>1369</v>
      </c>
      <c r="M34" s="125" t="s">
        <v>846</v>
      </c>
      <c r="N34" s="109" t="str">
        <f t="shared" si="0"/>
        <v>Ambra</v>
      </c>
      <c r="O34" s="109" t="s">
        <v>558</v>
      </c>
      <c r="P34" s="109" t="s">
        <v>614</v>
      </c>
      <c r="Q34" s="109" t="s">
        <v>614</v>
      </c>
      <c r="R34" s="125" t="s">
        <v>1370</v>
      </c>
      <c r="S34" s="109" t="str">
        <f t="shared" si="1"/>
        <v>2026Q1|NFR-06-K1</v>
      </c>
      <c r="T34" s="109" t="s">
        <v>754</v>
      </c>
    </row>
    <row r="35" spans="1:20" ht="29.15" x14ac:dyDescent="0.4">
      <c r="A35" s="109" t="s">
        <v>614</v>
      </c>
      <c r="B35" s="109" t="s">
        <v>1371</v>
      </c>
      <c r="C35" s="109" t="s">
        <v>581</v>
      </c>
      <c r="D35" s="125" t="s">
        <v>1372</v>
      </c>
      <c r="E35" s="109" t="s">
        <v>1295</v>
      </c>
      <c r="F35" s="109" t="s">
        <v>1301</v>
      </c>
      <c r="G35" s="109" t="s">
        <v>1373</v>
      </c>
      <c r="H35" s="109">
        <v>20</v>
      </c>
      <c r="I35" s="109">
        <v>40</v>
      </c>
      <c r="J35" s="109">
        <v>48</v>
      </c>
      <c r="K35" s="123">
        <v>46112</v>
      </c>
      <c r="L35" s="109" t="s">
        <v>1373</v>
      </c>
      <c r="M35" s="125" t="s">
        <v>846</v>
      </c>
      <c r="N35" s="109" t="str">
        <f t="shared" si="0"/>
        <v>Rosso</v>
      </c>
      <c r="O35" s="109" t="s">
        <v>558</v>
      </c>
      <c r="P35" s="109" t="s">
        <v>614</v>
      </c>
      <c r="Q35" s="109" t="s">
        <v>614</v>
      </c>
      <c r="R35" s="125" t="s">
        <v>1374</v>
      </c>
      <c r="S35" s="109" t="str">
        <f t="shared" si="1"/>
        <v>2026Q1|NFR-06-K2</v>
      </c>
      <c r="T35" s="109" t="s">
        <v>754</v>
      </c>
    </row>
    <row r="36" spans="1:20" ht="29.15" x14ac:dyDescent="0.4">
      <c r="A36" s="109" t="s">
        <v>614</v>
      </c>
      <c r="B36" s="109" t="s">
        <v>1335</v>
      </c>
      <c r="C36" s="109" t="s">
        <v>587</v>
      </c>
      <c r="D36" s="125" t="s">
        <v>1336</v>
      </c>
      <c r="E36" s="109" t="s">
        <v>1295</v>
      </c>
      <c r="F36" s="109" t="s">
        <v>1306</v>
      </c>
      <c r="G36" s="109" t="s">
        <v>1302</v>
      </c>
      <c r="H36" s="109">
        <v>1</v>
      </c>
      <c r="I36" s="109">
        <v>2</v>
      </c>
      <c r="J36" s="109">
        <v>2</v>
      </c>
      <c r="K36" s="123">
        <v>46112</v>
      </c>
      <c r="L36" s="109" t="s">
        <v>1302</v>
      </c>
      <c r="M36" s="125" t="s">
        <v>846</v>
      </c>
      <c r="N36" s="109" t="str">
        <f t="shared" si="0"/>
        <v>Rosso</v>
      </c>
      <c r="O36" s="109" t="s">
        <v>558</v>
      </c>
      <c r="P36" s="109" t="s">
        <v>617</v>
      </c>
      <c r="Q36" s="109" t="s">
        <v>617</v>
      </c>
      <c r="R36" s="125" t="s">
        <v>1337</v>
      </c>
      <c r="S36" s="109" t="str">
        <f t="shared" si="1"/>
        <v>2026Q1|NFR-07-K1</v>
      </c>
      <c r="T36" s="109" t="s">
        <v>754</v>
      </c>
    </row>
    <row r="37" spans="1:20" ht="29.15" x14ac:dyDescent="0.4">
      <c r="A37" s="109" t="s">
        <v>614</v>
      </c>
      <c r="B37" s="109" t="s">
        <v>1338</v>
      </c>
      <c r="C37" s="109" t="s">
        <v>587</v>
      </c>
      <c r="D37" s="125" t="s">
        <v>1339</v>
      </c>
      <c r="E37" s="109" t="s">
        <v>822</v>
      </c>
      <c r="F37" s="109" t="s">
        <v>1296</v>
      </c>
      <c r="G37" s="109" t="s">
        <v>1307</v>
      </c>
      <c r="H37" s="109">
        <v>4</v>
      </c>
      <c r="I37" s="109">
        <v>12</v>
      </c>
      <c r="J37" s="109">
        <v>6</v>
      </c>
      <c r="K37" s="123">
        <v>46112</v>
      </c>
      <c r="L37" s="109" t="s">
        <v>1307</v>
      </c>
      <c r="M37" s="125" t="s">
        <v>846</v>
      </c>
      <c r="N37" s="109" t="str">
        <f t="shared" si="0"/>
        <v>Ambra</v>
      </c>
      <c r="O37" s="109" t="s">
        <v>558</v>
      </c>
      <c r="P37" s="109" t="s">
        <v>617</v>
      </c>
      <c r="Q37" s="109" t="s">
        <v>617</v>
      </c>
      <c r="R37" s="125" t="s">
        <v>1340</v>
      </c>
      <c r="S37" s="109" t="str">
        <f t="shared" si="1"/>
        <v>2026Q1|NFR-07-K2</v>
      </c>
      <c r="T37" s="109" t="s">
        <v>754</v>
      </c>
    </row>
    <row r="38" spans="1:20" ht="29.15" x14ac:dyDescent="0.4">
      <c r="A38" s="109" t="s">
        <v>614</v>
      </c>
      <c r="B38" s="109" t="s">
        <v>1341</v>
      </c>
      <c r="C38" s="109" t="s">
        <v>591</v>
      </c>
      <c r="D38" s="125" t="s">
        <v>1342</v>
      </c>
      <c r="E38" s="109" t="s">
        <v>822</v>
      </c>
      <c r="F38" s="109" t="s">
        <v>1343</v>
      </c>
      <c r="G38" s="109" t="s">
        <v>1344</v>
      </c>
      <c r="H38" s="109">
        <v>20</v>
      </c>
      <c r="I38" s="109">
        <v>50</v>
      </c>
      <c r="J38" s="109">
        <v>28</v>
      </c>
      <c r="K38" s="123">
        <v>46112</v>
      </c>
      <c r="L38" s="109" t="s">
        <v>1344</v>
      </c>
      <c r="M38" s="125" t="s">
        <v>846</v>
      </c>
      <c r="N38" s="109" t="str">
        <f t="shared" ref="N38:N71" si="2">IF(OR(H38="",I38=""),"Soglie da definire",IF(I38&lt;H38,"SOGLIE INVERTITE — correggere",IF(J38="","Non rilevato",IF(J38&gt;=I38,"Rosso",IF(J38&gt;=H38,"Ambra","Verde")))))</f>
        <v>Ambra</v>
      </c>
      <c r="O38" s="109" t="s">
        <v>558</v>
      </c>
      <c r="P38" s="109" t="s">
        <v>617</v>
      </c>
      <c r="Q38" s="109" t="s">
        <v>617</v>
      </c>
      <c r="R38" s="125" t="s">
        <v>1345</v>
      </c>
      <c r="S38" s="109" t="str">
        <f t="shared" ref="S38:S71" si="3">A38&amp;"|"&amp;B38</f>
        <v>2026Q1|NFR-08-K1</v>
      </c>
      <c r="T38" s="109" t="s">
        <v>754</v>
      </c>
    </row>
    <row r="39" spans="1:20" ht="29.15" x14ac:dyDescent="0.4">
      <c r="A39" s="109" t="s">
        <v>614</v>
      </c>
      <c r="B39" s="109" t="s">
        <v>1346</v>
      </c>
      <c r="C39" s="109" t="s">
        <v>591</v>
      </c>
      <c r="D39" s="125" t="s">
        <v>1347</v>
      </c>
      <c r="E39" s="109" t="s">
        <v>1295</v>
      </c>
      <c r="F39" s="109" t="s">
        <v>1301</v>
      </c>
      <c r="G39" s="109" t="s">
        <v>1348</v>
      </c>
      <c r="H39" s="109">
        <v>5</v>
      </c>
      <c r="I39" s="109">
        <v>15</v>
      </c>
      <c r="J39" s="109">
        <v>9</v>
      </c>
      <c r="K39" s="123">
        <v>46112</v>
      </c>
      <c r="L39" s="109" t="s">
        <v>1348</v>
      </c>
      <c r="M39" s="125" t="s">
        <v>846</v>
      </c>
      <c r="N39" s="109" t="str">
        <f t="shared" si="2"/>
        <v>Ambra</v>
      </c>
      <c r="O39" s="109" t="s">
        <v>558</v>
      </c>
      <c r="P39" s="109" t="s">
        <v>617</v>
      </c>
      <c r="Q39" s="109" t="s">
        <v>617</v>
      </c>
      <c r="R39" s="125" t="s">
        <v>1349</v>
      </c>
      <c r="S39" s="109" t="str">
        <f t="shared" si="3"/>
        <v>2026Q1|NFR-08-K2</v>
      </c>
      <c r="T39" s="109" t="s">
        <v>754</v>
      </c>
    </row>
    <row r="40" spans="1:20" ht="29.15" x14ac:dyDescent="0.4">
      <c r="A40" s="109" t="s">
        <v>614</v>
      </c>
      <c r="B40" s="109" t="s">
        <v>1375</v>
      </c>
      <c r="C40" s="109" t="s">
        <v>595</v>
      </c>
      <c r="D40" s="125" t="s">
        <v>1376</v>
      </c>
      <c r="E40" s="109" t="s">
        <v>822</v>
      </c>
      <c r="F40" s="109" t="s">
        <v>825</v>
      </c>
      <c r="G40" s="109" t="s">
        <v>1377</v>
      </c>
      <c r="H40" s="109">
        <v>2</v>
      </c>
      <c r="I40" s="109">
        <v>5</v>
      </c>
      <c r="J40" s="109">
        <v>3.1</v>
      </c>
      <c r="K40" s="123">
        <v>46112</v>
      </c>
      <c r="L40" s="109" t="s">
        <v>1377</v>
      </c>
      <c r="M40" s="125" t="s">
        <v>846</v>
      </c>
      <c r="N40" s="109" t="str">
        <f t="shared" si="2"/>
        <v>Ambra</v>
      </c>
      <c r="O40" s="109" t="s">
        <v>558</v>
      </c>
      <c r="P40" s="109" t="s">
        <v>614</v>
      </c>
      <c r="Q40" s="109" t="s">
        <v>614</v>
      </c>
      <c r="R40" s="125" t="s">
        <v>1378</v>
      </c>
      <c r="S40" s="109" t="str">
        <f t="shared" si="3"/>
        <v>2026Q1|NFR-09-K1</v>
      </c>
      <c r="T40" s="109" t="s">
        <v>754</v>
      </c>
    </row>
    <row r="41" spans="1:20" ht="29.15" x14ac:dyDescent="0.4">
      <c r="A41" s="109" t="s">
        <v>614</v>
      </c>
      <c r="B41" s="109" t="s">
        <v>1379</v>
      </c>
      <c r="C41" s="109" t="s">
        <v>595</v>
      </c>
      <c r="D41" s="125" t="s">
        <v>1380</v>
      </c>
      <c r="E41" s="109" t="s">
        <v>1295</v>
      </c>
      <c r="F41" s="109" t="s">
        <v>1301</v>
      </c>
      <c r="G41" s="109" t="s">
        <v>1381</v>
      </c>
      <c r="H41" s="109">
        <v>5</v>
      </c>
      <c r="I41" s="109">
        <v>15</v>
      </c>
      <c r="J41" s="109">
        <v>18</v>
      </c>
      <c r="K41" s="123">
        <v>46112</v>
      </c>
      <c r="L41" s="109" t="s">
        <v>1381</v>
      </c>
      <c r="M41" s="125" t="s">
        <v>846</v>
      </c>
      <c r="N41" s="109" t="str">
        <f t="shared" si="2"/>
        <v>Rosso</v>
      </c>
      <c r="O41" s="109" t="s">
        <v>558</v>
      </c>
      <c r="P41" s="109" t="s">
        <v>614</v>
      </c>
      <c r="Q41" s="109" t="s">
        <v>614</v>
      </c>
      <c r="R41" s="125" t="s">
        <v>1382</v>
      </c>
      <c r="S41" s="109" t="str">
        <f t="shared" si="3"/>
        <v>2026Q1|NFR-09-K2</v>
      </c>
      <c r="T41" s="109" t="s">
        <v>754</v>
      </c>
    </row>
    <row r="42" spans="1:20" ht="29.15" x14ac:dyDescent="0.4">
      <c r="A42" s="109" t="s">
        <v>614</v>
      </c>
      <c r="B42" s="109" t="s">
        <v>1383</v>
      </c>
      <c r="C42" s="109" t="s">
        <v>598</v>
      </c>
      <c r="D42" s="125" t="s">
        <v>1384</v>
      </c>
      <c r="E42" s="109" t="s">
        <v>822</v>
      </c>
      <c r="F42" s="109" t="s">
        <v>1311</v>
      </c>
      <c r="G42" s="109" t="s">
        <v>1385</v>
      </c>
      <c r="H42" s="109"/>
      <c r="I42" s="109"/>
      <c r="J42" s="109"/>
      <c r="K42" s="123"/>
      <c r="L42" s="109"/>
      <c r="M42" s="125" t="s">
        <v>1366</v>
      </c>
      <c r="N42" s="109" t="str">
        <f t="shared" si="2"/>
        <v>Soglie da definire</v>
      </c>
      <c r="O42" s="109" t="s">
        <v>558</v>
      </c>
      <c r="P42" s="109" t="s">
        <v>614</v>
      </c>
      <c r="Q42" s="109" t="s">
        <v>614</v>
      </c>
      <c r="R42" s="125" t="s">
        <v>1386</v>
      </c>
      <c r="S42" s="109" t="str">
        <f t="shared" si="3"/>
        <v>2026Q1|NFR-10-K1</v>
      </c>
      <c r="T42" s="109" t="s">
        <v>754</v>
      </c>
    </row>
    <row r="43" spans="1:20" ht="29.15" x14ac:dyDescent="0.4">
      <c r="A43" s="109" t="s">
        <v>614</v>
      </c>
      <c r="B43" s="109" t="s">
        <v>1387</v>
      </c>
      <c r="C43" s="109" t="s">
        <v>598</v>
      </c>
      <c r="D43" s="125" t="s">
        <v>1388</v>
      </c>
      <c r="E43" s="109" t="s">
        <v>1295</v>
      </c>
      <c r="F43" s="109" t="s">
        <v>1301</v>
      </c>
      <c r="G43" s="109" t="s">
        <v>1389</v>
      </c>
      <c r="H43" s="109">
        <v>20</v>
      </c>
      <c r="I43" s="109">
        <v>50</v>
      </c>
      <c r="J43" s="109">
        <v>80</v>
      </c>
      <c r="K43" s="123">
        <v>46112</v>
      </c>
      <c r="L43" s="109" t="s">
        <v>1389</v>
      </c>
      <c r="M43" s="125" t="s">
        <v>846</v>
      </c>
      <c r="N43" s="109" t="str">
        <f t="shared" si="2"/>
        <v>Rosso</v>
      </c>
      <c r="O43" s="109" t="s">
        <v>558</v>
      </c>
      <c r="P43" s="109" t="s">
        <v>614</v>
      </c>
      <c r="Q43" s="109" t="s">
        <v>614</v>
      </c>
      <c r="R43" s="125" t="s">
        <v>1390</v>
      </c>
      <c r="S43" s="109" t="str">
        <f t="shared" si="3"/>
        <v>2026Q1|NFR-10-K3</v>
      </c>
      <c r="T43" s="109" t="s">
        <v>754</v>
      </c>
    </row>
    <row r="44" spans="1:20" ht="29.15" x14ac:dyDescent="0.4">
      <c r="A44" s="109" t="s">
        <v>614</v>
      </c>
      <c r="B44" s="109" t="s">
        <v>1350</v>
      </c>
      <c r="C44" s="109" t="s">
        <v>604</v>
      </c>
      <c r="D44" s="125" t="s">
        <v>1351</v>
      </c>
      <c r="E44" s="109" t="s">
        <v>1295</v>
      </c>
      <c r="F44" s="109" t="s">
        <v>1306</v>
      </c>
      <c r="G44" s="109" t="s">
        <v>1352</v>
      </c>
      <c r="H44" s="109">
        <v>3</v>
      </c>
      <c r="I44" s="109">
        <v>8</v>
      </c>
      <c r="J44" s="109">
        <v>9</v>
      </c>
      <c r="K44" s="123">
        <v>46112</v>
      </c>
      <c r="L44" s="109" t="s">
        <v>1352</v>
      </c>
      <c r="M44" s="125" t="s">
        <v>846</v>
      </c>
      <c r="N44" s="109" t="str">
        <f t="shared" si="2"/>
        <v>Rosso</v>
      </c>
      <c r="O44" s="109" t="s">
        <v>558</v>
      </c>
      <c r="P44" s="109" t="s">
        <v>617</v>
      </c>
      <c r="Q44" s="109" t="s">
        <v>617</v>
      </c>
      <c r="R44" s="125" t="s">
        <v>1353</v>
      </c>
      <c r="S44" s="109" t="str">
        <f t="shared" si="3"/>
        <v>2026Q1|NFR-11-K1</v>
      </c>
      <c r="T44" s="109" t="s">
        <v>754</v>
      </c>
    </row>
    <row r="45" spans="1:20" ht="29.15" x14ac:dyDescent="0.4">
      <c r="A45" s="109" t="s">
        <v>614</v>
      </c>
      <c r="B45" s="109" t="s">
        <v>1354</v>
      </c>
      <c r="C45" s="109" t="s">
        <v>604</v>
      </c>
      <c r="D45" s="125" t="s">
        <v>1355</v>
      </c>
      <c r="E45" s="109" t="s">
        <v>822</v>
      </c>
      <c r="F45" s="109" t="s">
        <v>1306</v>
      </c>
      <c r="G45" s="109" t="s">
        <v>1356</v>
      </c>
      <c r="H45" s="109">
        <v>2</v>
      </c>
      <c r="I45" s="109">
        <v>6</v>
      </c>
      <c r="J45" s="109">
        <v>5</v>
      </c>
      <c r="K45" s="123">
        <v>46112</v>
      </c>
      <c r="L45" s="109" t="s">
        <v>1356</v>
      </c>
      <c r="M45" s="125" t="s">
        <v>846</v>
      </c>
      <c r="N45" s="109" t="str">
        <f t="shared" si="2"/>
        <v>Ambra</v>
      </c>
      <c r="O45" s="109" t="s">
        <v>558</v>
      </c>
      <c r="P45" s="109" t="s">
        <v>617</v>
      </c>
      <c r="Q45" s="109" t="s">
        <v>617</v>
      </c>
      <c r="R45" s="125" t="s">
        <v>1357</v>
      </c>
      <c r="S45" s="109" t="str">
        <f t="shared" si="3"/>
        <v>2026Q1|NFR-11-K2</v>
      </c>
      <c r="T45" s="109" t="s">
        <v>754</v>
      </c>
    </row>
    <row r="46" spans="1:20" ht="29.15" x14ac:dyDescent="0.4">
      <c r="A46" s="109" t="s">
        <v>614</v>
      </c>
      <c r="B46" s="109" t="s">
        <v>1358</v>
      </c>
      <c r="C46" s="109" t="s">
        <v>611</v>
      </c>
      <c r="D46" s="125" t="s">
        <v>1359</v>
      </c>
      <c r="E46" s="109" t="s">
        <v>822</v>
      </c>
      <c r="F46" s="109" t="s">
        <v>1306</v>
      </c>
      <c r="G46" s="109" t="s">
        <v>1360</v>
      </c>
      <c r="H46" s="109">
        <v>10</v>
      </c>
      <c r="I46" s="109">
        <v>30</v>
      </c>
      <c r="J46" s="109">
        <v>6</v>
      </c>
      <c r="K46" s="123">
        <v>46112</v>
      </c>
      <c r="L46" s="109" t="s">
        <v>1360</v>
      </c>
      <c r="M46" s="125" t="s">
        <v>846</v>
      </c>
      <c r="N46" s="109" t="str">
        <f t="shared" si="2"/>
        <v>Verde</v>
      </c>
      <c r="O46" s="109" t="s">
        <v>558</v>
      </c>
      <c r="P46" s="109" t="s">
        <v>617</v>
      </c>
      <c r="Q46" s="109" t="s">
        <v>617</v>
      </c>
      <c r="R46" s="125" t="s">
        <v>1361</v>
      </c>
      <c r="S46" s="109" t="str">
        <f t="shared" si="3"/>
        <v>2026Q1|NFR-12-K1</v>
      </c>
      <c r="T46" s="109" t="s">
        <v>754</v>
      </c>
    </row>
    <row r="47" spans="1:20" ht="29.15" x14ac:dyDescent="0.4">
      <c r="A47" s="109" t="s">
        <v>614</v>
      </c>
      <c r="B47" s="109" t="s">
        <v>1362</v>
      </c>
      <c r="C47" s="109" t="s">
        <v>611</v>
      </c>
      <c r="D47" s="125" t="s">
        <v>1363</v>
      </c>
      <c r="E47" s="109" t="s">
        <v>1295</v>
      </c>
      <c r="F47" s="109" t="s">
        <v>1296</v>
      </c>
      <c r="G47" s="109" t="s">
        <v>1364</v>
      </c>
      <c r="H47" s="109">
        <v>4</v>
      </c>
      <c r="I47" s="109">
        <v>12</v>
      </c>
      <c r="J47" s="109">
        <v>3.5</v>
      </c>
      <c r="K47" s="123">
        <v>46112</v>
      </c>
      <c r="L47" s="109" t="s">
        <v>1364</v>
      </c>
      <c r="M47" s="125" t="s">
        <v>846</v>
      </c>
      <c r="N47" s="109" t="str">
        <f t="shared" si="2"/>
        <v>Verde</v>
      </c>
      <c r="O47" s="109" t="s">
        <v>558</v>
      </c>
      <c r="P47" s="109" t="s">
        <v>617</v>
      </c>
      <c r="Q47" s="109" t="s">
        <v>617</v>
      </c>
      <c r="R47" s="125" t="s">
        <v>1365</v>
      </c>
      <c r="S47" s="109" t="str">
        <f t="shared" si="3"/>
        <v>2026Q1|NFR-12-K3</v>
      </c>
      <c r="T47" s="109" t="s">
        <v>754</v>
      </c>
    </row>
    <row r="48" spans="1:20" ht="29.15" x14ac:dyDescent="0.4">
      <c r="A48" s="109" t="s">
        <v>608</v>
      </c>
      <c r="B48" s="109" t="s">
        <v>437</v>
      </c>
      <c r="C48" s="109" t="s">
        <v>554</v>
      </c>
      <c r="D48" s="125" t="s">
        <v>1291</v>
      </c>
      <c r="E48" s="109" t="s">
        <v>822</v>
      </c>
      <c r="F48" s="109" t="s">
        <v>825</v>
      </c>
      <c r="G48" s="109" t="s">
        <v>828</v>
      </c>
      <c r="H48" s="109">
        <v>3</v>
      </c>
      <c r="I48" s="109">
        <v>6</v>
      </c>
      <c r="J48" s="109">
        <v>4.2</v>
      </c>
      <c r="K48" s="123">
        <v>46203</v>
      </c>
      <c r="L48" s="109" t="s">
        <v>828</v>
      </c>
      <c r="M48" s="125" t="s">
        <v>846</v>
      </c>
      <c r="N48" s="109" t="str">
        <f t="shared" si="2"/>
        <v>Ambra</v>
      </c>
      <c r="O48" s="109" t="s">
        <v>558</v>
      </c>
      <c r="P48" s="109" t="s">
        <v>617</v>
      </c>
      <c r="Q48" s="109" t="s">
        <v>617</v>
      </c>
      <c r="R48" s="125" t="s">
        <v>1292</v>
      </c>
      <c r="S48" s="109" t="str">
        <f t="shared" si="3"/>
        <v>2026Q2|NFR-01-K1</v>
      </c>
      <c r="T48" s="109" t="s">
        <v>754</v>
      </c>
    </row>
    <row r="49" spans="1:20" ht="29.15" x14ac:dyDescent="0.4">
      <c r="A49" s="109" t="s">
        <v>608</v>
      </c>
      <c r="B49" s="109" t="s">
        <v>1293</v>
      </c>
      <c r="C49" s="109" t="s">
        <v>554</v>
      </c>
      <c r="D49" s="125" t="s">
        <v>1294</v>
      </c>
      <c r="E49" s="109" t="s">
        <v>1295</v>
      </c>
      <c r="F49" s="109" t="s">
        <v>1296</v>
      </c>
      <c r="G49" s="109" t="s">
        <v>1297</v>
      </c>
      <c r="H49" s="109">
        <v>4</v>
      </c>
      <c r="I49" s="109">
        <v>12</v>
      </c>
      <c r="J49" s="109">
        <v>2.5</v>
      </c>
      <c r="K49" s="123">
        <v>46203</v>
      </c>
      <c r="L49" s="109" t="s">
        <v>1297</v>
      </c>
      <c r="M49" s="125" t="s">
        <v>846</v>
      </c>
      <c r="N49" s="109" t="str">
        <f t="shared" si="2"/>
        <v>Verde</v>
      </c>
      <c r="O49" s="109" t="s">
        <v>558</v>
      </c>
      <c r="P49" s="109" t="s">
        <v>617</v>
      </c>
      <c r="Q49" s="109" t="s">
        <v>617</v>
      </c>
      <c r="R49" s="125" t="s">
        <v>1298</v>
      </c>
      <c r="S49" s="109" t="str">
        <f t="shared" si="3"/>
        <v>2026Q2|NFR-01-K3</v>
      </c>
      <c r="T49" s="109" t="s">
        <v>754</v>
      </c>
    </row>
    <row r="50" spans="1:20" ht="29.15" x14ac:dyDescent="0.4">
      <c r="A50" s="109" t="s">
        <v>608</v>
      </c>
      <c r="B50" s="109" t="s">
        <v>1299</v>
      </c>
      <c r="C50" s="109" t="s">
        <v>560</v>
      </c>
      <c r="D50" s="125" t="s">
        <v>1300</v>
      </c>
      <c r="E50" s="109" t="s">
        <v>1295</v>
      </c>
      <c r="F50" s="109" t="s">
        <v>1301</v>
      </c>
      <c r="G50" s="109" t="s">
        <v>1302</v>
      </c>
      <c r="H50" s="109">
        <v>60</v>
      </c>
      <c r="I50" s="109">
        <v>75</v>
      </c>
      <c r="J50" s="109">
        <v>78</v>
      </c>
      <c r="K50" s="123">
        <v>46203</v>
      </c>
      <c r="L50" s="109" t="s">
        <v>1302</v>
      </c>
      <c r="M50" s="125" t="s">
        <v>846</v>
      </c>
      <c r="N50" s="109" t="str">
        <f t="shared" si="2"/>
        <v>Rosso</v>
      </c>
      <c r="O50" s="109" t="s">
        <v>558</v>
      </c>
      <c r="P50" s="109" t="s">
        <v>617</v>
      </c>
      <c r="Q50" s="109" t="s">
        <v>617</v>
      </c>
      <c r="R50" s="125" t="s">
        <v>1303</v>
      </c>
      <c r="S50" s="109" t="str">
        <f t="shared" si="3"/>
        <v>2026Q2|NFR-02-K1</v>
      </c>
      <c r="T50" s="109" t="s">
        <v>754</v>
      </c>
    </row>
    <row r="51" spans="1:20" ht="29.15" x14ac:dyDescent="0.4">
      <c r="A51" s="109" t="s">
        <v>608</v>
      </c>
      <c r="B51" s="109" t="s">
        <v>1304</v>
      </c>
      <c r="C51" s="109" t="s">
        <v>560</v>
      </c>
      <c r="D51" s="125" t="s">
        <v>1305</v>
      </c>
      <c r="E51" s="109" t="s">
        <v>822</v>
      </c>
      <c r="F51" s="109" t="s">
        <v>1306</v>
      </c>
      <c r="G51" s="109" t="s">
        <v>1307</v>
      </c>
      <c r="H51" s="109">
        <v>2</v>
      </c>
      <c r="I51" s="109">
        <v>4</v>
      </c>
      <c r="J51" s="109">
        <v>1</v>
      </c>
      <c r="K51" s="123">
        <v>46203</v>
      </c>
      <c r="L51" s="109" t="s">
        <v>1307</v>
      </c>
      <c r="M51" s="125" t="s">
        <v>846</v>
      </c>
      <c r="N51" s="109" t="str">
        <f t="shared" si="2"/>
        <v>Verde</v>
      </c>
      <c r="O51" s="109" t="s">
        <v>558</v>
      </c>
      <c r="P51" s="109" t="s">
        <v>617</v>
      </c>
      <c r="Q51" s="109" t="s">
        <v>617</v>
      </c>
      <c r="R51" s="125" t="s">
        <v>1308</v>
      </c>
      <c r="S51" s="109" t="str">
        <f t="shared" si="3"/>
        <v>2026Q2|NFR-02-K2</v>
      </c>
      <c r="T51" s="109" t="s">
        <v>754</v>
      </c>
    </row>
    <row r="52" spans="1:20" ht="29.15" x14ac:dyDescent="0.4">
      <c r="A52" s="109" t="s">
        <v>608</v>
      </c>
      <c r="B52" s="109" t="s">
        <v>1309</v>
      </c>
      <c r="C52" s="109" t="s">
        <v>566</v>
      </c>
      <c r="D52" s="125" t="s">
        <v>1310</v>
      </c>
      <c r="E52" s="109" t="s">
        <v>822</v>
      </c>
      <c r="F52" s="109" t="s">
        <v>1311</v>
      </c>
      <c r="G52" s="109" t="s">
        <v>1312</v>
      </c>
      <c r="H52" s="109">
        <v>1.5</v>
      </c>
      <c r="I52" s="109">
        <v>3</v>
      </c>
      <c r="J52" s="109">
        <v>0.8</v>
      </c>
      <c r="K52" s="123">
        <v>46203</v>
      </c>
      <c r="L52" s="109" t="s">
        <v>1312</v>
      </c>
      <c r="M52" s="125" t="s">
        <v>846</v>
      </c>
      <c r="N52" s="109" t="str">
        <f t="shared" si="2"/>
        <v>Verde</v>
      </c>
      <c r="O52" s="109" t="s">
        <v>558</v>
      </c>
      <c r="P52" s="109" t="s">
        <v>617</v>
      </c>
      <c r="Q52" s="109" t="s">
        <v>617</v>
      </c>
      <c r="R52" s="125" t="s">
        <v>1313</v>
      </c>
      <c r="S52" s="109" t="str">
        <f t="shared" si="3"/>
        <v>2026Q2|NFR-03-K1</v>
      </c>
      <c r="T52" s="109" t="s">
        <v>754</v>
      </c>
    </row>
    <row r="53" spans="1:20" ht="29.15" x14ac:dyDescent="0.4">
      <c r="A53" s="109" t="s">
        <v>608</v>
      </c>
      <c r="B53" s="109" t="s">
        <v>1314</v>
      </c>
      <c r="C53" s="109" t="s">
        <v>566</v>
      </c>
      <c r="D53" s="125" t="s">
        <v>1315</v>
      </c>
      <c r="E53" s="109" t="s">
        <v>1295</v>
      </c>
      <c r="F53" s="109" t="s">
        <v>1301</v>
      </c>
      <c r="G53" s="109" t="s">
        <v>1316</v>
      </c>
      <c r="H53" s="109">
        <v>20</v>
      </c>
      <c r="I53" s="109">
        <v>40</v>
      </c>
      <c r="J53" s="109"/>
      <c r="K53" s="123"/>
      <c r="L53" s="109"/>
      <c r="M53" s="125" t="s">
        <v>1366</v>
      </c>
      <c r="N53" s="109" t="str">
        <f t="shared" si="2"/>
        <v>Non rilevato</v>
      </c>
      <c r="O53" s="109" t="s">
        <v>558</v>
      </c>
      <c r="P53" s="109" t="s">
        <v>617</v>
      </c>
      <c r="Q53" s="109" t="s">
        <v>617</v>
      </c>
      <c r="R53" s="125" t="s">
        <v>1317</v>
      </c>
      <c r="S53" s="109" t="str">
        <f t="shared" si="3"/>
        <v>2026Q2|NFR-03-K2</v>
      </c>
      <c r="T53" s="109" t="s">
        <v>754</v>
      </c>
    </row>
    <row r="54" spans="1:20" ht="29.15" x14ac:dyDescent="0.4">
      <c r="A54" s="109" t="s">
        <v>608</v>
      </c>
      <c r="B54" s="109" t="s">
        <v>1318</v>
      </c>
      <c r="C54" s="109" t="s">
        <v>572</v>
      </c>
      <c r="D54" s="125" t="s">
        <v>1319</v>
      </c>
      <c r="E54" s="109" t="s">
        <v>1295</v>
      </c>
      <c r="F54" s="109" t="s">
        <v>1306</v>
      </c>
      <c r="G54" s="109" t="s">
        <v>1320</v>
      </c>
      <c r="H54" s="109">
        <v>1</v>
      </c>
      <c r="I54" s="109">
        <v>3</v>
      </c>
      <c r="J54" s="109">
        <v>2</v>
      </c>
      <c r="K54" s="123">
        <v>46203</v>
      </c>
      <c r="L54" s="109" t="s">
        <v>1320</v>
      </c>
      <c r="M54" s="125" t="s">
        <v>846</v>
      </c>
      <c r="N54" s="109" t="str">
        <f t="shared" si="2"/>
        <v>Ambra</v>
      </c>
      <c r="O54" s="109" t="s">
        <v>558</v>
      </c>
      <c r="P54" s="109" t="s">
        <v>617</v>
      </c>
      <c r="Q54" s="109" t="s">
        <v>617</v>
      </c>
      <c r="R54" s="125" t="s">
        <v>1321</v>
      </c>
      <c r="S54" s="109" t="str">
        <f t="shared" si="3"/>
        <v>2026Q2|NFR-04-K1</v>
      </c>
      <c r="T54" s="109" t="s">
        <v>754</v>
      </c>
    </row>
    <row r="55" spans="1:20" ht="29.15" x14ac:dyDescent="0.4">
      <c r="A55" s="109" t="s">
        <v>608</v>
      </c>
      <c r="B55" s="109" t="s">
        <v>1322</v>
      </c>
      <c r="C55" s="109" t="s">
        <v>572</v>
      </c>
      <c r="D55" s="125" t="s">
        <v>1323</v>
      </c>
      <c r="E55" s="109" t="s">
        <v>822</v>
      </c>
      <c r="F55" s="109" t="s">
        <v>1324</v>
      </c>
      <c r="G55" s="109" t="s">
        <v>1325</v>
      </c>
      <c r="H55" s="109">
        <v>2</v>
      </c>
      <c r="I55" s="109">
        <v>5</v>
      </c>
      <c r="J55" s="109">
        <v>3</v>
      </c>
      <c r="K55" s="123">
        <v>46203</v>
      </c>
      <c r="L55" s="109" t="s">
        <v>1325</v>
      </c>
      <c r="M55" s="125" t="s">
        <v>846</v>
      </c>
      <c r="N55" s="109" t="str">
        <f t="shared" si="2"/>
        <v>Ambra</v>
      </c>
      <c r="O55" s="109" t="s">
        <v>558</v>
      </c>
      <c r="P55" s="109" t="s">
        <v>617</v>
      </c>
      <c r="Q55" s="109" t="s">
        <v>617</v>
      </c>
      <c r="R55" s="125" t="s">
        <v>1326</v>
      </c>
      <c r="S55" s="109" t="str">
        <f t="shared" si="3"/>
        <v>2026Q2|NFR-04-K2</v>
      </c>
      <c r="T55" s="109" t="s">
        <v>754</v>
      </c>
    </row>
    <row r="56" spans="1:20" ht="29.15" x14ac:dyDescent="0.4">
      <c r="A56" s="109" t="s">
        <v>608</v>
      </c>
      <c r="B56" s="109" t="s">
        <v>1327</v>
      </c>
      <c r="C56" s="109" t="s">
        <v>576</v>
      </c>
      <c r="D56" s="125" t="s">
        <v>1328</v>
      </c>
      <c r="E56" s="109" t="s">
        <v>822</v>
      </c>
      <c r="F56" s="109" t="s">
        <v>1306</v>
      </c>
      <c r="G56" s="109" t="s">
        <v>1329</v>
      </c>
      <c r="H56" s="109">
        <v>3</v>
      </c>
      <c r="I56" s="109">
        <v>6</v>
      </c>
      <c r="J56" s="109">
        <v>7</v>
      </c>
      <c r="K56" s="123">
        <v>46203</v>
      </c>
      <c r="L56" s="109" t="s">
        <v>1329</v>
      </c>
      <c r="M56" s="125" t="s">
        <v>846</v>
      </c>
      <c r="N56" s="109" t="str">
        <f t="shared" si="2"/>
        <v>Rosso</v>
      </c>
      <c r="O56" s="109" t="s">
        <v>558</v>
      </c>
      <c r="P56" s="109" t="s">
        <v>617</v>
      </c>
      <c r="Q56" s="109" t="s">
        <v>617</v>
      </c>
      <c r="R56" s="125" t="s">
        <v>1330</v>
      </c>
      <c r="S56" s="109" t="str">
        <f t="shared" si="3"/>
        <v>2026Q2|NFR-05-K2</v>
      </c>
      <c r="T56" s="109" t="s">
        <v>754</v>
      </c>
    </row>
    <row r="57" spans="1:20" ht="29.15" x14ac:dyDescent="0.4">
      <c r="A57" s="109" t="s">
        <v>608</v>
      </c>
      <c r="B57" s="109" t="s">
        <v>1331</v>
      </c>
      <c r="C57" s="109" t="s">
        <v>576</v>
      </c>
      <c r="D57" s="125" t="s">
        <v>1332</v>
      </c>
      <c r="E57" s="109" t="s">
        <v>1295</v>
      </c>
      <c r="F57" s="109" t="s">
        <v>1301</v>
      </c>
      <c r="G57" s="109" t="s">
        <v>1333</v>
      </c>
      <c r="H57" s="109">
        <v>30</v>
      </c>
      <c r="I57" s="109">
        <v>60</v>
      </c>
      <c r="J57" s="109">
        <v>25</v>
      </c>
      <c r="K57" s="123">
        <v>46203</v>
      </c>
      <c r="L57" s="109" t="s">
        <v>1333</v>
      </c>
      <c r="M57" s="125" t="s">
        <v>846</v>
      </c>
      <c r="N57" s="109" t="str">
        <f t="shared" si="2"/>
        <v>Verde</v>
      </c>
      <c r="O57" s="109" t="s">
        <v>558</v>
      </c>
      <c r="P57" s="109" t="s">
        <v>617</v>
      </c>
      <c r="Q57" s="109" t="s">
        <v>617</v>
      </c>
      <c r="R57" s="125" t="s">
        <v>1334</v>
      </c>
      <c r="S57" s="109" t="str">
        <f t="shared" si="3"/>
        <v>2026Q2|NFR-05-K3</v>
      </c>
      <c r="T57" s="109" t="s">
        <v>754</v>
      </c>
    </row>
    <row r="58" spans="1:20" ht="29.15" x14ac:dyDescent="0.4">
      <c r="A58" s="109" t="s">
        <v>608</v>
      </c>
      <c r="B58" s="109" t="s">
        <v>1367</v>
      </c>
      <c r="C58" s="109" t="s">
        <v>581</v>
      </c>
      <c r="D58" s="125" t="s">
        <v>1368</v>
      </c>
      <c r="E58" s="109" t="s">
        <v>822</v>
      </c>
      <c r="F58" s="109" t="s">
        <v>1343</v>
      </c>
      <c r="G58" s="109" t="s">
        <v>1369</v>
      </c>
      <c r="H58" s="109">
        <v>10</v>
      </c>
      <c r="I58" s="109">
        <v>30</v>
      </c>
      <c r="J58" s="109">
        <v>14</v>
      </c>
      <c r="K58" s="123">
        <v>46203</v>
      </c>
      <c r="L58" s="109" t="s">
        <v>1369</v>
      </c>
      <c r="M58" s="125" t="s">
        <v>846</v>
      </c>
      <c r="N58" s="109" t="str">
        <f t="shared" si="2"/>
        <v>Ambra</v>
      </c>
      <c r="O58" s="109" t="s">
        <v>558</v>
      </c>
      <c r="P58" s="109" t="s">
        <v>614</v>
      </c>
      <c r="Q58" s="109" t="s">
        <v>614</v>
      </c>
      <c r="R58" s="125" t="s">
        <v>1370</v>
      </c>
      <c r="S58" s="109" t="str">
        <f t="shared" si="3"/>
        <v>2026Q2|NFR-06-K1</v>
      </c>
      <c r="T58" s="109" t="s">
        <v>754</v>
      </c>
    </row>
    <row r="59" spans="1:20" ht="29.15" x14ac:dyDescent="0.4">
      <c r="A59" s="109" t="s">
        <v>608</v>
      </c>
      <c r="B59" s="109" t="s">
        <v>1371</v>
      </c>
      <c r="C59" s="109" t="s">
        <v>581</v>
      </c>
      <c r="D59" s="125" t="s">
        <v>1372</v>
      </c>
      <c r="E59" s="109" t="s">
        <v>1295</v>
      </c>
      <c r="F59" s="109" t="s">
        <v>1301</v>
      </c>
      <c r="G59" s="109" t="s">
        <v>1373</v>
      </c>
      <c r="H59" s="109">
        <v>20</v>
      </c>
      <c r="I59" s="109">
        <v>40</v>
      </c>
      <c r="J59" s="109">
        <v>35</v>
      </c>
      <c r="K59" s="123">
        <v>46203</v>
      </c>
      <c r="L59" s="109" t="s">
        <v>1373</v>
      </c>
      <c r="M59" s="125" t="s">
        <v>846</v>
      </c>
      <c r="N59" s="109" t="str">
        <f t="shared" si="2"/>
        <v>Ambra</v>
      </c>
      <c r="O59" s="109" t="s">
        <v>558</v>
      </c>
      <c r="P59" s="109" t="s">
        <v>614</v>
      </c>
      <c r="Q59" s="109" t="s">
        <v>614</v>
      </c>
      <c r="R59" s="125" t="s">
        <v>1374</v>
      </c>
      <c r="S59" s="109" t="str">
        <f t="shared" si="3"/>
        <v>2026Q2|NFR-06-K2</v>
      </c>
      <c r="T59" s="109" t="s">
        <v>967</v>
      </c>
    </row>
    <row r="60" spans="1:20" ht="29.15" x14ac:dyDescent="0.4">
      <c r="A60" s="109" t="s">
        <v>608</v>
      </c>
      <c r="B60" s="109" t="s">
        <v>1335</v>
      </c>
      <c r="C60" s="109" t="s">
        <v>587</v>
      </c>
      <c r="D60" s="125" t="s">
        <v>1336</v>
      </c>
      <c r="E60" s="109" t="s">
        <v>1295</v>
      </c>
      <c r="F60" s="109" t="s">
        <v>1306</v>
      </c>
      <c r="G60" s="109" t="s">
        <v>1302</v>
      </c>
      <c r="H60" s="109">
        <v>1</v>
      </c>
      <c r="I60" s="109">
        <v>2</v>
      </c>
      <c r="J60" s="109">
        <v>1</v>
      </c>
      <c r="K60" s="123">
        <v>46203</v>
      </c>
      <c r="L60" s="109" t="s">
        <v>1302</v>
      </c>
      <c r="M60" s="125" t="s">
        <v>846</v>
      </c>
      <c r="N60" s="109" t="str">
        <f t="shared" si="2"/>
        <v>Ambra</v>
      </c>
      <c r="O60" s="109" t="s">
        <v>558</v>
      </c>
      <c r="P60" s="109" t="s">
        <v>617</v>
      </c>
      <c r="Q60" s="109" t="s">
        <v>617</v>
      </c>
      <c r="R60" s="125" t="s">
        <v>1337</v>
      </c>
      <c r="S60" s="109" t="str">
        <f t="shared" si="3"/>
        <v>2026Q2|NFR-07-K1</v>
      </c>
      <c r="T60" s="109" t="s">
        <v>754</v>
      </c>
    </row>
    <row r="61" spans="1:20" ht="29.15" x14ac:dyDescent="0.4">
      <c r="A61" s="109" t="s">
        <v>608</v>
      </c>
      <c r="B61" s="109" t="s">
        <v>1338</v>
      </c>
      <c r="C61" s="109" t="s">
        <v>587</v>
      </c>
      <c r="D61" s="125" t="s">
        <v>1339</v>
      </c>
      <c r="E61" s="109" t="s">
        <v>822</v>
      </c>
      <c r="F61" s="109" t="s">
        <v>1296</v>
      </c>
      <c r="G61" s="109" t="s">
        <v>1307</v>
      </c>
      <c r="H61" s="109">
        <v>4</v>
      </c>
      <c r="I61" s="109">
        <v>12</v>
      </c>
      <c r="J61" s="109">
        <v>3</v>
      </c>
      <c r="K61" s="123">
        <v>46203</v>
      </c>
      <c r="L61" s="109" t="s">
        <v>1307</v>
      </c>
      <c r="M61" s="125" t="s">
        <v>846</v>
      </c>
      <c r="N61" s="109" t="str">
        <f t="shared" si="2"/>
        <v>Verde</v>
      </c>
      <c r="O61" s="109" t="s">
        <v>558</v>
      </c>
      <c r="P61" s="109" t="s">
        <v>617</v>
      </c>
      <c r="Q61" s="109" t="s">
        <v>617</v>
      </c>
      <c r="R61" s="125" t="s">
        <v>1340</v>
      </c>
      <c r="S61" s="109" t="str">
        <f t="shared" si="3"/>
        <v>2026Q2|NFR-07-K2</v>
      </c>
      <c r="T61" s="109" t="s">
        <v>754</v>
      </c>
    </row>
    <row r="62" spans="1:20" ht="29.15" x14ac:dyDescent="0.4">
      <c r="A62" s="109" t="s">
        <v>608</v>
      </c>
      <c r="B62" s="109" t="s">
        <v>1341</v>
      </c>
      <c r="C62" s="109" t="s">
        <v>591</v>
      </c>
      <c r="D62" s="125" t="s">
        <v>1342</v>
      </c>
      <c r="E62" s="109" t="s">
        <v>822</v>
      </c>
      <c r="F62" s="109" t="s">
        <v>1343</v>
      </c>
      <c r="G62" s="109" t="s">
        <v>1344</v>
      </c>
      <c r="H62" s="109">
        <v>20</v>
      </c>
      <c r="I62" s="109">
        <v>50</v>
      </c>
      <c r="J62" s="109">
        <v>24</v>
      </c>
      <c r="K62" s="123">
        <v>46203</v>
      </c>
      <c r="L62" s="109" t="s">
        <v>1344</v>
      </c>
      <c r="M62" s="125" t="s">
        <v>846</v>
      </c>
      <c r="N62" s="109" t="str">
        <f t="shared" si="2"/>
        <v>Ambra</v>
      </c>
      <c r="O62" s="109" t="s">
        <v>558</v>
      </c>
      <c r="P62" s="109" t="s">
        <v>617</v>
      </c>
      <c r="Q62" s="109" t="s">
        <v>617</v>
      </c>
      <c r="R62" s="125" t="s">
        <v>1345</v>
      </c>
      <c r="S62" s="109" t="str">
        <f t="shared" si="3"/>
        <v>2026Q2|NFR-08-K1</v>
      </c>
      <c r="T62" s="109" t="s">
        <v>754</v>
      </c>
    </row>
    <row r="63" spans="1:20" ht="29.15" x14ac:dyDescent="0.4">
      <c r="A63" s="109" t="s">
        <v>608</v>
      </c>
      <c r="B63" s="109" t="s">
        <v>1346</v>
      </c>
      <c r="C63" s="109" t="s">
        <v>591</v>
      </c>
      <c r="D63" s="125" t="s">
        <v>1347</v>
      </c>
      <c r="E63" s="109" t="s">
        <v>1295</v>
      </c>
      <c r="F63" s="109" t="s">
        <v>1301</v>
      </c>
      <c r="G63" s="109" t="s">
        <v>1348</v>
      </c>
      <c r="H63" s="109">
        <v>5</v>
      </c>
      <c r="I63" s="109">
        <v>15</v>
      </c>
      <c r="J63" s="109">
        <v>6</v>
      </c>
      <c r="K63" s="123">
        <v>46203</v>
      </c>
      <c r="L63" s="109" t="s">
        <v>1348</v>
      </c>
      <c r="M63" s="125" t="s">
        <v>846</v>
      </c>
      <c r="N63" s="109" t="str">
        <f t="shared" si="2"/>
        <v>Ambra</v>
      </c>
      <c r="O63" s="109" t="s">
        <v>558</v>
      </c>
      <c r="P63" s="109" t="s">
        <v>617</v>
      </c>
      <c r="Q63" s="109" t="s">
        <v>617</v>
      </c>
      <c r="R63" s="125" t="s">
        <v>1349</v>
      </c>
      <c r="S63" s="109" t="str">
        <f t="shared" si="3"/>
        <v>2026Q2|NFR-08-K2</v>
      </c>
      <c r="T63" s="109" t="s">
        <v>754</v>
      </c>
    </row>
    <row r="64" spans="1:20" ht="29.15" x14ac:dyDescent="0.4">
      <c r="A64" s="109" t="s">
        <v>608</v>
      </c>
      <c r="B64" s="109" t="s">
        <v>1375</v>
      </c>
      <c r="C64" s="109" t="s">
        <v>595</v>
      </c>
      <c r="D64" s="125" t="s">
        <v>1376</v>
      </c>
      <c r="E64" s="109" t="s">
        <v>822</v>
      </c>
      <c r="F64" s="109" t="s">
        <v>825</v>
      </c>
      <c r="G64" s="109" t="s">
        <v>1377</v>
      </c>
      <c r="H64" s="109">
        <v>2</v>
      </c>
      <c r="I64" s="109">
        <v>5</v>
      </c>
      <c r="J64" s="109">
        <v>3.8</v>
      </c>
      <c r="K64" s="123">
        <v>46203</v>
      </c>
      <c r="L64" s="109" t="s">
        <v>1377</v>
      </c>
      <c r="M64" s="125" t="s">
        <v>846</v>
      </c>
      <c r="N64" s="109" t="str">
        <f t="shared" si="2"/>
        <v>Ambra</v>
      </c>
      <c r="O64" s="109" t="s">
        <v>558</v>
      </c>
      <c r="P64" s="109" t="s">
        <v>614</v>
      </c>
      <c r="Q64" s="109" t="s">
        <v>614</v>
      </c>
      <c r="R64" s="125" t="s">
        <v>1378</v>
      </c>
      <c r="S64" s="109" t="str">
        <f t="shared" si="3"/>
        <v>2026Q2|NFR-09-K1</v>
      </c>
      <c r="T64" s="109" t="s">
        <v>754</v>
      </c>
    </row>
    <row r="65" spans="1:20" ht="29.15" x14ac:dyDescent="0.4">
      <c r="A65" s="109" t="s">
        <v>608</v>
      </c>
      <c r="B65" s="109" t="s">
        <v>1379</v>
      </c>
      <c r="C65" s="109" t="s">
        <v>595</v>
      </c>
      <c r="D65" s="125" t="s">
        <v>1380</v>
      </c>
      <c r="E65" s="109" t="s">
        <v>1295</v>
      </c>
      <c r="F65" s="109" t="s">
        <v>1301</v>
      </c>
      <c r="G65" s="109" t="s">
        <v>1381</v>
      </c>
      <c r="H65" s="109">
        <v>5</v>
      </c>
      <c r="I65" s="109">
        <v>15</v>
      </c>
      <c r="J65" s="109">
        <v>11</v>
      </c>
      <c r="K65" s="123">
        <v>46203</v>
      </c>
      <c r="L65" s="109" t="s">
        <v>1381</v>
      </c>
      <c r="M65" s="125" t="s">
        <v>846</v>
      </c>
      <c r="N65" s="109" t="str">
        <f t="shared" si="2"/>
        <v>Ambra</v>
      </c>
      <c r="O65" s="109" t="s">
        <v>558</v>
      </c>
      <c r="P65" s="109" t="s">
        <v>614</v>
      </c>
      <c r="Q65" s="109" t="s">
        <v>614</v>
      </c>
      <c r="R65" s="125" t="s">
        <v>1382</v>
      </c>
      <c r="S65" s="109" t="str">
        <f t="shared" si="3"/>
        <v>2026Q2|NFR-09-K2</v>
      </c>
      <c r="T65" s="109" t="s">
        <v>754</v>
      </c>
    </row>
    <row r="66" spans="1:20" ht="29.15" x14ac:dyDescent="0.4">
      <c r="A66" s="109" t="s">
        <v>608</v>
      </c>
      <c r="B66" s="109" t="s">
        <v>1383</v>
      </c>
      <c r="C66" s="109" t="s">
        <v>598</v>
      </c>
      <c r="D66" s="125" t="s">
        <v>1384</v>
      </c>
      <c r="E66" s="109" t="s">
        <v>822</v>
      </c>
      <c r="F66" s="109" t="s">
        <v>1311</v>
      </c>
      <c r="G66" s="109" t="s">
        <v>1385</v>
      </c>
      <c r="H66" s="109"/>
      <c r="I66" s="109"/>
      <c r="J66" s="109">
        <v>1.4</v>
      </c>
      <c r="K66" s="123">
        <v>46203</v>
      </c>
      <c r="L66" s="109" t="s">
        <v>1385</v>
      </c>
      <c r="M66" s="125" t="s">
        <v>846</v>
      </c>
      <c r="N66" s="109" t="str">
        <f t="shared" si="2"/>
        <v>Soglie da definire</v>
      </c>
      <c r="O66" s="109" t="s">
        <v>558</v>
      </c>
      <c r="P66" s="109" t="s">
        <v>614</v>
      </c>
      <c r="Q66" s="109" t="s">
        <v>614</v>
      </c>
      <c r="R66" s="125" t="s">
        <v>1386</v>
      </c>
      <c r="S66" s="109" t="str">
        <f t="shared" si="3"/>
        <v>2026Q2|NFR-10-K1</v>
      </c>
      <c r="T66" s="109" t="s">
        <v>754</v>
      </c>
    </row>
    <row r="67" spans="1:20" ht="29.15" x14ac:dyDescent="0.4">
      <c r="A67" s="109" t="s">
        <v>608</v>
      </c>
      <c r="B67" s="109" t="s">
        <v>1387</v>
      </c>
      <c r="C67" s="109" t="s">
        <v>598</v>
      </c>
      <c r="D67" s="125" t="s">
        <v>1388</v>
      </c>
      <c r="E67" s="109" t="s">
        <v>1295</v>
      </c>
      <c r="F67" s="109" t="s">
        <v>1301</v>
      </c>
      <c r="G67" s="109" t="s">
        <v>1389</v>
      </c>
      <c r="H67" s="109">
        <v>20</v>
      </c>
      <c r="I67" s="109">
        <v>50</v>
      </c>
      <c r="J67" s="109">
        <v>60</v>
      </c>
      <c r="K67" s="123">
        <v>46203</v>
      </c>
      <c r="L67" s="109" t="s">
        <v>1389</v>
      </c>
      <c r="M67" s="125" t="s">
        <v>846</v>
      </c>
      <c r="N67" s="109" t="str">
        <f t="shared" si="2"/>
        <v>Rosso</v>
      </c>
      <c r="O67" s="109" t="s">
        <v>558</v>
      </c>
      <c r="P67" s="109" t="s">
        <v>614</v>
      </c>
      <c r="Q67" s="109" t="s">
        <v>614</v>
      </c>
      <c r="R67" s="125" t="s">
        <v>1390</v>
      </c>
      <c r="S67" s="109" t="str">
        <f t="shared" si="3"/>
        <v>2026Q2|NFR-10-K3</v>
      </c>
      <c r="T67" s="109" t="s">
        <v>754</v>
      </c>
    </row>
    <row r="68" spans="1:20" ht="29.15" x14ac:dyDescent="0.4">
      <c r="A68" s="109" t="s">
        <v>608</v>
      </c>
      <c r="B68" s="109" t="s">
        <v>1350</v>
      </c>
      <c r="C68" s="109" t="s">
        <v>604</v>
      </c>
      <c r="D68" s="125" t="s">
        <v>1351</v>
      </c>
      <c r="E68" s="109" t="s">
        <v>1295</v>
      </c>
      <c r="F68" s="109" t="s">
        <v>1306</v>
      </c>
      <c r="G68" s="109" t="s">
        <v>1352</v>
      </c>
      <c r="H68" s="109">
        <v>3</v>
      </c>
      <c r="I68" s="109">
        <v>8</v>
      </c>
      <c r="J68" s="109">
        <v>7</v>
      </c>
      <c r="K68" s="123">
        <v>46203</v>
      </c>
      <c r="L68" s="109" t="s">
        <v>1352</v>
      </c>
      <c r="M68" s="125" t="s">
        <v>846</v>
      </c>
      <c r="N68" s="109" t="str">
        <f t="shared" si="2"/>
        <v>Ambra</v>
      </c>
      <c r="O68" s="109" t="s">
        <v>558</v>
      </c>
      <c r="P68" s="109" t="s">
        <v>617</v>
      </c>
      <c r="Q68" s="109" t="s">
        <v>617</v>
      </c>
      <c r="R68" s="125" t="s">
        <v>1353</v>
      </c>
      <c r="S68" s="109" t="str">
        <f t="shared" si="3"/>
        <v>2026Q2|NFR-11-K1</v>
      </c>
      <c r="T68" s="109" t="s">
        <v>754</v>
      </c>
    </row>
    <row r="69" spans="1:20" ht="29.15" x14ac:dyDescent="0.4">
      <c r="A69" s="109" t="s">
        <v>608</v>
      </c>
      <c r="B69" s="109" t="s">
        <v>1354</v>
      </c>
      <c r="C69" s="109" t="s">
        <v>604</v>
      </c>
      <c r="D69" s="125" t="s">
        <v>1355</v>
      </c>
      <c r="E69" s="109" t="s">
        <v>822</v>
      </c>
      <c r="F69" s="109" t="s">
        <v>1306</v>
      </c>
      <c r="G69" s="109" t="s">
        <v>1356</v>
      </c>
      <c r="H69" s="109">
        <v>2</v>
      </c>
      <c r="I69" s="109">
        <v>6</v>
      </c>
      <c r="J69" s="109">
        <v>5</v>
      </c>
      <c r="K69" s="123">
        <v>46203</v>
      </c>
      <c r="L69" s="109" t="s">
        <v>1356</v>
      </c>
      <c r="M69" s="125" t="s">
        <v>846</v>
      </c>
      <c r="N69" s="109" t="str">
        <f t="shared" si="2"/>
        <v>Ambra</v>
      </c>
      <c r="O69" s="109" t="s">
        <v>558</v>
      </c>
      <c r="P69" s="109" t="s">
        <v>617</v>
      </c>
      <c r="Q69" s="109" t="s">
        <v>617</v>
      </c>
      <c r="R69" s="125" t="s">
        <v>1357</v>
      </c>
      <c r="S69" s="109" t="str">
        <f t="shared" si="3"/>
        <v>2026Q2|NFR-11-K2</v>
      </c>
      <c r="T69" s="109" t="s">
        <v>754</v>
      </c>
    </row>
    <row r="70" spans="1:20" ht="29.15" x14ac:dyDescent="0.4">
      <c r="A70" s="109" t="s">
        <v>608</v>
      </c>
      <c r="B70" s="109" t="s">
        <v>1358</v>
      </c>
      <c r="C70" s="109" t="s">
        <v>611</v>
      </c>
      <c r="D70" s="125" t="s">
        <v>1359</v>
      </c>
      <c r="E70" s="109" t="s">
        <v>822</v>
      </c>
      <c r="F70" s="109" t="s">
        <v>1306</v>
      </c>
      <c r="G70" s="109" t="s">
        <v>1360</v>
      </c>
      <c r="H70" s="109">
        <v>10</v>
      </c>
      <c r="I70" s="109">
        <v>30</v>
      </c>
      <c r="J70" s="109">
        <v>14</v>
      </c>
      <c r="K70" s="123">
        <v>46203</v>
      </c>
      <c r="L70" s="109" t="s">
        <v>1360</v>
      </c>
      <c r="M70" s="125" t="s">
        <v>846</v>
      </c>
      <c r="N70" s="109" t="str">
        <f t="shared" si="2"/>
        <v>Ambra</v>
      </c>
      <c r="O70" s="109" t="s">
        <v>558</v>
      </c>
      <c r="P70" s="109" t="s">
        <v>617</v>
      </c>
      <c r="Q70" s="109" t="s">
        <v>617</v>
      </c>
      <c r="R70" s="125" t="s">
        <v>1361</v>
      </c>
      <c r="S70" s="109" t="str">
        <f t="shared" si="3"/>
        <v>2026Q2|NFR-12-K1</v>
      </c>
      <c r="T70" s="109" t="s">
        <v>754</v>
      </c>
    </row>
    <row r="71" spans="1:20" ht="29.15" x14ac:dyDescent="0.4">
      <c r="A71" s="109" t="s">
        <v>608</v>
      </c>
      <c r="B71" s="109" t="s">
        <v>1362</v>
      </c>
      <c r="C71" s="109" t="s">
        <v>611</v>
      </c>
      <c r="D71" s="125" t="s">
        <v>1363</v>
      </c>
      <c r="E71" s="109" t="s">
        <v>1295</v>
      </c>
      <c r="F71" s="109" t="s">
        <v>1296</v>
      </c>
      <c r="G71" s="109" t="s">
        <v>1364</v>
      </c>
      <c r="H71" s="109">
        <v>4</v>
      </c>
      <c r="I71" s="109">
        <v>12</v>
      </c>
      <c r="J71" s="109">
        <v>5</v>
      </c>
      <c r="K71" s="123">
        <v>46203</v>
      </c>
      <c r="L71" s="109" t="s">
        <v>1364</v>
      </c>
      <c r="M71" s="125" t="s">
        <v>846</v>
      </c>
      <c r="N71" s="109" t="str">
        <f t="shared" si="2"/>
        <v>Ambra</v>
      </c>
      <c r="O71" s="109" t="s">
        <v>558</v>
      </c>
      <c r="P71" s="109" t="s">
        <v>617</v>
      </c>
      <c r="Q71" s="109" t="s">
        <v>617</v>
      </c>
      <c r="R71" s="125" t="s">
        <v>1365</v>
      </c>
      <c r="S71" s="109" t="str">
        <f t="shared" si="3"/>
        <v>2026Q2|NFR-12-K3</v>
      </c>
      <c r="T71" s="109" t="s">
        <v>754</v>
      </c>
    </row>
    <row r="72" spans="1:20" ht="29.15" x14ac:dyDescent="0.4">
      <c r="A72" s="129" t="s">
        <v>1506</v>
      </c>
      <c r="B72" s="129" t="s">
        <v>437</v>
      </c>
      <c r="C72" s="129" t="s">
        <v>554</v>
      </c>
      <c r="D72" s="130" t="s">
        <v>1291</v>
      </c>
      <c r="E72" s="129" t="s">
        <v>822</v>
      </c>
      <c r="F72" s="129" t="s">
        <v>825</v>
      </c>
      <c r="G72" s="129" t="s">
        <v>828</v>
      </c>
      <c r="H72" s="109">
        <v>3</v>
      </c>
      <c r="I72" s="109">
        <v>6</v>
      </c>
      <c r="J72" s="109">
        <v>5.3</v>
      </c>
      <c r="K72" s="123">
        <v>46295</v>
      </c>
      <c r="L72" s="129" t="s">
        <v>828</v>
      </c>
      <c r="M72" s="130" t="s">
        <v>1507</v>
      </c>
      <c r="N72" s="109" t="str">
        <f t="shared" ref="N72:N96" si="4">IF(OR(H72="",I72=""),"Soglie da definire",IF(I72&lt;H72,"SOGLIE INVERTITE — correggere",IF(J72="","Non rilevato",IF(J72&gt;=I72,"Rosso",IF(J72&gt;=H72,"Ambra","Verde")))))</f>
        <v>Ambra</v>
      </c>
      <c r="O72" s="129" t="s">
        <v>558</v>
      </c>
      <c r="P72" s="129" t="s">
        <v>617</v>
      </c>
      <c r="Q72" s="129" t="s">
        <v>1506</v>
      </c>
      <c r="R72" s="130" t="s">
        <v>1508</v>
      </c>
      <c r="S72" s="109" t="str">
        <f t="shared" ref="S72:S96" si="5">A72&amp;"|"&amp;B72</f>
        <v>2026Q3|NFR-01-K1</v>
      </c>
      <c r="T72" s="129" t="s">
        <v>967</v>
      </c>
    </row>
    <row r="73" spans="1:20" ht="29.15" x14ac:dyDescent="0.4">
      <c r="A73" s="129" t="s">
        <v>1506</v>
      </c>
      <c r="B73" s="129" t="s">
        <v>1293</v>
      </c>
      <c r="C73" s="129" t="s">
        <v>554</v>
      </c>
      <c r="D73" s="130" t="s">
        <v>1294</v>
      </c>
      <c r="E73" s="129" t="s">
        <v>1295</v>
      </c>
      <c r="F73" s="129" t="s">
        <v>1296</v>
      </c>
      <c r="G73" s="129" t="s">
        <v>1297</v>
      </c>
      <c r="H73" s="109">
        <v>4</v>
      </c>
      <c r="I73" s="109">
        <v>12</v>
      </c>
      <c r="J73" s="109">
        <v>3</v>
      </c>
      <c r="K73" s="123">
        <v>46295</v>
      </c>
      <c r="L73" s="129" t="s">
        <v>1297</v>
      </c>
      <c r="M73" s="130" t="s">
        <v>1509</v>
      </c>
      <c r="N73" s="109" t="str">
        <f t="shared" si="4"/>
        <v>Verde</v>
      </c>
      <c r="O73" s="129" t="s">
        <v>558</v>
      </c>
      <c r="P73" s="129" t="s">
        <v>617</v>
      </c>
      <c r="Q73" s="129" t="s">
        <v>1506</v>
      </c>
      <c r="R73" s="130" t="s">
        <v>1510</v>
      </c>
      <c r="S73" s="109" t="str">
        <f t="shared" si="5"/>
        <v>2026Q3|NFR-01-K3</v>
      </c>
      <c r="T73" s="129" t="s">
        <v>754</v>
      </c>
    </row>
    <row r="74" spans="1:20" ht="29.15" x14ac:dyDescent="0.4">
      <c r="A74" s="129" t="s">
        <v>1506</v>
      </c>
      <c r="B74" s="129" t="s">
        <v>1299</v>
      </c>
      <c r="C74" s="129" t="s">
        <v>560</v>
      </c>
      <c r="D74" s="130" t="s">
        <v>1300</v>
      </c>
      <c r="E74" s="129" t="s">
        <v>1295</v>
      </c>
      <c r="F74" s="129" t="s">
        <v>1301</v>
      </c>
      <c r="G74" s="129" t="s">
        <v>1302</v>
      </c>
      <c r="H74" s="109">
        <v>60</v>
      </c>
      <c r="I74" s="109">
        <v>75</v>
      </c>
      <c r="J74" s="109">
        <v>72</v>
      </c>
      <c r="K74" s="123">
        <v>46295</v>
      </c>
      <c r="L74" s="129" t="s">
        <v>1302</v>
      </c>
      <c r="M74" s="130" t="s">
        <v>1511</v>
      </c>
      <c r="N74" s="109" t="str">
        <f t="shared" si="4"/>
        <v>Ambra</v>
      </c>
      <c r="O74" s="129" t="s">
        <v>558</v>
      </c>
      <c r="P74" s="129" t="s">
        <v>617</v>
      </c>
      <c r="Q74" s="129" t="s">
        <v>1506</v>
      </c>
      <c r="R74" s="130" t="s">
        <v>1512</v>
      </c>
      <c r="S74" s="109" t="str">
        <f t="shared" si="5"/>
        <v>2026Q3|NFR-02-K1</v>
      </c>
      <c r="T74" s="129" t="s">
        <v>754</v>
      </c>
    </row>
    <row r="75" spans="1:20" ht="29.15" x14ac:dyDescent="0.4">
      <c r="A75" s="129" t="s">
        <v>1506</v>
      </c>
      <c r="B75" s="129" t="s">
        <v>1304</v>
      </c>
      <c r="C75" s="129" t="s">
        <v>560</v>
      </c>
      <c r="D75" s="130" t="s">
        <v>1305</v>
      </c>
      <c r="E75" s="129" t="s">
        <v>822</v>
      </c>
      <c r="F75" s="129" t="s">
        <v>1306</v>
      </c>
      <c r="G75" s="129" t="s">
        <v>1307</v>
      </c>
      <c r="H75" s="109">
        <v>2</v>
      </c>
      <c r="I75" s="109">
        <v>4</v>
      </c>
      <c r="J75" s="109">
        <v>0</v>
      </c>
      <c r="K75" s="123">
        <v>46295</v>
      </c>
      <c r="L75" s="129" t="s">
        <v>1513</v>
      </c>
      <c r="M75" s="130" t="s">
        <v>1514</v>
      </c>
      <c r="N75" s="109" t="str">
        <f t="shared" si="4"/>
        <v>Verde</v>
      </c>
      <c r="O75" s="129" t="s">
        <v>570</v>
      </c>
      <c r="P75" s="129" t="s">
        <v>617</v>
      </c>
      <c r="Q75" s="129" t="s">
        <v>617</v>
      </c>
      <c r="R75" s="130" t="s">
        <v>1308</v>
      </c>
      <c r="S75" s="109" t="str">
        <f t="shared" si="5"/>
        <v>2026Q3|NFR-02-K2</v>
      </c>
      <c r="T75" s="129" t="s">
        <v>754</v>
      </c>
    </row>
    <row r="76" spans="1:20" ht="29.15" x14ac:dyDescent="0.4">
      <c r="A76" s="129" t="s">
        <v>1506</v>
      </c>
      <c r="B76" s="129" t="s">
        <v>1309</v>
      </c>
      <c r="C76" s="129" t="s">
        <v>566</v>
      </c>
      <c r="D76" s="130" t="s">
        <v>1310</v>
      </c>
      <c r="E76" s="129" t="s">
        <v>822</v>
      </c>
      <c r="F76" s="129" t="s">
        <v>1311</v>
      </c>
      <c r="G76" s="129" t="s">
        <v>1312</v>
      </c>
      <c r="H76" s="109">
        <v>1.5</v>
      </c>
      <c r="I76" s="109">
        <v>3</v>
      </c>
      <c r="J76" s="109">
        <v>1.9</v>
      </c>
      <c r="K76" s="123">
        <v>46295</v>
      </c>
      <c r="L76" s="129" t="s">
        <v>1312</v>
      </c>
      <c r="M76" s="130" t="s">
        <v>1515</v>
      </c>
      <c r="N76" s="109" t="str">
        <f t="shared" si="4"/>
        <v>Ambra</v>
      </c>
      <c r="O76" s="129" t="s">
        <v>558</v>
      </c>
      <c r="P76" s="129" t="s">
        <v>617</v>
      </c>
      <c r="Q76" s="129" t="s">
        <v>1506</v>
      </c>
      <c r="R76" s="130" t="s">
        <v>1516</v>
      </c>
      <c r="S76" s="109" t="str">
        <f t="shared" si="5"/>
        <v>2026Q3|NFR-03-K1</v>
      </c>
      <c r="T76" s="129" t="s">
        <v>754</v>
      </c>
    </row>
    <row r="77" spans="1:20" ht="29.15" x14ac:dyDescent="0.4">
      <c r="A77" s="129" t="s">
        <v>1506</v>
      </c>
      <c r="B77" s="129" t="s">
        <v>1314</v>
      </c>
      <c r="C77" s="129" t="s">
        <v>566</v>
      </c>
      <c r="D77" s="130" t="s">
        <v>1315</v>
      </c>
      <c r="E77" s="129" t="s">
        <v>1295</v>
      </c>
      <c r="F77" s="129" t="s">
        <v>1301</v>
      </c>
      <c r="G77" s="129" t="s">
        <v>1316</v>
      </c>
      <c r="H77" s="109">
        <v>20</v>
      </c>
      <c r="I77" s="109">
        <v>40</v>
      </c>
      <c r="J77" s="109"/>
      <c r="K77" s="123"/>
      <c r="L77" s="129" t="s">
        <v>1316</v>
      </c>
      <c r="M77" s="130" t="s">
        <v>1517</v>
      </c>
      <c r="N77" s="109" t="str">
        <f t="shared" si="4"/>
        <v>Non rilevato</v>
      </c>
      <c r="O77" s="129" t="s">
        <v>558</v>
      </c>
      <c r="P77" s="129" t="s">
        <v>617</v>
      </c>
      <c r="Q77" s="129" t="s">
        <v>1506</v>
      </c>
      <c r="R77" s="130" t="s">
        <v>1518</v>
      </c>
      <c r="S77" s="109" t="str">
        <f t="shared" si="5"/>
        <v>2026Q3|NFR-03-K2</v>
      </c>
      <c r="T77" s="129" t="s">
        <v>754</v>
      </c>
    </row>
    <row r="78" spans="1:20" ht="29.15" x14ac:dyDescent="0.4">
      <c r="A78" s="129" t="s">
        <v>1506</v>
      </c>
      <c r="B78" s="129" t="s">
        <v>1318</v>
      </c>
      <c r="C78" s="129" t="s">
        <v>572</v>
      </c>
      <c r="D78" s="130" t="s">
        <v>1319</v>
      </c>
      <c r="E78" s="129" t="s">
        <v>1295</v>
      </c>
      <c r="F78" s="129" t="s">
        <v>1306</v>
      </c>
      <c r="G78" s="129" t="s">
        <v>1320</v>
      </c>
      <c r="H78" s="109">
        <v>1</v>
      </c>
      <c r="I78" s="109">
        <v>3</v>
      </c>
      <c r="J78" s="109">
        <v>2</v>
      </c>
      <c r="K78" s="123">
        <v>46295</v>
      </c>
      <c r="L78" s="129" t="s">
        <v>1320</v>
      </c>
      <c r="M78" s="130" t="s">
        <v>1519</v>
      </c>
      <c r="N78" s="109" t="str">
        <f t="shared" si="4"/>
        <v>Ambra</v>
      </c>
      <c r="O78" s="129" t="s">
        <v>558</v>
      </c>
      <c r="P78" s="129" t="s">
        <v>617</v>
      </c>
      <c r="Q78" s="129" t="s">
        <v>1506</v>
      </c>
      <c r="R78" s="130" t="s">
        <v>1520</v>
      </c>
      <c r="S78" s="109" t="str">
        <f t="shared" si="5"/>
        <v>2026Q3|NFR-04-K1</v>
      </c>
      <c r="T78" s="129" t="s">
        <v>754</v>
      </c>
    </row>
    <row r="79" spans="1:20" ht="29.15" x14ac:dyDescent="0.4">
      <c r="A79" s="129" t="s">
        <v>1506</v>
      </c>
      <c r="B79" s="129" t="s">
        <v>1322</v>
      </c>
      <c r="C79" s="129" t="s">
        <v>572</v>
      </c>
      <c r="D79" s="130" t="s">
        <v>1323</v>
      </c>
      <c r="E79" s="129" t="s">
        <v>822</v>
      </c>
      <c r="F79" s="129" t="s">
        <v>1324</v>
      </c>
      <c r="G79" s="129" t="s">
        <v>1325</v>
      </c>
      <c r="H79" s="109">
        <v>2</v>
      </c>
      <c r="I79" s="109">
        <v>5</v>
      </c>
      <c r="J79" s="109">
        <v>0</v>
      </c>
      <c r="K79" s="123">
        <v>46295</v>
      </c>
      <c r="L79" s="129" t="s">
        <v>1325</v>
      </c>
      <c r="M79" s="130" t="s">
        <v>1521</v>
      </c>
      <c r="N79" s="109" t="str">
        <f t="shared" si="4"/>
        <v>Verde</v>
      </c>
      <c r="O79" s="129" t="s">
        <v>558</v>
      </c>
      <c r="P79" s="129" t="s">
        <v>617</v>
      </c>
      <c r="Q79" s="129" t="s">
        <v>1506</v>
      </c>
      <c r="R79" s="130" t="s">
        <v>1522</v>
      </c>
      <c r="S79" s="109" t="str">
        <f t="shared" si="5"/>
        <v>2026Q3|NFR-04-K2</v>
      </c>
      <c r="T79" s="129" t="s">
        <v>754</v>
      </c>
    </row>
    <row r="80" spans="1:20" x14ac:dyDescent="0.4">
      <c r="A80" s="129" t="s">
        <v>1506</v>
      </c>
      <c r="B80" s="129" t="s">
        <v>1327</v>
      </c>
      <c r="C80" s="129" t="s">
        <v>576</v>
      </c>
      <c r="D80" s="130" t="s">
        <v>1328</v>
      </c>
      <c r="E80" s="129" t="s">
        <v>822</v>
      </c>
      <c r="F80" s="129" t="s">
        <v>1306</v>
      </c>
      <c r="G80" s="129" t="s">
        <v>1329</v>
      </c>
      <c r="H80" s="109">
        <v>3</v>
      </c>
      <c r="I80" s="109">
        <v>6</v>
      </c>
      <c r="J80" s="109">
        <v>4</v>
      </c>
      <c r="K80" s="123">
        <v>46295</v>
      </c>
      <c r="L80" s="129" t="s">
        <v>1329</v>
      </c>
      <c r="M80" s="130" t="s">
        <v>1523</v>
      </c>
      <c r="N80" s="109" t="str">
        <f t="shared" si="4"/>
        <v>Ambra</v>
      </c>
      <c r="O80" s="129" t="s">
        <v>558</v>
      </c>
      <c r="P80" s="129" t="s">
        <v>617</v>
      </c>
      <c r="Q80" s="129" t="s">
        <v>1506</v>
      </c>
      <c r="R80" s="130" t="s">
        <v>1524</v>
      </c>
      <c r="S80" s="109" t="str">
        <f t="shared" si="5"/>
        <v>2026Q3|NFR-05-K2</v>
      </c>
      <c r="T80" s="129" t="s">
        <v>754</v>
      </c>
    </row>
    <row r="81" spans="1:20" ht="29.15" x14ac:dyDescent="0.4">
      <c r="A81" s="129" t="s">
        <v>1506</v>
      </c>
      <c r="B81" s="129" t="s">
        <v>1331</v>
      </c>
      <c r="C81" s="129" t="s">
        <v>576</v>
      </c>
      <c r="D81" s="130" t="s">
        <v>1332</v>
      </c>
      <c r="E81" s="129" t="s">
        <v>1295</v>
      </c>
      <c r="F81" s="129" t="s">
        <v>1301</v>
      </c>
      <c r="G81" s="129" t="s">
        <v>1333</v>
      </c>
      <c r="H81" s="109">
        <v>30</v>
      </c>
      <c r="I81" s="109">
        <v>60</v>
      </c>
      <c r="J81" s="109">
        <v>18</v>
      </c>
      <c r="K81" s="123">
        <v>46295</v>
      </c>
      <c r="L81" s="129" t="s">
        <v>1333</v>
      </c>
      <c r="M81" s="130" t="s">
        <v>1525</v>
      </c>
      <c r="N81" s="109" t="str">
        <f t="shared" si="4"/>
        <v>Verde</v>
      </c>
      <c r="O81" s="129" t="s">
        <v>558</v>
      </c>
      <c r="P81" s="129" t="s">
        <v>617</v>
      </c>
      <c r="Q81" s="129" t="s">
        <v>1506</v>
      </c>
      <c r="R81" s="130" t="s">
        <v>1526</v>
      </c>
      <c r="S81" s="109" t="str">
        <f t="shared" si="5"/>
        <v>2026Q3|NFR-05-K3</v>
      </c>
      <c r="T81" s="129" t="s">
        <v>754</v>
      </c>
    </row>
    <row r="82" spans="1:20" ht="29.15" x14ac:dyDescent="0.4">
      <c r="A82" s="129" t="s">
        <v>1506</v>
      </c>
      <c r="B82" s="129" t="s">
        <v>1367</v>
      </c>
      <c r="C82" s="129" t="s">
        <v>581</v>
      </c>
      <c r="D82" s="130" t="s">
        <v>1368</v>
      </c>
      <c r="E82" s="129" t="s">
        <v>822</v>
      </c>
      <c r="F82" s="129" t="s">
        <v>1343</v>
      </c>
      <c r="G82" s="129" t="s">
        <v>1369</v>
      </c>
      <c r="H82" s="109">
        <v>10</v>
      </c>
      <c r="I82" s="109">
        <v>30</v>
      </c>
      <c r="J82" s="109">
        <v>6</v>
      </c>
      <c r="K82" s="123">
        <v>46295</v>
      </c>
      <c r="L82" s="129" t="s">
        <v>1369</v>
      </c>
      <c r="M82" s="130" t="s">
        <v>1527</v>
      </c>
      <c r="N82" s="109" t="str">
        <f t="shared" si="4"/>
        <v>Verde</v>
      </c>
      <c r="O82" s="129" t="s">
        <v>558</v>
      </c>
      <c r="P82" s="129" t="s">
        <v>614</v>
      </c>
      <c r="Q82" s="129" t="s">
        <v>1506</v>
      </c>
      <c r="R82" s="130" t="s">
        <v>1528</v>
      </c>
      <c r="S82" s="109" t="str">
        <f t="shared" si="5"/>
        <v>2026Q3|NFR-06-K1</v>
      </c>
      <c r="T82" s="129" t="s">
        <v>754</v>
      </c>
    </row>
    <row r="83" spans="1:20" ht="29.15" x14ac:dyDescent="0.4">
      <c r="A83" s="129" t="s">
        <v>1506</v>
      </c>
      <c r="B83" s="129" t="s">
        <v>1371</v>
      </c>
      <c r="C83" s="129" t="s">
        <v>581</v>
      </c>
      <c r="D83" s="130" t="s">
        <v>1372</v>
      </c>
      <c r="E83" s="129" t="s">
        <v>1295</v>
      </c>
      <c r="F83" s="129" t="s">
        <v>1301</v>
      </c>
      <c r="G83" s="129" t="s">
        <v>1373</v>
      </c>
      <c r="H83" s="109">
        <v>20</v>
      </c>
      <c r="I83" s="109">
        <v>40</v>
      </c>
      <c r="J83" s="109">
        <v>22</v>
      </c>
      <c r="K83" s="123">
        <v>46295</v>
      </c>
      <c r="L83" s="129" t="s">
        <v>1373</v>
      </c>
      <c r="M83" s="130" t="s">
        <v>1529</v>
      </c>
      <c r="N83" s="109" t="str">
        <f t="shared" si="4"/>
        <v>Ambra</v>
      </c>
      <c r="O83" s="129" t="s">
        <v>558</v>
      </c>
      <c r="P83" s="129" t="s">
        <v>614</v>
      </c>
      <c r="Q83" s="129" t="s">
        <v>1506</v>
      </c>
      <c r="R83" s="130" t="s">
        <v>1530</v>
      </c>
      <c r="S83" s="109" t="str">
        <f t="shared" si="5"/>
        <v>2026Q3|NFR-06-K2</v>
      </c>
      <c r="T83" s="129" t="s">
        <v>754</v>
      </c>
    </row>
    <row r="84" spans="1:20" ht="29.15" x14ac:dyDescent="0.4">
      <c r="A84" s="129" t="s">
        <v>1506</v>
      </c>
      <c r="B84" s="129" t="s">
        <v>1335</v>
      </c>
      <c r="C84" s="129" t="s">
        <v>587</v>
      </c>
      <c r="D84" s="130" t="s">
        <v>1336</v>
      </c>
      <c r="E84" s="129" t="s">
        <v>1295</v>
      </c>
      <c r="F84" s="129" t="s">
        <v>1306</v>
      </c>
      <c r="G84" s="129" t="s">
        <v>1302</v>
      </c>
      <c r="H84" s="109">
        <v>1</v>
      </c>
      <c r="I84" s="109">
        <v>2</v>
      </c>
      <c r="J84" s="109">
        <v>1</v>
      </c>
      <c r="K84" s="123">
        <v>46295</v>
      </c>
      <c r="L84" s="129" t="s">
        <v>1302</v>
      </c>
      <c r="M84" s="130" t="s">
        <v>1531</v>
      </c>
      <c r="N84" s="109" t="str">
        <f t="shared" si="4"/>
        <v>Ambra</v>
      </c>
      <c r="O84" s="129" t="s">
        <v>558</v>
      </c>
      <c r="P84" s="129" t="s">
        <v>617</v>
      </c>
      <c r="Q84" s="129" t="s">
        <v>1506</v>
      </c>
      <c r="R84" s="130" t="s">
        <v>1532</v>
      </c>
      <c r="S84" s="109" t="str">
        <f t="shared" si="5"/>
        <v>2026Q3|NFR-07-K1</v>
      </c>
      <c r="T84" s="129" t="s">
        <v>754</v>
      </c>
    </row>
    <row r="85" spans="1:20" ht="29.15" x14ac:dyDescent="0.4">
      <c r="A85" s="129" t="s">
        <v>1506</v>
      </c>
      <c r="B85" s="129" t="s">
        <v>1338</v>
      </c>
      <c r="C85" s="129" t="s">
        <v>587</v>
      </c>
      <c r="D85" s="130" t="s">
        <v>1339</v>
      </c>
      <c r="E85" s="129" t="s">
        <v>822</v>
      </c>
      <c r="F85" s="129" t="s">
        <v>1296</v>
      </c>
      <c r="G85" s="129" t="s">
        <v>1307</v>
      </c>
      <c r="H85" s="109">
        <v>4</v>
      </c>
      <c r="I85" s="109">
        <v>12</v>
      </c>
      <c r="J85" s="109">
        <v>2.5</v>
      </c>
      <c r="K85" s="123">
        <v>46295</v>
      </c>
      <c r="L85" s="129" t="s">
        <v>1307</v>
      </c>
      <c r="M85" s="130" t="s">
        <v>1531</v>
      </c>
      <c r="N85" s="109" t="str">
        <f t="shared" si="4"/>
        <v>Verde</v>
      </c>
      <c r="O85" s="129" t="s">
        <v>558</v>
      </c>
      <c r="P85" s="129" t="s">
        <v>617</v>
      </c>
      <c r="Q85" s="129" t="s">
        <v>1506</v>
      </c>
      <c r="R85" s="130" t="s">
        <v>1532</v>
      </c>
      <c r="S85" s="109" t="str">
        <f t="shared" si="5"/>
        <v>2026Q3|NFR-07-K2</v>
      </c>
      <c r="T85" s="129" t="s">
        <v>754</v>
      </c>
    </row>
    <row r="86" spans="1:20" ht="29.15" x14ac:dyDescent="0.4">
      <c r="A86" s="129" t="s">
        <v>1506</v>
      </c>
      <c r="B86" s="129" t="s">
        <v>1341</v>
      </c>
      <c r="C86" s="129" t="s">
        <v>591</v>
      </c>
      <c r="D86" s="130" t="s">
        <v>1342</v>
      </c>
      <c r="E86" s="129" t="s">
        <v>822</v>
      </c>
      <c r="F86" s="129" t="s">
        <v>1343</v>
      </c>
      <c r="G86" s="129" t="s">
        <v>1344</v>
      </c>
      <c r="H86" s="109">
        <v>20</v>
      </c>
      <c r="I86" s="109">
        <v>50</v>
      </c>
      <c r="J86" s="109">
        <v>22</v>
      </c>
      <c r="K86" s="123">
        <v>46295</v>
      </c>
      <c r="L86" s="129" t="s">
        <v>1344</v>
      </c>
      <c r="M86" s="130" t="s">
        <v>1531</v>
      </c>
      <c r="N86" s="109" t="str">
        <f t="shared" si="4"/>
        <v>Ambra</v>
      </c>
      <c r="O86" s="129" t="s">
        <v>558</v>
      </c>
      <c r="P86" s="129" t="s">
        <v>617</v>
      </c>
      <c r="Q86" s="129" t="s">
        <v>1506</v>
      </c>
      <c r="R86" s="130" t="s">
        <v>1533</v>
      </c>
      <c r="S86" s="109" t="str">
        <f t="shared" si="5"/>
        <v>2026Q3|NFR-08-K1</v>
      </c>
      <c r="T86" s="129" t="s">
        <v>754</v>
      </c>
    </row>
    <row r="87" spans="1:20" ht="29.15" x14ac:dyDescent="0.4">
      <c r="A87" s="129" t="s">
        <v>1506</v>
      </c>
      <c r="B87" s="129" t="s">
        <v>1346</v>
      </c>
      <c r="C87" s="129" t="s">
        <v>591</v>
      </c>
      <c r="D87" s="130" t="s">
        <v>1347</v>
      </c>
      <c r="E87" s="129" t="s">
        <v>1295</v>
      </c>
      <c r="F87" s="129" t="s">
        <v>1301</v>
      </c>
      <c r="G87" s="129" t="s">
        <v>1348</v>
      </c>
      <c r="H87" s="109">
        <v>5</v>
      </c>
      <c r="I87" s="109">
        <v>15</v>
      </c>
      <c r="J87" s="109">
        <v>5</v>
      </c>
      <c r="K87" s="123">
        <v>46295</v>
      </c>
      <c r="L87" s="129" t="s">
        <v>1348</v>
      </c>
      <c r="M87" s="130" t="s">
        <v>1531</v>
      </c>
      <c r="N87" s="109" t="str">
        <f t="shared" si="4"/>
        <v>Ambra</v>
      </c>
      <c r="O87" s="129" t="s">
        <v>558</v>
      </c>
      <c r="P87" s="129" t="s">
        <v>617</v>
      </c>
      <c r="Q87" s="129" t="s">
        <v>1506</v>
      </c>
      <c r="R87" s="130" t="s">
        <v>1533</v>
      </c>
      <c r="S87" s="109" t="str">
        <f t="shared" si="5"/>
        <v>2026Q3|NFR-08-K2</v>
      </c>
      <c r="T87" s="129" t="s">
        <v>754</v>
      </c>
    </row>
    <row r="88" spans="1:20" ht="29.15" x14ac:dyDescent="0.4">
      <c r="A88" s="129" t="s">
        <v>1506</v>
      </c>
      <c r="B88" s="129" t="s">
        <v>1375</v>
      </c>
      <c r="C88" s="129" t="s">
        <v>595</v>
      </c>
      <c r="D88" s="130" t="s">
        <v>1376</v>
      </c>
      <c r="E88" s="129" t="s">
        <v>822</v>
      </c>
      <c r="F88" s="129" t="s">
        <v>825</v>
      </c>
      <c r="G88" s="129" t="s">
        <v>1377</v>
      </c>
      <c r="H88" s="109">
        <v>2</v>
      </c>
      <c r="I88" s="109">
        <v>5</v>
      </c>
      <c r="J88" s="109">
        <v>4.2</v>
      </c>
      <c r="K88" s="123">
        <v>46295</v>
      </c>
      <c r="L88" s="129" t="s">
        <v>1377</v>
      </c>
      <c r="M88" s="130" t="s">
        <v>1531</v>
      </c>
      <c r="N88" s="109" t="str">
        <f t="shared" si="4"/>
        <v>Ambra</v>
      </c>
      <c r="O88" s="129" t="s">
        <v>558</v>
      </c>
      <c r="P88" s="129" t="s">
        <v>614</v>
      </c>
      <c r="Q88" s="129" t="s">
        <v>1506</v>
      </c>
      <c r="R88" s="130" t="s">
        <v>1534</v>
      </c>
      <c r="S88" s="109" t="str">
        <f t="shared" si="5"/>
        <v>2026Q3|NFR-09-K1</v>
      </c>
      <c r="T88" s="129" t="s">
        <v>754</v>
      </c>
    </row>
    <row r="89" spans="1:20" ht="29.15" x14ac:dyDescent="0.4">
      <c r="A89" s="129" t="s">
        <v>1506</v>
      </c>
      <c r="B89" s="129" t="s">
        <v>1379</v>
      </c>
      <c r="C89" s="129" t="s">
        <v>595</v>
      </c>
      <c r="D89" s="130" t="s">
        <v>1380</v>
      </c>
      <c r="E89" s="129" t="s">
        <v>1295</v>
      </c>
      <c r="F89" s="129" t="s">
        <v>1301</v>
      </c>
      <c r="G89" s="129" t="s">
        <v>1381</v>
      </c>
      <c r="H89" s="109">
        <v>5</v>
      </c>
      <c r="I89" s="109">
        <v>15</v>
      </c>
      <c r="J89" s="109">
        <v>9</v>
      </c>
      <c r="K89" s="123">
        <v>46295</v>
      </c>
      <c r="L89" s="129" t="s">
        <v>1381</v>
      </c>
      <c r="M89" s="130" t="s">
        <v>1531</v>
      </c>
      <c r="N89" s="109" t="str">
        <f t="shared" si="4"/>
        <v>Ambra</v>
      </c>
      <c r="O89" s="129" t="s">
        <v>558</v>
      </c>
      <c r="P89" s="129" t="s">
        <v>614</v>
      </c>
      <c r="Q89" s="129" t="s">
        <v>1506</v>
      </c>
      <c r="R89" s="130" t="s">
        <v>1534</v>
      </c>
      <c r="S89" s="109" t="str">
        <f t="shared" si="5"/>
        <v>2026Q3|NFR-09-K2</v>
      </c>
      <c r="T89" s="129" t="s">
        <v>754</v>
      </c>
    </row>
    <row r="90" spans="1:20" ht="29.15" x14ac:dyDescent="0.4">
      <c r="A90" s="129" t="s">
        <v>1506</v>
      </c>
      <c r="B90" s="129" t="s">
        <v>1383</v>
      </c>
      <c r="C90" s="129" t="s">
        <v>598</v>
      </c>
      <c r="D90" s="130" t="s">
        <v>1384</v>
      </c>
      <c r="E90" s="129" t="s">
        <v>822</v>
      </c>
      <c r="F90" s="129" t="s">
        <v>1311</v>
      </c>
      <c r="G90" s="129" t="s">
        <v>1385</v>
      </c>
      <c r="H90" s="109">
        <v>2</v>
      </c>
      <c r="I90" s="109">
        <v>5</v>
      </c>
      <c r="J90" s="109">
        <v>1.9</v>
      </c>
      <c r="K90" s="123">
        <v>46295</v>
      </c>
      <c r="L90" s="129" t="s">
        <v>1385</v>
      </c>
      <c r="M90" s="130" t="s">
        <v>1531</v>
      </c>
      <c r="N90" s="109" t="str">
        <f t="shared" si="4"/>
        <v>Verde</v>
      </c>
      <c r="O90" s="129" t="s">
        <v>558</v>
      </c>
      <c r="P90" s="129" t="s">
        <v>614</v>
      </c>
      <c r="Q90" s="129" t="s">
        <v>1506</v>
      </c>
      <c r="R90" s="130" t="s">
        <v>1535</v>
      </c>
      <c r="S90" s="109" t="str">
        <f t="shared" si="5"/>
        <v>2026Q3|NFR-10-K1</v>
      </c>
      <c r="T90" s="129" t="s">
        <v>967</v>
      </c>
    </row>
    <row r="91" spans="1:20" ht="29.15" x14ac:dyDescent="0.4">
      <c r="A91" s="129" t="s">
        <v>1506</v>
      </c>
      <c r="B91" s="129" t="s">
        <v>1387</v>
      </c>
      <c r="C91" s="129" t="s">
        <v>598</v>
      </c>
      <c r="D91" s="130" t="s">
        <v>1388</v>
      </c>
      <c r="E91" s="129" t="s">
        <v>1295</v>
      </c>
      <c r="F91" s="129" t="s">
        <v>1301</v>
      </c>
      <c r="G91" s="129" t="s">
        <v>1389</v>
      </c>
      <c r="H91" s="109">
        <v>20</v>
      </c>
      <c r="I91" s="109">
        <v>50</v>
      </c>
      <c r="J91" s="109">
        <v>45</v>
      </c>
      <c r="K91" s="123">
        <v>46295</v>
      </c>
      <c r="L91" s="129" t="s">
        <v>1389</v>
      </c>
      <c r="M91" s="130" t="s">
        <v>1531</v>
      </c>
      <c r="N91" s="109" t="str">
        <f t="shared" si="4"/>
        <v>Ambra</v>
      </c>
      <c r="O91" s="129" t="s">
        <v>558</v>
      </c>
      <c r="P91" s="129" t="s">
        <v>614</v>
      </c>
      <c r="Q91" s="129" t="s">
        <v>1506</v>
      </c>
      <c r="R91" s="130" t="s">
        <v>1535</v>
      </c>
      <c r="S91" s="109" t="str">
        <f t="shared" si="5"/>
        <v>2026Q3|NFR-10-K3</v>
      </c>
      <c r="T91" s="129" t="s">
        <v>754</v>
      </c>
    </row>
    <row r="92" spans="1:20" ht="29.15" x14ac:dyDescent="0.4">
      <c r="A92" s="129" t="s">
        <v>1506</v>
      </c>
      <c r="B92" s="129" t="s">
        <v>1350</v>
      </c>
      <c r="C92" s="129" t="s">
        <v>604</v>
      </c>
      <c r="D92" s="130" t="s">
        <v>1351</v>
      </c>
      <c r="E92" s="129" t="s">
        <v>1295</v>
      </c>
      <c r="F92" s="129" t="s">
        <v>1306</v>
      </c>
      <c r="G92" s="129" t="s">
        <v>1352</v>
      </c>
      <c r="H92" s="109">
        <v>3</v>
      </c>
      <c r="I92" s="109">
        <v>8</v>
      </c>
      <c r="J92" s="109">
        <v>6</v>
      </c>
      <c r="K92" s="123">
        <v>46295</v>
      </c>
      <c r="L92" s="129" t="s">
        <v>1352</v>
      </c>
      <c r="M92" s="130" t="s">
        <v>1531</v>
      </c>
      <c r="N92" s="109" t="str">
        <f t="shared" si="4"/>
        <v>Ambra</v>
      </c>
      <c r="O92" s="129" t="s">
        <v>558</v>
      </c>
      <c r="P92" s="129" t="s">
        <v>617</v>
      </c>
      <c r="Q92" s="129" t="s">
        <v>1506</v>
      </c>
      <c r="R92" s="130" t="s">
        <v>1536</v>
      </c>
      <c r="S92" s="109" t="str">
        <f t="shared" si="5"/>
        <v>2026Q3|NFR-11-K1</v>
      </c>
      <c r="T92" s="129" t="s">
        <v>754</v>
      </c>
    </row>
    <row r="93" spans="1:20" ht="29.15" x14ac:dyDescent="0.4">
      <c r="A93" s="129" t="s">
        <v>1506</v>
      </c>
      <c r="B93" s="129" t="s">
        <v>1354</v>
      </c>
      <c r="C93" s="129" t="s">
        <v>604</v>
      </c>
      <c r="D93" s="130" t="s">
        <v>1355</v>
      </c>
      <c r="E93" s="129" t="s">
        <v>822</v>
      </c>
      <c r="F93" s="129" t="s">
        <v>1306</v>
      </c>
      <c r="G93" s="129" t="s">
        <v>1356</v>
      </c>
      <c r="H93" s="109">
        <v>2</v>
      </c>
      <c r="I93" s="109">
        <v>6</v>
      </c>
      <c r="J93" s="109">
        <v>5</v>
      </c>
      <c r="K93" s="123">
        <v>46295</v>
      </c>
      <c r="L93" s="129" t="s">
        <v>1356</v>
      </c>
      <c r="M93" s="130" t="s">
        <v>1531</v>
      </c>
      <c r="N93" s="109" t="str">
        <f t="shared" si="4"/>
        <v>Ambra</v>
      </c>
      <c r="O93" s="129" t="s">
        <v>558</v>
      </c>
      <c r="P93" s="129" t="s">
        <v>617</v>
      </c>
      <c r="Q93" s="129" t="s">
        <v>1506</v>
      </c>
      <c r="R93" s="130" t="s">
        <v>1536</v>
      </c>
      <c r="S93" s="109" t="str">
        <f t="shared" si="5"/>
        <v>2026Q3|NFR-11-K2</v>
      </c>
      <c r="T93" s="129" t="s">
        <v>754</v>
      </c>
    </row>
    <row r="94" spans="1:20" ht="29.15" x14ac:dyDescent="0.4">
      <c r="A94" s="129" t="s">
        <v>1506</v>
      </c>
      <c r="B94" s="129" t="s">
        <v>1358</v>
      </c>
      <c r="C94" s="129" t="s">
        <v>611</v>
      </c>
      <c r="D94" s="130" t="s">
        <v>1359</v>
      </c>
      <c r="E94" s="129" t="s">
        <v>822</v>
      </c>
      <c r="F94" s="129" t="s">
        <v>1306</v>
      </c>
      <c r="G94" s="129" t="s">
        <v>1360</v>
      </c>
      <c r="H94" s="109">
        <v>10</v>
      </c>
      <c r="I94" s="109">
        <v>30</v>
      </c>
      <c r="J94" s="109">
        <v>12</v>
      </c>
      <c r="K94" s="123">
        <v>46295</v>
      </c>
      <c r="L94" s="129" t="s">
        <v>1360</v>
      </c>
      <c r="M94" s="130" t="s">
        <v>1531</v>
      </c>
      <c r="N94" s="109" t="str">
        <f t="shared" si="4"/>
        <v>Ambra</v>
      </c>
      <c r="O94" s="129" t="s">
        <v>558</v>
      </c>
      <c r="P94" s="129" t="s">
        <v>617</v>
      </c>
      <c r="Q94" s="129" t="s">
        <v>1506</v>
      </c>
      <c r="R94" s="130" t="s">
        <v>1537</v>
      </c>
      <c r="S94" s="109" t="str">
        <f t="shared" si="5"/>
        <v>2026Q3|NFR-12-K1</v>
      </c>
      <c r="T94" s="129" t="s">
        <v>754</v>
      </c>
    </row>
    <row r="95" spans="1:20" ht="29.15" x14ac:dyDescent="0.4">
      <c r="A95" s="129" t="s">
        <v>1506</v>
      </c>
      <c r="B95" s="129" t="s">
        <v>1362</v>
      </c>
      <c r="C95" s="129" t="s">
        <v>611</v>
      </c>
      <c r="D95" s="130" t="s">
        <v>1363</v>
      </c>
      <c r="E95" s="129" t="s">
        <v>1295</v>
      </c>
      <c r="F95" s="129" t="s">
        <v>1296</v>
      </c>
      <c r="G95" s="129" t="s">
        <v>1364</v>
      </c>
      <c r="H95" s="109">
        <v>4</v>
      </c>
      <c r="I95" s="109">
        <v>12</v>
      </c>
      <c r="J95" s="109">
        <v>4.5</v>
      </c>
      <c r="K95" s="123">
        <v>46295</v>
      </c>
      <c r="L95" s="129" t="s">
        <v>1364</v>
      </c>
      <c r="M95" s="130" t="s">
        <v>1531</v>
      </c>
      <c r="N95" s="109" t="str">
        <f t="shared" si="4"/>
        <v>Ambra</v>
      </c>
      <c r="O95" s="129" t="s">
        <v>558</v>
      </c>
      <c r="P95" s="129" t="s">
        <v>617</v>
      </c>
      <c r="Q95" s="129" t="s">
        <v>1506</v>
      </c>
      <c r="R95" s="130" t="s">
        <v>1537</v>
      </c>
      <c r="S95" s="109" t="str">
        <f t="shared" si="5"/>
        <v>2026Q3|NFR-12-K3</v>
      </c>
      <c r="T95" s="129" t="s">
        <v>754</v>
      </c>
    </row>
    <row r="96" spans="1:20" ht="58.3" x14ac:dyDescent="0.4">
      <c r="A96" s="129" t="s">
        <v>1506</v>
      </c>
      <c r="B96" s="129" t="s">
        <v>1538</v>
      </c>
      <c r="C96" s="129" t="s">
        <v>560</v>
      </c>
      <c r="D96" s="130" t="s">
        <v>1539</v>
      </c>
      <c r="E96" s="129" t="s">
        <v>822</v>
      </c>
      <c r="F96" s="129" t="s">
        <v>1306</v>
      </c>
      <c r="G96" s="129" t="s">
        <v>1540</v>
      </c>
      <c r="H96" s="109">
        <v>1</v>
      </c>
      <c r="I96" s="109">
        <v>3</v>
      </c>
      <c r="J96" s="109"/>
      <c r="K96" s="123"/>
      <c r="L96" s="129"/>
      <c r="M96" s="130"/>
      <c r="N96" s="109" t="str">
        <f t="shared" si="4"/>
        <v>Non rilevato</v>
      </c>
      <c r="O96" s="129" t="s">
        <v>558</v>
      </c>
      <c r="P96" s="129" t="s">
        <v>1506</v>
      </c>
      <c r="Q96" s="129" t="s">
        <v>1506</v>
      </c>
      <c r="R96" s="130" t="s">
        <v>1541</v>
      </c>
      <c r="S96" s="109" t="str">
        <f t="shared" si="5"/>
        <v>2026Q3|NFR-02-K3</v>
      </c>
      <c r="T96" s="129" t="s">
        <v>754</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58" t="str">
        <f>"Horizon Scan NFR — NewsLog — notizie valutate ogni settimana   ·   "&amp;etichettaCiclo</f>
        <v>Horizon Scan NFR — NewsLog — notizie valutate ogni settimana   ·   Ciclo 2026Q3 · dati al 30/09/2026 · validato · Uso interno</v>
      </c>
      <c r="B1" s="159"/>
      <c r="C1" s="159"/>
      <c r="D1" s="159"/>
      <c r="E1" s="159"/>
      <c r="F1" s="159"/>
      <c r="G1" s="159"/>
      <c r="H1" s="159"/>
      <c r="I1" s="159"/>
      <c r="J1" s="159"/>
      <c r="K1" s="159"/>
      <c r="L1" s="159"/>
    </row>
    <row r="2" spans="1:19" ht="72.55" customHeight="1" x14ac:dyDescent="0.4">
      <c r="A2" s="197" t="s">
        <v>1391</v>
      </c>
      <c r="B2" s="142"/>
      <c r="C2" s="142"/>
      <c r="D2" s="142"/>
      <c r="E2" s="142"/>
      <c r="F2" s="142"/>
      <c r="G2" s="142"/>
      <c r="H2" s="142"/>
      <c r="I2" s="142"/>
    </row>
    <row r="3" spans="1:19" x14ac:dyDescent="0.4">
      <c r="A3" s="126" t="s">
        <v>1392</v>
      </c>
      <c r="B3" s="119" t="s">
        <v>1093</v>
      </c>
      <c r="C3" s="217" t="s">
        <v>1392</v>
      </c>
      <c r="D3" s="142"/>
      <c r="E3" s="142"/>
      <c r="F3" s="142"/>
      <c r="G3" s="142"/>
      <c r="H3" s="142"/>
      <c r="I3" s="142"/>
      <c r="J3" s="142"/>
      <c r="K3" s="142"/>
      <c r="L3" s="142"/>
      <c r="M3" s="142"/>
      <c r="N3" s="142"/>
      <c r="O3" s="142"/>
      <c r="P3" s="142"/>
      <c r="Q3" s="142"/>
      <c r="R3" s="142"/>
      <c r="S3" s="120" t="s">
        <v>1095</v>
      </c>
    </row>
    <row r="4" spans="1:19" ht="58" customHeight="1" x14ac:dyDescent="0.4">
      <c r="A4" s="121" t="s">
        <v>1393</v>
      </c>
      <c r="B4" s="121" t="s">
        <v>1394</v>
      </c>
      <c r="C4" s="121" t="s">
        <v>1395</v>
      </c>
      <c r="D4" s="121" t="s">
        <v>1396</v>
      </c>
      <c r="E4" s="121" t="s">
        <v>1397</v>
      </c>
      <c r="F4" s="121" t="s">
        <v>1398</v>
      </c>
      <c r="G4" s="121" t="s">
        <v>1399</v>
      </c>
      <c r="H4" s="121" t="s">
        <v>1400</v>
      </c>
      <c r="I4" s="121" t="s">
        <v>1401</v>
      </c>
      <c r="J4" s="121" t="s">
        <v>1402</v>
      </c>
      <c r="K4" s="121" t="s">
        <v>1403</v>
      </c>
      <c r="L4" s="121" t="s">
        <v>1404</v>
      </c>
      <c r="M4" s="121" t="s">
        <v>1405</v>
      </c>
      <c r="N4" s="121" t="s">
        <v>1406</v>
      </c>
      <c r="O4" s="121" t="s">
        <v>1407</v>
      </c>
      <c r="P4" s="121" t="s">
        <v>1408</v>
      </c>
      <c r="Q4" s="121" t="s">
        <v>1409</v>
      </c>
      <c r="R4" s="121" t="s">
        <v>1410</v>
      </c>
      <c r="S4" s="121" t="s">
        <v>1231</v>
      </c>
    </row>
    <row r="5" spans="1:19" x14ac:dyDescent="0.4">
      <c r="A5" s="127" t="s">
        <v>862</v>
      </c>
      <c r="B5" s="62" t="s">
        <v>483</v>
      </c>
      <c r="C5" s="127" t="s">
        <v>869</v>
      </c>
      <c r="D5" s="127" t="s">
        <v>541</v>
      </c>
      <c r="E5" s="127" t="s">
        <v>378</v>
      </c>
      <c r="F5" s="127" t="s">
        <v>876</v>
      </c>
      <c r="G5" s="127" t="s">
        <v>879</v>
      </c>
      <c r="H5" s="127" t="s">
        <v>544</v>
      </c>
      <c r="I5" s="127" t="s">
        <v>885</v>
      </c>
      <c r="J5" s="127" t="s">
        <v>888</v>
      </c>
      <c r="K5" s="127" t="s">
        <v>891</v>
      </c>
      <c r="L5" s="127" t="s">
        <v>893</v>
      </c>
      <c r="M5" s="127" t="s">
        <v>895</v>
      </c>
      <c r="N5" s="127" t="s">
        <v>897</v>
      </c>
      <c r="O5" s="127" t="s">
        <v>899</v>
      </c>
      <c r="P5" s="127" t="s">
        <v>901</v>
      </c>
      <c r="Q5" s="127" t="s">
        <v>903</v>
      </c>
      <c r="R5" s="127" t="s">
        <v>905</v>
      </c>
      <c r="S5" s="60" t="s">
        <v>9</v>
      </c>
    </row>
    <row r="6" spans="1:19" ht="29.15" x14ac:dyDescent="0.4">
      <c r="A6" s="123">
        <v>46162</v>
      </c>
      <c r="B6" s="123">
        <f t="shared" ref="B6:B15" si="0">A6-WEEKDAY(A6,2)+1</f>
        <v>46160</v>
      </c>
      <c r="C6" s="109" t="s">
        <v>1411</v>
      </c>
      <c r="D6" s="125" t="s">
        <v>1412</v>
      </c>
      <c r="E6" s="109" t="s">
        <v>1413</v>
      </c>
      <c r="F6" s="109" t="s">
        <v>1414</v>
      </c>
      <c r="G6" s="109" t="s">
        <v>560</v>
      </c>
      <c r="H6" s="109" t="s">
        <v>884</v>
      </c>
      <c r="I6" s="109">
        <v>0</v>
      </c>
      <c r="J6" s="109">
        <v>0</v>
      </c>
      <c r="K6" s="109">
        <v>0</v>
      </c>
      <c r="L6" s="109">
        <v>0</v>
      </c>
      <c r="M6" s="109">
        <v>0</v>
      </c>
      <c r="N6" s="109">
        <v>0</v>
      </c>
      <c r="O6" s="109">
        <v>2</v>
      </c>
      <c r="P6" s="109">
        <v>0</v>
      </c>
      <c r="Q6" s="109">
        <v>0</v>
      </c>
      <c r="R6" s="125" t="s">
        <v>1415</v>
      </c>
      <c r="S6" s="109" t="s">
        <v>754</v>
      </c>
    </row>
    <row r="7" spans="1:19" ht="29.15" x14ac:dyDescent="0.4">
      <c r="A7" s="123">
        <v>46182</v>
      </c>
      <c r="B7" s="123">
        <f t="shared" si="0"/>
        <v>46181</v>
      </c>
      <c r="C7" s="109" t="s">
        <v>871</v>
      </c>
      <c r="D7" s="125" t="s">
        <v>1416</v>
      </c>
      <c r="E7" s="109" t="s">
        <v>875</v>
      </c>
      <c r="F7" s="109" t="s">
        <v>878</v>
      </c>
      <c r="G7" s="109" t="s">
        <v>554</v>
      </c>
      <c r="H7" s="109" t="s">
        <v>884</v>
      </c>
      <c r="I7" s="109">
        <v>1</v>
      </c>
      <c r="J7" s="109">
        <v>0</v>
      </c>
      <c r="K7" s="109">
        <v>0</v>
      </c>
      <c r="L7" s="109">
        <v>0</v>
      </c>
      <c r="M7" s="109">
        <v>3</v>
      </c>
      <c r="N7" s="109">
        <v>0</v>
      </c>
      <c r="O7" s="109">
        <v>0</v>
      </c>
      <c r="P7" s="109">
        <v>0</v>
      </c>
      <c r="Q7" s="109">
        <v>0</v>
      </c>
      <c r="R7" s="125" t="s">
        <v>1417</v>
      </c>
      <c r="S7" s="109" t="s">
        <v>754</v>
      </c>
    </row>
    <row r="8" spans="1:19" ht="29.15" x14ac:dyDescent="0.4">
      <c r="A8" s="123">
        <v>46183</v>
      </c>
      <c r="B8" s="123">
        <f t="shared" si="0"/>
        <v>46181</v>
      </c>
      <c r="C8" s="109" t="s">
        <v>1418</v>
      </c>
      <c r="D8" s="125" t="s">
        <v>1419</v>
      </c>
      <c r="E8" s="109" t="s">
        <v>1420</v>
      </c>
      <c r="F8" s="109" t="s">
        <v>1421</v>
      </c>
      <c r="G8" s="109" t="s">
        <v>576</v>
      </c>
      <c r="H8" s="109" t="s">
        <v>1422</v>
      </c>
      <c r="I8" s="109">
        <v>0</v>
      </c>
      <c r="J8" s="109">
        <v>0</v>
      </c>
      <c r="K8" s="109">
        <v>0</v>
      </c>
      <c r="L8" s="109">
        <v>0</v>
      </c>
      <c r="M8" s="109">
        <v>0</v>
      </c>
      <c r="N8" s="109">
        <v>0</v>
      </c>
      <c r="O8" s="109">
        <v>0</v>
      </c>
      <c r="P8" s="109">
        <v>0</v>
      </c>
      <c r="Q8" s="109">
        <v>2</v>
      </c>
      <c r="R8" s="125" t="s">
        <v>1423</v>
      </c>
      <c r="S8" s="109" t="s">
        <v>754</v>
      </c>
    </row>
    <row r="9" spans="1:19" ht="29.15" x14ac:dyDescent="0.4">
      <c r="A9" s="123">
        <v>46184</v>
      </c>
      <c r="B9" s="123">
        <f t="shared" si="0"/>
        <v>46181</v>
      </c>
      <c r="C9" s="109" t="s">
        <v>1424</v>
      </c>
      <c r="D9" s="125" t="s">
        <v>1425</v>
      </c>
      <c r="E9" s="109" t="s">
        <v>1426</v>
      </c>
      <c r="F9" s="109" t="s">
        <v>1421</v>
      </c>
      <c r="G9" s="109" t="s">
        <v>560</v>
      </c>
      <c r="H9" s="109" t="s">
        <v>1422</v>
      </c>
      <c r="I9" s="109">
        <v>0</v>
      </c>
      <c r="J9" s="109">
        <v>0</v>
      </c>
      <c r="K9" s="109">
        <v>0</v>
      </c>
      <c r="L9" s="109">
        <v>0</v>
      </c>
      <c r="M9" s="109">
        <v>0</v>
      </c>
      <c r="N9" s="109">
        <v>0</v>
      </c>
      <c r="O9" s="109">
        <v>1</v>
      </c>
      <c r="P9" s="109">
        <v>0</v>
      </c>
      <c r="Q9" s="109">
        <v>0</v>
      </c>
      <c r="R9" s="125" t="s">
        <v>1427</v>
      </c>
      <c r="S9" s="109" t="s">
        <v>754</v>
      </c>
    </row>
    <row r="10" spans="1:19" ht="29.15" x14ac:dyDescent="0.4">
      <c r="A10" s="123">
        <v>46189</v>
      </c>
      <c r="B10" s="123">
        <f t="shared" si="0"/>
        <v>46188</v>
      </c>
      <c r="C10" s="109" t="s">
        <v>1428</v>
      </c>
      <c r="D10" s="125" t="s">
        <v>1429</v>
      </c>
      <c r="E10" s="109" t="s">
        <v>1430</v>
      </c>
      <c r="F10" s="109" t="s">
        <v>1431</v>
      </c>
      <c r="G10" s="109" t="s">
        <v>554</v>
      </c>
      <c r="H10" s="109" t="s">
        <v>884</v>
      </c>
      <c r="I10" s="109">
        <v>0</v>
      </c>
      <c r="J10" s="109">
        <v>0</v>
      </c>
      <c r="K10" s="109">
        <v>0</v>
      </c>
      <c r="L10" s="109">
        <v>0</v>
      </c>
      <c r="M10" s="109">
        <v>2</v>
      </c>
      <c r="N10" s="109">
        <v>0</v>
      </c>
      <c r="O10" s="109">
        <v>0</v>
      </c>
      <c r="P10" s="109">
        <v>0</v>
      </c>
      <c r="Q10" s="109">
        <v>0</v>
      </c>
      <c r="R10" s="125" t="s">
        <v>1432</v>
      </c>
      <c r="S10" s="109" t="s">
        <v>754</v>
      </c>
    </row>
    <row r="11" spans="1:19" x14ac:dyDescent="0.4">
      <c r="A11" s="123">
        <v>46190</v>
      </c>
      <c r="B11" s="123">
        <f t="shared" si="0"/>
        <v>46188</v>
      </c>
      <c r="C11" s="109" t="s">
        <v>1433</v>
      </c>
      <c r="D11" s="125" t="s">
        <v>1434</v>
      </c>
      <c r="E11" s="109" t="s">
        <v>1435</v>
      </c>
      <c r="F11" s="109" t="s">
        <v>1436</v>
      </c>
      <c r="G11" s="109" t="s">
        <v>576</v>
      </c>
      <c r="H11" s="109" t="s">
        <v>1422</v>
      </c>
      <c r="I11" s="109">
        <v>0</v>
      </c>
      <c r="J11" s="109">
        <v>0</v>
      </c>
      <c r="K11" s="109">
        <v>0</v>
      </c>
      <c r="L11" s="109">
        <v>0</v>
      </c>
      <c r="M11" s="109">
        <v>0</v>
      </c>
      <c r="N11" s="109">
        <v>0</v>
      </c>
      <c r="O11" s="109">
        <v>0</v>
      </c>
      <c r="P11" s="109">
        <v>0</v>
      </c>
      <c r="Q11" s="109">
        <v>1</v>
      </c>
      <c r="R11" s="125" t="s">
        <v>1437</v>
      </c>
      <c r="S11" s="109" t="s">
        <v>754</v>
      </c>
    </row>
    <row r="12" spans="1:19" ht="29.15" x14ac:dyDescent="0.4">
      <c r="A12" s="123">
        <v>46191</v>
      </c>
      <c r="B12" s="123">
        <f t="shared" si="0"/>
        <v>46188</v>
      </c>
      <c r="C12" s="109" t="s">
        <v>1438</v>
      </c>
      <c r="D12" s="125" t="s">
        <v>1439</v>
      </c>
      <c r="E12" s="109" t="s">
        <v>1440</v>
      </c>
      <c r="F12" s="109" t="s">
        <v>1441</v>
      </c>
      <c r="G12" s="109" t="s">
        <v>572</v>
      </c>
      <c r="H12" s="109" t="s">
        <v>1442</v>
      </c>
      <c r="I12" s="109">
        <v>0</v>
      </c>
      <c r="J12" s="109">
        <v>0</v>
      </c>
      <c r="K12" s="109">
        <v>0</v>
      </c>
      <c r="L12" s="109">
        <v>0</v>
      </c>
      <c r="M12" s="109">
        <v>0</v>
      </c>
      <c r="N12" s="109">
        <v>1</v>
      </c>
      <c r="O12" s="109">
        <v>0</v>
      </c>
      <c r="P12" s="109">
        <v>0</v>
      </c>
      <c r="Q12" s="109">
        <v>0</v>
      </c>
      <c r="R12" s="125" t="s">
        <v>1443</v>
      </c>
      <c r="S12" s="109" t="s">
        <v>754</v>
      </c>
    </row>
    <row r="13" spans="1:19" ht="29.15" x14ac:dyDescent="0.4">
      <c r="A13" s="123">
        <v>46196</v>
      </c>
      <c r="B13" s="123">
        <f t="shared" si="0"/>
        <v>46195</v>
      </c>
      <c r="C13" s="109" t="s">
        <v>1444</v>
      </c>
      <c r="D13" s="125" t="s">
        <v>1445</v>
      </c>
      <c r="E13" s="109" t="s">
        <v>1426</v>
      </c>
      <c r="F13" s="109" t="s">
        <v>1421</v>
      </c>
      <c r="G13" s="109" t="s">
        <v>560</v>
      </c>
      <c r="H13" s="109" t="s">
        <v>884</v>
      </c>
      <c r="I13" s="109">
        <v>0</v>
      </c>
      <c r="J13" s="109">
        <v>0</v>
      </c>
      <c r="K13" s="109">
        <v>0</v>
      </c>
      <c r="L13" s="109">
        <v>0</v>
      </c>
      <c r="M13" s="109">
        <v>0</v>
      </c>
      <c r="N13" s="109">
        <v>0</v>
      </c>
      <c r="O13" s="109">
        <v>1</v>
      </c>
      <c r="P13" s="109">
        <v>0</v>
      </c>
      <c r="Q13" s="109">
        <v>0</v>
      </c>
      <c r="R13" s="125" t="s">
        <v>1446</v>
      </c>
      <c r="S13" s="109" t="s">
        <v>754</v>
      </c>
    </row>
    <row r="14" spans="1:19" ht="29.15" x14ac:dyDescent="0.4">
      <c r="A14" s="123">
        <v>46197</v>
      </c>
      <c r="B14" s="123">
        <f t="shared" si="0"/>
        <v>46195</v>
      </c>
      <c r="C14" s="109" t="s">
        <v>1447</v>
      </c>
      <c r="D14" s="125" t="s">
        <v>1448</v>
      </c>
      <c r="E14" s="109" t="s">
        <v>1449</v>
      </c>
      <c r="F14" s="109" t="s">
        <v>1450</v>
      </c>
      <c r="G14" s="109" t="s">
        <v>554</v>
      </c>
      <c r="H14" s="109" t="s">
        <v>884</v>
      </c>
      <c r="I14" s="109">
        <v>2</v>
      </c>
      <c r="J14" s="109">
        <v>0</v>
      </c>
      <c r="K14" s="109">
        <v>0</v>
      </c>
      <c r="L14" s="109">
        <v>0</v>
      </c>
      <c r="M14" s="109">
        <v>2</v>
      </c>
      <c r="N14" s="109">
        <v>0</v>
      </c>
      <c r="O14" s="109">
        <v>0</v>
      </c>
      <c r="P14" s="109">
        <v>0</v>
      </c>
      <c r="Q14" s="109">
        <v>0</v>
      </c>
      <c r="R14" s="125" t="s">
        <v>1451</v>
      </c>
      <c r="S14" s="109" t="s">
        <v>754</v>
      </c>
    </row>
    <row r="15" spans="1:19" ht="29.15" x14ac:dyDescent="0.4">
      <c r="A15" s="123">
        <v>46198</v>
      </c>
      <c r="B15" s="123">
        <f t="shared" si="0"/>
        <v>46195</v>
      </c>
      <c r="C15" s="109" t="s">
        <v>1452</v>
      </c>
      <c r="D15" s="125" t="s">
        <v>1453</v>
      </c>
      <c r="E15" s="109" t="s">
        <v>1454</v>
      </c>
      <c r="F15" s="109" t="s">
        <v>1421</v>
      </c>
      <c r="G15" s="109" t="s">
        <v>576</v>
      </c>
      <c r="H15" s="109" t="s">
        <v>1422</v>
      </c>
      <c r="I15" s="109">
        <v>0</v>
      </c>
      <c r="J15" s="109">
        <v>0</v>
      </c>
      <c r="K15" s="109">
        <v>0</v>
      </c>
      <c r="L15" s="109">
        <v>0</v>
      </c>
      <c r="M15" s="109">
        <v>0</v>
      </c>
      <c r="N15" s="109">
        <v>0</v>
      </c>
      <c r="O15" s="109">
        <v>0</v>
      </c>
      <c r="P15" s="109">
        <v>0</v>
      </c>
      <c r="Q15" s="109">
        <v>2</v>
      </c>
      <c r="R15" s="125" t="s">
        <v>1455</v>
      </c>
      <c r="S15" s="109" t="s">
        <v>754</v>
      </c>
    </row>
    <row r="16" spans="1:19" ht="29.15" x14ac:dyDescent="0.4">
      <c r="A16" s="123">
        <v>46301</v>
      </c>
      <c r="B16" s="123">
        <f>A16-WEEKDAY(A16,2)+1</f>
        <v>46300</v>
      </c>
      <c r="C16" s="129" t="s">
        <v>1634</v>
      </c>
      <c r="D16" s="130" t="s">
        <v>1635</v>
      </c>
      <c r="E16" s="129" t="s">
        <v>1413</v>
      </c>
      <c r="F16" s="129" t="s">
        <v>1414</v>
      </c>
      <c r="G16" s="129" t="s">
        <v>1568</v>
      </c>
      <c r="H16" s="129" t="s">
        <v>884</v>
      </c>
      <c r="I16" s="109">
        <v>0</v>
      </c>
      <c r="J16" s="109">
        <v>0</v>
      </c>
      <c r="K16" s="109">
        <v>0</v>
      </c>
      <c r="L16" s="109">
        <v>0</v>
      </c>
      <c r="M16" s="109">
        <v>0</v>
      </c>
      <c r="N16" s="109">
        <v>0</v>
      </c>
      <c r="O16" s="109">
        <v>1</v>
      </c>
      <c r="P16" s="109">
        <v>2</v>
      </c>
      <c r="Q16" s="109">
        <v>1</v>
      </c>
      <c r="R16" s="130" t="s">
        <v>1636</v>
      </c>
      <c r="S16" s="129" t="s">
        <v>754</v>
      </c>
    </row>
    <row r="17" spans="1:19" ht="29.15" x14ac:dyDescent="0.4">
      <c r="A17" s="123">
        <v>46302</v>
      </c>
      <c r="B17" s="123">
        <f>A17-WEEKDAY(A17,2)+1</f>
        <v>46300</v>
      </c>
      <c r="C17" s="129" t="s">
        <v>1637</v>
      </c>
      <c r="D17" s="130" t="s">
        <v>1638</v>
      </c>
      <c r="E17" s="129" t="s">
        <v>1430</v>
      </c>
      <c r="F17" s="129" t="s">
        <v>1431</v>
      </c>
      <c r="G17" s="129" t="s">
        <v>554</v>
      </c>
      <c r="H17" s="129" t="s">
        <v>884</v>
      </c>
      <c r="I17" s="109">
        <v>1</v>
      </c>
      <c r="J17" s="109">
        <v>0</v>
      </c>
      <c r="K17" s="109">
        <v>0</v>
      </c>
      <c r="L17" s="109">
        <v>0</v>
      </c>
      <c r="M17" s="109">
        <v>3</v>
      </c>
      <c r="N17" s="109">
        <v>0</v>
      </c>
      <c r="O17" s="109">
        <v>0</v>
      </c>
      <c r="P17" s="109">
        <v>0</v>
      </c>
      <c r="Q17" s="109">
        <v>0</v>
      </c>
      <c r="R17" s="130" t="s">
        <v>1639</v>
      </c>
      <c r="S17" s="129" t="s">
        <v>754</v>
      </c>
    </row>
    <row r="18" spans="1:19" ht="29.15" x14ac:dyDescent="0.4">
      <c r="A18" s="123">
        <v>46303</v>
      </c>
      <c r="B18" s="123">
        <f>A18-WEEKDAY(A18,2)+1</f>
        <v>46300</v>
      </c>
      <c r="C18" s="129" t="s">
        <v>1640</v>
      </c>
      <c r="D18" s="130" t="s">
        <v>1641</v>
      </c>
      <c r="E18" s="129" t="s">
        <v>875</v>
      </c>
      <c r="F18" s="129" t="s">
        <v>878</v>
      </c>
      <c r="G18" s="129" t="s">
        <v>554</v>
      </c>
      <c r="H18" s="129" t="s">
        <v>884</v>
      </c>
      <c r="I18" s="109">
        <v>0</v>
      </c>
      <c r="J18" s="109">
        <v>0</v>
      </c>
      <c r="K18" s="109">
        <v>0</v>
      </c>
      <c r="L18" s="109">
        <v>0</v>
      </c>
      <c r="M18" s="109">
        <v>2</v>
      </c>
      <c r="N18" s="109">
        <v>0</v>
      </c>
      <c r="O18" s="109">
        <v>0</v>
      </c>
      <c r="P18" s="109">
        <v>0</v>
      </c>
      <c r="Q18" s="109">
        <v>0</v>
      </c>
      <c r="R18" s="130" t="s">
        <v>1642</v>
      </c>
      <c r="S18" s="129" t="s">
        <v>754</v>
      </c>
    </row>
    <row r="19" spans="1:19" ht="29.15" x14ac:dyDescent="0.4">
      <c r="A19" s="123">
        <v>46303</v>
      </c>
      <c r="B19" s="123">
        <f>A19-WEEKDAY(A19,2)+1</f>
        <v>46300</v>
      </c>
      <c r="C19" s="129" t="s">
        <v>1643</v>
      </c>
      <c r="D19" s="130" t="s">
        <v>1644</v>
      </c>
      <c r="E19" s="129" t="s">
        <v>1426</v>
      </c>
      <c r="F19" s="129" t="s">
        <v>1421</v>
      </c>
      <c r="G19" s="129" t="s">
        <v>560</v>
      </c>
      <c r="H19" s="129" t="s">
        <v>1422</v>
      </c>
      <c r="I19" s="109">
        <v>0</v>
      </c>
      <c r="J19" s="109">
        <v>0</v>
      </c>
      <c r="K19" s="109">
        <v>0</v>
      </c>
      <c r="L19" s="109">
        <v>0</v>
      </c>
      <c r="M19" s="109">
        <v>0</v>
      </c>
      <c r="N19" s="109">
        <v>0</v>
      </c>
      <c r="O19" s="109">
        <v>1</v>
      </c>
      <c r="P19" s="109">
        <v>0</v>
      </c>
      <c r="Q19" s="109">
        <v>0</v>
      </c>
      <c r="R19" s="130" t="s">
        <v>1645</v>
      </c>
      <c r="S19" s="129" t="s">
        <v>967</v>
      </c>
    </row>
    <row r="20" spans="1:19" ht="29.15" x14ac:dyDescent="0.4">
      <c r="A20" s="123">
        <v>46304</v>
      </c>
      <c r="B20" s="123">
        <f>A20-WEEKDAY(A20,2)+1</f>
        <v>46300</v>
      </c>
      <c r="C20" s="129" t="s">
        <v>1646</v>
      </c>
      <c r="D20" s="130" t="s">
        <v>1647</v>
      </c>
      <c r="E20" s="129" t="s">
        <v>1449</v>
      </c>
      <c r="F20" s="129" t="s">
        <v>1450</v>
      </c>
      <c r="G20" s="129" t="s">
        <v>554</v>
      </c>
      <c r="H20" s="129" t="s">
        <v>884</v>
      </c>
      <c r="I20" s="109">
        <v>2</v>
      </c>
      <c r="J20" s="109">
        <v>0</v>
      </c>
      <c r="K20" s="109">
        <v>0</v>
      </c>
      <c r="L20" s="109">
        <v>0</v>
      </c>
      <c r="M20" s="109">
        <v>2</v>
      </c>
      <c r="N20" s="109">
        <v>0</v>
      </c>
      <c r="O20" s="109">
        <v>0</v>
      </c>
      <c r="P20" s="109">
        <v>0</v>
      </c>
      <c r="Q20" s="109">
        <v>0</v>
      </c>
      <c r="R20" s="130" t="s">
        <v>1648</v>
      </c>
      <c r="S20" s="129" t="s">
        <v>754</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58" t="str">
        <f>"Horizon Scan NFR — Sintesi_Cicli — commento di A1 e sintesi di A5, una riga per ciclo   ·   "&amp;etichettaCiclo</f>
        <v>Horizon Scan NFR — Sintesi_Cicli — commento di A1 e sintesi di A5, una riga per ciclo   ·   Ciclo 2026Q3 · dati al 30/09/2026 · validato · Uso interno</v>
      </c>
      <c r="B1" s="159"/>
      <c r="C1" s="159"/>
      <c r="D1" s="159"/>
      <c r="E1" s="159"/>
      <c r="F1" s="159"/>
      <c r="G1" s="159"/>
      <c r="H1" s="159"/>
      <c r="I1" s="159"/>
      <c r="J1" s="159"/>
    </row>
    <row r="2" spans="1:10" ht="72.55" customHeight="1" x14ac:dyDescent="0.4">
      <c r="A2" s="149" t="s">
        <v>1456</v>
      </c>
      <c r="B2" s="142"/>
      <c r="C2" s="142"/>
      <c r="D2" s="142"/>
    </row>
    <row r="3" spans="1:10" x14ac:dyDescent="0.4">
      <c r="A3" s="214" t="s">
        <v>1092</v>
      </c>
      <c r="B3" s="142"/>
      <c r="C3" s="142"/>
      <c r="D3" s="118" t="s">
        <v>1457</v>
      </c>
      <c r="E3" s="215" t="s">
        <v>1094</v>
      </c>
      <c r="F3" s="142"/>
      <c r="G3" s="142"/>
      <c r="H3" s="142"/>
      <c r="I3" s="142"/>
      <c r="J3" s="142"/>
    </row>
    <row r="4" spans="1:10" ht="47.05" customHeight="1" x14ac:dyDescent="0.4">
      <c r="A4" s="121" t="s">
        <v>1458</v>
      </c>
      <c r="B4" s="121" t="s">
        <v>1459</v>
      </c>
      <c r="C4" s="121" t="s">
        <v>1460</v>
      </c>
      <c r="D4" s="121" t="s">
        <v>1461</v>
      </c>
      <c r="E4" s="121" t="s">
        <v>1462</v>
      </c>
      <c r="F4" s="121" t="s">
        <v>1463</v>
      </c>
      <c r="G4" s="121" t="s">
        <v>1464</v>
      </c>
      <c r="H4" s="121" t="s">
        <v>1465</v>
      </c>
      <c r="I4" s="121" t="s">
        <v>1116</v>
      </c>
      <c r="J4" s="121" t="s">
        <v>1466</v>
      </c>
    </row>
    <row r="5" spans="1:10" x14ac:dyDescent="0.4">
      <c r="A5" s="122" t="s">
        <v>451</v>
      </c>
      <c r="B5" s="122" t="s">
        <v>684</v>
      </c>
      <c r="C5" s="122" t="s">
        <v>911</v>
      </c>
      <c r="D5" s="122" t="s">
        <v>915</v>
      </c>
      <c r="E5" s="62" t="s">
        <v>919</v>
      </c>
      <c r="F5" s="62" t="s">
        <v>922</v>
      </c>
      <c r="G5" s="62" t="s">
        <v>925</v>
      </c>
      <c r="H5" s="62" t="s">
        <v>928</v>
      </c>
      <c r="I5" s="62" t="s">
        <v>743</v>
      </c>
      <c r="J5" s="62" t="s">
        <v>930</v>
      </c>
    </row>
    <row r="6" spans="1:10" ht="72.900000000000006" x14ac:dyDescent="0.4">
      <c r="A6" s="125" t="s">
        <v>617</v>
      </c>
      <c r="B6" s="128">
        <v>46022</v>
      </c>
      <c r="C6" s="125" t="s">
        <v>1467</v>
      </c>
      <c r="D6" s="125" t="s">
        <v>1468</v>
      </c>
      <c r="E6" s="125">
        <v>2</v>
      </c>
      <c r="F6" s="125"/>
      <c r="G6" s="125"/>
      <c r="H6" s="125"/>
      <c r="I6" s="128">
        <v>46022</v>
      </c>
      <c r="J6" s="125"/>
    </row>
    <row r="7" spans="1:10" ht="58.3" x14ac:dyDescent="0.4">
      <c r="A7" s="125" t="s">
        <v>614</v>
      </c>
      <c r="B7" s="128">
        <v>46112</v>
      </c>
      <c r="C7" s="125" t="s">
        <v>1469</v>
      </c>
      <c r="D7" s="125" t="s">
        <v>1470</v>
      </c>
      <c r="E7" s="125">
        <v>1</v>
      </c>
      <c r="F7" s="125"/>
      <c r="G7" s="125"/>
      <c r="H7" s="125"/>
      <c r="I7" s="128">
        <v>46112</v>
      </c>
      <c r="J7" s="125"/>
    </row>
    <row r="8" spans="1:10" ht="87.45" x14ac:dyDescent="0.4">
      <c r="A8" s="125" t="s">
        <v>608</v>
      </c>
      <c r="B8" s="128">
        <v>46203</v>
      </c>
      <c r="C8" s="125" t="s">
        <v>1471</v>
      </c>
      <c r="D8" s="125" t="s">
        <v>1472</v>
      </c>
      <c r="E8" s="125">
        <v>1</v>
      </c>
      <c r="F8" s="125"/>
      <c r="G8" s="125" t="s">
        <v>1473</v>
      </c>
      <c r="H8" s="125"/>
      <c r="I8" s="128">
        <v>46203</v>
      </c>
      <c r="J8" s="125"/>
    </row>
    <row r="9" spans="1:10" ht="131.15" x14ac:dyDescent="0.4">
      <c r="A9" s="130" t="s">
        <v>1506</v>
      </c>
      <c r="B9" s="128">
        <v>46295</v>
      </c>
      <c r="C9" s="130" t="s">
        <v>1623</v>
      </c>
      <c r="D9" s="130" t="s">
        <v>1624</v>
      </c>
      <c r="E9" s="125">
        <v>2</v>
      </c>
      <c r="F9" s="125"/>
      <c r="G9" s="125"/>
      <c r="H9" s="125"/>
      <c r="I9" s="128">
        <v>46303</v>
      </c>
      <c r="J9"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58" t="str">
        <f>"Horizon Scan NFR — Sintesi_Settimane — sintesi di A3 e flag proposti, una riga per settimana   ·   "&amp;etichettaCiclo</f>
        <v>Horizon Scan NFR — Sintesi_Settimane — sintesi di A3 e flag proposti, una riga per settimana   ·   Ciclo 2026Q3 · dati al 30/09/2026 · validato · Uso interno</v>
      </c>
      <c r="B1" s="159"/>
      <c r="C1" s="159"/>
      <c r="D1" s="159"/>
      <c r="E1" s="159"/>
      <c r="F1" s="159"/>
    </row>
    <row r="2" spans="1:6" ht="72.55" customHeight="1" x14ac:dyDescent="0.4">
      <c r="A2" s="197" t="s">
        <v>1474</v>
      </c>
      <c r="B2" s="142"/>
      <c r="C2" s="142"/>
      <c r="D2" s="142"/>
      <c r="E2" s="142"/>
    </row>
    <row r="3" spans="1:6" x14ac:dyDescent="0.4">
      <c r="A3" s="126" t="s">
        <v>1392</v>
      </c>
      <c r="B3" s="119" t="s">
        <v>1094</v>
      </c>
      <c r="C3" s="126" t="s">
        <v>1392</v>
      </c>
      <c r="D3" s="215" t="s">
        <v>1094</v>
      </c>
      <c r="E3" s="142"/>
      <c r="F3" s="142"/>
    </row>
    <row r="4" spans="1:6" ht="36" customHeight="1" x14ac:dyDescent="0.4">
      <c r="A4" s="121" t="s">
        <v>1475</v>
      </c>
      <c r="B4" s="121" t="s">
        <v>1476</v>
      </c>
      <c r="C4" s="121" t="s">
        <v>1477</v>
      </c>
      <c r="D4" s="121" t="s">
        <v>1478</v>
      </c>
      <c r="E4" s="121" t="s">
        <v>1479</v>
      </c>
      <c r="F4" s="121" t="s">
        <v>1116</v>
      </c>
    </row>
    <row r="5" spans="1:6" x14ac:dyDescent="0.4">
      <c r="A5" s="127" t="s">
        <v>483</v>
      </c>
      <c r="B5" s="62" t="s">
        <v>95</v>
      </c>
      <c r="C5" s="127" t="s">
        <v>936</v>
      </c>
      <c r="D5" s="62" t="s">
        <v>939</v>
      </c>
      <c r="E5" s="62" t="s">
        <v>941</v>
      </c>
      <c r="F5" s="62" t="s">
        <v>743</v>
      </c>
    </row>
    <row r="6" spans="1:6" ht="43.75" x14ac:dyDescent="0.4">
      <c r="A6" s="128">
        <v>46188</v>
      </c>
      <c r="B6" s="125">
        <v>3</v>
      </c>
      <c r="C6" s="125" t="s">
        <v>1480</v>
      </c>
      <c r="D6" s="125"/>
      <c r="E6" s="128" t="s">
        <v>1481</v>
      </c>
      <c r="F6" s="128">
        <v>46188</v>
      </c>
    </row>
    <row r="7" spans="1:6" ht="43.75" x14ac:dyDescent="0.4">
      <c r="A7" s="128">
        <v>46195</v>
      </c>
      <c r="B7" s="125">
        <v>3</v>
      </c>
      <c r="C7" s="125" t="s">
        <v>1482</v>
      </c>
      <c r="D7" s="125"/>
      <c r="E7" s="128" t="s">
        <v>1483</v>
      </c>
      <c r="F7" s="128">
        <v>46195</v>
      </c>
    </row>
    <row r="8" spans="1:6" ht="58.3" x14ac:dyDescent="0.4">
      <c r="A8" s="128">
        <v>46202</v>
      </c>
      <c r="B8" s="125">
        <v>3</v>
      </c>
      <c r="C8" s="125" t="s">
        <v>1484</v>
      </c>
      <c r="D8" s="125"/>
      <c r="E8" s="128" t="s">
        <v>1485</v>
      </c>
      <c r="F8" s="128">
        <v>46202</v>
      </c>
    </row>
    <row r="9" spans="1:6" ht="102" x14ac:dyDescent="0.4">
      <c r="A9" s="128">
        <v>46307</v>
      </c>
      <c r="B9" s="125">
        <v>5</v>
      </c>
      <c r="C9" s="130" t="s">
        <v>1649</v>
      </c>
      <c r="D9" s="130" t="s">
        <v>692</v>
      </c>
      <c r="E9" s="140" t="s">
        <v>1650</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398"/>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58"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59"/>
      <c r="C1" s="159"/>
      <c r="D1" s="159"/>
      <c r="E1" s="159"/>
      <c r="F1" s="159"/>
      <c r="G1" s="159"/>
      <c r="H1" s="159"/>
      <c r="I1" s="159"/>
      <c r="J1" s="159"/>
      <c r="K1" s="159"/>
      <c r="L1" s="159"/>
    </row>
    <row r="2" spans="1:12" ht="72.55" customHeight="1" x14ac:dyDescent="0.4">
      <c r="A2" s="198" t="s">
        <v>1486</v>
      </c>
      <c r="B2" s="142"/>
      <c r="C2" s="142"/>
      <c r="D2" s="142"/>
      <c r="E2" s="142"/>
      <c r="F2" s="142"/>
      <c r="G2" s="142"/>
      <c r="H2" s="142"/>
      <c r="I2" s="142"/>
    </row>
    <row r="3" spans="1:12" x14ac:dyDescent="0.4">
      <c r="A3" s="215" t="s">
        <v>1094</v>
      </c>
      <c r="B3" s="142"/>
      <c r="C3" s="142"/>
      <c r="D3" s="142"/>
      <c r="E3" s="142"/>
      <c r="F3" s="142"/>
      <c r="G3" s="216" t="s">
        <v>1095</v>
      </c>
      <c r="H3" s="142"/>
      <c r="I3" s="142"/>
      <c r="J3" s="142"/>
      <c r="K3" s="142"/>
      <c r="L3" s="142"/>
    </row>
    <row r="4" spans="1:12" ht="168" customHeight="1" x14ac:dyDescent="0.4">
      <c r="A4" s="121" t="s">
        <v>1487</v>
      </c>
      <c r="B4" s="121" t="s">
        <v>1488</v>
      </c>
      <c r="C4" s="121" t="s">
        <v>1489</v>
      </c>
      <c r="D4" s="121" t="s">
        <v>1490</v>
      </c>
      <c r="E4" s="121" t="s">
        <v>1491</v>
      </c>
      <c r="F4" s="121" t="s">
        <v>1492</v>
      </c>
      <c r="G4" s="121" t="s">
        <v>1493</v>
      </c>
      <c r="H4" s="121" t="s">
        <v>1494</v>
      </c>
      <c r="I4" s="121" t="s">
        <v>1495</v>
      </c>
      <c r="J4" s="121" t="s">
        <v>1496</v>
      </c>
      <c r="K4" s="121" t="s">
        <v>1119</v>
      </c>
      <c r="L4" s="121" t="s">
        <v>1497</v>
      </c>
    </row>
    <row r="5" spans="1:12" x14ac:dyDescent="0.4">
      <c r="A5" s="62" t="s">
        <v>946</v>
      </c>
      <c r="B5" s="62" t="s">
        <v>949</v>
      </c>
      <c r="C5" s="62" t="s">
        <v>173</v>
      </c>
      <c r="D5" s="62" t="s">
        <v>174</v>
      </c>
      <c r="E5" s="62" t="s">
        <v>957</v>
      </c>
      <c r="F5" s="62" t="s">
        <v>960</v>
      </c>
      <c r="G5" s="60" t="s">
        <v>963</v>
      </c>
      <c r="H5" s="60" t="s">
        <v>968</v>
      </c>
      <c r="I5" s="60" t="s">
        <v>971</v>
      </c>
      <c r="J5" s="60" t="s">
        <v>975</v>
      </c>
      <c r="K5" s="60" t="s">
        <v>755</v>
      </c>
      <c r="L5" s="60" t="s">
        <v>444</v>
      </c>
    </row>
    <row r="6" spans="1:12" ht="29.15" x14ac:dyDescent="0.4">
      <c r="A6" s="109" t="s">
        <v>608</v>
      </c>
      <c r="B6" s="109" t="s">
        <v>18</v>
      </c>
      <c r="C6" s="109" t="s">
        <v>554</v>
      </c>
      <c r="D6" s="125" t="s">
        <v>555</v>
      </c>
      <c r="E6" s="109" t="s">
        <v>203</v>
      </c>
      <c r="F6" s="109">
        <v>4</v>
      </c>
      <c r="G6" s="109" t="s">
        <v>754</v>
      </c>
      <c r="H6" s="109">
        <v>4</v>
      </c>
      <c r="I6" s="125"/>
      <c r="J6" s="109" t="s">
        <v>750</v>
      </c>
      <c r="K6" s="123">
        <v>46218</v>
      </c>
      <c r="L6" s="109" t="s">
        <v>979</v>
      </c>
    </row>
    <row r="7" spans="1:12" ht="29.15" x14ac:dyDescent="0.4">
      <c r="A7" s="109" t="s">
        <v>608</v>
      </c>
      <c r="B7" s="109" t="s">
        <v>18</v>
      </c>
      <c r="C7" s="109" t="s">
        <v>554</v>
      </c>
      <c r="D7" s="125" t="s">
        <v>555</v>
      </c>
      <c r="E7" s="109" t="s">
        <v>300</v>
      </c>
      <c r="F7" s="109">
        <v>5</v>
      </c>
      <c r="G7" s="109" t="s">
        <v>754</v>
      </c>
      <c r="H7" s="109">
        <v>5</v>
      </c>
      <c r="I7" s="125"/>
      <c r="J7" s="109" t="s">
        <v>750</v>
      </c>
      <c r="K7" s="123">
        <v>46218</v>
      </c>
      <c r="L7" s="109" t="s">
        <v>979</v>
      </c>
    </row>
    <row r="8" spans="1:12" ht="29.15" x14ac:dyDescent="0.4">
      <c r="A8" s="109" t="s">
        <v>608</v>
      </c>
      <c r="B8" s="109" t="s">
        <v>18</v>
      </c>
      <c r="C8" s="109" t="s">
        <v>554</v>
      </c>
      <c r="D8" s="125" t="s">
        <v>555</v>
      </c>
      <c r="E8" s="109" t="s">
        <v>206</v>
      </c>
      <c r="F8" s="109">
        <v>4</v>
      </c>
      <c r="G8" s="109" t="s">
        <v>754</v>
      </c>
      <c r="H8" s="109">
        <v>4</v>
      </c>
      <c r="I8" s="125"/>
      <c r="J8" s="109" t="s">
        <v>750</v>
      </c>
      <c r="K8" s="123">
        <v>46218</v>
      </c>
      <c r="L8" s="109" t="s">
        <v>979</v>
      </c>
    </row>
    <row r="9" spans="1:12" ht="29.15" x14ac:dyDescent="0.4">
      <c r="A9" s="109" t="s">
        <v>608</v>
      </c>
      <c r="B9" s="109" t="s">
        <v>18</v>
      </c>
      <c r="C9" s="109" t="s">
        <v>554</v>
      </c>
      <c r="D9" s="125" t="s">
        <v>555</v>
      </c>
      <c r="E9" s="109" t="s">
        <v>204</v>
      </c>
      <c r="F9" s="109">
        <v>4</v>
      </c>
      <c r="G9" s="109" t="s">
        <v>754</v>
      </c>
      <c r="H9" s="109">
        <v>4</v>
      </c>
      <c r="I9" s="125"/>
      <c r="J9" s="109" t="s">
        <v>750</v>
      </c>
      <c r="K9" s="123">
        <v>46218</v>
      </c>
      <c r="L9" s="109" t="s">
        <v>979</v>
      </c>
    </row>
    <row r="10" spans="1:12" ht="29.15" x14ac:dyDescent="0.4">
      <c r="A10" s="109" t="s">
        <v>608</v>
      </c>
      <c r="B10" s="109" t="s">
        <v>18</v>
      </c>
      <c r="C10" s="109" t="s">
        <v>554</v>
      </c>
      <c r="D10" s="125" t="s">
        <v>555</v>
      </c>
      <c r="E10" s="109" t="s">
        <v>551</v>
      </c>
      <c r="F10" s="109"/>
      <c r="G10" s="109" t="s">
        <v>754</v>
      </c>
      <c r="H10" s="109"/>
      <c r="I10" s="125"/>
      <c r="J10" s="109" t="s">
        <v>750</v>
      </c>
      <c r="K10" s="123">
        <v>46218</v>
      </c>
      <c r="L10" s="109" t="s">
        <v>979</v>
      </c>
    </row>
    <row r="11" spans="1:12" ht="29.15" x14ac:dyDescent="0.4">
      <c r="A11" s="109" t="s">
        <v>608</v>
      </c>
      <c r="B11" s="109" t="s">
        <v>18</v>
      </c>
      <c r="C11" s="109" t="s">
        <v>554</v>
      </c>
      <c r="D11" s="125" t="s">
        <v>555</v>
      </c>
      <c r="E11" s="109" t="s">
        <v>773</v>
      </c>
      <c r="F11" s="109" t="s">
        <v>777</v>
      </c>
      <c r="G11" s="109" t="s">
        <v>754</v>
      </c>
      <c r="H11" s="109" t="s">
        <v>777</v>
      </c>
      <c r="I11" s="125"/>
      <c r="J11" s="109" t="s">
        <v>750</v>
      </c>
      <c r="K11" s="123">
        <v>46218</v>
      </c>
      <c r="L11" s="109" t="s">
        <v>979</v>
      </c>
    </row>
    <row r="12" spans="1:12" x14ac:dyDescent="0.4">
      <c r="A12" s="109" t="s">
        <v>608</v>
      </c>
      <c r="B12" s="109" t="s">
        <v>18</v>
      </c>
      <c r="C12" s="109" t="s">
        <v>560</v>
      </c>
      <c r="D12" s="125" t="s">
        <v>561</v>
      </c>
      <c r="E12" s="109" t="s">
        <v>203</v>
      </c>
      <c r="F12" s="109">
        <v>4</v>
      </c>
      <c r="G12" s="109" t="s">
        <v>754</v>
      </c>
      <c r="H12" s="109">
        <v>4</v>
      </c>
      <c r="I12" s="125"/>
      <c r="J12" s="109" t="s">
        <v>750</v>
      </c>
      <c r="K12" s="123">
        <v>46218</v>
      </c>
      <c r="L12" s="109" t="s">
        <v>979</v>
      </c>
    </row>
    <row r="13" spans="1:12" x14ac:dyDescent="0.4">
      <c r="A13" s="109" t="s">
        <v>608</v>
      </c>
      <c r="B13" s="109" t="s">
        <v>18</v>
      </c>
      <c r="C13" s="109" t="s">
        <v>560</v>
      </c>
      <c r="D13" s="125" t="s">
        <v>561</v>
      </c>
      <c r="E13" s="109" t="s">
        <v>300</v>
      </c>
      <c r="F13" s="109">
        <v>4</v>
      </c>
      <c r="G13" s="109" t="s">
        <v>754</v>
      </c>
      <c r="H13" s="109">
        <v>4</v>
      </c>
      <c r="I13" s="125"/>
      <c r="J13" s="109" t="s">
        <v>750</v>
      </c>
      <c r="K13" s="123">
        <v>46218</v>
      </c>
      <c r="L13" s="109" t="s">
        <v>979</v>
      </c>
    </row>
    <row r="14" spans="1:12" x14ac:dyDescent="0.4">
      <c r="A14" s="109" t="s">
        <v>608</v>
      </c>
      <c r="B14" s="109" t="s">
        <v>18</v>
      </c>
      <c r="C14" s="109" t="s">
        <v>560</v>
      </c>
      <c r="D14" s="125" t="s">
        <v>561</v>
      </c>
      <c r="E14" s="109" t="s">
        <v>206</v>
      </c>
      <c r="F14" s="109">
        <v>3</v>
      </c>
      <c r="G14" s="109" t="s">
        <v>754</v>
      </c>
      <c r="H14" s="109">
        <v>3</v>
      </c>
      <c r="I14" s="125"/>
      <c r="J14" s="109" t="s">
        <v>750</v>
      </c>
      <c r="K14" s="123">
        <v>46218</v>
      </c>
      <c r="L14" s="109" t="s">
        <v>979</v>
      </c>
    </row>
    <row r="15" spans="1:12" x14ac:dyDescent="0.4">
      <c r="A15" s="109" t="s">
        <v>608</v>
      </c>
      <c r="B15" s="109" t="s">
        <v>18</v>
      </c>
      <c r="C15" s="109" t="s">
        <v>560</v>
      </c>
      <c r="D15" s="125" t="s">
        <v>561</v>
      </c>
      <c r="E15" s="109" t="s">
        <v>204</v>
      </c>
      <c r="F15" s="109">
        <v>2</v>
      </c>
      <c r="G15" s="109" t="s">
        <v>754</v>
      </c>
      <c r="H15" s="109">
        <v>2</v>
      </c>
      <c r="I15" s="125"/>
      <c r="J15" s="109" t="s">
        <v>750</v>
      </c>
      <c r="K15" s="123">
        <v>46218</v>
      </c>
      <c r="L15" s="109" t="s">
        <v>979</v>
      </c>
    </row>
    <row r="16" spans="1:12" x14ac:dyDescent="0.4">
      <c r="A16" s="109" t="s">
        <v>608</v>
      </c>
      <c r="B16" s="109" t="s">
        <v>18</v>
      </c>
      <c r="C16" s="109" t="s">
        <v>560</v>
      </c>
      <c r="D16" s="125" t="s">
        <v>561</v>
      </c>
      <c r="E16" s="109" t="s">
        <v>551</v>
      </c>
      <c r="F16" s="109"/>
      <c r="G16" s="109" t="s">
        <v>754</v>
      </c>
      <c r="H16" s="109"/>
      <c r="I16" s="125"/>
      <c r="J16" s="109" t="s">
        <v>750</v>
      </c>
      <c r="K16" s="123">
        <v>46218</v>
      </c>
      <c r="L16" s="109" t="s">
        <v>979</v>
      </c>
    </row>
    <row r="17" spans="1:12" x14ac:dyDescent="0.4">
      <c r="A17" s="109" t="s">
        <v>608</v>
      </c>
      <c r="B17" s="109" t="s">
        <v>18</v>
      </c>
      <c r="C17" s="109" t="s">
        <v>560</v>
      </c>
      <c r="D17" s="125" t="s">
        <v>561</v>
      </c>
      <c r="E17" s="109" t="s">
        <v>773</v>
      </c>
      <c r="F17" s="109" t="s">
        <v>777</v>
      </c>
      <c r="G17" s="109" t="s">
        <v>754</v>
      </c>
      <c r="H17" s="109" t="s">
        <v>777</v>
      </c>
      <c r="I17" s="125"/>
      <c r="J17" s="109" t="s">
        <v>750</v>
      </c>
      <c r="K17" s="123">
        <v>46218</v>
      </c>
      <c r="L17" s="109" t="s">
        <v>979</v>
      </c>
    </row>
    <row r="18" spans="1:12" ht="29.15" x14ac:dyDescent="0.4">
      <c r="A18" s="109" t="s">
        <v>608</v>
      </c>
      <c r="B18" s="109" t="s">
        <v>18</v>
      </c>
      <c r="C18" s="109" t="s">
        <v>566</v>
      </c>
      <c r="D18" s="125" t="s">
        <v>567</v>
      </c>
      <c r="E18" s="109" t="s">
        <v>203</v>
      </c>
      <c r="F18" s="109">
        <v>3</v>
      </c>
      <c r="G18" s="109" t="s">
        <v>754</v>
      </c>
      <c r="H18" s="109">
        <v>3</v>
      </c>
      <c r="I18" s="125"/>
      <c r="J18" s="109" t="s">
        <v>750</v>
      </c>
      <c r="K18" s="123">
        <v>46218</v>
      </c>
      <c r="L18" s="109" t="s">
        <v>979</v>
      </c>
    </row>
    <row r="19" spans="1:12" ht="29.15" x14ac:dyDescent="0.4">
      <c r="A19" s="109" t="s">
        <v>608</v>
      </c>
      <c r="B19" s="109" t="s">
        <v>18</v>
      </c>
      <c r="C19" s="109" t="s">
        <v>566</v>
      </c>
      <c r="D19" s="125" t="s">
        <v>567</v>
      </c>
      <c r="E19" s="109" t="s">
        <v>300</v>
      </c>
      <c r="F19" s="109">
        <v>2</v>
      </c>
      <c r="G19" s="109" t="s">
        <v>754</v>
      </c>
      <c r="H19" s="109">
        <v>2</v>
      </c>
      <c r="I19" s="125"/>
      <c r="J19" s="109" t="s">
        <v>750</v>
      </c>
      <c r="K19" s="123">
        <v>46218</v>
      </c>
      <c r="L19" s="109" t="s">
        <v>979</v>
      </c>
    </row>
    <row r="20" spans="1:12" ht="29.15" x14ac:dyDescent="0.4">
      <c r="A20" s="109" t="s">
        <v>608</v>
      </c>
      <c r="B20" s="109" t="s">
        <v>18</v>
      </c>
      <c r="C20" s="109" t="s">
        <v>566</v>
      </c>
      <c r="D20" s="125" t="s">
        <v>567</v>
      </c>
      <c r="E20" s="109" t="s">
        <v>206</v>
      </c>
      <c r="F20" s="109">
        <v>3</v>
      </c>
      <c r="G20" s="109" t="s">
        <v>754</v>
      </c>
      <c r="H20" s="109">
        <v>3</v>
      </c>
      <c r="I20" s="125"/>
      <c r="J20" s="109" t="s">
        <v>750</v>
      </c>
      <c r="K20" s="123">
        <v>46218</v>
      </c>
      <c r="L20" s="109" t="s">
        <v>979</v>
      </c>
    </row>
    <row r="21" spans="1:12" ht="29.15" x14ac:dyDescent="0.4">
      <c r="A21" s="109" t="s">
        <v>608</v>
      </c>
      <c r="B21" s="109" t="s">
        <v>18</v>
      </c>
      <c r="C21" s="109" t="s">
        <v>566</v>
      </c>
      <c r="D21" s="125" t="s">
        <v>567</v>
      </c>
      <c r="E21" s="109" t="s">
        <v>204</v>
      </c>
      <c r="F21" s="109">
        <v>3</v>
      </c>
      <c r="G21" s="109" t="s">
        <v>754</v>
      </c>
      <c r="H21" s="109">
        <v>3</v>
      </c>
      <c r="I21" s="125"/>
      <c r="J21" s="109" t="s">
        <v>750</v>
      </c>
      <c r="K21" s="123">
        <v>46218</v>
      </c>
      <c r="L21" s="109" t="s">
        <v>979</v>
      </c>
    </row>
    <row r="22" spans="1:12" ht="29.15" x14ac:dyDescent="0.4">
      <c r="A22" s="109" t="s">
        <v>608</v>
      </c>
      <c r="B22" s="109" t="s">
        <v>18</v>
      </c>
      <c r="C22" s="109" t="s">
        <v>566</v>
      </c>
      <c r="D22" s="125" t="s">
        <v>567</v>
      </c>
      <c r="E22" s="109" t="s">
        <v>551</v>
      </c>
      <c r="F22" s="109"/>
      <c r="G22" s="109" t="s">
        <v>754</v>
      </c>
      <c r="H22" s="109"/>
      <c r="I22" s="125"/>
      <c r="J22" s="109" t="s">
        <v>750</v>
      </c>
      <c r="K22" s="123">
        <v>46218</v>
      </c>
      <c r="L22" s="109" t="s">
        <v>979</v>
      </c>
    </row>
    <row r="23" spans="1:12" ht="29.15" x14ac:dyDescent="0.4">
      <c r="A23" s="109" t="s">
        <v>608</v>
      </c>
      <c r="B23" s="109" t="s">
        <v>18</v>
      </c>
      <c r="C23" s="109" t="s">
        <v>566</v>
      </c>
      <c r="D23" s="125" t="s">
        <v>567</v>
      </c>
      <c r="E23" s="109" t="s">
        <v>773</v>
      </c>
      <c r="F23" s="109" t="s">
        <v>777</v>
      </c>
      <c r="G23" s="109" t="s">
        <v>754</v>
      </c>
      <c r="H23" s="109" t="s">
        <v>777</v>
      </c>
      <c r="I23" s="125"/>
      <c r="J23" s="109" t="s">
        <v>750</v>
      </c>
      <c r="K23" s="123">
        <v>46218</v>
      </c>
      <c r="L23" s="109" t="s">
        <v>979</v>
      </c>
    </row>
    <row r="24" spans="1:12" x14ac:dyDescent="0.4">
      <c r="A24" s="109" t="s">
        <v>608</v>
      </c>
      <c r="B24" s="109" t="s">
        <v>18</v>
      </c>
      <c r="C24" s="109" t="s">
        <v>572</v>
      </c>
      <c r="D24" s="125" t="s">
        <v>573</v>
      </c>
      <c r="E24" s="109" t="s">
        <v>203</v>
      </c>
      <c r="F24" s="109">
        <v>3</v>
      </c>
      <c r="G24" s="109" t="s">
        <v>754</v>
      </c>
      <c r="H24" s="109">
        <v>3</v>
      </c>
      <c r="I24" s="125"/>
      <c r="J24" s="109" t="s">
        <v>750</v>
      </c>
      <c r="K24" s="123">
        <v>46218</v>
      </c>
      <c r="L24" s="109" t="s">
        <v>979</v>
      </c>
    </row>
    <row r="25" spans="1:12" x14ac:dyDescent="0.4">
      <c r="A25" s="109" t="s">
        <v>608</v>
      </c>
      <c r="B25" s="109" t="s">
        <v>18</v>
      </c>
      <c r="C25" s="109" t="s">
        <v>572</v>
      </c>
      <c r="D25" s="125" t="s">
        <v>573</v>
      </c>
      <c r="E25" s="109" t="s">
        <v>300</v>
      </c>
      <c r="F25" s="109">
        <v>2</v>
      </c>
      <c r="G25" s="109" t="s">
        <v>754</v>
      </c>
      <c r="H25" s="109">
        <v>2</v>
      </c>
      <c r="I25" s="125"/>
      <c r="J25" s="109" t="s">
        <v>750</v>
      </c>
      <c r="K25" s="123">
        <v>46218</v>
      </c>
      <c r="L25" s="109" t="s">
        <v>979</v>
      </c>
    </row>
    <row r="26" spans="1:12" x14ac:dyDescent="0.4">
      <c r="A26" s="109" t="s">
        <v>608</v>
      </c>
      <c r="B26" s="109" t="s">
        <v>18</v>
      </c>
      <c r="C26" s="109" t="s">
        <v>572</v>
      </c>
      <c r="D26" s="125" t="s">
        <v>573</v>
      </c>
      <c r="E26" s="109" t="s">
        <v>206</v>
      </c>
      <c r="F26" s="109">
        <v>3</v>
      </c>
      <c r="G26" s="109" t="s">
        <v>754</v>
      </c>
      <c r="H26" s="109">
        <v>3</v>
      </c>
      <c r="I26" s="125"/>
      <c r="J26" s="109" t="s">
        <v>750</v>
      </c>
      <c r="K26" s="123">
        <v>46218</v>
      </c>
      <c r="L26" s="109" t="s">
        <v>979</v>
      </c>
    </row>
    <row r="27" spans="1:12" x14ac:dyDescent="0.4">
      <c r="A27" s="109" t="s">
        <v>608</v>
      </c>
      <c r="B27" s="109" t="s">
        <v>18</v>
      </c>
      <c r="C27" s="109" t="s">
        <v>572</v>
      </c>
      <c r="D27" s="125" t="s">
        <v>573</v>
      </c>
      <c r="E27" s="109" t="s">
        <v>204</v>
      </c>
      <c r="F27" s="109">
        <v>3</v>
      </c>
      <c r="G27" s="109" t="s">
        <v>754</v>
      </c>
      <c r="H27" s="109">
        <v>3</v>
      </c>
      <c r="I27" s="125"/>
      <c r="J27" s="109" t="s">
        <v>750</v>
      </c>
      <c r="K27" s="123">
        <v>46218</v>
      </c>
      <c r="L27" s="109" t="s">
        <v>979</v>
      </c>
    </row>
    <row r="28" spans="1:12" x14ac:dyDescent="0.4">
      <c r="A28" s="109" t="s">
        <v>608</v>
      </c>
      <c r="B28" s="109" t="s">
        <v>18</v>
      </c>
      <c r="C28" s="109" t="s">
        <v>572</v>
      </c>
      <c r="D28" s="125" t="s">
        <v>573</v>
      </c>
      <c r="E28" s="109" t="s">
        <v>551</v>
      </c>
      <c r="F28" s="109"/>
      <c r="G28" s="109" t="s">
        <v>754</v>
      </c>
      <c r="H28" s="109"/>
      <c r="I28" s="125"/>
      <c r="J28" s="109" t="s">
        <v>750</v>
      </c>
      <c r="K28" s="123">
        <v>46218</v>
      </c>
      <c r="L28" s="109" t="s">
        <v>979</v>
      </c>
    </row>
    <row r="29" spans="1:12" x14ac:dyDescent="0.4">
      <c r="A29" s="109" t="s">
        <v>608</v>
      </c>
      <c r="B29" s="109" t="s">
        <v>18</v>
      </c>
      <c r="C29" s="109" t="s">
        <v>572</v>
      </c>
      <c r="D29" s="125" t="s">
        <v>573</v>
      </c>
      <c r="E29" s="109" t="s">
        <v>773</v>
      </c>
      <c r="F29" s="109" t="s">
        <v>777</v>
      </c>
      <c r="G29" s="109" t="s">
        <v>754</v>
      </c>
      <c r="H29" s="109" t="s">
        <v>777</v>
      </c>
      <c r="I29" s="125"/>
      <c r="J29" s="109" t="s">
        <v>750</v>
      </c>
      <c r="K29" s="123">
        <v>46218</v>
      </c>
      <c r="L29" s="109" t="s">
        <v>979</v>
      </c>
    </row>
    <row r="30" spans="1:12" x14ac:dyDescent="0.4">
      <c r="A30" s="109" t="s">
        <v>608</v>
      </c>
      <c r="B30" s="109" t="s">
        <v>18</v>
      </c>
      <c r="C30" s="109" t="s">
        <v>576</v>
      </c>
      <c r="D30" s="125" t="s">
        <v>577</v>
      </c>
      <c r="E30" s="109" t="s">
        <v>203</v>
      </c>
      <c r="F30" s="109">
        <v>3</v>
      </c>
      <c r="G30" s="109" t="s">
        <v>754</v>
      </c>
      <c r="H30" s="109">
        <v>3</v>
      </c>
      <c r="I30" s="125"/>
      <c r="J30" s="109" t="s">
        <v>750</v>
      </c>
      <c r="K30" s="123">
        <v>46218</v>
      </c>
      <c r="L30" s="109" t="s">
        <v>979</v>
      </c>
    </row>
    <row r="31" spans="1:12" x14ac:dyDescent="0.4">
      <c r="A31" s="109" t="s">
        <v>608</v>
      </c>
      <c r="B31" s="109" t="s">
        <v>18</v>
      </c>
      <c r="C31" s="109" t="s">
        <v>576</v>
      </c>
      <c r="D31" s="125" t="s">
        <v>577</v>
      </c>
      <c r="E31" s="109" t="s">
        <v>300</v>
      </c>
      <c r="F31" s="109">
        <v>3</v>
      </c>
      <c r="G31" s="109" t="s">
        <v>754</v>
      </c>
      <c r="H31" s="109">
        <v>3</v>
      </c>
      <c r="I31" s="125"/>
      <c r="J31" s="109" t="s">
        <v>750</v>
      </c>
      <c r="K31" s="123">
        <v>46218</v>
      </c>
      <c r="L31" s="109" t="s">
        <v>979</v>
      </c>
    </row>
    <row r="32" spans="1:12" x14ac:dyDescent="0.4">
      <c r="A32" s="109" t="s">
        <v>608</v>
      </c>
      <c r="B32" s="109" t="s">
        <v>18</v>
      </c>
      <c r="C32" s="109" t="s">
        <v>576</v>
      </c>
      <c r="D32" s="125" t="s">
        <v>577</v>
      </c>
      <c r="E32" s="109" t="s">
        <v>206</v>
      </c>
      <c r="F32" s="109">
        <v>3</v>
      </c>
      <c r="G32" s="109" t="s">
        <v>754</v>
      </c>
      <c r="H32" s="109">
        <v>3</v>
      </c>
      <c r="I32" s="125"/>
      <c r="J32" s="109" t="s">
        <v>750</v>
      </c>
      <c r="K32" s="123">
        <v>46218</v>
      </c>
      <c r="L32" s="109" t="s">
        <v>979</v>
      </c>
    </row>
    <row r="33" spans="1:12" x14ac:dyDescent="0.4">
      <c r="A33" s="109" t="s">
        <v>608</v>
      </c>
      <c r="B33" s="109" t="s">
        <v>18</v>
      </c>
      <c r="C33" s="109" t="s">
        <v>576</v>
      </c>
      <c r="D33" s="125" t="s">
        <v>577</v>
      </c>
      <c r="E33" s="109" t="s">
        <v>204</v>
      </c>
      <c r="F33" s="109">
        <v>3</v>
      </c>
      <c r="G33" s="109" t="s">
        <v>754</v>
      </c>
      <c r="H33" s="109">
        <v>3</v>
      </c>
      <c r="I33" s="125"/>
      <c r="J33" s="109" t="s">
        <v>750</v>
      </c>
      <c r="K33" s="123">
        <v>46218</v>
      </c>
      <c r="L33" s="109" t="s">
        <v>979</v>
      </c>
    </row>
    <row r="34" spans="1:12" x14ac:dyDescent="0.4">
      <c r="A34" s="109" t="s">
        <v>608</v>
      </c>
      <c r="B34" s="109" t="s">
        <v>18</v>
      </c>
      <c r="C34" s="109" t="s">
        <v>576</v>
      </c>
      <c r="D34" s="125" t="s">
        <v>577</v>
      </c>
      <c r="E34" s="109" t="s">
        <v>551</v>
      </c>
      <c r="F34" s="109"/>
      <c r="G34" s="109" t="s">
        <v>754</v>
      </c>
      <c r="H34" s="109"/>
      <c r="I34" s="125"/>
      <c r="J34" s="109" t="s">
        <v>750</v>
      </c>
      <c r="K34" s="123">
        <v>46218</v>
      </c>
      <c r="L34" s="109" t="s">
        <v>979</v>
      </c>
    </row>
    <row r="35" spans="1:12" x14ac:dyDescent="0.4">
      <c r="A35" s="109" t="s">
        <v>608</v>
      </c>
      <c r="B35" s="109" t="s">
        <v>18</v>
      </c>
      <c r="C35" s="109" t="s">
        <v>576</v>
      </c>
      <c r="D35" s="125" t="s">
        <v>577</v>
      </c>
      <c r="E35" s="109" t="s">
        <v>773</v>
      </c>
      <c r="F35" s="109" t="s">
        <v>777</v>
      </c>
      <c r="G35" s="109" t="s">
        <v>754</v>
      </c>
      <c r="H35" s="109" t="s">
        <v>777</v>
      </c>
      <c r="I35" s="125"/>
      <c r="J35" s="109" t="s">
        <v>750</v>
      </c>
      <c r="K35" s="123">
        <v>46218</v>
      </c>
      <c r="L35" s="109" t="s">
        <v>979</v>
      </c>
    </row>
    <row r="36" spans="1:12" ht="29.15" x14ac:dyDescent="0.4">
      <c r="A36" s="109" t="s">
        <v>608</v>
      </c>
      <c r="B36" s="109" t="s">
        <v>18</v>
      </c>
      <c r="C36" s="109" t="s">
        <v>581</v>
      </c>
      <c r="D36" s="125" t="s">
        <v>582</v>
      </c>
      <c r="E36" s="109" t="s">
        <v>203</v>
      </c>
      <c r="F36" s="109">
        <v>3</v>
      </c>
      <c r="G36" s="109" t="s">
        <v>754</v>
      </c>
      <c r="H36" s="109">
        <v>3</v>
      </c>
      <c r="I36" s="125"/>
      <c r="J36" s="109" t="s">
        <v>750</v>
      </c>
      <c r="K36" s="123">
        <v>46218</v>
      </c>
      <c r="L36" s="109" t="s">
        <v>979</v>
      </c>
    </row>
    <row r="37" spans="1:12" ht="29.15" x14ac:dyDescent="0.4">
      <c r="A37" s="109" t="s">
        <v>608</v>
      </c>
      <c r="B37" s="109" t="s">
        <v>18</v>
      </c>
      <c r="C37" s="109" t="s">
        <v>581</v>
      </c>
      <c r="D37" s="125" t="s">
        <v>582</v>
      </c>
      <c r="E37" s="109" t="s">
        <v>300</v>
      </c>
      <c r="F37" s="109">
        <v>3</v>
      </c>
      <c r="G37" s="109" t="s">
        <v>754</v>
      </c>
      <c r="H37" s="109">
        <v>3</v>
      </c>
      <c r="I37" s="125"/>
      <c r="J37" s="109" t="s">
        <v>750</v>
      </c>
      <c r="K37" s="123">
        <v>46218</v>
      </c>
      <c r="L37" s="109" t="s">
        <v>979</v>
      </c>
    </row>
    <row r="38" spans="1:12" ht="29.15" x14ac:dyDescent="0.4">
      <c r="A38" s="109" t="s">
        <v>608</v>
      </c>
      <c r="B38" s="109" t="s">
        <v>18</v>
      </c>
      <c r="C38" s="109" t="s">
        <v>581</v>
      </c>
      <c r="D38" s="125" t="s">
        <v>582</v>
      </c>
      <c r="E38" s="109" t="s">
        <v>206</v>
      </c>
      <c r="F38" s="109">
        <v>3</v>
      </c>
      <c r="G38" s="109" t="s">
        <v>754</v>
      </c>
      <c r="H38" s="109">
        <v>3</v>
      </c>
      <c r="I38" s="125"/>
      <c r="J38" s="109" t="s">
        <v>750</v>
      </c>
      <c r="K38" s="123">
        <v>46218</v>
      </c>
      <c r="L38" s="109" t="s">
        <v>979</v>
      </c>
    </row>
    <row r="39" spans="1:12" ht="29.15" x14ac:dyDescent="0.4">
      <c r="A39" s="109" t="s">
        <v>608</v>
      </c>
      <c r="B39" s="109" t="s">
        <v>18</v>
      </c>
      <c r="C39" s="109" t="s">
        <v>581</v>
      </c>
      <c r="D39" s="125" t="s">
        <v>582</v>
      </c>
      <c r="E39" s="109" t="s">
        <v>204</v>
      </c>
      <c r="F39" s="109">
        <v>3</v>
      </c>
      <c r="G39" s="109" t="s">
        <v>754</v>
      </c>
      <c r="H39" s="109">
        <v>3</v>
      </c>
      <c r="I39" s="125"/>
      <c r="J39" s="109" t="s">
        <v>750</v>
      </c>
      <c r="K39" s="123">
        <v>46218</v>
      </c>
      <c r="L39" s="109" t="s">
        <v>979</v>
      </c>
    </row>
    <row r="40" spans="1:12" ht="29.15" x14ac:dyDescent="0.4">
      <c r="A40" s="109" t="s">
        <v>608</v>
      </c>
      <c r="B40" s="109" t="s">
        <v>18</v>
      </c>
      <c r="C40" s="109" t="s">
        <v>581</v>
      </c>
      <c r="D40" s="125" t="s">
        <v>582</v>
      </c>
      <c r="E40" s="109" t="s">
        <v>551</v>
      </c>
      <c r="F40" s="109"/>
      <c r="G40" s="109" t="s">
        <v>754</v>
      </c>
      <c r="H40" s="109"/>
      <c r="I40" s="125"/>
      <c r="J40" s="109" t="s">
        <v>750</v>
      </c>
      <c r="K40" s="123">
        <v>46218</v>
      </c>
      <c r="L40" s="109" t="s">
        <v>979</v>
      </c>
    </row>
    <row r="41" spans="1:12" ht="29.15" x14ac:dyDescent="0.4">
      <c r="A41" s="109" t="s">
        <v>608</v>
      </c>
      <c r="B41" s="109" t="s">
        <v>18</v>
      </c>
      <c r="C41" s="109" t="s">
        <v>581</v>
      </c>
      <c r="D41" s="125" t="s">
        <v>582</v>
      </c>
      <c r="E41" s="109" t="s">
        <v>773</v>
      </c>
      <c r="F41" s="109" t="s">
        <v>777</v>
      </c>
      <c r="G41" s="109" t="s">
        <v>754</v>
      </c>
      <c r="H41" s="109" t="s">
        <v>777</v>
      </c>
      <c r="I41" s="125"/>
      <c r="J41" s="109" t="s">
        <v>750</v>
      </c>
      <c r="K41" s="123">
        <v>46218</v>
      </c>
      <c r="L41" s="109" t="s">
        <v>979</v>
      </c>
    </row>
    <row r="42" spans="1:12" ht="29.15" x14ac:dyDescent="0.4">
      <c r="A42" s="109" t="s">
        <v>608</v>
      </c>
      <c r="B42" s="109" t="s">
        <v>18</v>
      </c>
      <c r="C42" s="109" t="s">
        <v>587</v>
      </c>
      <c r="D42" s="125" t="s">
        <v>588</v>
      </c>
      <c r="E42" s="109" t="s">
        <v>203</v>
      </c>
      <c r="F42" s="109">
        <v>4</v>
      </c>
      <c r="G42" s="109" t="s">
        <v>754</v>
      </c>
      <c r="H42" s="109">
        <v>4</v>
      </c>
      <c r="I42" s="125"/>
      <c r="J42" s="109" t="s">
        <v>750</v>
      </c>
      <c r="K42" s="123">
        <v>46218</v>
      </c>
      <c r="L42" s="109" t="s">
        <v>979</v>
      </c>
    </row>
    <row r="43" spans="1:12" ht="29.15" x14ac:dyDescent="0.4">
      <c r="A43" s="109" t="s">
        <v>608</v>
      </c>
      <c r="B43" s="109" t="s">
        <v>18</v>
      </c>
      <c r="C43" s="109" t="s">
        <v>587</v>
      </c>
      <c r="D43" s="125" t="s">
        <v>588</v>
      </c>
      <c r="E43" s="109" t="s">
        <v>300</v>
      </c>
      <c r="F43" s="109">
        <v>5</v>
      </c>
      <c r="G43" s="109" t="s">
        <v>754</v>
      </c>
      <c r="H43" s="109">
        <v>5</v>
      </c>
      <c r="I43" s="125"/>
      <c r="J43" s="109" t="s">
        <v>750</v>
      </c>
      <c r="K43" s="123">
        <v>46218</v>
      </c>
      <c r="L43" s="109" t="s">
        <v>979</v>
      </c>
    </row>
    <row r="44" spans="1:12" ht="29.15" x14ac:dyDescent="0.4">
      <c r="A44" s="109" t="s">
        <v>608</v>
      </c>
      <c r="B44" s="109" t="s">
        <v>18</v>
      </c>
      <c r="C44" s="109" t="s">
        <v>587</v>
      </c>
      <c r="D44" s="125" t="s">
        <v>588</v>
      </c>
      <c r="E44" s="109" t="s">
        <v>206</v>
      </c>
      <c r="F44" s="109">
        <v>3</v>
      </c>
      <c r="G44" s="109" t="s">
        <v>754</v>
      </c>
      <c r="H44" s="109">
        <v>3</v>
      </c>
      <c r="I44" s="125"/>
      <c r="J44" s="109" t="s">
        <v>750</v>
      </c>
      <c r="K44" s="123">
        <v>46218</v>
      </c>
      <c r="L44" s="109" t="s">
        <v>979</v>
      </c>
    </row>
    <row r="45" spans="1:12" ht="29.15" x14ac:dyDescent="0.4">
      <c r="A45" s="109" t="s">
        <v>608</v>
      </c>
      <c r="B45" s="109" t="s">
        <v>18</v>
      </c>
      <c r="C45" s="109" t="s">
        <v>587</v>
      </c>
      <c r="D45" s="125" t="s">
        <v>588</v>
      </c>
      <c r="E45" s="109" t="s">
        <v>204</v>
      </c>
      <c r="F45" s="109">
        <v>3</v>
      </c>
      <c r="G45" s="109" t="s">
        <v>754</v>
      </c>
      <c r="H45" s="109">
        <v>3</v>
      </c>
      <c r="I45" s="125"/>
      <c r="J45" s="109" t="s">
        <v>750</v>
      </c>
      <c r="K45" s="123">
        <v>46218</v>
      </c>
      <c r="L45" s="109" t="s">
        <v>979</v>
      </c>
    </row>
    <row r="46" spans="1:12" ht="29.15" x14ac:dyDescent="0.4">
      <c r="A46" s="109" t="s">
        <v>608</v>
      </c>
      <c r="B46" s="109" t="s">
        <v>18</v>
      </c>
      <c r="C46" s="109" t="s">
        <v>587</v>
      </c>
      <c r="D46" s="125" t="s">
        <v>588</v>
      </c>
      <c r="E46" s="109" t="s">
        <v>551</v>
      </c>
      <c r="F46" s="109"/>
      <c r="G46" s="109" t="s">
        <v>754</v>
      </c>
      <c r="H46" s="109"/>
      <c r="I46" s="125"/>
      <c r="J46" s="109" t="s">
        <v>750</v>
      </c>
      <c r="K46" s="123">
        <v>46218</v>
      </c>
      <c r="L46" s="109" t="s">
        <v>979</v>
      </c>
    </row>
    <row r="47" spans="1:12" ht="29.15" x14ac:dyDescent="0.4">
      <c r="A47" s="109" t="s">
        <v>608</v>
      </c>
      <c r="B47" s="109" t="s">
        <v>18</v>
      </c>
      <c r="C47" s="109" t="s">
        <v>587</v>
      </c>
      <c r="D47" s="125" t="s">
        <v>588</v>
      </c>
      <c r="E47" s="109" t="s">
        <v>773</v>
      </c>
      <c r="F47" s="109" t="s">
        <v>777</v>
      </c>
      <c r="G47" s="109" t="s">
        <v>754</v>
      </c>
      <c r="H47" s="109" t="s">
        <v>777</v>
      </c>
      <c r="I47" s="125"/>
      <c r="J47" s="109" t="s">
        <v>750</v>
      </c>
      <c r="K47" s="123">
        <v>46218</v>
      </c>
      <c r="L47" s="109" t="s">
        <v>979</v>
      </c>
    </row>
    <row r="48" spans="1:12" x14ac:dyDescent="0.4">
      <c r="A48" s="109" t="s">
        <v>608</v>
      </c>
      <c r="B48" s="109" t="s">
        <v>18</v>
      </c>
      <c r="C48" s="109" t="s">
        <v>591</v>
      </c>
      <c r="D48" s="125" t="s">
        <v>592</v>
      </c>
      <c r="E48" s="109" t="s">
        <v>203</v>
      </c>
      <c r="F48" s="109">
        <v>3</v>
      </c>
      <c r="G48" s="109" t="s">
        <v>754</v>
      </c>
      <c r="H48" s="109">
        <v>3</v>
      </c>
      <c r="I48" s="125"/>
      <c r="J48" s="109" t="s">
        <v>750</v>
      </c>
      <c r="K48" s="123">
        <v>46218</v>
      </c>
      <c r="L48" s="109" t="s">
        <v>979</v>
      </c>
    </row>
    <row r="49" spans="1:12" x14ac:dyDescent="0.4">
      <c r="A49" s="109" t="s">
        <v>608</v>
      </c>
      <c r="B49" s="109" t="s">
        <v>18</v>
      </c>
      <c r="C49" s="109" t="s">
        <v>591</v>
      </c>
      <c r="D49" s="125" t="s">
        <v>592</v>
      </c>
      <c r="E49" s="109" t="s">
        <v>300</v>
      </c>
      <c r="F49" s="109">
        <v>3</v>
      </c>
      <c r="G49" s="109" t="s">
        <v>754</v>
      </c>
      <c r="H49" s="109">
        <v>3</v>
      </c>
      <c r="I49" s="125"/>
      <c r="J49" s="109" t="s">
        <v>750</v>
      </c>
      <c r="K49" s="123">
        <v>46218</v>
      </c>
      <c r="L49" s="109" t="s">
        <v>979</v>
      </c>
    </row>
    <row r="50" spans="1:12" x14ac:dyDescent="0.4">
      <c r="A50" s="109" t="s">
        <v>608</v>
      </c>
      <c r="B50" s="109" t="s">
        <v>18</v>
      </c>
      <c r="C50" s="109" t="s">
        <v>591</v>
      </c>
      <c r="D50" s="125" t="s">
        <v>592</v>
      </c>
      <c r="E50" s="109" t="s">
        <v>206</v>
      </c>
      <c r="F50" s="109">
        <v>3</v>
      </c>
      <c r="G50" s="109" t="s">
        <v>754</v>
      </c>
      <c r="H50" s="109">
        <v>3</v>
      </c>
      <c r="I50" s="125"/>
      <c r="J50" s="109" t="s">
        <v>750</v>
      </c>
      <c r="K50" s="123">
        <v>46218</v>
      </c>
      <c r="L50" s="109" t="s">
        <v>979</v>
      </c>
    </row>
    <row r="51" spans="1:12" x14ac:dyDescent="0.4">
      <c r="A51" s="109" t="s">
        <v>608</v>
      </c>
      <c r="B51" s="109" t="s">
        <v>18</v>
      </c>
      <c r="C51" s="109" t="s">
        <v>591</v>
      </c>
      <c r="D51" s="125" t="s">
        <v>592</v>
      </c>
      <c r="E51" s="109" t="s">
        <v>204</v>
      </c>
      <c r="F51" s="109">
        <v>2</v>
      </c>
      <c r="G51" s="109" t="s">
        <v>754</v>
      </c>
      <c r="H51" s="109">
        <v>2</v>
      </c>
      <c r="I51" s="125"/>
      <c r="J51" s="109" t="s">
        <v>750</v>
      </c>
      <c r="K51" s="123">
        <v>46218</v>
      </c>
      <c r="L51" s="109" t="s">
        <v>979</v>
      </c>
    </row>
    <row r="52" spans="1:12" x14ac:dyDescent="0.4">
      <c r="A52" s="109" t="s">
        <v>608</v>
      </c>
      <c r="B52" s="109" t="s">
        <v>18</v>
      </c>
      <c r="C52" s="109" t="s">
        <v>591</v>
      </c>
      <c r="D52" s="125" t="s">
        <v>592</v>
      </c>
      <c r="E52" s="109" t="s">
        <v>551</v>
      </c>
      <c r="F52" s="109"/>
      <c r="G52" s="109" t="s">
        <v>754</v>
      </c>
      <c r="H52" s="109"/>
      <c r="I52" s="125"/>
      <c r="J52" s="109" t="s">
        <v>750</v>
      </c>
      <c r="K52" s="123">
        <v>46218</v>
      </c>
      <c r="L52" s="109" t="s">
        <v>979</v>
      </c>
    </row>
    <row r="53" spans="1:12" x14ac:dyDescent="0.4">
      <c r="A53" s="109" t="s">
        <v>608</v>
      </c>
      <c r="B53" s="109" t="s">
        <v>18</v>
      </c>
      <c r="C53" s="109" t="s">
        <v>591</v>
      </c>
      <c r="D53" s="125" t="s">
        <v>592</v>
      </c>
      <c r="E53" s="109" t="s">
        <v>773</v>
      </c>
      <c r="F53" s="109" t="s">
        <v>777</v>
      </c>
      <c r="G53" s="109" t="s">
        <v>754</v>
      </c>
      <c r="H53" s="109" t="s">
        <v>777</v>
      </c>
      <c r="I53" s="125"/>
      <c r="J53" s="109" t="s">
        <v>750</v>
      </c>
      <c r="K53" s="123">
        <v>46218</v>
      </c>
      <c r="L53" s="109" t="s">
        <v>979</v>
      </c>
    </row>
    <row r="54" spans="1:12" ht="29.15" x14ac:dyDescent="0.4">
      <c r="A54" s="109" t="s">
        <v>608</v>
      </c>
      <c r="B54" s="109" t="s">
        <v>18</v>
      </c>
      <c r="C54" s="109" t="s">
        <v>595</v>
      </c>
      <c r="D54" s="125" t="s">
        <v>596</v>
      </c>
      <c r="E54" s="109" t="s">
        <v>203</v>
      </c>
      <c r="F54" s="109">
        <v>4</v>
      </c>
      <c r="G54" s="109" t="s">
        <v>754</v>
      </c>
      <c r="H54" s="109">
        <v>4</v>
      </c>
      <c r="I54" s="125"/>
      <c r="J54" s="109" t="s">
        <v>750</v>
      </c>
      <c r="K54" s="123">
        <v>46218</v>
      </c>
      <c r="L54" s="109" t="s">
        <v>979</v>
      </c>
    </row>
    <row r="55" spans="1:12" ht="29.15" x14ac:dyDescent="0.4">
      <c r="A55" s="109" t="s">
        <v>608</v>
      </c>
      <c r="B55" s="109" t="s">
        <v>18</v>
      </c>
      <c r="C55" s="109" t="s">
        <v>595</v>
      </c>
      <c r="D55" s="125" t="s">
        <v>596</v>
      </c>
      <c r="E55" s="109" t="s">
        <v>300</v>
      </c>
      <c r="F55" s="109">
        <v>3</v>
      </c>
      <c r="G55" s="109" t="s">
        <v>754</v>
      </c>
      <c r="H55" s="109">
        <v>3</v>
      </c>
      <c r="I55" s="125"/>
      <c r="J55" s="109" t="s">
        <v>750</v>
      </c>
      <c r="K55" s="123">
        <v>46218</v>
      </c>
      <c r="L55" s="109" t="s">
        <v>979</v>
      </c>
    </row>
    <row r="56" spans="1:12" ht="29.15" x14ac:dyDescent="0.4">
      <c r="A56" s="109" t="s">
        <v>608</v>
      </c>
      <c r="B56" s="109" t="s">
        <v>18</v>
      </c>
      <c r="C56" s="109" t="s">
        <v>595</v>
      </c>
      <c r="D56" s="125" t="s">
        <v>596</v>
      </c>
      <c r="E56" s="109" t="s">
        <v>206</v>
      </c>
      <c r="F56" s="109">
        <v>2</v>
      </c>
      <c r="G56" s="109" t="s">
        <v>754</v>
      </c>
      <c r="H56" s="109">
        <v>2</v>
      </c>
      <c r="I56" s="125"/>
      <c r="J56" s="109" t="s">
        <v>750</v>
      </c>
      <c r="K56" s="123">
        <v>46218</v>
      </c>
      <c r="L56" s="109" t="s">
        <v>979</v>
      </c>
    </row>
    <row r="57" spans="1:12" ht="29.15" x14ac:dyDescent="0.4">
      <c r="A57" s="109" t="s">
        <v>608</v>
      </c>
      <c r="B57" s="109" t="s">
        <v>18</v>
      </c>
      <c r="C57" s="109" t="s">
        <v>595</v>
      </c>
      <c r="D57" s="125" t="s">
        <v>596</v>
      </c>
      <c r="E57" s="109" t="s">
        <v>204</v>
      </c>
      <c r="F57" s="109">
        <v>2</v>
      </c>
      <c r="G57" s="109" t="s">
        <v>754</v>
      </c>
      <c r="H57" s="109">
        <v>2</v>
      </c>
      <c r="I57" s="125"/>
      <c r="J57" s="109" t="s">
        <v>750</v>
      </c>
      <c r="K57" s="123">
        <v>46218</v>
      </c>
      <c r="L57" s="109" t="s">
        <v>979</v>
      </c>
    </row>
    <row r="58" spans="1:12" ht="29.15" x14ac:dyDescent="0.4">
      <c r="A58" s="109" t="s">
        <v>608</v>
      </c>
      <c r="B58" s="109" t="s">
        <v>18</v>
      </c>
      <c r="C58" s="109" t="s">
        <v>595</v>
      </c>
      <c r="D58" s="125" t="s">
        <v>596</v>
      </c>
      <c r="E58" s="109" t="s">
        <v>551</v>
      </c>
      <c r="F58" s="109"/>
      <c r="G58" s="109" t="s">
        <v>754</v>
      </c>
      <c r="H58" s="109"/>
      <c r="I58" s="125"/>
      <c r="J58" s="109" t="s">
        <v>750</v>
      </c>
      <c r="K58" s="123">
        <v>46218</v>
      </c>
      <c r="L58" s="109" t="s">
        <v>979</v>
      </c>
    </row>
    <row r="59" spans="1:12" ht="29.15" x14ac:dyDescent="0.4">
      <c r="A59" s="109" t="s">
        <v>608</v>
      </c>
      <c r="B59" s="109" t="s">
        <v>18</v>
      </c>
      <c r="C59" s="109" t="s">
        <v>595</v>
      </c>
      <c r="D59" s="125" t="s">
        <v>596</v>
      </c>
      <c r="E59" s="109" t="s">
        <v>773</v>
      </c>
      <c r="F59" s="109" t="s">
        <v>777</v>
      </c>
      <c r="G59" s="109" t="s">
        <v>754</v>
      </c>
      <c r="H59" s="109" t="s">
        <v>777</v>
      </c>
      <c r="I59" s="125"/>
      <c r="J59" s="109" t="s">
        <v>750</v>
      </c>
      <c r="K59" s="123">
        <v>46218</v>
      </c>
      <c r="L59" s="109" t="s">
        <v>979</v>
      </c>
    </row>
    <row r="60" spans="1:12" ht="29.15" x14ac:dyDescent="0.4">
      <c r="A60" s="109" t="s">
        <v>608</v>
      </c>
      <c r="B60" s="109" t="s">
        <v>18</v>
      </c>
      <c r="C60" s="109" t="s">
        <v>598</v>
      </c>
      <c r="D60" s="125" t="s">
        <v>599</v>
      </c>
      <c r="E60" s="109" t="s">
        <v>203</v>
      </c>
      <c r="F60" s="109">
        <v>3</v>
      </c>
      <c r="G60" s="109" t="s">
        <v>754</v>
      </c>
      <c r="H60" s="109">
        <v>3</v>
      </c>
      <c r="I60" s="125" t="s">
        <v>1498</v>
      </c>
      <c r="J60" s="109" t="s">
        <v>750</v>
      </c>
      <c r="K60" s="123">
        <v>46218</v>
      </c>
      <c r="L60" s="109" t="s">
        <v>979</v>
      </c>
    </row>
    <row r="61" spans="1:12" ht="29.15" x14ac:dyDescent="0.4">
      <c r="A61" s="109" t="s">
        <v>608</v>
      </c>
      <c r="B61" s="109" t="s">
        <v>18</v>
      </c>
      <c r="C61" s="109" t="s">
        <v>598</v>
      </c>
      <c r="D61" s="125" t="s">
        <v>599</v>
      </c>
      <c r="E61" s="109" t="s">
        <v>300</v>
      </c>
      <c r="F61" s="109"/>
      <c r="G61" s="109" t="s">
        <v>754</v>
      </c>
      <c r="H61" s="109"/>
      <c r="I61" s="125" t="s">
        <v>1498</v>
      </c>
      <c r="J61" s="109" t="s">
        <v>750</v>
      </c>
      <c r="K61" s="123">
        <v>46218</v>
      </c>
      <c r="L61" s="109" t="s">
        <v>979</v>
      </c>
    </row>
    <row r="62" spans="1:12" ht="29.15" x14ac:dyDescent="0.4">
      <c r="A62" s="109" t="s">
        <v>608</v>
      </c>
      <c r="B62" s="109" t="s">
        <v>18</v>
      </c>
      <c r="C62" s="109" t="s">
        <v>598</v>
      </c>
      <c r="D62" s="125" t="s">
        <v>599</v>
      </c>
      <c r="E62" s="109" t="s">
        <v>206</v>
      </c>
      <c r="F62" s="109">
        <v>3</v>
      </c>
      <c r="G62" s="109" t="s">
        <v>754</v>
      </c>
      <c r="H62" s="109">
        <v>3</v>
      </c>
      <c r="I62" s="125" t="s">
        <v>1498</v>
      </c>
      <c r="J62" s="109" t="s">
        <v>750</v>
      </c>
      <c r="K62" s="123">
        <v>46218</v>
      </c>
      <c r="L62" s="109" t="s">
        <v>979</v>
      </c>
    </row>
    <row r="63" spans="1:12" ht="29.15" x14ac:dyDescent="0.4">
      <c r="A63" s="109" t="s">
        <v>608</v>
      </c>
      <c r="B63" s="109" t="s">
        <v>18</v>
      </c>
      <c r="C63" s="109" t="s">
        <v>598</v>
      </c>
      <c r="D63" s="125" t="s">
        <v>599</v>
      </c>
      <c r="E63" s="109" t="s">
        <v>204</v>
      </c>
      <c r="F63" s="109">
        <v>4</v>
      </c>
      <c r="G63" s="109" t="s">
        <v>967</v>
      </c>
      <c r="H63" s="109">
        <v>3</v>
      </c>
      <c r="I63" s="125" t="s">
        <v>1498</v>
      </c>
      <c r="J63" s="109" t="s">
        <v>750</v>
      </c>
      <c r="K63" s="123">
        <v>46218</v>
      </c>
      <c r="L63" s="109" t="s">
        <v>979</v>
      </c>
    </row>
    <row r="64" spans="1:12" ht="29.15" x14ac:dyDescent="0.4">
      <c r="A64" s="109" t="s">
        <v>608</v>
      </c>
      <c r="B64" s="109" t="s">
        <v>18</v>
      </c>
      <c r="C64" s="109" t="s">
        <v>598</v>
      </c>
      <c r="D64" s="125" t="s">
        <v>599</v>
      </c>
      <c r="E64" s="109" t="s">
        <v>551</v>
      </c>
      <c r="F64" s="109"/>
      <c r="G64" s="109" t="s">
        <v>754</v>
      </c>
      <c r="H64" s="109"/>
      <c r="I64" s="125" t="s">
        <v>1498</v>
      </c>
      <c r="J64" s="109" t="s">
        <v>750</v>
      </c>
      <c r="K64" s="123">
        <v>46218</v>
      </c>
      <c r="L64" s="109" t="s">
        <v>979</v>
      </c>
    </row>
    <row r="65" spans="1:12" ht="29.15" x14ac:dyDescent="0.4">
      <c r="A65" s="109" t="s">
        <v>608</v>
      </c>
      <c r="B65" s="109" t="s">
        <v>18</v>
      </c>
      <c r="C65" s="109" t="s">
        <v>598</v>
      </c>
      <c r="D65" s="125" t="s">
        <v>599</v>
      </c>
      <c r="E65" s="109" t="s">
        <v>773</v>
      </c>
      <c r="F65" s="109" t="s">
        <v>777</v>
      </c>
      <c r="G65" s="109" t="s">
        <v>754</v>
      </c>
      <c r="H65" s="109" t="s">
        <v>777</v>
      </c>
      <c r="I65" s="125" t="s">
        <v>1498</v>
      </c>
      <c r="J65" s="109" t="s">
        <v>750</v>
      </c>
      <c r="K65" s="123">
        <v>46218</v>
      </c>
      <c r="L65" s="109" t="s">
        <v>979</v>
      </c>
    </row>
    <row r="66" spans="1:12" x14ac:dyDescent="0.4">
      <c r="A66" s="109" t="s">
        <v>608</v>
      </c>
      <c r="B66" s="109" t="s">
        <v>18</v>
      </c>
      <c r="C66" s="109" t="s">
        <v>604</v>
      </c>
      <c r="D66" s="125" t="s">
        <v>605</v>
      </c>
      <c r="E66" s="109" t="s">
        <v>203</v>
      </c>
      <c r="F66" s="109">
        <v>3</v>
      </c>
      <c r="G66" s="109" t="s">
        <v>754</v>
      </c>
      <c r="H66" s="109">
        <v>3</v>
      </c>
      <c r="I66" s="125"/>
      <c r="J66" s="109" t="s">
        <v>750</v>
      </c>
      <c r="K66" s="123">
        <v>46218</v>
      </c>
      <c r="L66" s="109" t="s">
        <v>979</v>
      </c>
    </row>
    <row r="67" spans="1:12" x14ac:dyDescent="0.4">
      <c r="A67" s="109" t="s">
        <v>608</v>
      </c>
      <c r="B67" s="109" t="s">
        <v>18</v>
      </c>
      <c r="C67" s="109" t="s">
        <v>604</v>
      </c>
      <c r="D67" s="125" t="s">
        <v>605</v>
      </c>
      <c r="E67" s="109" t="s">
        <v>300</v>
      </c>
      <c r="F67" s="109">
        <v>2</v>
      </c>
      <c r="G67" s="109" t="s">
        <v>754</v>
      </c>
      <c r="H67" s="109">
        <v>2</v>
      </c>
      <c r="I67" s="125"/>
      <c r="J67" s="109" t="s">
        <v>750</v>
      </c>
      <c r="K67" s="123">
        <v>46218</v>
      </c>
      <c r="L67" s="109" t="s">
        <v>979</v>
      </c>
    </row>
    <row r="68" spans="1:12" x14ac:dyDescent="0.4">
      <c r="A68" s="109" t="s">
        <v>608</v>
      </c>
      <c r="B68" s="109" t="s">
        <v>18</v>
      </c>
      <c r="C68" s="109" t="s">
        <v>604</v>
      </c>
      <c r="D68" s="125" t="s">
        <v>605</v>
      </c>
      <c r="E68" s="109" t="s">
        <v>206</v>
      </c>
      <c r="F68" s="109">
        <v>3</v>
      </c>
      <c r="G68" s="109" t="s">
        <v>754</v>
      </c>
      <c r="H68" s="109">
        <v>3</v>
      </c>
      <c r="I68" s="125"/>
      <c r="J68" s="109" t="s">
        <v>750</v>
      </c>
      <c r="K68" s="123">
        <v>46218</v>
      </c>
      <c r="L68" s="109" t="s">
        <v>979</v>
      </c>
    </row>
    <row r="69" spans="1:12" x14ac:dyDescent="0.4">
      <c r="A69" s="109" t="s">
        <v>608</v>
      </c>
      <c r="B69" s="109" t="s">
        <v>18</v>
      </c>
      <c r="C69" s="109" t="s">
        <v>604</v>
      </c>
      <c r="D69" s="125" t="s">
        <v>605</v>
      </c>
      <c r="E69" s="109" t="s">
        <v>204</v>
      </c>
      <c r="F69" s="109">
        <v>3</v>
      </c>
      <c r="G69" s="109" t="s">
        <v>754</v>
      </c>
      <c r="H69" s="109">
        <v>3</v>
      </c>
      <c r="I69" s="125"/>
      <c r="J69" s="109" t="s">
        <v>750</v>
      </c>
      <c r="K69" s="123">
        <v>46218</v>
      </c>
      <c r="L69" s="109" t="s">
        <v>979</v>
      </c>
    </row>
    <row r="70" spans="1:12" x14ac:dyDescent="0.4">
      <c r="A70" s="109" t="s">
        <v>608</v>
      </c>
      <c r="B70" s="109" t="s">
        <v>18</v>
      </c>
      <c r="C70" s="109" t="s">
        <v>604</v>
      </c>
      <c r="D70" s="125" t="s">
        <v>605</v>
      </c>
      <c r="E70" s="109" t="s">
        <v>551</v>
      </c>
      <c r="F70" s="109">
        <v>3</v>
      </c>
      <c r="G70" s="109" t="s">
        <v>754</v>
      </c>
      <c r="H70" s="109">
        <v>3</v>
      </c>
      <c r="I70" s="125"/>
      <c r="J70" s="109" t="s">
        <v>750</v>
      </c>
      <c r="K70" s="123">
        <v>46218</v>
      </c>
      <c r="L70" s="109" t="s">
        <v>979</v>
      </c>
    </row>
    <row r="71" spans="1:12" x14ac:dyDescent="0.4">
      <c r="A71" s="109" t="s">
        <v>608</v>
      </c>
      <c r="B71" s="109" t="s">
        <v>18</v>
      </c>
      <c r="C71" s="109" t="s">
        <v>604</v>
      </c>
      <c r="D71" s="125" t="s">
        <v>605</v>
      </c>
      <c r="E71" s="109" t="s">
        <v>773</v>
      </c>
      <c r="F71" s="109" t="s">
        <v>777</v>
      </c>
      <c r="G71" s="109" t="s">
        <v>754</v>
      </c>
      <c r="H71" s="109" t="s">
        <v>777</v>
      </c>
      <c r="I71" s="125"/>
      <c r="J71" s="109" t="s">
        <v>750</v>
      </c>
      <c r="K71" s="123">
        <v>46218</v>
      </c>
      <c r="L71" s="109" t="s">
        <v>979</v>
      </c>
    </row>
    <row r="72" spans="1:12" ht="29.15" x14ac:dyDescent="0.4">
      <c r="A72" s="109" t="s">
        <v>608</v>
      </c>
      <c r="B72" s="109" t="s">
        <v>18</v>
      </c>
      <c r="C72" s="109" t="s">
        <v>611</v>
      </c>
      <c r="D72" s="125" t="s">
        <v>612</v>
      </c>
      <c r="E72" s="109" t="s">
        <v>203</v>
      </c>
      <c r="F72" s="109">
        <v>3</v>
      </c>
      <c r="G72" s="109" t="s">
        <v>754</v>
      </c>
      <c r="H72" s="109">
        <v>3</v>
      </c>
      <c r="I72" s="125" t="s">
        <v>1499</v>
      </c>
      <c r="J72" s="109" t="s">
        <v>750</v>
      </c>
      <c r="K72" s="123">
        <v>46218</v>
      </c>
      <c r="L72" s="109" t="s">
        <v>979</v>
      </c>
    </row>
    <row r="73" spans="1:12" ht="29.15" x14ac:dyDescent="0.4">
      <c r="A73" s="109" t="s">
        <v>608</v>
      </c>
      <c r="B73" s="109" t="s">
        <v>18</v>
      </c>
      <c r="C73" s="109" t="s">
        <v>611</v>
      </c>
      <c r="D73" s="125" t="s">
        <v>612</v>
      </c>
      <c r="E73" s="109" t="s">
        <v>300</v>
      </c>
      <c r="F73" s="109">
        <v>4</v>
      </c>
      <c r="G73" s="109" t="s">
        <v>754</v>
      </c>
      <c r="H73" s="109">
        <v>4</v>
      </c>
      <c r="I73" s="125" t="s">
        <v>1499</v>
      </c>
      <c r="J73" s="109" t="s">
        <v>750</v>
      </c>
      <c r="K73" s="123">
        <v>46218</v>
      </c>
      <c r="L73" s="109" t="s">
        <v>979</v>
      </c>
    </row>
    <row r="74" spans="1:12" ht="29.15" x14ac:dyDescent="0.4">
      <c r="A74" s="109" t="s">
        <v>608</v>
      </c>
      <c r="B74" s="109" t="s">
        <v>18</v>
      </c>
      <c r="C74" s="109" t="s">
        <v>611</v>
      </c>
      <c r="D74" s="125" t="s">
        <v>612</v>
      </c>
      <c r="E74" s="109" t="s">
        <v>206</v>
      </c>
      <c r="F74" s="109">
        <v>4</v>
      </c>
      <c r="G74" s="109" t="s">
        <v>754</v>
      </c>
      <c r="H74" s="109">
        <v>4</v>
      </c>
      <c r="I74" s="125" t="s">
        <v>1499</v>
      </c>
      <c r="J74" s="109" t="s">
        <v>750</v>
      </c>
      <c r="K74" s="123">
        <v>46218</v>
      </c>
      <c r="L74" s="109" t="s">
        <v>979</v>
      </c>
    </row>
    <row r="75" spans="1:12" ht="29.15" x14ac:dyDescent="0.4">
      <c r="A75" s="109" t="s">
        <v>608</v>
      </c>
      <c r="B75" s="109" t="s">
        <v>18</v>
      </c>
      <c r="C75" s="109" t="s">
        <v>611</v>
      </c>
      <c r="D75" s="125" t="s">
        <v>612</v>
      </c>
      <c r="E75" s="109" t="s">
        <v>204</v>
      </c>
      <c r="F75" s="109">
        <v>4</v>
      </c>
      <c r="G75" s="109" t="s">
        <v>754</v>
      </c>
      <c r="H75" s="109">
        <v>4</v>
      </c>
      <c r="I75" s="125" t="s">
        <v>1499</v>
      </c>
      <c r="J75" s="109" t="s">
        <v>750</v>
      </c>
      <c r="K75" s="123">
        <v>46218</v>
      </c>
      <c r="L75" s="109" t="s">
        <v>979</v>
      </c>
    </row>
    <row r="76" spans="1:12" ht="29.15" x14ac:dyDescent="0.4">
      <c r="A76" s="109" t="s">
        <v>608</v>
      </c>
      <c r="B76" s="109" t="s">
        <v>18</v>
      </c>
      <c r="C76" s="109" t="s">
        <v>611</v>
      </c>
      <c r="D76" s="125" t="s">
        <v>612</v>
      </c>
      <c r="E76" s="109" t="s">
        <v>551</v>
      </c>
      <c r="F76" s="109"/>
      <c r="G76" s="109" t="s">
        <v>754</v>
      </c>
      <c r="H76" s="109"/>
      <c r="I76" s="125" t="s">
        <v>1499</v>
      </c>
      <c r="J76" s="109" t="s">
        <v>750</v>
      </c>
      <c r="K76" s="123">
        <v>46218</v>
      </c>
      <c r="L76" s="109" t="s">
        <v>979</v>
      </c>
    </row>
    <row r="77" spans="1:12" ht="29.15" x14ac:dyDescent="0.4">
      <c r="A77" s="109" t="s">
        <v>608</v>
      </c>
      <c r="B77" s="109" t="s">
        <v>18</v>
      </c>
      <c r="C77" s="109" t="s">
        <v>611</v>
      </c>
      <c r="D77" s="125" t="s">
        <v>612</v>
      </c>
      <c r="E77" s="109" t="s">
        <v>773</v>
      </c>
      <c r="F77" s="109" t="s">
        <v>777</v>
      </c>
      <c r="G77" s="109" t="s">
        <v>754</v>
      </c>
      <c r="H77" s="109" t="s">
        <v>777</v>
      </c>
      <c r="I77" s="125" t="s">
        <v>1499</v>
      </c>
      <c r="J77" s="109" t="s">
        <v>750</v>
      </c>
      <c r="K77" s="123">
        <v>46218</v>
      </c>
      <c r="L77" s="109" t="s">
        <v>979</v>
      </c>
    </row>
    <row r="78" spans="1:12" ht="29.15" x14ac:dyDescent="0.4">
      <c r="A78" s="109" t="s">
        <v>608</v>
      </c>
      <c r="B78" s="109" t="s">
        <v>18</v>
      </c>
      <c r="C78" s="109" t="s">
        <v>1191</v>
      </c>
      <c r="D78" s="125" t="s">
        <v>1192</v>
      </c>
      <c r="E78" s="109" t="s">
        <v>203</v>
      </c>
      <c r="F78" s="109">
        <v>4</v>
      </c>
      <c r="G78" s="109" t="s">
        <v>754</v>
      </c>
      <c r="H78" s="109">
        <v>4</v>
      </c>
      <c r="I78" s="125"/>
      <c r="J78" s="109" t="s">
        <v>750</v>
      </c>
      <c r="K78" s="123">
        <v>46218</v>
      </c>
      <c r="L78" s="109" t="s">
        <v>979</v>
      </c>
    </row>
    <row r="79" spans="1:12" ht="29.15" x14ac:dyDescent="0.4">
      <c r="A79" s="109" t="s">
        <v>608</v>
      </c>
      <c r="B79" s="109" t="s">
        <v>18</v>
      </c>
      <c r="C79" s="109" t="s">
        <v>1191</v>
      </c>
      <c r="D79" s="125" t="s">
        <v>1192</v>
      </c>
      <c r="E79" s="109" t="s">
        <v>300</v>
      </c>
      <c r="F79" s="109">
        <v>4</v>
      </c>
      <c r="G79" s="109" t="s">
        <v>754</v>
      </c>
      <c r="H79" s="109">
        <v>4</v>
      </c>
      <c r="I79" s="125"/>
      <c r="J79" s="109" t="s">
        <v>750</v>
      </c>
      <c r="K79" s="123">
        <v>46218</v>
      </c>
      <c r="L79" s="109" t="s">
        <v>979</v>
      </c>
    </row>
    <row r="80" spans="1:12" ht="29.15" x14ac:dyDescent="0.4">
      <c r="A80" s="109" t="s">
        <v>608</v>
      </c>
      <c r="B80" s="109" t="s">
        <v>18</v>
      </c>
      <c r="C80" s="109" t="s">
        <v>1191</v>
      </c>
      <c r="D80" s="125" t="s">
        <v>1192</v>
      </c>
      <c r="E80" s="109" t="s">
        <v>206</v>
      </c>
      <c r="F80" s="109">
        <v>1</v>
      </c>
      <c r="G80" s="109" t="s">
        <v>754</v>
      </c>
      <c r="H80" s="109">
        <v>1</v>
      </c>
      <c r="I80" s="125"/>
      <c r="J80" s="109" t="s">
        <v>750</v>
      </c>
      <c r="K80" s="123">
        <v>46218</v>
      </c>
      <c r="L80" s="109" t="s">
        <v>979</v>
      </c>
    </row>
    <row r="81" spans="1:12" ht="29.15" x14ac:dyDescent="0.4">
      <c r="A81" s="109" t="s">
        <v>608</v>
      </c>
      <c r="B81" s="109" t="s">
        <v>18</v>
      </c>
      <c r="C81" s="109" t="s">
        <v>1191</v>
      </c>
      <c r="D81" s="125" t="s">
        <v>1192</v>
      </c>
      <c r="E81" s="109" t="s">
        <v>204</v>
      </c>
      <c r="F81" s="109">
        <v>2</v>
      </c>
      <c r="G81" s="109" t="s">
        <v>754</v>
      </c>
      <c r="H81" s="109">
        <v>2</v>
      </c>
      <c r="I81" s="125"/>
      <c r="J81" s="109" t="s">
        <v>750</v>
      </c>
      <c r="K81" s="123">
        <v>46218</v>
      </c>
      <c r="L81" s="109" t="s">
        <v>979</v>
      </c>
    </row>
    <row r="82" spans="1:12" ht="29.15" x14ac:dyDescent="0.4">
      <c r="A82" s="109" t="s">
        <v>608</v>
      </c>
      <c r="B82" s="109" t="s">
        <v>18</v>
      </c>
      <c r="C82" s="109" t="s">
        <v>1191</v>
      </c>
      <c r="D82" s="125" t="s">
        <v>1192</v>
      </c>
      <c r="E82" s="109" t="s">
        <v>551</v>
      </c>
      <c r="F82" s="109"/>
      <c r="G82" s="109" t="s">
        <v>754</v>
      </c>
      <c r="H82" s="109"/>
      <c r="I82" s="125"/>
      <c r="J82" s="109" t="s">
        <v>750</v>
      </c>
      <c r="K82" s="123">
        <v>46218</v>
      </c>
      <c r="L82" s="109" t="s">
        <v>979</v>
      </c>
    </row>
    <row r="83" spans="1:12" ht="29.15" x14ac:dyDescent="0.4">
      <c r="A83" s="109" t="s">
        <v>608</v>
      </c>
      <c r="B83" s="109" t="s">
        <v>18</v>
      </c>
      <c r="C83" s="109" t="s">
        <v>1191</v>
      </c>
      <c r="D83" s="125" t="s">
        <v>1192</v>
      </c>
      <c r="E83" s="109" t="s">
        <v>773</v>
      </c>
      <c r="F83" s="109" t="s">
        <v>777</v>
      </c>
      <c r="G83" s="109" t="s">
        <v>754</v>
      </c>
      <c r="H83" s="109" t="s">
        <v>777</v>
      </c>
      <c r="I83" s="125"/>
      <c r="J83" s="109" t="s">
        <v>750</v>
      </c>
      <c r="K83" s="123">
        <v>46218</v>
      </c>
      <c r="L83" s="109" t="s">
        <v>979</v>
      </c>
    </row>
    <row r="84" spans="1:12" ht="29.15" x14ac:dyDescent="0.4">
      <c r="A84" s="109" t="s">
        <v>608</v>
      </c>
      <c r="B84" s="109" t="s">
        <v>18</v>
      </c>
      <c r="C84" s="109" t="s">
        <v>1212</v>
      </c>
      <c r="D84" s="125" t="s">
        <v>1213</v>
      </c>
      <c r="E84" s="109" t="s">
        <v>203</v>
      </c>
      <c r="F84" s="109">
        <v>3</v>
      </c>
      <c r="G84" s="109" t="s">
        <v>754</v>
      </c>
      <c r="H84" s="109">
        <v>3</v>
      </c>
      <c r="I84" s="125"/>
      <c r="J84" s="109" t="s">
        <v>750</v>
      </c>
      <c r="K84" s="123">
        <v>46218</v>
      </c>
      <c r="L84" s="109" t="s">
        <v>979</v>
      </c>
    </row>
    <row r="85" spans="1:12" ht="29.15" x14ac:dyDescent="0.4">
      <c r="A85" s="109" t="s">
        <v>608</v>
      </c>
      <c r="B85" s="109" t="s">
        <v>18</v>
      </c>
      <c r="C85" s="109" t="s">
        <v>1212</v>
      </c>
      <c r="D85" s="125" t="s">
        <v>1213</v>
      </c>
      <c r="E85" s="109" t="s">
        <v>300</v>
      </c>
      <c r="F85" s="109"/>
      <c r="G85" s="109" t="s">
        <v>754</v>
      </c>
      <c r="H85" s="109"/>
      <c r="I85" s="125"/>
      <c r="J85" s="109" t="s">
        <v>750</v>
      </c>
      <c r="K85" s="123">
        <v>46218</v>
      </c>
      <c r="L85" s="109" t="s">
        <v>979</v>
      </c>
    </row>
    <row r="86" spans="1:12" ht="29.15" x14ac:dyDescent="0.4">
      <c r="A86" s="109" t="s">
        <v>608</v>
      </c>
      <c r="B86" s="109" t="s">
        <v>18</v>
      </c>
      <c r="C86" s="109" t="s">
        <v>1212</v>
      </c>
      <c r="D86" s="125" t="s">
        <v>1213</v>
      </c>
      <c r="E86" s="109" t="s">
        <v>206</v>
      </c>
      <c r="F86" s="109">
        <v>2</v>
      </c>
      <c r="G86" s="109" t="s">
        <v>754</v>
      </c>
      <c r="H86" s="109">
        <v>2</v>
      </c>
      <c r="I86" s="125"/>
      <c r="J86" s="109" t="s">
        <v>750</v>
      </c>
      <c r="K86" s="123">
        <v>46218</v>
      </c>
      <c r="L86" s="109" t="s">
        <v>979</v>
      </c>
    </row>
    <row r="87" spans="1:12" ht="29.15" x14ac:dyDescent="0.4">
      <c r="A87" s="109" t="s">
        <v>608</v>
      </c>
      <c r="B87" s="109" t="s">
        <v>18</v>
      </c>
      <c r="C87" s="109" t="s">
        <v>1212</v>
      </c>
      <c r="D87" s="125" t="s">
        <v>1213</v>
      </c>
      <c r="E87" s="109" t="s">
        <v>204</v>
      </c>
      <c r="F87" s="109">
        <v>1</v>
      </c>
      <c r="G87" s="109" t="s">
        <v>754</v>
      </c>
      <c r="H87" s="109">
        <v>1</v>
      </c>
      <c r="I87" s="125"/>
      <c r="J87" s="109" t="s">
        <v>750</v>
      </c>
      <c r="K87" s="123">
        <v>46218</v>
      </c>
      <c r="L87" s="109" t="s">
        <v>979</v>
      </c>
    </row>
    <row r="88" spans="1:12" ht="29.15" x14ac:dyDescent="0.4">
      <c r="A88" s="109" t="s">
        <v>608</v>
      </c>
      <c r="B88" s="109" t="s">
        <v>18</v>
      </c>
      <c r="C88" s="109" t="s">
        <v>1212</v>
      </c>
      <c r="D88" s="125" t="s">
        <v>1213</v>
      </c>
      <c r="E88" s="109" t="s">
        <v>551</v>
      </c>
      <c r="F88" s="109"/>
      <c r="G88" s="109" t="s">
        <v>754</v>
      </c>
      <c r="H88" s="109"/>
      <c r="I88" s="125"/>
      <c r="J88" s="109" t="s">
        <v>750</v>
      </c>
      <c r="K88" s="123">
        <v>46218</v>
      </c>
      <c r="L88" s="109" t="s">
        <v>979</v>
      </c>
    </row>
    <row r="89" spans="1:12" ht="29.15" x14ac:dyDescent="0.4">
      <c r="A89" s="109" t="s">
        <v>608</v>
      </c>
      <c r="B89" s="109" t="s">
        <v>18</v>
      </c>
      <c r="C89" s="109" t="s">
        <v>1212</v>
      </c>
      <c r="D89" s="125" t="s">
        <v>1213</v>
      </c>
      <c r="E89" s="109" t="s">
        <v>773</v>
      </c>
      <c r="F89" s="109" t="s">
        <v>777</v>
      </c>
      <c r="G89" s="109" t="s">
        <v>754</v>
      </c>
      <c r="H89" s="109" t="s">
        <v>777</v>
      </c>
      <c r="I89" s="125"/>
      <c r="J89" s="109" t="s">
        <v>750</v>
      </c>
      <c r="K89" s="123">
        <v>46218</v>
      </c>
      <c r="L89" s="109" t="s">
        <v>979</v>
      </c>
    </row>
    <row r="90" spans="1:12" x14ac:dyDescent="0.4">
      <c r="A90" s="109" t="s">
        <v>608</v>
      </c>
      <c r="B90" s="109" t="s">
        <v>124</v>
      </c>
      <c r="C90" s="109" t="s">
        <v>437</v>
      </c>
      <c r="D90" s="125" t="s">
        <v>1291</v>
      </c>
      <c r="E90" s="109" t="s">
        <v>835</v>
      </c>
      <c r="F90" s="109">
        <v>4.2</v>
      </c>
      <c r="G90" s="109" t="s">
        <v>754</v>
      </c>
      <c r="H90" s="109">
        <v>4.2</v>
      </c>
      <c r="I90" s="125"/>
      <c r="J90" s="109" t="s">
        <v>750</v>
      </c>
      <c r="K90" s="123">
        <v>46218</v>
      </c>
      <c r="L90" s="109" t="s">
        <v>979</v>
      </c>
    </row>
    <row r="91" spans="1:12" x14ac:dyDescent="0.4">
      <c r="A91" s="109" t="s">
        <v>608</v>
      </c>
      <c r="B91" s="109" t="s">
        <v>124</v>
      </c>
      <c r="C91" s="109" t="s">
        <v>437</v>
      </c>
      <c r="D91" s="125" t="s">
        <v>1291</v>
      </c>
      <c r="E91" s="109" t="s">
        <v>829</v>
      </c>
      <c r="F91" s="109">
        <v>3</v>
      </c>
      <c r="G91" s="109" t="s">
        <v>754</v>
      </c>
      <c r="H91" s="109">
        <v>3</v>
      </c>
      <c r="I91" s="125"/>
      <c r="J91" s="109" t="s">
        <v>750</v>
      </c>
      <c r="K91" s="123">
        <v>46218</v>
      </c>
      <c r="L91" s="109" t="s">
        <v>979</v>
      </c>
    </row>
    <row r="92" spans="1:12" x14ac:dyDescent="0.4">
      <c r="A92" s="109" t="s">
        <v>608</v>
      </c>
      <c r="B92" s="109" t="s">
        <v>124</v>
      </c>
      <c r="C92" s="109" t="s">
        <v>437</v>
      </c>
      <c r="D92" s="125" t="s">
        <v>1291</v>
      </c>
      <c r="E92" s="109" t="s">
        <v>833</v>
      </c>
      <c r="F92" s="109">
        <v>6</v>
      </c>
      <c r="G92" s="109" t="s">
        <v>754</v>
      </c>
      <c r="H92" s="109">
        <v>6</v>
      </c>
      <c r="I92" s="125"/>
      <c r="J92" s="109" t="s">
        <v>750</v>
      </c>
      <c r="K92" s="123">
        <v>46218</v>
      </c>
      <c r="L92" s="109" t="s">
        <v>979</v>
      </c>
    </row>
    <row r="93" spans="1:12" ht="29.15" x14ac:dyDescent="0.4">
      <c r="A93" s="109" t="s">
        <v>608</v>
      </c>
      <c r="B93" s="109" t="s">
        <v>124</v>
      </c>
      <c r="C93" s="109" t="s">
        <v>1293</v>
      </c>
      <c r="D93" s="125" t="s">
        <v>1294</v>
      </c>
      <c r="E93" s="109" t="s">
        <v>835</v>
      </c>
      <c r="F93" s="109">
        <v>2.5</v>
      </c>
      <c r="G93" s="109" t="s">
        <v>754</v>
      </c>
      <c r="H93" s="109">
        <v>2.5</v>
      </c>
      <c r="I93" s="125"/>
      <c r="J93" s="109" t="s">
        <v>750</v>
      </c>
      <c r="K93" s="123">
        <v>46218</v>
      </c>
      <c r="L93" s="109" t="s">
        <v>979</v>
      </c>
    </row>
    <row r="94" spans="1:12" ht="29.15" x14ac:dyDescent="0.4">
      <c r="A94" s="109" t="s">
        <v>608</v>
      </c>
      <c r="B94" s="109" t="s">
        <v>124</v>
      </c>
      <c r="C94" s="109" t="s">
        <v>1293</v>
      </c>
      <c r="D94" s="125" t="s">
        <v>1294</v>
      </c>
      <c r="E94" s="109" t="s">
        <v>829</v>
      </c>
      <c r="F94" s="109">
        <v>4</v>
      </c>
      <c r="G94" s="109" t="s">
        <v>754</v>
      </c>
      <c r="H94" s="109">
        <v>4</v>
      </c>
      <c r="I94" s="125"/>
      <c r="J94" s="109" t="s">
        <v>750</v>
      </c>
      <c r="K94" s="123">
        <v>46218</v>
      </c>
      <c r="L94" s="109" t="s">
        <v>979</v>
      </c>
    </row>
    <row r="95" spans="1:12" ht="29.15" x14ac:dyDescent="0.4">
      <c r="A95" s="109" t="s">
        <v>608</v>
      </c>
      <c r="B95" s="109" t="s">
        <v>124</v>
      </c>
      <c r="C95" s="109" t="s">
        <v>1293</v>
      </c>
      <c r="D95" s="125" t="s">
        <v>1294</v>
      </c>
      <c r="E95" s="109" t="s">
        <v>833</v>
      </c>
      <c r="F95" s="109">
        <v>12</v>
      </c>
      <c r="G95" s="109" t="s">
        <v>754</v>
      </c>
      <c r="H95" s="109">
        <v>12</v>
      </c>
      <c r="I95" s="125"/>
      <c r="J95" s="109" t="s">
        <v>750</v>
      </c>
      <c r="K95" s="123">
        <v>46218</v>
      </c>
      <c r="L95" s="109" t="s">
        <v>979</v>
      </c>
    </row>
    <row r="96" spans="1:12" x14ac:dyDescent="0.4">
      <c r="A96" s="109" t="s">
        <v>608</v>
      </c>
      <c r="B96" s="109" t="s">
        <v>124</v>
      </c>
      <c r="C96" s="109" t="s">
        <v>1299</v>
      </c>
      <c r="D96" s="125" t="s">
        <v>1300</v>
      </c>
      <c r="E96" s="109" t="s">
        <v>835</v>
      </c>
      <c r="F96" s="109">
        <v>78</v>
      </c>
      <c r="G96" s="109" t="s">
        <v>754</v>
      </c>
      <c r="H96" s="109">
        <v>78</v>
      </c>
      <c r="I96" s="125"/>
      <c r="J96" s="109" t="s">
        <v>750</v>
      </c>
      <c r="K96" s="123">
        <v>46218</v>
      </c>
      <c r="L96" s="109" t="s">
        <v>979</v>
      </c>
    </row>
    <row r="97" spans="1:12" x14ac:dyDescent="0.4">
      <c r="A97" s="109" t="s">
        <v>608</v>
      </c>
      <c r="B97" s="109" t="s">
        <v>124</v>
      </c>
      <c r="C97" s="109" t="s">
        <v>1299</v>
      </c>
      <c r="D97" s="125" t="s">
        <v>1300</v>
      </c>
      <c r="E97" s="109" t="s">
        <v>829</v>
      </c>
      <c r="F97" s="109">
        <v>60</v>
      </c>
      <c r="G97" s="109" t="s">
        <v>754</v>
      </c>
      <c r="H97" s="109">
        <v>60</v>
      </c>
      <c r="I97" s="125"/>
      <c r="J97" s="109" t="s">
        <v>750</v>
      </c>
      <c r="K97" s="123">
        <v>46218</v>
      </c>
      <c r="L97" s="109" t="s">
        <v>979</v>
      </c>
    </row>
    <row r="98" spans="1:12" x14ac:dyDescent="0.4">
      <c r="A98" s="109" t="s">
        <v>608</v>
      </c>
      <c r="B98" s="109" t="s">
        <v>124</v>
      </c>
      <c r="C98" s="109" t="s">
        <v>1299</v>
      </c>
      <c r="D98" s="125" t="s">
        <v>1300</v>
      </c>
      <c r="E98" s="109" t="s">
        <v>833</v>
      </c>
      <c r="F98" s="109">
        <v>75</v>
      </c>
      <c r="G98" s="109" t="s">
        <v>754</v>
      </c>
      <c r="H98" s="109">
        <v>75</v>
      </c>
      <c r="I98" s="125"/>
      <c r="J98" s="109" t="s">
        <v>750</v>
      </c>
      <c r="K98" s="123">
        <v>46218</v>
      </c>
      <c r="L98" s="109" t="s">
        <v>979</v>
      </c>
    </row>
    <row r="99" spans="1:12" ht="29.15" x14ac:dyDescent="0.4">
      <c r="A99" s="109" t="s">
        <v>608</v>
      </c>
      <c r="B99" s="109" t="s">
        <v>124</v>
      </c>
      <c r="C99" s="109" t="s">
        <v>1304</v>
      </c>
      <c r="D99" s="125" t="s">
        <v>1305</v>
      </c>
      <c r="E99" s="109" t="s">
        <v>835</v>
      </c>
      <c r="F99" s="109">
        <v>1</v>
      </c>
      <c r="G99" s="109" t="s">
        <v>754</v>
      </c>
      <c r="H99" s="109">
        <v>1</v>
      </c>
      <c r="I99" s="125"/>
      <c r="J99" s="109" t="s">
        <v>750</v>
      </c>
      <c r="K99" s="123">
        <v>46218</v>
      </c>
      <c r="L99" s="109" t="s">
        <v>979</v>
      </c>
    </row>
    <row r="100" spans="1:12" ht="29.15" x14ac:dyDescent="0.4">
      <c r="A100" s="109" t="s">
        <v>608</v>
      </c>
      <c r="B100" s="109" t="s">
        <v>124</v>
      </c>
      <c r="C100" s="109" t="s">
        <v>1304</v>
      </c>
      <c r="D100" s="125" t="s">
        <v>1305</v>
      </c>
      <c r="E100" s="109" t="s">
        <v>829</v>
      </c>
      <c r="F100" s="109">
        <v>2</v>
      </c>
      <c r="G100" s="109" t="s">
        <v>754</v>
      </c>
      <c r="H100" s="109">
        <v>2</v>
      </c>
      <c r="I100" s="125"/>
      <c r="J100" s="109" t="s">
        <v>750</v>
      </c>
      <c r="K100" s="123">
        <v>46218</v>
      </c>
      <c r="L100" s="109" t="s">
        <v>979</v>
      </c>
    </row>
    <row r="101" spans="1:12" ht="29.15" x14ac:dyDescent="0.4">
      <c r="A101" s="109" t="s">
        <v>608</v>
      </c>
      <c r="B101" s="109" t="s">
        <v>124</v>
      </c>
      <c r="C101" s="109" t="s">
        <v>1304</v>
      </c>
      <c r="D101" s="125" t="s">
        <v>1305</v>
      </c>
      <c r="E101" s="109" t="s">
        <v>833</v>
      </c>
      <c r="F101" s="109">
        <v>4</v>
      </c>
      <c r="G101" s="109" t="s">
        <v>754</v>
      </c>
      <c r="H101" s="109">
        <v>4</v>
      </c>
      <c r="I101" s="125"/>
      <c r="J101" s="109" t="s">
        <v>750</v>
      </c>
      <c r="K101" s="123">
        <v>46218</v>
      </c>
      <c r="L101" s="109" t="s">
        <v>979</v>
      </c>
    </row>
    <row r="102" spans="1:12" x14ac:dyDescent="0.4">
      <c r="A102" s="109" t="s">
        <v>608</v>
      </c>
      <c r="B102" s="109" t="s">
        <v>124</v>
      </c>
      <c r="C102" s="109" t="s">
        <v>1309</v>
      </c>
      <c r="D102" s="125" t="s">
        <v>1310</v>
      </c>
      <c r="E102" s="109" t="s">
        <v>835</v>
      </c>
      <c r="F102" s="109">
        <v>0.8</v>
      </c>
      <c r="G102" s="109" t="s">
        <v>754</v>
      </c>
      <c r="H102" s="109">
        <v>0.8</v>
      </c>
      <c r="I102" s="125"/>
      <c r="J102" s="109" t="s">
        <v>750</v>
      </c>
      <c r="K102" s="123">
        <v>46218</v>
      </c>
      <c r="L102" s="109" t="s">
        <v>979</v>
      </c>
    </row>
    <row r="103" spans="1:12" x14ac:dyDescent="0.4">
      <c r="A103" s="109" t="s">
        <v>608</v>
      </c>
      <c r="B103" s="109" t="s">
        <v>124</v>
      </c>
      <c r="C103" s="109" t="s">
        <v>1309</v>
      </c>
      <c r="D103" s="125" t="s">
        <v>1310</v>
      </c>
      <c r="E103" s="109" t="s">
        <v>829</v>
      </c>
      <c r="F103" s="109">
        <v>1.5</v>
      </c>
      <c r="G103" s="109" t="s">
        <v>754</v>
      </c>
      <c r="H103" s="109">
        <v>1.5</v>
      </c>
      <c r="I103" s="125"/>
      <c r="J103" s="109" t="s">
        <v>750</v>
      </c>
      <c r="K103" s="123">
        <v>46218</v>
      </c>
      <c r="L103" s="109" t="s">
        <v>979</v>
      </c>
    </row>
    <row r="104" spans="1:12" x14ac:dyDescent="0.4">
      <c r="A104" s="109" t="s">
        <v>608</v>
      </c>
      <c r="B104" s="109" t="s">
        <v>124</v>
      </c>
      <c r="C104" s="109" t="s">
        <v>1309</v>
      </c>
      <c r="D104" s="125" t="s">
        <v>1310</v>
      </c>
      <c r="E104" s="109" t="s">
        <v>833</v>
      </c>
      <c r="F104" s="109">
        <v>3</v>
      </c>
      <c r="G104" s="109" t="s">
        <v>754</v>
      </c>
      <c r="H104" s="109">
        <v>3</v>
      </c>
      <c r="I104" s="125"/>
      <c r="J104" s="109" t="s">
        <v>750</v>
      </c>
      <c r="K104" s="123">
        <v>46218</v>
      </c>
      <c r="L104" s="109" t="s">
        <v>979</v>
      </c>
    </row>
    <row r="105" spans="1:12" ht="29.15" x14ac:dyDescent="0.4">
      <c r="A105" s="109" t="s">
        <v>608</v>
      </c>
      <c r="B105" s="109" t="s">
        <v>124</v>
      </c>
      <c r="C105" s="109" t="s">
        <v>1314</v>
      </c>
      <c r="D105" s="125" t="s">
        <v>1315</v>
      </c>
      <c r="E105" s="109" t="s">
        <v>835</v>
      </c>
      <c r="F105" s="109"/>
      <c r="G105" s="109" t="s">
        <v>754</v>
      </c>
      <c r="H105" s="109"/>
      <c r="I105" s="125"/>
      <c r="J105" s="109" t="s">
        <v>750</v>
      </c>
      <c r="K105" s="123">
        <v>46218</v>
      </c>
      <c r="L105" s="109" t="s">
        <v>979</v>
      </c>
    </row>
    <row r="106" spans="1:12" ht="29.15" x14ac:dyDescent="0.4">
      <c r="A106" s="109" t="s">
        <v>608</v>
      </c>
      <c r="B106" s="109" t="s">
        <v>124</v>
      </c>
      <c r="C106" s="109" t="s">
        <v>1314</v>
      </c>
      <c r="D106" s="125" t="s">
        <v>1315</v>
      </c>
      <c r="E106" s="109" t="s">
        <v>829</v>
      </c>
      <c r="F106" s="109">
        <v>20</v>
      </c>
      <c r="G106" s="109" t="s">
        <v>754</v>
      </c>
      <c r="H106" s="109">
        <v>20</v>
      </c>
      <c r="I106" s="125"/>
      <c r="J106" s="109" t="s">
        <v>750</v>
      </c>
      <c r="K106" s="123">
        <v>46218</v>
      </c>
      <c r="L106" s="109" t="s">
        <v>979</v>
      </c>
    </row>
    <row r="107" spans="1:12" ht="29.15" x14ac:dyDescent="0.4">
      <c r="A107" s="109" t="s">
        <v>608</v>
      </c>
      <c r="B107" s="109" t="s">
        <v>124</v>
      </c>
      <c r="C107" s="109" t="s">
        <v>1314</v>
      </c>
      <c r="D107" s="125" t="s">
        <v>1315</v>
      </c>
      <c r="E107" s="109" t="s">
        <v>833</v>
      </c>
      <c r="F107" s="109">
        <v>40</v>
      </c>
      <c r="G107" s="109" t="s">
        <v>754</v>
      </c>
      <c r="H107" s="109">
        <v>40</v>
      </c>
      <c r="I107" s="125"/>
      <c r="J107" s="109" t="s">
        <v>750</v>
      </c>
      <c r="K107" s="123">
        <v>46218</v>
      </c>
      <c r="L107" s="109" t="s">
        <v>979</v>
      </c>
    </row>
    <row r="108" spans="1:12" ht="29.15" x14ac:dyDescent="0.4">
      <c r="A108" s="109" t="s">
        <v>608</v>
      </c>
      <c r="B108" s="109" t="s">
        <v>124</v>
      </c>
      <c r="C108" s="109" t="s">
        <v>1318</v>
      </c>
      <c r="D108" s="125" t="s">
        <v>1319</v>
      </c>
      <c r="E108" s="109" t="s">
        <v>835</v>
      </c>
      <c r="F108" s="109">
        <v>2</v>
      </c>
      <c r="G108" s="109" t="s">
        <v>754</v>
      </c>
      <c r="H108" s="109">
        <v>2</v>
      </c>
      <c r="I108" s="125"/>
      <c r="J108" s="109" t="s">
        <v>750</v>
      </c>
      <c r="K108" s="123">
        <v>46218</v>
      </c>
      <c r="L108" s="109" t="s">
        <v>979</v>
      </c>
    </row>
    <row r="109" spans="1:12" ht="29.15" x14ac:dyDescent="0.4">
      <c r="A109" s="109" t="s">
        <v>608</v>
      </c>
      <c r="B109" s="109" t="s">
        <v>124</v>
      </c>
      <c r="C109" s="109" t="s">
        <v>1318</v>
      </c>
      <c r="D109" s="125" t="s">
        <v>1319</v>
      </c>
      <c r="E109" s="109" t="s">
        <v>829</v>
      </c>
      <c r="F109" s="109">
        <v>1</v>
      </c>
      <c r="G109" s="109" t="s">
        <v>754</v>
      </c>
      <c r="H109" s="109">
        <v>1</v>
      </c>
      <c r="I109" s="125"/>
      <c r="J109" s="109" t="s">
        <v>750</v>
      </c>
      <c r="K109" s="123">
        <v>46218</v>
      </c>
      <c r="L109" s="109" t="s">
        <v>979</v>
      </c>
    </row>
    <row r="110" spans="1:12" ht="29.15" x14ac:dyDescent="0.4">
      <c r="A110" s="109" t="s">
        <v>608</v>
      </c>
      <c r="B110" s="109" t="s">
        <v>124</v>
      </c>
      <c r="C110" s="109" t="s">
        <v>1318</v>
      </c>
      <c r="D110" s="125" t="s">
        <v>1319</v>
      </c>
      <c r="E110" s="109" t="s">
        <v>833</v>
      </c>
      <c r="F110" s="109">
        <v>3</v>
      </c>
      <c r="G110" s="109" t="s">
        <v>754</v>
      </c>
      <c r="H110" s="109">
        <v>3</v>
      </c>
      <c r="I110" s="125"/>
      <c r="J110" s="109" t="s">
        <v>750</v>
      </c>
      <c r="K110" s="123">
        <v>46218</v>
      </c>
      <c r="L110" s="109" t="s">
        <v>979</v>
      </c>
    </row>
    <row r="111" spans="1:12" x14ac:dyDescent="0.4">
      <c r="A111" s="109" t="s">
        <v>608</v>
      </c>
      <c r="B111" s="109" t="s">
        <v>124</v>
      </c>
      <c r="C111" s="109" t="s">
        <v>1322</v>
      </c>
      <c r="D111" s="125" t="s">
        <v>1323</v>
      </c>
      <c r="E111" s="109" t="s">
        <v>835</v>
      </c>
      <c r="F111" s="109">
        <v>3</v>
      </c>
      <c r="G111" s="109" t="s">
        <v>754</v>
      </c>
      <c r="H111" s="109">
        <v>3</v>
      </c>
      <c r="I111" s="125"/>
      <c r="J111" s="109" t="s">
        <v>750</v>
      </c>
      <c r="K111" s="123">
        <v>46218</v>
      </c>
      <c r="L111" s="109" t="s">
        <v>979</v>
      </c>
    </row>
    <row r="112" spans="1:12" x14ac:dyDescent="0.4">
      <c r="A112" s="109" t="s">
        <v>608</v>
      </c>
      <c r="B112" s="109" t="s">
        <v>124</v>
      </c>
      <c r="C112" s="109" t="s">
        <v>1322</v>
      </c>
      <c r="D112" s="125" t="s">
        <v>1323</v>
      </c>
      <c r="E112" s="109" t="s">
        <v>829</v>
      </c>
      <c r="F112" s="109">
        <v>2</v>
      </c>
      <c r="G112" s="109" t="s">
        <v>754</v>
      </c>
      <c r="H112" s="109">
        <v>2</v>
      </c>
      <c r="I112" s="125"/>
      <c r="J112" s="109" t="s">
        <v>750</v>
      </c>
      <c r="K112" s="123">
        <v>46218</v>
      </c>
      <c r="L112" s="109" t="s">
        <v>979</v>
      </c>
    </row>
    <row r="113" spans="1:12" x14ac:dyDescent="0.4">
      <c r="A113" s="109" t="s">
        <v>608</v>
      </c>
      <c r="B113" s="109" t="s">
        <v>124</v>
      </c>
      <c r="C113" s="109" t="s">
        <v>1322</v>
      </c>
      <c r="D113" s="125" t="s">
        <v>1323</v>
      </c>
      <c r="E113" s="109" t="s">
        <v>833</v>
      </c>
      <c r="F113" s="109">
        <v>5</v>
      </c>
      <c r="G113" s="109" t="s">
        <v>754</v>
      </c>
      <c r="H113" s="109">
        <v>5</v>
      </c>
      <c r="I113" s="125"/>
      <c r="J113" s="109" t="s">
        <v>750</v>
      </c>
      <c r="K113" s="123">
        <v>46218</v>
      </c>
      <c r="L113" s="109" t="s">
        <v>979</v>
      </c>
    </row>
    <row r="114" spans="1:12" x14ac:dyDescent="0.4">
      <c r="A114" s="109" t="s">
        <v>608</v>
      </c>
      <c r="B114" s="109" t="s">
        <v>124</v>
      </c>
      <c r="C114" s="109" t="s">
        <v>1327</v>
      </c>
      <c r="D114" s="125" t="s">
        <v>1328</v>
      </c>
      <c r="E114" s="109" t="s">
        <v>835</v>
      </c>
      <c r="F114" s="109">
        <v>7</v>
      </c>
      <c r="G114" s="109" t="s">
        <v>754</v>
      </c>
      <c r="H114" s="109">
        <v>7</v>
      </c>
      <c r="I114" s="125"/>
      <c r="J114" s="109" t="s">
        <v>750</v>
      </c>
      <c r="K114" s="123">
        <v>46218</v>
      </c>
      <c r="L114" s="109" t="s">
        <v>979</v>
      </c>
    </row>
    <row r="115" spans="1:12" x14ac:dyDescent="0.4">
      <c r="A115" s="109" t="s">
        <v>608</v>
      </c>
      <c r="B115" s="109" t="s">
        <v>124</v>
      </c>
      <c r="C115" s="109" t="s">
        <v>1327</v>
      </c>
      <c r="D115" s="125" t="s">
        <v>1328</v>
      </c>
      <c r="E115" s="109" t="s">
        <v>829</v>
      </c>
      <c r="F115" s="109">
        <v>3</v>
      </c>
      <c r="G115" s="109" t="s">
        <v>754</v>
      </c>
      <c r="H115" s="109">
        <v>3</v>
      </c>
      <c r="I115" s="125"/>
      <c r="J115" s="109" t="s">
        <v>750</v>
      </c>
      <c r="K115" s="123">
        <v>46218</v>
      </c>
      <c r="L115" s="109" t="s">
        <v>979</v>
      </c>
    </row>
    <row r="116" spans="1:12" x14ac:dyDescent="0.4">
      <c r="A116" s="109" t="s">
        <v>608</v>
      </c>
      <c r="B116" s="109" t="s">
        <v>124</v>
      </c>
      <c r="C116" s="109" t="s">
        <v>1327</v>
      </c>
      <c r="D116" s="125" t="s">
        <v>1328</v>
      </c>
      <c r="E116" s="109" t="s">
        <v>833</v>
      </c>
      <c r="F116" s="109">
        <v>6</v>
      </c>
      <c r="G116" s="109" t="s">
        <v>754</v>
      </c>
      <c r="H116" s="109">
        <v>6</v>
      </c>
      <c r="I116" s="125"/>
      <c r="J116" s="109" t="s">
        <v>750</v>
      </c>
      <c r="K116" s="123">
        <v>46218</v>
      </c>
      <c r="L116" s="109" t="s">
        <v>979</v>
      </c>
    </row>
    <row r="117" spans="1:12" ht="29.15" x14ac:dyDescent="0.4">
      <c r="A117" s="109" t="s">
        <v>608</v>
      </c>
      <c r="B117" s="109" t="s">
        <v>124</v>
      </c>
      <c r="C117" s="109" t="s">
        <v>1331</v>
      </c>
      <c r="D117" s="125" t="s">
        <v>1332</v>
      </c>
      <c r="E117" s="109" t="s">
        <v>835</v>
      </c>
      <c r="F117" s="109">
        <v>25</v>
      </c>
      <c r="G117" s="109" t="s">
        <v>754</v>
      </c>
      <c r="H117" s="109">
        <v>25</v>
      </c>
      <c r="I117" s="125"/>
      <c r="J117" s="109" t="s">
        <v>750</v>
      </c>
      <c r="K117" s="123">
        <v>46218</v>
      </c>
      <c r="L117" s="109" t="s">
        <v>979</v>
      </c>
    </row>
    <row r="118" spans="1:12" ht="29.15" x14ac:dyDescent="0.4">
      <c r="A118" s="109" t="s">
        <v>608</v>
      </c>
      <c r="B118" s="109" t="s">
        <v>124</v>
      </c>
      <c r="C118" s="109" t="s">
        <v>1331</v>
      </c>
      <c r="D118" s="125" t="s">
        <v>1332</v>
      </c>
      <c r="E118" s="109" t="s">
        <v>829</v>
      </c>
      <c r="F118" s="109">
        <v>30</v>
      </c>
      <c r="G118" s="109" t="s">
        <v>754</v>
      </c>
      <c r="H118" s="109">
        <v>30</v>
      </c>
      <c r="I118" s="125"/>
      <c r="J118" s="109" t="s">
        <v>750</v>
      </c>
      <c r="K118" s="123">
        <v>46218</v>
      </c>
      <c r="L118" s="109" t="s">
        <v>979</v>
      </c>
    </row>
    <row r="119" spans="1:12" ht="29.15" x14ac:dyDescent="0.4">
      <c r="A119" s="109" t="s">
        <v>608</v>
      </c>
      <c r="B119" s="109" t="s">
        <v>124</v>
      </c>
      <c r="C119" s="109" t="s">
        <v>1331</v>
      </c>
      <c r="D119" s="125" t="s">
        <v>1332</v>
      </c>
      <c r="E119" s="109" t="s">
        <v>833</v>
      </c>
      <c r="F119" s="109">
        <v>60</v>
      </c>
      <c r="G119" s="109" t="s">
        <v>754</v>
      </c>
      <c r="H119" s="109">
        <v>60</v>
      </c>
      <c r="I119" s="125"/>
      <c r="J119" s="109" t="s">
        <v>750</v>
      </c>
      <c r="K119" s="123">
        <v>46218</v>
      </c>
      <c r="L119" s="109" t="s">
        <v>979</v>
      </c>
    </row>
    <row r="120" spans="1:12" ht="29.15" x14ac:dyDescent="0.4">
      <c r="A120" s="109" t="s">
        <v>608</v>
      </c>
      <c r="B120" s="109" t="s">
        <v>124</v>
      </c>
      <c r="C120" s="109" t="s">
        <v>1367</v>
      </c>
      <c r="D120" s="125" t="s">
        <v>1368</v>
      </c>
      <c r="E120" s="109" t="s">
        <v>835</v>
      </c>
      <c r="F120" s="109">
        <v>14</v>
      </c>
      <c r="G120" s="109" t="s">
        <v>754</v>
      </c>
      <c r="H120" s="109">
        <v>14</v>
      </c>
      <c r="I120" s="125"/>
      <c r="J120" s="109" t="s">
        <v>750</v>
      </c>
      <c r="K120" s="123">
        <v>46218</v>
      </c>
      <c r="L120" s="109" t="s">
        <v>979</v>
      </c>
    </row>
    <row r="121" spans="1:12" ht="29.15" x14ac:dyDescent="0.4">
      <c r="A121" s="109" t="s">
        <v>608</v>
      </c>
      <c r="B121" s="109" t="s">
        <v>124</v>
      </c>
      <c r="C121" s="109" t="s">
        <v>1367</v>
      </c>
      <c r="D121" s="125" t="s">
        <v>1368</v>
      </c>
      <c r="E121" s="109" t="s">
        <v>829</v>
      </c>
      <c r="F121" s="109">
        <v>10</v>
      </c>
      <c r="G121" s="109" t="s">
        <v>754</v>
      </c>
      <c r="H121" s="109">
        <v>10</v>
      </c>
      <c r="I121" s="125"/>
      <c r="J121" s="109" t="s">
        <v>750</v>
      </c>
      <c r="K121" s="123">
        <v>46218</v>
      </c>
      <c r="L121" s="109" t="s">
        <v>979</v>
      </c>
    </row>
    <row r="122" spans="1:12" ht="29.15" x14ac:dyDescent="0.4">
      <c r="A122" s="109" t="s">
        <v>608</v>
      </c>
      <c r="B122" s="109" t="s">
        <v>124</v>
      </c>
      <c r="C122" s="109" t="s">
        <v>1367</v>
      </c>
      <c r="D122" s="125" t="s">
        <v>1368</v>
      </c>
      <c r="E122" s="109" t="s">
        <v>833</v>
      </c>
      <c r="F122" s="109">
        <v>30</v>
      </c>
      <c r="G122" s="109" t="s">
        <v>754</v>
      </c>
      <c r="H122" s="109">
        <v>30</v>
      </c>
      <c r="I122" s="125"/>
      <c r="J122" s="109" t="s">
        <v>750</v>
      </c>
      <c r="K122" s="123">
        <v>46218</v>
      </c>
      <c r="L122" s="109" t="s">
        <v>979</v>
      </c>
    </row>
    <row r="123" spans="1:12" ht="29.15" x14ac:dyDescent="0.4">
      <c r="A123" s="109" t="s">
        <v>608</v>
      </c>
      <c r="B123" s="109" t="s">
        <v>124</v>
      </c>
      <c r="C123" s="109" t="s">
        <v>1371</v>
      </c>
      <c r="D123" s="125" t="s">
        <v>1372</v>
      </c>
      <c r="E123" s="109" t="s">
        <v>835</v>
      </c>
      <c r="F123" s="109">
        <v>35</v>
      </c>
      <c r="G123" s="109" t="s">
        <v>754</v>
      </c>
      <c r="H123" s="109">
        <v>35</v>
      </c>
      <c r="I123" s="125" t="s">
        <v>1500</v>
      </c>
      <c r="J123" s="109" t="s">
        <v>750</v>
      </c>
      <c r="K123" s="123">
        <v>46218</v>
      </c>
      <c r="L123" s="109" t="s">
        <v>979</v>
      </c>
    </row>
    <row r="124" spans="1:12" ht="29.15" x14ac:dyDescent="0.4">
      <c r="A124" s="109" t="s">
        <v>608</v>
      </c>
      <c r="B124" s="109" t="s">
        <v>124</v>
      </c>
      <c r="C124" s="109" t="s">
        <v>1371</v>
      </c>
      <c r="D124" s="125" t="s">
        <v>1372</v>
      </c>
      <c r="E124" s="109" t="s">
        <v>829</v>
      </c>
      <c r="F124" s="109">
        <v>30</v>
      </c>
      <c r="G124" s="109" t="s">
        <v>967</v>
      </c>
      <c r="H124" s="109">
        <v>20</v>
      </c>
      <c r="I124" s="125" t="s">
        <v>1500</v>
      </c>
      <c r="J124" s="109" t="s">
        <v>750</v>
      </c>
      <c r="K124" s="123">
        <v>46218</v>
      </c>
      <c r="L124" s="109" t="s">
        <v>979</v>
      </c>
    </row>
    <row r="125" spans="1:12" ht="29.15" x14ac:dyDescent="0.4">
      <c r="A125" s="109" t="s">
        <v>608</v>
      </c>
      <c r="B125" s="109" t="s">
        <v>124</v>
      </c>
      <c r="C125" s="109" t="s">
        <v>1371</v>
      </c>
      <c r="D125" s="125" t="s">
        <v>1372</v>
      </c>
      <c r="E125" s="109" t="s">
        <v>833</v>
      </c>
      <c r="F125" s="109">
        <v>40</v>
      </c>
      <c r="G125" s="109" t="s">
        <v>754</v>
      </c>
      <c r="H125" s="109">
        <v>40</v>
      </c>
      <c r="I125" s="125" t="s">
        <v>1500</v>
      </c>
      <c r="J125" s="109" t="s">
        <v>750</v>
      </c>
      <c r="K125" s="123">
        <v>46218</v>
      </c>
      <c r="L125" s="109" t="s">
        <v>979</v>
      </c>
    </row>
    <row r="126" spans="1:12" ht="29.15" x14ac:dyDescent="0.4">
      <c r="A126" s="109" t="s">
        <v>608</v>
      </c>
      <c r="B126" s="109" t="s">
        <v>124</v>
      </c>
      <c r="C126" s="109" t="s">
        <v>1335</v>
      </c>
      <c r="D126" s="125" t="s">
        <v>1336</v>
      </c>
      <c r="E126" s="109" t="s">
        <v>835</v>
      </c>
      <c r="F126" s="109">
        <v>1</v>
      </c>
      <c r="G126" s="109" t="s">
        <v>754</v>
      </c>
      <c r="H126" s="109">
        <v>1</v>
      </c>
      <c r="I126" s="125"/>
      <c r="J126" s="109" t="s">
        <v>750</v>
      </c>
      <c r="K126" s="123">
        <v>46218</v>
      </c>
      <c r="L126" s="109" t="s">
        <v>979</v>
      </c>
    </row>
    <row r="127" spans="1:12" ht="29.15" x14ac:dyDescent="0.4">
      <c r="A127" s="109" t="s">
        <v>608</v>
      </c>
      <c r="B127" s="109" t="s">
        <v>124</v>
      </c>
      <c r="C127" s="109" t="s">
        <v>1335</v>
      </c>
      <c r="D127" s="125" t="s">
        <v>1336</v>
      </c>
      <c r="E127" s="109" t="s">
        <v>829</v>
      </c>
      <c r="F127" s="109">
        <v>1</v>
      </c>
      <c r="G127" s="109" t="s">
        <v>754</v>
      </c>
      <c r="H127" s="109">
        <v>1</v>
      </c>
      <c r="I127" s="125"/>
      <c r="J127" s="109" t="s">
        <v>750</v>
      </c>
      <c r="K127" s="123">
        <v>46218</v>
      </c>
      <c r="L127" s="109" t="s">
        <v>979</v>
      </c>
    </row>
    <row r="128" spans="1:12" ht="29.15" x14ac:dyDescent="0.4">
      <c r="A128" s="109" t="s">
        <v>608</v>
      </c>
      <c r="B128" s="109" t="s">
        <v>124</v>
      </c>
      <c r="C128" s="109" t="s">
        <v>1335</v>
      </c>
      <c r="D128" s="125" t="s">
        <v>1336</v>
      </c>
      <c r="E128" s="109" t="s">
        <v>833</v>
      </c>
      <c r="F128" s="109">
        <v>2</v>
      </c>
      <c r="G128" s="109" t="s">
        <v>754</v>
      </c>
      <c r="H128" s="109">
        <v>2</v>
      </c>
      <c r="I128" s="125"/>
      <c r="J128" s="109" t="s">
        <v>750</v>
      </c>
      <c r="K128" s="123">
        <v>46218</v>
      </c>
      <c r="L128" s="109" t="s">
        <v>979</v>
      </c>
    </row>
    <row r="129" spans="1:12" ht="29.15" x14ac:dyDescent="0.4">
      <c r="A129" s="109" t="s">
        <v>608</v>
      </c>
      <c r="B129" s="109" t="s">
        <v>124</v>
      </c>
      <c r="C129" s="109" t="s">
        <v>1338</v>
      </c>
      <c r="D129" s="125" t="s">
        <v>1339</v>
      </c>
      <c r="E129" s="109" t="s">
        <v>835</v>
      </c>
      <c r="F129" s="109">
        <v>3</v>
      </c>
      <c r="G129" s="109" t="s">
        <v>754</v>
      </c>
      <c r="H129" s="109">
        <v>3</v>
      </c>
      <c r="I129" s="125"/>
      <c r="J129" s="109" t="s">
        <v>750</v>
      </c>
      <c r="K129" s="123">
        <v>46218</v>
      </c>
      <c r="L129" s="109" t="s">
        <v>979</v>
      </c>
    </row>
    <row r="130" spans="1:12" ht="29.15" x14ac:dyDescent="0.4">
      <c r="A130" s="109" t="s">
        <v>608</v>
      </c>
      <c r="B130" s="109" t="s">
        <v>124</v>
      </c>
      <c r="C130" s="109" t="s">
        <v>1338</v>
      </c>
      <c r="D130" s="125" t="s">
        <v>1339</v>
      </c>
      <c r="E130" s="109" t="s">
        <v>829</v>
      </c>
      <c r="F130" s="109">
        <v>4</v>
      </c>
      <c r="G130" s="109" t="s">
        <v>754</v>
      </c>
      <c r="H130" s="109">
        <v>4</v>
      </c>
      <c r="I130" s="125"/>
      <c r="J130" s="109" t="s">
        <v>750</v>
      </c>
      <c r="K130" s="123">
        <v>46218</v>
      </c>
      <c r="L130" s="109" t="s">
        <v>979</v>
      </c>
    </row>
    <row r="131" spans="1:12" ht="29.15" x14ac:dyDescent="0.4">
      <c r="A131" s="109" t="s">
        <v>608</v>
      </c>
      <c r="B131" s="109" t="s">
        <v>124</v>
      </c>
      <c r="C131" s="109" t="s">
        <v>1338</v>
      </c>
      <c r="D131" s="125" t="s">
        <v>1339</v>
      </c>
      <c r="E131" s="109" t="s">
        <v>833</v>
      </c>
      <c r="F131" s="109">
        <v>12</v>
      </c>
      <c r="G131" s="109" t="s">
        <v>754</v>
      </c>
      <c r="H131" s="109">
        <v>12</v>
      </c>
      <c r="I131" s="125"/>
      <c r="J131" s="109" t="s">
        <v>750</v>
      </c>
      <c r="K131" s="123">
        <v>46218</v>
      </c>
      <c r="L131" s="109" t="s">
        <v>979</v>
      </c>
    </row>
    <row r="132" spans="1:12" x14ac:dyDescent="0.4">
      <c r="A132" s="109" t="s">
        <v>608</v>
      </c>
      <c r="B132" s="109" t="s">
        <v>124</v>
      </c>
      <c r="C132" s="109" t="s">
        <v>1341</v>
      </c>
      <c r="D132" s="125" t="s">
        <v>1342</v>
      </c>
      <c r="E132" s="109" t="s">
        <v>835</v>
      </c>
      <c r="F132" s="109">
        <v>24</v>
      </c>
      <c r="G132" s="109" t="s">
        <v>754</v>
      </c>
      <c r="H132" s="109">
        <v>24</v>
      </c>
      <c r="I132" s="125"/>
      <c r="J132" s="109" t="s">
        <v>750</v>
      </c>
      <c r="K132" s="123">
        <v>46218</v>
      </c>
      <c r="L132" s="109" t="s">
        <v>979</v>
      </c>
    </row>
    <row r="133" spans="1:12" x14ac:dyDescent="0.4">
      <c r="A133" s="109" t="s">
        <v>608</v>
      </c>
      <c r="B133" s="109" t="s">
        <v>124</v>
      </c>
      <c r="C133" s="109" t="s">
        <v>1341</v>
      </c>
      <c r="D133" s="125" t="s">
        <v>1342</v>
      </c>
      <c r="E133" s="109" t="s">
        <v>829</v>
      </c>
      <c r="F133" s="109">
        <v>20</v>
      </c>
      <c r="G133" s="109" t="s">
        <v>754</v>
      </c>
      <c r="H133" s="109">
        <v>20</v>
      </c>
      <c r="I133" s="125"/>
      <c r="J133" s="109" t="s">
        <v>750</v>
      </c>
      <c r="K133" s="123">
        <v>46218</v>
      </c>
      <c r="L133" s="109" t="s">
        <v>979</v>
      </c>
    </row>
    <row r="134" spans="1:12" x14ac:dyDescent="0.4">
      <c r="A134" s="109" t="s">
        <v>608</v>
      </c>
      <c r="B134" s="109" t="s">
        <v>124</v>
      </c>
      <c r="C134" s="109" t="s">
        <v>1341</v>
      </c>
      <c r="D134" s="125" t="s">
        <v>1342</v>
      </c>
      <c r="E134" s="109" t="s">
        <v>833</v>
      </c>
      <c r="F134" s="109">
        <v>50</v>
      </c>
      <c r="G134" s="109" t="s">
        <v>754</v>
      </c>
      <c r="H134" s="109">
        <v>50</v>
      </c>
      <c r="I134" s="125"/>
      <c r="J134" s="109" t="s">
        <v>750</v>
      </c>
      <c r="K134" s="123">
        <v>46218</v>
      </c>
      <c r="L134" s="109" t="s">
        <v>979</v>
      </c>
    </row>
    <row r="135" spans="1:12" x14ac:dyDescent="0.4">
      <c r="A135" s="109" t="s">
        <v>608</v>
      </c>
      <c r="B135" s="109" t="s">
        <v>124</v>
      </c>
      <c r="C135" s="109" t="s">
        <v>1346</v>
      </c>
      <c r="D135" s="125" t="s">
        <v>1347</v>
      </c>
      <c r="E135" s="109" t="s">
        <v>835</v>
      </c>
      <c r="F135" s="109">
        <v>6</v>
      </c>
      <c r="G135" s="109" t="s">
        <v>754</v>
      </c>
      <c r="H135" s="109">
        <v>6</v>
      </c>
      <c r="I135" s="125"/>
      <c r="J135" s="109" t="s">
        <v>750</v>
      </c>
      <c r="K135" s="123">
        <v>46218</v>
      </c>
      <c r="L135" s="109" t="s">
        <v>979</v>
      </c>
    </row>
    <row r="136" spans="1:12" x14ac:dyDescent="0.4">
      <c r="A136" s="109" t="s">
        <v>608</v>
      </c>
      <c r="B136" s="109" t="s">
        <v>124</v>
      </c>
      <c r="C136" s="109" t="s">
        <v>1346</v>
      </c>
      <c r="D136" s="125" t="s">
        <v>1347</v>
      </c>
      <c r="E136" s="109" t="s">
        <v>829</v>
      </c>
      <c r="F136" s="109">
        <v>5</v>
      </c>
      <c r="G136" s="109" t="s">
        <v>754</v>
      </c>
      <c r="H136" s="109">
        <v>5</v>
      </c>
      <c r="I136" s="125"/>
      <c r="J136" s="109" t="s">
        <v>750</v>
      </c>
      <c r="K136" s="123">
        <v>46218</v>
      </c>
      <c r="L136" s="109" t="s">
        <v>979</v>
      </c>
    </row>
    <row r="137" spans="1:12" x14ac:dyDescent="0.4">
      <c r="A137" s="109" t="s">
        <v>608</v>
      </c>
      <c r="B137" s="109" t="s">
        <v>124</v>
      </c>
      <c r="C137" s="109" t="s">
        <v>1346</v>
      </c>
      <c r="D137" s="125" t="s">
        <v>1347</v>
      </c>
      <c r="E137" s="109" t="s">
        <v>833</v>
      </c>
      <c r="F137" s="109">
        <v>15</v>
      </c>
      <c r="G137" s="109" t="s">
        <v>754</v>
      </c>
      <c r="H137" s="109">
        <v>15</v>
      </c>
      <c r="I137" s="125"/>
      <c r="J137" s="109" t="s">
        <v>750</v>
      </c>
      <c r="K137" s="123">
        <v>46218</v>
      </c>
      <c r="L137" s="109" t="s">
        <v>979</v>
      </c>
    </row>
    <row r="138" spans="1:12" ht="29.15" x14ac:dyDescent="0.4">
      <c r="A138" s="109" t="s">
        <v>608</v>
      </c>
      <c r="B138" s="109" t="s">
        <v>124</v>
      </c>
      <c r="C138" s="109" t="s">
        <v>1375</v>
      </c>
      <c r="D138" s="125" t="s">
        <v>1376</v>
      </c>
      <c r="E138" s="109" t="s">
        <v>835</v>
      </c>
      <c r="F138" s="109">
        <v>3.8</v>
      </c>
      <c r="G138" s="109" t="s">
        <v>754</v>
      </c>
      <c r="H138" s="109">
        <v>3.8</v>
      </c>
      <c r="I138" s="125"/>
      <c r="J138" s="109" t="s">
        <v>750</v>
      </c>
      <c r="K138" s="123">
        <v>46218</v>
      </c>
      <c r="L138" s="109" t="s">
        <v>979</v>
      </c>
    </row>
    <row r="139" spans="1:12" ht="29.15" x14ac:dyDescent="0.4">
      <c r="A139" s="109" t="s">
        <v>608</v>
      </c>
      <c r="B139" s="109" t="s">
        <v>124</v>
      </c>
      <c r="C139" s="109" t="s">
        <v>1375</v>
      </c>
      <c r="D139" s="125" t="s">
        <v>1376</v>
      </c>
      <c r="E139" s="109" t="s">
        <v>829</v>
      </c>
      <c r="F139" s="109">
        <v>2</v>
      </c>
      <c r="G139" s="109" t="s">
        <v>754</v>
      </c>
      <c r="H139" s="109">
        <v>2</v>
      </c>
      <c r="I139" s="125"/>
      <c r="J139" s="109" t="s">
        <v>750</v>
      </c>
      <c r="K139" s="123">
        <v>46218</v>
      </c>
      <c r="L139" s="109" t="s">
        <v>979</v>
      </c>
    </row>
    <row r="140" spans="1:12" ht="29.15" x14ac:dyDescent="0.4">
      <c r="A140" s="109" t="s">
        <v>608</v>
      </c>
      <c r="B140" s="109" t="s">
        <v>124</v>
      </c>
      <c r="C140" s="109" t="s">
        <v>1375</v>
      </c>
      <c r="D140" s="125" t="s">
        <v>1376</v>
      </c>
      <c r="E140" s="109" t="s">
        <v>833</v>
      </c>
      <c r="F140" s="109">
        <v>5</v>
      </c>
      <c r="G140" s="109" t="s">
        <v>754</v>
      </c>
      <c r="H140" s="109">
        <v>5</v>
      </c>
      <c r="I140" s="125"/>
      <c r="J140" s="109" t="s">
        <v>750</v>
      </c>
      <c r="K140" s="123">
        <v>46218</v>
      </c>
      <c r="L140" s="109" t="s">
        <v>979</v>
      </c>
    </row>
    <row r="141" spans="1:12" ht="29.15" x14ac:dyDescent="0.4">
      <c r="A141" s="109" t="s">
        <v>608</v>
      </c>
      <c r="B141" s="109" t="s">
        <v>124</v>
      </c>
      <c r="C141" s="109" t="s">
        <v>1379</v>
      </c>
      <c r="D141" s="125" t="s">
        <v>1380</v>
      </c>
      <c r="E141" s="109" t="s">
        <v>835</v>
      </c>
      <c r="F141" s="109">
        <v>11</v>
      </c>
      <c r="G141" s="109" t="s">
        <v>754</v>
      </c>
      <c r="H141" s="109">
        <v>11</v>
      </c>
      <c r="I141" s="125"/>
      <c r="J141" s="109" t="s">
        <v>750</v>
      </c>
      <c r="K141" s="123">
        <v>46218</v>
      </c>
      <c r="L141" s="109" t="s">
        <v>979</v>
      </c>
    </row>
    <row r="142" spans="1:12" ht="29.15" x14ac:dyDescent="0.4">
      <c r="A142" s="109" t="s">
        <v>608</v>
      </c>
      <c r="B142" s="109" t="s">
        <v>124</v>
      </c>
      <c r="C142" s="109" t="s">
        <v>1379</v>
      </c>
      <c r="D142" s="125" t="s">
        <v>1380</v>
      </c>
      <c r="E142" s="109" t="s">
        <v>829</v>
      </c>
      <c r="F142" s="109">
        <v>5</v>
      </c>
      <c r="G142" s="109" t="s">
        <v>754</v>
      </c>
      <c r="H142" s="109">
        <v>5</v>
      </c>
      <c r="I142" s="125"/>
      <c r="J142" s="109" t="s">
        <v>750</v>
      </c>
      <c r="K142" s="123">
        <v>46218</v>
      </c>
      <c r="L142" s="109" t="s">
        <v>979</v>
      </c>
    </row>
    <row r="143" spans="1:12" ht="29.15" x14ac:dyDescent="0.4">
      <c r="A143" s="109" t="s">
        <v>608</v>
      </c>
      <c r="B143" s="109" t="s">
        <v>124</v>
      </c>
      <c r="C143" s="109" t="s">
        <v>1379</v>
      </c>
      <c r="D143" s="125" t="s">
        <v>1380</v>
      </c>
      <c r="E143" s="109" t="s">
        <v>833</v>
      </c>
      <c r="F143" s="109">
        <v>15</v>
      </c>
      <c r="G143" s="109" t="s">
        <v>754</v>
      </c>
      <c r="H143" s="109">
        <v>15</v>
      </c>
      <c r="I143" s="125"/>
      <c r="J143" s="109" t="s">
        <v>750</v>
      </c>
      <c r="K143" s="123">
        <v>46218</v>
      </c>
      <c r="L143" s="109" t="s">
        <v>979</v>
      </c>
    </row>
    <row r="144" spans="1:12" ht="29.15" x14ac:dyDescent="0.4">
      <c r="A144" s="109" t="s">
        <v>608</v>
      </c>
      <c r="B144" s="109" t="s">
        <v>124</v>
      </c>
      <c r="C144" s="109" t="s">
        <v>1383</v>
      </c>
      <c r="D144" s="125" t="s">
        <v>1384</v>
      </c>
      <c r="E144" s="109" t="s">
        <v>835</v>
      </c>
      <c r="F144" s="109">
        <v>1.4</v>
      </c>
      <c r="G144" s="109" t="s">
        <v>754</v>
      </c>
      <c r="H144" s="109">
        <v>1.4</v>
      </c>
      <c r="I144" s="125"/>
      <c r="J144" s="109" t="s">
        <v>750</v>
      </c>
      <c r="K144" s="123">
        <v>46218</v>
      </c>
      <c r="L144" s="109" t="s">
        <v>979</v>
      </c>
    </row>
    <row r="145" spans="1:12" ht="29.15" x14ac:dyDescent="0.4">
      <c r="A145" s="109" t="s">
        <v>608</v>
      </c>
      <c r="B145" s="109" t="s">
        <v>124</v>
      </c>
      <c r="C145" s="109" t="s">
        <v>1383</v>
      </c>
      <c r="D145" s="125" t="s">
        <v>1384</v>
      </c>
      <c r="E145" s="109" t="s">
        <v>829</v>
      </c>
      <c r="F145" s="109"/>
      <c r="G145" s="109" t="s">
        <v>754</v>
      </c>
      <c r="H145" s="109"/>
      <c r="I145" s="125"/>
      <c r="J145" s="109" t="s">
        <v>750</v>
      </c>
      <c r="K145" s="123">
        <v>46218</v>
      </c>
      <c r="L145" s="109" t="s">
        <v>979</v>
      </c>
    </row>
    <row r="146" spans="1:12" ht="29.15" x14ac:dyDescent="0.4">
      <c r="A146" s="109" t="s">
        <v>608</v>
      </c>
      <c r="B146" s="109" t="s">
        <v>124</v>
      </c>
      <c r="C146" s="109" t="s">
        <v>1383</v>
      </c>
      <c r="D146" s="125" t="s">
        <v>1384</v>
      </c>
      <c r="E146" s="109" t="s">
        <v>833</v>
      </c>
      <c r="F146" s="109"/>
      <c r="G146" s="109" t="s">
        <v>754</v>
      </c>
      <c r="H146" s="109"/>
      <c r="I146" s="125"/>
      <c r="J146" s="109" t="s">
        <v>750</v>
      </c>
      <c r="K146" s="123">
        <v>46218</v>
      </c>
      <c r="L146" s="109" t="s">
        <v>979</v>
      </c>
    </row>
    <row r="147" spans="1:12" ht="29.15" x14ac:dyDescent="0.4">
      <c r="A147" s="109" t="s">
        <v>608</v>
      </c>
      <c r="B147" s="109" t="s">
        <v>124</v>
      </c>
      <c r="C147" s="109" t="s">
        <v>1387</v>
      </c>
      <c r="D147" s="125" t="s">
        <v>1388</v>
      </c>
      <c r="E147" s="109" t="s">
        <v>835</v>
      </c>
      <c r="F147" s="109">
        <v>60</v>
      </c>
      <c r="G147" s="109" t="s">
        <v>754</v>
      </c>
      <c r="H147" s="109">
        <v>60</v>
      </c>
      <c r="I147" s="125"/>
      <c r="J147" s="109" t="s">
        <v>750</v>
      </c>
      <c r="K147" s="123">
        <v>46218</v>
      </c>
      <c r="L147" s="109" t="s">
        <v>979</v>
      </c>
    </row>
    <row r="148" spans="1:12" ht="29.15" x14ac:dyDescent="0.4">
      <c r="A148" s="109" t="s">
        <v>608</v>
      </c>
      <c r="B148" s="109" t="s">
        <v>124</v>
      </c>
      <c r="C148" s="109" t="s">
        <v>1387</v>
      </c>
      <c r="D148" s="125" t="s">
        <v>1388</v>
      </c>
      <c r="E148" s="109" t="s">
        <v>829</v>
      </c>
      <c r="F148" s="109">
        <v>20</v>
      </c>
      <c r="G148" s="109" t="s">
        <v>754</v>
      </c>
      <c r="H148" s="109">
        <v>20</v>
      </c>
      <c r="I148" s="125"/>
      <c r="J148" s="109" t="s">
        <v>750</v>
      </c>
      <c r="K148" s="123">
        <v>46218</v>
      </c>
      <c r="L148" s="109" t="s">
        <v>979</v>
      </c>
    </row>
    <row r="149" spans="1:12" ht="29.15" x14ac:dyDescent="0.4">
      <c r="A149" s="109" t="s">
        <v>608</v>
      </c>
      <c r="B149" s="109" t="s">
        <v>124</v>
      </c>
      <c r="C149" s="109" t="s">
        <v>1387</v>
      </c>
      <c r="D149" s="125" t="s">
        <v>1388</v>
      </c>
      <c r="E149" s="109" t="s">
        <v>833</v>
      </c>
      <c r="F149" s="109">
        <v>50</v>
      </c>
      <c r="G149" s="109" t="s">
        <v>754</v>
      </c>
      <c r="H149" s="109">
        <v>50</v>
      </c>
      <c r="I149" s="125"/>
      <c r="J149" s="109" t="s">
        <v>750</v>
      </c>
      <c r="K149" s="123">
        <v>46218</v>
      </c>
      <c r="L149" s="109" t="s">
        <v>979</v>
      </c>
    </row>
    <row r="150" spans="1:12" ht="29.15" x14ac:dyDescent="0.4">
      <c r="A150" s="109" t="s">
        <v>608</v>
      </c>
      <c r="B150" s="109" t="s">
        <v>124</v>
      </c>
      <c r="C150" s="109" t="s">
        <v>1350</v>
      </c>
      <c r="D150" s="125" t="s">
        <v>1351</v>
      </c>
      <c r="E150" s="109" t="s">
        <v>835</v>
      </c>
      <c r="F150" s="109">
        <v>7</v>
      </c>
      <c r="G150" s="109" t="s">
        <v>754</v>
      </c>
      <c r="H150" s="109">
        <v>7</v>
      </c>
      <c r="I150" s="125"/>
      <c r="J150" s="109" t="s">
        <v>750</v>
      </c>
      <c r="K150" s="123">
        <v>46218</v>
      </c>
      <c r="L150" s="109" t="s">
        <v>979</v>
      </c>
    </row>
    <row r="151" spans="1:12" ht="29.15" x14ac:dyDescent="0.4">
      <c r="A151" s="109" t="s">
        <v>608</v>
      </c>
      <c r="B151" s="109" t="s">
        <v>124</v>
      </c>
      <c r="C151" s="109" t="s">
        <v>1350</v>
      </c>
      <c r="D151" s="125" t="s">
        <v>1351</v>
      </c>
      <c r="E151" s="109" t="s">
        <v>829</v>
      </c>
      <c r="F151" s="109">
        <v>3</v>
      </c>
      <c r="G151" s="109" t="s">
        <v>754</v>
      </c>
      <c r="H151" s="109">
        <v>3</v>
      </c>
      <c r="I151" s="125"/>
      <c r="J151" s="109" t="s">
        <v>750</v>
      </c>
      <c r="K151" s="123">
        <v>46218</v>
      </c>
      <c r="L151" s="109" t="s">
        <v>979</v>
      </c>
    </row>
    <row r="152" spans="1:12" ht="29.15" x14ac:dyDescent="0.4">
      <c r="A152" s="109" t="s">
        <v>608</v>
      </c>
      <c r="B152" s="109" t="s">
        <v>124</v>
      </c>
      <c r="C152" s="109" t="s">
        <v>1350</v>
      </c>
      <c r="D152" s="125" t="s">
        <v>1351</v>
      </c>
      <c r="E152" s="109" t="s">
        <v>833</v>
      </c>
      <c r="F152" s="109">
        <v>8</v>
      </c>
      <c r="G152" s="109" t="s">
        <v>754</v>
      </c>
      <c r="H152" s="109">
        <v>8</v>
      </c>
      <c r="I152" s="125"/>
      <c r="J152" s="109" t="s">
        <v>750</v>
      </c>
      <c r="K152" s="123">
        <v>46218</v>
      </c>
      <c r="L152" s="109" t="s">
        <v>979</v>
      </c>
    </row>
    <row r="153" spans="1:12" ht="29.15" x14ac:dyDescent="0.4">
      <c r="A153" s="109" t="s">
        <v>608</v>
      </c>
      <c r="B153" s="109" t="s">
        <v>124</v>
      </c>
      <c r="C153" s="109" t="s">
        <v>1354</v>
      </c>
      <c r="D153" s="125" t="s">
        <v>1355</v>
      </c>
      <c r="E153" s="109" t="s">
        <v>835</v>
      </c>
      <c r="F153" s="109">
        <v>5</v>
      </c>
      <c r="G153" s="109" t="s">
        <v>754</v>
      </c>
      <c r="H153" s="109">
        <v>5</v>
      </c>
      <c r="I153" s="125"/>
      <c r="J153" s="109" t="s">
        <v>750</v>
      </c>
      <c r="K153" s="123">
        <v>46218</v>
      </c>
      <c r="L153" s="109" t="s">
        <v>979</v>
      </c>
    </row>
    <row r="154" spans="1:12" ht="29.15" x14ac:dyDescent="0.4">
      <c r="A154" s="109" t="s">
        <v>608</v>
      </c>
      <c r="B154" s="109" t="s">
        <v>124</v>
      </c>
      <c r="C154" s="109" t="s">
        <v>1354</v>
      </c>
      <c r="D154" s="125" t="s">
        <v>1355</v>
      </c>
      <c r="E154" s="109" t="s">
        <v>829</v>
      </c>
      <c r="F154" s="109">
        <v>2</v>
      </c>
      <c r="G154" s="109" t="s">
        <v>754</v>
      </c>
      <c r="H154" s="109">
        <v>2</v>
      </c>
      <c r="I154" s="125"/>
      <c r="J154" s="109" t="s">
        <v>750</v>
      </c>
      <c r="K154" s="123">
        <v>46218</v>
      </c>
      <c r="L154" s="109" t="s">
        <v>979</v>
      </c>
    </row>
    <row r="155" spans="1:12" ht="29.15" x14ac:dyDescent="0.4">
      <c r="A155" s="109" t="s">
        <v>608</v>
      </c>
      <c r="B155" s="109" t="s">
        <v>124</v>
      </c>
      <c r="C155" s="109" t="s">
        <v>1354</v>
      </c>
      <c r="D155" s="125" t="s">
        <v>1355</v>
      </c>
      <c r="E155" s="109" t="s">
        <v>833</v>
      </c>
      <c r="F155" s="109">
        <v>6</v>
      </c>
      <c r="G155" s="109" t="s">
        <v>754</v>
      </c>
      <c r="H155" s="109">
        <v>6</v>
      </c>
      <c r="I155" s="125"/>
      <c r="J155" s="109" t="s">
        <v>750</v>
      </c>
      <c r="K155" s="123">
        <v>46218</v>
      </c>
      <c r="L155" s="109" t="s">
        <v>979</v>
      </c>
    </row>
    <row r="156" spans="1:12" ht="29.15" x14ac:dyDescent="0.4">
      <c r="A156" s="109" t="s">
        <v>608</v>
      </c>
      <c r="B156" s="109" t="s">
        <v>124</v>
      </c>
      <c r="C156" s="109" t="s">
        <v>1358</v>
      </c>
      <c r="D156" s="125" t="s">
        <v>1359</v>
      </c>
      <c r="E156" s="109" t="s">
        <v>835</v>
      </c>
      <c r="F156" s="109">
        <v>14</v>
      </c>
      <c r="G156" s="109" t="s">
        <v>754</v>
      </c>
      <c r="H156" s="109">
        <v>14</v>
      </c>
      <c r="I156" s="125"/>
      <c r="J156" s="109" t="s">
        <v>750</v>
      </c>
      <c r="K156" s="123">
        <v>46218</v>
      </c>
      <c r="L156" s="109" t="s">
        <v>979</v>
      </c>
    </row>
    <row r="157" spans="1:12" ht="29.15" x14ac:dyDescent="0.4">
      <c r="A157" s="109" t="s">
        <v>608</v>
      </c>
      <c r="B157" s="109" t="s">
        <v>124</v>
      </c>
      <c r="C157" s="109" t="s">
        <v>1358</v>
      </c>
      <c r="D157" s="125" t="s">
        <v>1359</v>
      </c>
      <c r="E157" s="109" t="s">
        <v>829</v>
      </c>
      <c r="F157" s="109">
        <v>10</v>
      </c>
      <c r="G157" s="109" t="s">
        <v>754</v>
      </c>
      <c r="H157" s="109">
        <v>10</v>
      </c>
      <c r="I157" s="125"/>
      <c r="J157" s="109" t="s">
        <v>750</v>
      </c>
      <c r="K157" s="123">
        <v>46218</v>
      </c>
      <c r="L157" s="109" t="s">
        <v>979</v>
      </c>
    </row>
    <row r="158" spans="1:12" ht="29.15" x14ac:dyDescent="0.4">
      <c r="A158" s="109" t="s">
        <v>608</v>
      </c>
      <c r="B158" s="109" t="s">
        <v>124</v>
      </c>
      <c r="C158" s="109" t="s">
        <v>1358</v>
      </c>
      <c r="D158" s="125" t="s">
        <v>1359</v>
      </c>
      <c r="E158" s="109" t="s">
        <v>833</v>
      </c>
      <c r="F158" s="109">
        <v>30</v>
      </c>
      <c r="G158" s="109" t="s">
        <v>754</v>
      </c>
      <c r="H158" s="109">
        <v>30</v>
      </c>
      <c r="I158" s="125"/>
      <c r="J158" s="109" t="s">
        <v>750</v>
      </c>
      <c r="K158" s="123">
        <v>46218</v>
      </c>
      <c r="L158" s="109" t="s">
        <v>979</v>
      </c>
    </row>
    <row r="159" spans="1:12" ht="29.15" x14ac:dyDescent="0.4">
      <c r="A159" s="109" t="s">
        <v>608</v>
      </c>
      <c r="B159" s="109" t="s">
        <v>124</v>
      </c>
      <c r="C159" s="109" t="s">
        <v>1362</v>
      </c>
      <c r="D159" s="125" t="s">
        <v>1363</v>
      </c>
      <c r="E159" s="109" t="s">
        <v>835</v>
      </c>
      <c r="F159" s="109">
        <v>5</v>
      </c>
      <c r="G159" s="109" t="s">
        <v>754</v>
      </c>
      <c r="H159" s="109">
        <v>5</v>
      </c>
      <c r="I159" s="125"/>
      <c r="J159" s="109" t="s">
        <v>750</v>
      </c>
      <c r="K159" s="123">
        <v>46218</v>
      </c>
      <c r="L159" s="109" t="s">
        <v>979</v>
      </c>
    </row>
    <row r="160" spans="1:12" ht="29.15" x14ac:dyDescent="0.4">
      <c r="A160" s="109" t="s">
        <v>608</v>
      </c>
      <c r="B160" s="109" t="s">
        <v>124</v>
      </c>
      <c r="C160" s="109" t="s">
        <v>1362</v>
      </c>
      <c r="D160" s="125" t="s">
        <v>1363</v>
      </c>
      <c r="E160" s="109" t="s">
        <v>829</v>
      </c>
      <c r="F160" s="109">
        <v>4</v>
      </c>
      <c r="G160" s="109" t="s">
        <v>754</v>
      </c>
      <c r="H160" s="109">
        <v>4</v>
      </c>
      <c r="I160" s="125"/>
      <c r="J160" s="109" t="s">
        <v>750</v>
      </c>
      <c r="K160" s="123">
        <v>46218</v>
      </c>
      <c r="L160" s="109" t="s">
        <v>979</v>
      </c>
    </row>
    <row r="161" spans="1:12" ht="29.15" x14ac:dyDescent="0.4">
      <c r="A161" s="109" t="s">
        <v>608</v>
      </c>
      <c r="B161" s="109" t="s">
        <v>124</v>
      </c>
      <c r="C161" s="109" t="s">
        <v>1362</v>
      </c>
      <c r="D161" s="125" t="s">
        <v>1363</v>
      </c>
      <c r="E161" s="109" t="s">
        <v>833</v>
      </c>
      <c r="F161" s="109">
        <v>12</v>
      </c>
      <c r="G161" s="109" t="s">
        <v>754</v>
      </c>
      <c r="H161" s="109">
        <v>12</v>
      </c>
      <c r="I161" s="125"/>
      <c r="J161" s="109" t="s">
        <v>750</v>
      </c>
      <c r="K161" s="123">
        <v>46218</v>
      </c>
      <c r="L161" s="109" t="s">
        <v>979</v>
      </c>
    </row>
    <row r="162" spans="1:12" ht="29.15" x14ac:dyDescent="0.4">
      <c r="A162" s="109" t="s">
        <v>608</v>
      </c>
      <c r="B162" s="109" t="s">
        <v>493</v>
      </c>
      <c r="C162" s="109" t="s">
        <v>792</v>
      </c>
      <c r="D162" s="125" t="s">
        <v>1232</v>
      </c>
      <c r="E162" s="109" t="s">
        <v>181</v>
      </c>
      <c r="F162" s="109" t="s">
        <v>557</v>
      </c>
      <c r="G162" s="109" t="s">
        <v>754</v>
      </c>
      <c r="H162" s="109" t="s">
        <v>557</v>
      </c>
      <c r="I162" s="125"/>
      <c r="J162" s="109" t="s">
        <v>750</v>
      </c>
      <c r="K162" s="123">
        <v>46218</v>
      </c>
      <c r="L162" s="109" t="s">
        <v>979</v>
      </c>
    </row>
    <row r="163" spans="1:12" ht="29.15" x14ac:dyDescent="0.4">
      <c r="A163" s="109" t="s">
        <v>608</v>
      </c>
      <c r="B163" s="109" t="s">
        <v>493</v>
      </c>
      <c r="C163" s="109" t="s">
        <v>792</v>
      </c>
      <c r="D163" s="125" t="s">
        <v>1232</v>
      </c>
      <c r="E163" s="109" t="s">
        <v>267</v>
      </c>
      <c r="F163" s="109" t="s">
        <v>798</v>
      </c>
      <c r="G163" s="109" t="s">
        <v>754</v>
      </c>
      <c r="H163" s="109" t="s">
        <v>798</v>
      </c>
      <c r="I163" s="125"/>
      <c r="J163" s="109" t="s">
        <v>750</v>
      </c>
      <c r="K163" s="123">
        <v>46218</v>
      </c>
      <c r="L163" s="109" t="s">
        <v>979</v>
      </c>
    </row>
    <row r="164" spans="1:12" ht="29.15" x14ac:dyDescent="0.4">
      <c r="A164" s="109" t="s">
        <v>608</v>
      </c>
      <c r="B164" s="109" t="s">
        <v>493</v>
      </c>
      <c r="C164" s="109" t="s">
        <v>1234</v>
      </c>
      <c r="D164" s="125" t="s">
        <v>1235</v>
      </c>
      <c r="E164" s="109" t="s">
        <v>181</v>
      </c>
      <c r="F164" s="109" t="s">
        <v>563</v>
      </c>
      <c r="G164" s="109" t="s">
        <v>754</v>
      </c>
      <c r="H164" s="109" t="s">
        <v>563</v>
      </c>
      <c r="I164" s="125"/>
      <c r="J164" s="109" t="s">
        <v>750</v>
      </c>
      <c r="K164" s="123">
        <v>46218</v>
      </c>
      <c r="L164" s="109" t="s">
        <v>979</v>
      </c>
    </row>
    <row r="165" spans="1:12" ht="29.15" x14ac:dyDescent="0.4">
      <c r="A165" s="109" t="s">
        <v>608</v>
      </c>
      <c r="B165" s="109" t="s">
        <v>493</v>
      </c>
      <c r="C165" s="109" t="s">
        <v>1234</v>
      </c>
      <c r="D165" s="125" t="s">
        <v>1235</v>
      </c>
      <c r="E165" s="109" t="s">
        <v>267</v>
      </c>
      <c r="F165" s="109" t="s">
        <v>1236</v>
      </c>
      <c r="G165" s="109" t="s">
        <v>754</v>
      </c>
      <c r="H165" s="109" t="s">
        <v>1236</v>
      </c>
      <c r="I165" s="125"/>
      <c r="J165" s="109" t="s">
        <v>750</v>
      </c>
      <c r="K165" s="123">
        <v>46218</v>
      </c>
      <c r="L165" s="109" t="s">
        <v>979</v>
      </c>
    </row>
    <row r="166" spans="1:12" ht="29.15" x14ac:dyDescent="0.4">
      <c r="A166" s="109" t="s">
        <v>608</v>
      </c>
      <c r="B166" s="109" t="s">
        <v>493</v>
      </c>
      <c r="C166" s="109" t="s">
        <v>1238</v>
      </c>
      <c r="D166" s="125" t="s">
        <v>1239</v>
      </c>
      <c r="E166" s="109" t="s">
        <v>181</v>
      </c>
      <c r="F166" s="109" t="s">
        <v>569</v>
      </c>
      <c r="G166" s="109" t="s">
        <v>754</v>
      </c>
      <c r="H166" s="109" t="s">
        <v>569</v>
      </c>
      <c r="I166" s="125"/>
      <c r="J166" s="109" t="s">
        <v>750</v>
      </c>
      <c r="K166" s="123">
        <v>46218</v>
      </c>
      <c r="L166" s="109" t="s">
        <v>979</v>
      </c>
    </row>
    <row r="167" spans="1:12" ht="29.15" x14ac:dyDescent="0.4">
      <c r="A167" s="109" t="s">
        <v>608</v>
      </c>
      <c r="B167" s="109" t="s">
        <v>493</v>
      </c>
      <c r="C167" s="109" t="s">
        <v>1238</v>
      </c>
      <c r="D167" s="125" t="s">
        <v>1239</v>
      </c>
      <c r="E167" s="109" t="s">
        <v>267</v>
      </c>
      <c r="F167" s="109" t="s">
        <v>798</v>
      </c>
      <c r="G167" s="109" t="s">
        <v>754</v>
      </c>
      <c r="H167" s="109" t="s">
        <v>798</v>
      </c>
      <c r="I167" s="125"/>
      <c r="J167" s="109" t="s">
        <v>750</v>
      </c>
      <c r="K167" s="123">
        <v>46218</v>
      </c>
      <c r="L167" s="109" t="s">
        <v>979</v>
      </c>
    </row>
    <row r="168" spans="1:12" ht="29.15" x14ac:dyDescent="0.4">
      <c r="A168" s="109" t="s">
        <v>608</v>
      </c>
      <c r="B168" s="109" t="s">
        <v>493</v>
      </c>
      <c r="C168" s="109" t="s">
        <v>1241</v>
      </c>
      <c r="D168" s="125" t="s">
        <v>1242</v>
      </c>
      <c r="E168" s="109" t="s">
        <v>181</v>
      </c>
      <c r="F168" s="109" t="s">
        <v>575</v>
      </c>
      <c r="G168" s="109" t="s">
        <v>754</v>
      </c>
      <c r="H168" s="109" t="s">
        <v>575</v>
      </c>
      <c r="I168" s="125"/>
      <c r="J168" s="109" t="s">
        <v>750</v>
      </c>
      <c r="K168" s="123">
        <v>46218</v>
      </c>
      <c r="L168" s="109" t="s">
        <v>979</v>
      </c>
    </row>
    <row r="169" spans="1:12" ht="29.15" x14ac:dyDescent="0.4">
      <c r="A169" s="109" t="s">
        <v>608</v>
      </c>
      <c r="B169" s="109" t="s">
        <v>493</v>
      </c>
      <c r="C169" s="109" t="s">
        <v>1241</v>
      </c>
      <c r="D169" s="125" t="s">
        <v>1242</v>
      </c>
      <c r="E169" s="109" t="s">
        <v>267</v>
      </c>
      <c r="F169" s="109" t="s">
        <v>1236</v>
      </c>
      <c r="G169" s="109" t="s">
        <v>754</v>
      </c>
      <c r="H169" s="109" t="s">
        <v>1236</v>
      </c>
      <c r="I169" s="125"/>
      <c r="J169" s="109" t="s">
        <v>750</v>
      </c>
      <c r="K169" s="123">
        <v>46218</v>
      </c>
      <c r="L169" s="109" t="s">
        <v>979</v>
      </c>
    </row>
    <row r="170" spans="1:12" ht="29.15" x14ac:dyDescent="0.4">
      <c r="A170" s="109" t="s">
        <v>608</v>
      </c>
      <c r="B170" s="109" t="s">
        <v>493</v>
      </c>
      <c r="C170" s="109" t="s">
        <v>1244</v>
      </c>
      <c r="D170" s="125" t="s">
        <v>1245</v>
      </c>
      <c r="E170" s="109" t="s">
        <v>181</v>
      </c>
      <c r="F170" s="109" t="s">
        <v>579</v>
      </c>
      <c r="G170" s="109" t="s">
        <v>1249</v>
      </c>
      <c r="H170" s="109"/>
      <c r="I170" s="125" t="s">
        <v>1501</v>
      </c>
      <c r="J170" s="109" t="s">
        <v>750</v>
      </c>
      <c r="K170" s="123">
        <v>46218</v>
      </c>
      <c r="L170" s="109" t="s">
        <v>979</v>
      </c>
    </row>
    <row r="171" spans="1:12" ht="29.15" x14ac:dyDescent="0.4">
      <c r="A171" s="109" t="s">
        <v>608</v>
      </c>
      <c r="B171" s="109" t="s">
        <v>493</v>
      </c>
      <c r="C171" s="109" t="s">
        <v>1244</v>
      </c>
      <c r="D171" s="125" t="s">
        <v>1245</v>
      </c>
      <c r="E171" s="109" t="s">
        <v>267</v>
      </c>
      <c r="F171" s="109" t="s">
        <v>1246</v>
      </c>
      <c r="G171" s="109" t="s">
        <v>1249</v>
      </c>
      <c r="H171" s="109"/>
      <c r="I171" s="125" t="s">
        <v>1501</v>
      </c>
      <c r="J171" s="109" t="s">
        <v>750</v>
      </c>
      <c r="K171" s="123">
        <v>46218</v>
      </c>
      <c r="L171" s="109" t="s">
        <v>979</v>
      </c>
    </row>
    <row r="172" spans="1:12" ht="29.15" x14ac:dyDescent="0.4">
      <c r="A172" s="109" t="s">
        <v>608</v>
      </c>
      <c r="B172" s="109" t="s">
        <v>493</v>
      </c>
      <c r="C172" s="109" t="s">
        <v>1250</v>
      </c>
      <c r="D172" s="125" t="s">
        <v>1251</v>
      </c>
      <c r="E172" s="109" t="s">
        <v>181</v>
      </c>
      <c r="F172" s="109" t="s">
        <v>584</v>
      </c>
      <c r="G172" s="109" t="s">
        <v>754</v>
      </c>
      <c r="H172" s="109" t="s">
        <v>584</v>
      </c>
      <c r="I172" s="125"/>
      <c r="J172" s="109" t="s">
        <v>750</v>
      </c>
      <c r="K172" s="123">
        <v>46218</v>
      </c>
      <c r="L172" s="109" t="s">
        <v>979</v>
      </c>
    </row>
    <row r="173" spans="1:12" ht="29.15" x14ac:dyDescent="0.4">
      <c r="A173" s="109" t="s">
        <v>608</v>
      </c>
      <c r="B173" s="109" t="s">
        <v>493</v>
      </c>
      <c r="C173" s="109" t="s">
        <v>1250</v>
      </c>
      <c r="D173" s="125" t="s">
        <v>1251</v>
      </c>
      <c r="E173" s="109" t="s">
        <v>267</v>
      </c>
      <c r="F173" s="109" t="s">
        <v>1246</v>
      </c>
      <c r="G173" s="109" t="s">
        <v>754</v>
      </c>
      <c r="H173" s="109" t="s">
        <v>1246</v>
      </c>
      <c r="I173" s="125"/>
      <c r="J173" s="109" t="s">
        <v>750</v>
      </c>
      <c r="K173" s="123">
        <v>46218</v>
      </c>
      <c r="L173" s="109" t="s">
        <v>979</v>
      </c>
    </row>
    <row r="174" spans="1:12" ht="29.15" x14ac:dyDescent="0.4">
      <c r="A174" s="109" t="s">
        <v>608</v>
      </c>
      <c r="B174" s="109" t="s">
        <v>493</v>
      </c>
      <c r="C174" s="109" t="s">
        <v>1253</v>
      </c>
      <c r="D174" s="125" t="s">
        <v>1254</v>
      </c>
      <c r="E174" s="109" t="s">
        <v>181</v>
      </c>
      <c r="F174" s="109" t="s">
        <v>563</v>
      </c>
      <c r="G174" s="109" t="s">
        <v>754</v>
      </c>
      <c r="H174" s="109" t="s">
        <v>563</v>
      </c>
      <c r="I174" s="125"/>
      <c r="J174" s="109" t="s">
        <v>750</v>
      </c>
      <c r="K174" s="123">
        <v>46218</v>
      </c>
      <c r="L174" s="109" t="s">
        <v>979</v>
      </c>
    </row>
    <row r="175" spans="1:12" ht="29.15" x14ac:dyDescent="0.4">
      <c r="A175" s="109" t="s">
        <v>608</v>
      </c>
      <c r="B175" s="109" t="s">
        <v>493</v>
      </c>
      <c r="C175" s="109" t="s">
        <v>1253</v>
      </c>
      <c r="D175" s="125" t="s">
        <v>1254</v>
      </c>
      <c r="E175" s="109" t="s">
        <v>267</v>
      </c>
      <c r="F175" s="109" t="s">
        <v>798</v>
      </c>
      <c r="G175" s="109" t="s">
        <v>754</v>
      </c>
      <c r="H175" s="109" t="s">
        <v>798</v>
      </c>
      <c r="I175" s="125"/>
      <c r="J175" s="109" t="s">
        <v>750</v>
      </c>
      <c r="K175" s="123">
        <v>46218</v>
      </c>
      <c r="L175" s="109" t="s">
        <v>979</v>
      </c>
    </row>
    <row r="176" spans="1:12" ht="29.15" x14ac:dyDescent="0.4">
      <c r="A176" s="109" t="s">
        <v>608</v>
      </c>
      <c r="B176" s="109" t="s">
        <v>493</v>
      </c>
      <c r="C176" s="109" t="s">
        <v>1256</v>
      </c>
      <c r="D176" s="125" t="s">
        <v>1257</v>
      </c>
      <c r="E176" s="109" t="s">
        <v>181</v>
      </c>
      <c r="F176" s="109" t="s">
        <v>584</v>
      </c>
      <c r="G176" s="109" t="s">
        <v>754</v>
      </c>
      <c r="H176" s="109" t="s">
        <v>584</v>
      </c>
      <c r="I176" s="125"/>
      <c r="J176" s="109" t="s">
        <v>750</v>
      </c>
      <c r="K176" s="123">
        <v>46218</v>
      </c>
      <c r="L176" s="109" t="s">
        <v>979</v>
      </c>
    </row>
    <row r="177" spans="1:12" ht="29.15" x14ac:dyDescent="0.4">
      <c r="A177" s="109" t="s">
        <v>608</v>
      </c>
      <c r="B177" s="109" t="s">
        <v>493</v>
      </c>
      <c r="C177" s="109" t="s">
        <v>1256</v>
      </c>
      <c r="D177" s="125" t="s">
        <v>1257</v>
      </c>
      <c r="E177" s="109" t="s">
        <v>267</v>
      </c>
      <c r="F177" s="109" t="s">
        <v>1246</v>
      </c>
      <c r="G177" s="109" t="s">
        <v>754</v>
      </c>
      <c r="H177" s="109" t="s">
        <v>1246</v>
      </c>
      <c r="I177" s="125"/>
      <c r="J177" s="109" t="s">
        <v>750</v>
      </c>
      <c r="K177" s="123">
        <v>46218</v>
      </c>
      <c r="L177" s="109" t="s">
        <v>979</v>
      </c>
    </row>
    <row r="178" spans="1:12" ht="29.15" x14ac:dyDescent="0.4">
      <c r="A178" s="109" t="s">
        <v>608</v>
      </c>
      <c r="B178" s="109" t="s">
        <v>493</v>
      </c>
      <c r="C178" s="109" t="s">
        <v>1259</v>
      </c>
      <c r="D178" s="125" t="s">
        <v>1260</v>
      </c>
      <c r="E178" s="109" t="s">
        <v>181</v>
      </c>
      <c r="F178" s="109" t="s">
        <v>569</v>
      </c>
      <c r="G178" s="109" t="s">
        <v>754</v>
      </c>
      <c r="H178" s="109" t="s">
        <v>569</v>
      </c>
      <c r="I178" s="125"/>
      <c r="J178" s="109" t="s">
        <v>750</v>
      </c>
      <c r="K178" s="123">
        <v>46218</v>
      </c>
      <c r="L178" s="109" t="s">
        <v>979</v>
      </c>
    </row>
    <row r="179" spans="1:12" ht="29.15" x14ac:dyDescent="0.4">
      <c r="A179" s="109" t="s">
        <v>608</v>
      </c>
      <c r="B179" s="109" t="s">
        <v>493</v>
      </c>
      <c r="C179" s="109" t="s">
        <v>1259</v>
      </c>
      <c r="D179" s="125" t="s">
        <v>1260</v>
      </c>
      <c r="E179" s="109" t="s">
        <v>267</v>
      </c>
      <c r="F179" s="109" t="s">
        <v>1236</v>
      </c>
      <c r="G179" s="109" t="s">
        <v>754</v>
      </c>
      <c r="H179" s="109" t="s">
        <v>1236</v>
      </c>
      <c r="I179" s="125"/>
      <c r="J179" s="109" t="s">
        <v>750</v>
      </c>
      <c r="K179" s="123">
        <v>46218</v>
      </c>
      <c r="L179" s="109" t="s">
        <v>979</v>
      </c>
    </row>
    <row r="180" spans="1:12" ht="29.15" x14ac:dyDescent="0.4">
      <c r="A180" s="109" t="s">
        <v>608</v>
      </c>
      <c r="B180" s="109" t="s">
        <v>493</v>
      </c>
      <c r="C180" s="109" t="s">
        <v>1262</v>
      </c>
      <c r="D180" s="125" t="s">
        <v>1263</v>
      </c>
      <c r="E180" s="109" t="s">
        <v>181</v>
      </c>
      <c r="F180" s="109" t="s">
        <v>601</v>
      </c>
      <c r="G180" s="109" t="s">
        <v>754</v>
      </c>
      <c r="H180" s="109" t="s">
        <v>601</v>
      </c>
      <c r="I180" s="125"/>
      <c r="J180" s="109" t="s">
        <v>750</v>
      </c>
      <c r="K180" s="123">
        <v>46218</v>
      </c>
      <c r="L180" s="109" t="s">
        <v>979</v>
      </c>
    </row>
    <row r="181" spans="1:12" ht="29.15" x14ac:dyDescent="0.4">
      <c r="A181" s="109" t="s">
        <v>608</v>
      </c>
      <c r="B181" s="109" t="s">
        <v>493</v>
      </c>
      <c r="C181" s="109" t="s">
        <v>1262</v>
      </c>
      <c r="D181" s="125" t="s">
        <v>1263</v>
      </c>
      <c r="E181" s="109" t="s">
        <v>267</v>
      </c>
      <c r="F181" s="109" t="s">
        <v>1246</v>
      </c>
      <c r="G181" s="109" t="s">
        <v>754</v>
      </c>
      <c r="H181" s="109" t="s">
        <v>1246</v>
      </c>
      <c r="I181" s="125"/>
      <c r="J181" s="109" t="s">
        <v>750</v>
      </c>
      <c r="K181" s="123">
        <v>46218</v>
      </c>
      <c r="L181" s="109" t="s">
        <v>979</v>
      </c>
    </row>
    <row r="182" spans="1:12" ht="29.15" x14ac:dyDescent="0.4">
      <c r="A182" s="109" t="s">
        <v>608</v>
      </c>
      <c r="B182" s="109" t="s">
        <v>493</v>
      </c>
      <c r="C182" s="109" t="s">
        <v>1265</v>
      </c>
      <c r="D182" s="125" t="s">
        <v>1266</v>
      </c>
      <c r="E182" s="109" t="s">
        <v>181</v>
      </c>
      <c r="F182" s="109" t="s">
        <v>606</v>
      </c>
      <c r="G182" s="109" t="s">
        <v>754</v>
      </c>
      <c r="H182" s="109" t="s">
        <v>606</v>
      </c>
      <c r="I182" s="125"/>
      <c r="J182" s="109" t="s">
        <v>750</v>
      </c>
      <c r="K182" s="123">
        <v>46218</v>
      </c>
      <c r="L182" s="109" t="s">
        <v>979</v>
      </c>
    </row>
    <row r="183" spans="1:12" ht="29.15" x14ac:dyDescent="0.4">
      <c r="A183" s="109" t="s">
        <v>608</v>
      </c>
      <c r="B183" s="109" t="s">
        <v>493</v>
      </c>
      <c r="C183" s="109" t="s">
        <v>1265</v>
      </c>
      <c r="D183" s="125" t="s">
        <v>1266</v>
      </c>
      <c r="E183" s="109" t="s">
        <v>267</v>
      </c>
      <c r="F183" s="109" t="s">
        <v>1236</v>
      </c>
      <c r="G183" s="109" t="s">
        <v>754</v>
      </c>
      <c r="H183" s="109" t="s">
        <v>1236</v>
      </c>
      <c r="I183" s="125"/>
      <c r="J183" s="109" t="s">
        <v>750</v>
      </c>
      <c r="K183" s="123">
        <v>46218</v>
      </c>
      <c r="L183" s="109" t="s">
        <v>979</v>
      </c>
    </row>
    <row r="184" spans="1:12" ht="29.15" x14ac:dyDescent="0.4">
      <c r="A184" s="109" t="s">
        <v>608</v>
      </c>
      <c r="B184" s="109" t="s">
        <v>493</v>
      </c>
      <c r="C184" s="109" t="s">
        <v>1268</v>
      </c>
      <c r="D184" s="125" t="s">
        <v>1269</v>
      </c>
      <c r="E184" s="109" t="s">
        <v>181</v>
      </c>
      <c r="F184" s="109" t="s">
        <v>579</v>
      </c>
      <c r="G184" s="109" t="s">
        <v>754</v>
      </c>
      <c r="H184" s="109" t="s">
        <v>579</v>
      </c>
      <c r="I184" s="125"/>
      <c r="J184" s="109" t="s">
        <v>750</v>
      </c>
      <c r="K184" s="123">
        <v>46218</v>
      </c>
      <c r="L184" s="109" t="s">
        <v>979</v>
      </c>
    </row>
    <row r="185" spans="1:12" ht="29.15" x14ac:dyDescent="0.4">
      <c r="A185" s="109" t="s">
        <v>608</v>
      </c>
      <c r="B185" s="109" t="s">
        <v>493</v>
      </c>
      <c r="C185" s="109" t="s">
        <v>1268</v>
      </c>
      <c r="D185" s="125" t="s">
        <v>1269</v>
      </c>
      <c r="E185" s="109" t="s">
        <v>267</v>
      </c>
      <c r="F185" s="109" t="s">
        <v>1246</v>
      </c>
      <c r="G185" s="109" t="s">
        <v>754</v>
      </c>
      <c r="H185" s="109" t="s">
        <v>1246</v>
      </c>
      <c r="I185" s="125"/>
      <c r="J185" s="109" t="s">
        <v>750</v>
      </c>
      <c r="K185" s="123">
        <v>46218</v>
      </c>
      <c r="L185" s="109" t="s">
        <v>979</v>
      </c>
    </row>
    <row r="186" spans="1:12" x14ac:dyDescent="0.4">
      <c r="A186" s="109" t="s">
        <v>1502</v>
      </c>
      <c r="B186" s="109" t="s">
        <v>540</v>
      </c>
      <c r="C186" s="109" t="s">
        <v>1411</v>
      </c>
      <c r="D186" s="125" t="s">
        <v>1412</v>
      </c>
      <c r="E186" s="109" t="s">
        <v>879</v>
      </c>
      <c r="F186" s="109" t="s">
        <v>560</v>
      </c>
      <c r="G186" s="109" t="s">
        <v>754</v>
      </c>
      <c r="H186" s="109" t="s">
        <v>560</v>
      </c>
      <c r="I186" s="125"/>
      <c r="J186" s="109" t="s">
        <v>750</v>
      </c>
      <c r="K186" s="123">
        <v>46169</v>
      </c>
      <c r="L186" s="109" t="s">
        <v>979</v>
      </c>
    </row>
    <row r="187" spans="1:12" x14ac:dyDescent="0.4">
      <c r="A187" s="109" t="s">
        <v>1502</v>
      </c>
      <c r="B187" s="109" t="s">
        <v>540</v>
      </c>
      <c r="C187" s="109" t="s">
        <v>1411</v>
      </c>
      <c r="D187" s="125" t="s">
        <v>1412</v>
      </c>
      <c r="E187" s="109" t="s">
        <v>544</v>
      </c>
      <c r="F187" s="109" t="s">
        <v>884</v>
      </c>
      <c r="G187" s="109" t="s">
        <v>754</v>
      </c>
      <c r="H187" s="109" t="s">
        <v>884</v>
      </c>
      <c r="I187" s="125"/>
      <c r="J187" s="109" t="s">
        <v>750</v>
      </c>
      <c r="K187" s="123">
        <v>46169</v>
      </c>
      <c r="L187" s="109" t="s">
        <v>979</v>
      </c>
    </row>
    <row r="188" spans="1:12" ht="29.15" x14ac:dyDescent="0.4">
      <c r="A188" s="109" t="s">
        <v>1503</v>
      </c>
      <c r="B188" s="109" t="s">
        <v>540</v>
      </c>
      <c r="C188" s="109" t="s">
        <v>871</v>
      </c>
      <c r="D188" s="125" t="s">
        <v>1416</v>
      </c>
      <c r="E188" s="109" t="s">
        <v>879</v>
      </c>
      <c r="F188" s="109" t="s">
        <v>554</v>
      </c>
      <c r="G188" s="109" t="s">
        <v>754</v>
      </c>
      <c r="H188" s="109" t="s">
        <v>554</v>
      </c>
      <c r="I188" s="125"/>
      <c r="J188" s="109" t="s">
        <v>750</v>
      </c>
      <c r="K188" s="123">
        <v>46190</v>
      </c>
      <c r="L188" s="109" t="s">
        <v>979</v>
      </c>
    </row>
    <row r="189" spans="1:12" ht="29.15" x14ac:dyDescent="0.4">
      <c r="A189" s="109" t="s">
        <v>1503</v>
      </c>
      <c r="B189" s="109" t="s">
        <v>540</v>
      </c>
      <c r="C189" s="109" t="s">
        <v>871</v>
      </c>
      <c r="D189" s="125" t="s">
        <v>1416</v>
      </c>
      <c r="E189" s="109" t="s">
        <v>544</v>
      </c>
      <c r="F189" s="109" t="s">
        <v>884</v>
      </c>
      <c r="G189" s="109" t="s">
        <v>754</v>
      </c>
      <c r="H189" s="109" t="s">
        <v>884</v>
      </c>
      <c r="I189" s="125"/>
      <c r="J189" s="109" t="s">
        <v>750</v>
      </c>
      <c r="K189" s="123">
        <v>46190</v>
      </c>
      <c r="L189" s="109" t="s">
        <v>979</v>
      </c>
    </row>
    <row r="190" spans="1:12" ht="29.15" x14ac:dyDescent="0.4">
      <c r="A190" s="109" t="s">
        <v>1503</v>
      </c>
      <c r="B190" s="109" t="s">
        <v>540</v>
      </c>
      <c r="C190" s="109" t="s">
        <v>1418</v>
      </c>
      <c r="D190" s="125" t="s">
        <v>1419</v>
      </c>
      <c r="E190" s="109" t="s">
        <v>879</v>
      </c>
      <c r="F190" s="109" t="s">
        <v>576</v>
      </c>
      <c r="G190" s="109" t="s">
        <v>754</v>
      </c>
      <c r="H190" s="109" t="s">
        <v>576</v>
      </c>
      <c r="I190" s="125"/>
      <c r="J190" s="109" t="s">
        <v>750</v>
      </c>
      <c r="K190" s="123">
        <v>46190</v>
      </c>
      <c r="L190" s="109" t="s">
        <v>979</v>
      </c>
    </row>
    <row r="191" spans="1:12" ht="29.15" x14ac:dyDescent="0.4">
      <c r="A191" s="109" t="s">
        <v>1503</v>
      </c>
      <c r="B191" s="109" t="s">
        <v>540</v>
      </c>
      <c r="C191" s="109" t="s">
        <v>1418</v>
      </c>
      <c r="D191" s="125" t="s">
        <v>1419</v>
      </c>
      <c r="E191" s="109" t="s">
        <v>544</v>
      </c>
      <c r="F191" s="109" t="s">
        <v>1422</v>
      </c>
      <c r="G191" s="109" t="s">
        <v>754</v>
      </c>
      <c r="H191" s="109" t="s">
        <v>1422</v>
      </c>
      <c r="I191" s="125"/>
      <c r="J191" s="109" t="s">
        <v>750</v>
      </c>
      <c r="K191" s="123">
        <v>46190</v>
      </c>
      <c r="L191" s="109" t="s">
        <v>979</v>
      </c>
    </row>
    <row r="192" spans="1:12" ht="29.15" x14ac:dyDescent="0.4">
      <c r="A192" s="109" t="s">
        <v>1503</v>
      </c>
      <c r="B192" s="109" t="s">
        <v>540</v>
      </c>
      <c r="C192" s="109" t="s">
        <v>1424</v>
      </c>
      <c r="D192" s="125" t="s">
        <v>1425</v>
      </c>
      <c r="E192" s="109" t="s">
        <v>879</v>
      </c>
      <c r="F192" s="109" t="s">
        <v>560</v>
      </c>
      <c r="G192" s="109" t="s">
        <v>754</v>
      </c>
      <c r="H192" s="109" t="s">
        <v>560</v>
      </c>
      <c r="I192" s="125"/>
      <c r="J192" s="109" t="s">
        <v>750</v>
      </c>
      <c r="K192" s="123">
        <v>46190</v>
      </c>
      <c r="L192" s="109" t="s">
        <v>979</v>
      </c>
    </row>
    <row r="193" spans="1:12" ht="29.15" x14ac:dyDescent="0.4">
      <c r="A193" s="109" t="s">
        <v>1503</v>
      </c>
      <c r="B193" s="109" t="s">
        <v>540</v>
      </c>
      <c r="C193" s="109" t="s">
        <v>1424</v>
      </c>
      <c r="D193" s="125" t="s">
        <v>1425</v>
      </c>
      <c r="E193" s="109" t="s">
        <v>544</v>
      </c>
      <c r="F193" s="109" t="s">
        <v>1422</v>
      </c>
      <c r="G193" s="109" t="s">
        <v>754</v>
      </c>
      <c r="H193" s="109" t="s">
        <v>1422</v>
      </c>
      <c r="I193" s="125"/>
      <c r="J193" s="109" t="s">
        <v>750</v>
      </c>
      <c r="K193" s="123">
        <v>46190</v>
      </c>
      <c r="L193" s="109" t="s">
        <v>979</v>
      </c>
    </row>
    <row r="194" spans="1:12" x14ac:dyDescent="0.4">
      <c r="A194" s="109" t="s">
        <v>1504</v>
      </c>
      <c r="B194" s="109" t="s">
        <v>540</v>
      </c>
      <c r="C194" s="109" t="s">
        <v>1428</v>
      </c>
      <c r="D194" s="125" t="s">
        <v>1429</v>
      </c>
      <c r="E194" s="109" t="s">
        <v>879</v>
      </c>
      <c r="F194" s="109" t="s">
        <v>554</v>
      </c>
      <c r="G194" s="109" t="s">
        <v>754</v>
      </c>
      <c r="H194" s="109" t="s">
        <v>554</v>
      </c>
      <c r="I194" s="125"/>
      <c r="J194" s="109" t="s">
        <v>750</v>
      </c>
      <c r="K194" s="123">
        <v>46197</v>
      </c>
      <c r="L194" s="109" t="s">
        <v>979</v>
      </c>
    </row>
    <row r="195" spans="1:12" x14ac:dyDescent="0.4">
      <c r="A195" s="109" t="s">
        <v>1504</v>
      </c>
      <c r="B195" s="109" t="s">
        <v>540</v>
      </c>
      <c r="C195" s="109" t="s">
        <v>1428</v>
      </c>
      <c r="D195" s="125" t="s">
        <v>1429</v>
      </c>
      <c r="E195" s="109" t="s">
        <v>544</v>
      </c>
      <c r="F195" s="109" t="s">
        <v>884</v>
      </c>
      <c r="G195" s="109" t="s">
        <v>754</v>
      </c>
      <c r="H195" s="109" t="s">
        <v>884</v>
      </c>
      <c r="I195" s="125"/>
      <c r="J195" s="109" t="s">
        <v>750</v>
      </c>
      <c r="K195" s="123">
        <v>46197</v>
      </c>
      <c r="L195" s="109" t="s">
        <v>979</v>
      </c>
    </row>
    <row r="196" spans="1:12" ht="29.15" x14ac:dyDescent="0.4">
      <c r="A196" s="109" t="s">
        <v>1504</v>
      </c>
      <c r="B196" s="109" t="s">
        <v>540</v>
      </c>
      <c r="C196" s="109" t="s">
        <v>1433</v>
      </c>
      <c r="D196" s="125" t="s">
        <v>1434</v>
      </c>
      <c r="E196" s="109" t="s">
        <v>879</v>
      </c>
      <c r="F196" s="109" t="s">
        <v>576</v>
      </c>
      <c r="G196" s="109" t="s">
        <v>754</v>
      </c>
      <c r="H196" s="109" t="s">
        <v>576</v>
      </c>
      <c r="I196" s="125"/>
      <c r="J196" s="109" t="s">
        <v>750</v>
      </c>
      <c r="K196" s="123">
        <v>46197</v>
      </c>
      <c r="L196" s="109" t="s">
        <v>979</v>
      </c>
    </row>
    <row r="197" spans="1:12" ht="29.15" x14ac:dyDescent="0.4">
      <c r="A197" s="109" t="s">
        <v>1504</v>
      </c>
      <c r="B197" s="109" t="s">
        <v>540</v>
      </c>
      <c r="C197" s="109" t="s">
        <v>1433</v>
      </c>
      <c r="D197" s="125" t="s">
        <v>1434</v>
      </c>
      <c r="E197" s="109" t="s">
        <v>544</v>
      </c>
      <c r="F197" s="109" t="s">
        <v>1422</v>
      </c>
      <c r="G197" s="109" t="s">
        <v>754</v>
      </c>
      <c r="H197" s="109" t="s">
        <v>1422</v>
      </c>
      <c r="I197" s="125"/>
      <c r="J197" s="109" t="s">
        <v>750</v>
      </c>
      <c r="K197" s="123">
        <v>46197</v>
      </c>
      <c r="L197" s="109" t="s">
        <v>979</v>
      </c>
    </row>
    <row r="198" spans="1:12" x14ac:dyDescent="0.4">
      <c r="A198" s="109" t="s">
        <v>1504</v>
      </c>
      <c r="B198" s="109" t="s">
        <v>540</v>
      </c>
      <c r="C198" s="109" t="s">
        <v>1438</v>
      </c>
      <c r="D198" s="125" t="s">
        <v>1439</v>
      </c>
      <c r="E198" s="109" t="s">
        <v>879</v>
      </c>
      <c r="F198" s="109" t="s">
        <v>572</v>
      </c>
      <c r="G198" s="109" t="s">
        <v>754</v>
      </c>
      <c r="H198" s="109" t="s">
        <v>572</v>
      </c>
      <c r="I198" s="125"/>
      <c r="J198" s="109" t="s">
        <v>750</v>
      </c>
      <c r="K198" s="123">
        <v>46197</v>
      </c>
      <c r="L198" s="109" t="s">
        <v>979</v>
      </c>
    </row>
    <row r="199" spans="1:12" x14ac:dyDescent="0.4">
      <c r="A199" s="109" t="s">
        <v>1504</v>
      </c>
      <c r="B199" s="109" t="s">
        <v>540</v>
      </c>
      <c r="C199" s="109" t="s">
        <v>1438</v>
      </c>
      <c r="D199" s="125" t="s">
        <v>1439</v>
      </c>
      <c r="E199" s="109" t="s">
        <v>544</v>
      </c>
      <c r="F199" s="109" t="s">
        <v>1442</v>
      </c>
      <c r="G199" s="109" t="s">
        <v>754</v>
      </c>
      <c r="H199" s="109" t="s">
        <v>1442</v>
      </c>
      <c r="I199" s="125"/>
      <c r="J199" s="109" t="s">
        <v>750</v>
      </c>
      <c r="K199" s="123">
        <v>46197</v>
      </c>
      <c r="L199" s="109" t="s">
        <v>979</v>
      </c>
    </row>
    <row r="200" spans="1:12" x14ac:dyDescent="0.4">
      <c r="A200" s="109" t="s">
        <v>1505</v>
      </c>
      <c r="B200" s="109" t="s">
        <v>540</v>
      </c>
      <c r="C200" s="109" t="s">
        <v>1444</v>
      </c>
      <c r="D200" s="125" t="s">
        <v>1445</v>
      </c>
      <c r="E200" s="109" t="s">
        <v>879</v>
      </c>
      <c r="F200" s="109" t="s">
        <v>560</v>
      </c>
      <c r="G200" s="109" t="s">
        <v>754</v>
      </c>
      <c r="H200" s="109" t="s">
        <v>560</v>
      </c>
      <c r="I200" s="125"/>
      <c r="J200" s="109" t="s">
        <v>750</v>
      </c>
      <c r="K200" s="123">
        <v>46204</v>
      </c>
      <c r="L200" s="109" t="s">
        <v>979</v>
      </c>
    </row>
    <row r="201" spans="1:12" x14ac:dyDescent="0.4">
      <c r="A201" s="109" t="s">
        <v>1505</v>
      </c>
      <c r="B201" s="109" t="s">
        <v>540</v>
      </c>
      <c r="C201" s="109" t="s">
        <v>1444</v>
      </c>
      <c r="D201" s="125" t="s">
        <v>1445</v>
      </c>
      <c r="E201" s="109" t="s">
        <v>544</v>
      </c>
      <c r="F201" s="109" t="s">
        <v>884</v>
      </c>
      <c r="G201" s="109" t="s">
        <v>754</v>
      </c>
      <c r="H201" s="109" t="s">
        <v>884</v>
      </c>
      <c r="I201" s="125"/>
      <c r="J201" s="109" t="s">
        <v>750</v>
      </c>
      <c r="K201" s="123">
        <v>46204</v>
      </c>
      <c r="L201" s="109" t="s">
        <v>979</v>
      </c>
    </row>
    <row r="202" spans="1:12" x14ac:dyDescent="0.4">
      <c r="A202" s="109" t="s">
        <v>1505</v>
      </c>
      <c r="B202" s="109" t="s">
        <v>540</v>
      </c>
      <c r="C202" s="109" t="s">
        <v>1447</v>
      </c>
      <c r="D202" s="125" t="s">
        <v>1448</v>
      </c>
      <c r="E202" s="109" t="s">
        <v>879</v>
      </c>
      <c r="F202" s="109" t="s">
        <v>554</v>
      </c>
      <c r="G202" s="109" t="s">
        <v>754</v>
      </c>
      <c r="H202" s="109" t="s">
        <v>554</v>
      </c>
      <c r="I202" s="125"/>
      <c r="J202" s="109" t="s">
        <v>750</v>
      </c>
      <c r="K202" s="123">
        <v>46204</v>
      </c>
      <c r="L202" s="109" t="s">
        <v>979</v>
      </c>
    </row>
    <row r="203" spans="1:12" x14ac:dyDescent="0.4">
      <c r="A203" s="109" t="s">
        <v>1505</v>
      </c>
      <c r="B203" s="109" t="s">
        <v>540</v>
      </c>
      <c r="C203" s="109" t="s">
        <v>1447</v>
      </c>
      <c r="D203" s="125" t="s">
        <v>1448</v>
      </c>
      <c r="E203" s="109" t="s">
        <v>544</v>
      </c>
      <c r="F203" s="109" t="s">
        <v>884</v>
      </c>
      <c r="G203" s="109" t="s">
        <v>754</v>
      </c>
      <c r="H203" s="109" t="s">
        <v>884</v>
      </c>
      <c r="I203" s="125"/>
      <c r="J203" s="109" t="s">
        <v>750</v>
      </c>
      <c r="K203" s="123">
        <v>46204</v>
      </c>
      <c r="L203" s="109" t="s">
        <v>979</v>
      </c>
    </row>
    <row r="204" spans="1:12" x14ac:dyDescent="0.4">
      <c r="A204" s="109" t="s">
        <v>1505</v>
      </c>
      <c r="B204" s="109" t="s">
        <v>540</v>
      </c>
      <c r="C204" s="109" t="s">
        <v>1452</v>
      </c>
      <c r="D204" s="125" t="s">
        <v>1453</v>
      </c>
      <c r="E204" s="109" t="s">
        <v>879</v>
      </c>
      <c r="F204" s="109" t="s">
        <v>576</v>
      </c>
      <c r="G204" s="109" t="s">
        <v>754</v>
      </c>
      <c r="H204" s="109" t="s">
        <v>576</v>
      </c>
      <c r="I204" s="125"/>
      <c r="J204" s="109" t="s">
        <v>750</v>
      </c>
      <c r="K204" s="123">
        <v>46204</v>
      </c>
      <c r="L204" s="109" t="s">
        <v>979</v>
      </c>
    </row>
    <row r="205" spans="1:12" x14ac:dyDescent="0.4">
      <c r="A205" s="109" t="s">
        <v>1505</v>
      </c>
      <c r="B205" s="109" t="s">
        <v>540</v>
      </c>
      <c r="C205" s="109" t="s">
        <v>1452</v>
      </c>
      <c r="D205" s="125" t="s">
        <v>1453</v>
      </c>
      <c r="E205" s="109" t="s">
        <v>544</v>
      </c>
      <c r="F205" s="109" t="s">
        <v>1422</v>
      </c>
      <c r="G205" s="109" t="s">
        <v>754</v>
      </c>
      <c r="H205" s="109" t="s">
        <v>1422</v>
      </c>
      <c r="I205" s="125"/>
      <c r="J205" s="109" t="s">
        <v>750</v>
      </c>
      <c r="K205" s="123">
        <v>46204</v>
      </c>
      <c r="L205" s="109" t="s">
        <v>979</v>
      </c>
    </row>
    <row r="206" spans="1:12" ht="29.15" x14ac:dyDescent="0.4">
      <c r="A206" s="129" t="s">
        <v>1506</v>
      </c>
      <c r="B206" s="129" t="s">
        <v>18</v>
      </c>
      <c r="C206" s="129" t="s">
        <v>554</v>
      </c>
      <c r="D206" s="130" t="s">
        <v>555</v>
      </c>
      <c r="E206" s="129" t="s">
        <v>203</v>
      </c>
      <c r="F206" s="109">
        <v>4</v>
      </c>
      <c r="G206" s="129" t="s">
        <v>754</v>
      </c>
      <c r="H206" s="109">
        <v>4</v>
      </c>
      <c r="I206" s="125"/>
      <c r="J206" s="129" t="s">
        <v>750</v>
      </c>
      <c r="K206" s="123">
        <v>46303</v>
      </c>
      <c r="L206" s="129" t="s">
        <v>979</v>
      </c>
    </row>
    <row r="207" spans="1:12" ht="29.15" x14ac:dyDescent="0.4">
      <c r="A207" s="129" t="s">
        <v>1506</v>
      </c>
      <c r="B207" s="129" t="s">
        <v>18</v>
      </c>
      <c r="C207" s="129" t="s">
        <v>554</v>
      </c>
      <c r="D207" s="130" t="s">
        <v>555</v>
      </c>
      <c r="E207" s="129" t="s">
        <v>300</v>
      </c>
      <c r="F207" s="109">
        <v>5</v>
      </c>
      <c r="G207" s="129" t="s">
        <v>754</v>
      </c>
      <c r="H207" s="109">
        <v>5</v>
      </c>
      <c r="I207" s="125"/>
      <c r="J207" s="129" t="s">
        <v>750</v>
      </c>
      <c r="K207" s="123">
        <v>46303</v>
      </c>
      <c r="L207" s="129" t="s">
        <v>979</v>
      </c>
    </row>
    <row r="208" spans="1:12" ht="29.15" x14ac:dyDescent="0.4">
      <c r="A208" s="129" t="s">
        <v>1506</v>
      </c>
      <c r="B208" s="129" t="s">
        <v>18</v>
      </c>
      <c r="C208" s="129" t="s">
        <v>554</v>
      </c>
      <c r="D208" s="130" t="s">
        <v>555</v>
      </c>
      <c r="E208" s="129" t="s">
        <v>206</v>
      </c>
      <c r="F208" s="109">
        <v>4</v>
      </c>
      <c r="G208" s="129" t="s">
        <v>754</v>
      </c>
      <c r="H208" s="109">
        <v>4</v>
      </c>
      <c r="I208" s="125"/>
      <c r="J208" s="129" t="s">
        <v>750</v>
      </c>
      <c r="K208" s="123">
        <v>46303</v>
      </c>
      <c r="L208" s="129" t="s">
        <v>979</v>
      </c>
    </row>
    <row r="209" spans="1:12" ht="29.15" x14ac:dyDescent="0.4">
      <c r="A209" s="129" t="s">
        <v>1506</v>
      </c>
      <c r="B209" s="129" t="s">
        <v>18</v>
      </c>
      <c r="C209" s="129" t="s">
        <v>554</v>
      </c>
      <c r="D209" s="130" t="s">
        <v>555</v>
      </c>
      <c r="E209" s="129" t="s">
        <v>204</v>
      </c>
      <c r="F209" s="109">
        <v>4</v>
      </c>
      <c r="G209" s="129" t="s">
        <v>754</v>
      </c>
      <c r="H209" s="109">
        <v>4</v>
      </c>
      <c r="I209" s="125"/>
      <c r="J209" s="129" t="s">
        <v>750</v>
      </c>
      <c r="K209" s="123">
        <v>46303</v>
      </c>
      <c r="L209" s="129" t="s">
        <v>979</v>
      </c>
    </row>
    <row r="210" spans="1:12" ht="29.15" x14ac:dyDescent="0.4">
      <c r="A210" s="129" t="s">
        <v>1506</v>
      </c>
      <c r="B210" s="129" t="s">
        <v>18</v>
      </c>
      <c r="C210" s="129" t="s">
        <v>554</v>
      </c>
      <c r="D210" s="130" t="s">
        <v>555</v>
      </c>
      <c r="E210" s="129" t="s">
        <v>551</v>
      </c>
      <c r="F210" s="109"/>
      <c r="G210" s="129" t="s">
        <v>754</v>
      </c>
      <c r="H210" s="109"/>
      <c r="I210" s="125"/>
      <c r="J210" s="129" t="s">
        <v>750</v>
      </c>
      <c r="K210" s="123">
        <v>46303</v>
      </c>
      <c r="L210" s="129" t="s">
        <v>979</v>
      </c>
    </row>
    <row r="211" spans="1:12" ht="29.15" x14ac:dyDescent="0.4">
      <c r="A211" s="129" t="s">
        <v>1506</v>
      </c>
      <c r="B211" s="129" t="s">
        <v>18</v>
      </c>
      <c r="C211" s="129" t="s">
        <v>554</v>
      </c>
      <c r="D211" s="130" t="s">
        <v>555</v>
      </c>
      <c r="E211" s="129" t="s">
        <v>773</v>
      </c>
      <c r="F211" s="129" t="s">
        <v>777</v>
      </c>
      <c r="G211" s="129" t="s">
        <v>754</v>
      </c>
      <c r="H211" s="129" t="s">
        <v>777</v>
      </c>
      <c r="I211" s="125"/>
      <c r="J211" s="129" t="s">
        <v>750</v>
      </c>
      <c r="K211" s="123">
        <v>46303</v>
      </c>
      <c r="L211" s="129" t="s">
        <v>979</v>
      </c>
    </row>
    <row r="212" spans="1:12" x14ac:dyDescent="0.4">
      <c r="A212" s="129" t="s">
        <v>1506</v>
      </c>
      <c r="B212" s="129" t="s">
        <v>18</v>
      </c>
      <c r="C212" s="129" t="s">
        <v>560</v>
      </c>
      <c r="D212" s="130" t="s">
        <v>561</v>
      </c>
      <c r="E212" s="129" t="s">
        <v>203</v>
      </c>
      <c r="F212" s="129">
        <v>4</v>
      </c>
      <c r="G212" s="129" t="s">
        <v>754</v>
      </c>
      <c r="H212" s="109">
        <v>4</v>
      </c>
      <c r="I212" s="125"/>
      <c r="J212" s="129" t="s">
        <v>750</v>
      </c>
      <c r="K212" s="123">
        <v>46303</v>
      </c>
      <c r="L212" s="129" t="s">
        <v>979</v>
      </c>
    </row>
    <row r="213" spans="1:12" x14ac:dyDescent="0.4">
      <c r="A213" s="129" t="s">
        <v>1506</v>
      </c>
      <c r="B213" s="129" t="s">
        <v>18</v>
      </c>
      <c r="C213" s="129" t="s">
        <v>560</v>
      </c>
      <c r="D213" s="130" t="s">
        <v>561</v>
      </c>
      <c r="E213" s="129" t="s">
        <v>300</v>
      </c>
      <c r="F213" s="129">
        <v>4</v>
      </c>
      <c r="G213" s="129" t="s">
        <v>754</v>
      </c>
      <c r="H213" s="109">
        <v>4</v>
      </c>
      <c r="I213" s="125"/>
      <c r="J213" s="129" t="s">
        <v>750</v>
      </c>
      <c r="K213" s="123">
        <v>46303</v>
      </c>
      <c r="L213" s="129" t="s">
        <v>979</v>
      </c>
    </row>
    <row r="214" spans="1:12" x14ac:dyDescent="0.4">
      <c r="A214" s="129" t="s">
        <v>1506</v>
      </c>
      <c r="B214" s="129" t="s">
        <v>18</v>
      </c>
      <c r="C214" s="129" t="s">
        <v>560</v>
      </c>
      <c r="D214" s="130" t="s">
        <v>561</v>
      </c>
      <c r="E214" s="129" t="s">
        <v>206</v>
      </c>
      <c r="F214" s="129">
        <v>3</v>
      </c>
      <c r="G214" s="129" t="s">
        <v>754</v>
      </c>
      <c r="H214" s="109">
        <v>3</v>
      </c>
      <c r="I214" s="125"/>
      <c r="J214" s="129" t="s">
        <v>750</v>
      </c>
      <c r="K214" s="123">
        <v>46303</v>
      </c>
      <c r="L214" s="129" t="s">
        <v>979</v>
      </c>
    </row>
    <row r="215" spans="1:12" x14ac:dyDescent="0.4">
      <c r="A215" s="129" t="s">
        <v>1506</v>
      </c>
      <c r="B215" s="129" t="s">
        <v>18</v>
      </c>
      <c r="C215" s="129" t="s">
        <v>560</v>
      </c>
      <c r="D215" s="130" t="s">
        <v>561</v>
      </c>
      <c r="E215" s="129" t="s">
        <v>204</v>
      </c>
      <c r="F215" s="129">
        <v>2</v>
      </c>
      <c r="G215" s="129" t="s">
        <v>754</v>
      </c>
      <c r="H215" s="109">
        <v>2</v>
      </c>
      <c r="I215" s="125"/>
      <c r="J215" s="129" t="s">
        <v>750</v>
      </c>
      <c r="K215" s="123">
        <v>46303</v>
      </c>
      <c r="L215" s="129" t="s">
        <v>979</v>
      </c>
    </row>
    <row r="216" spans="1:12" x14ac:dyDescent="0.4">
      <c r="A216" s="129" t="s">
        <v>1506</v>
      </c>
      <c r="B216" s="129" t="s">
        <v>18</v>
      </c>
      <c r="C216" s="129" t="s">
        <v>560</v>
      </c>
      <c r="D216" s="130" t="s">
        <v>561</v>
      </c>
      <c r="E216" s="129" t="s">
        <v>551</v>
      </c>
      <c r="F216" s="129"/>
      <c r="G216" s="129" t="s">
        <v>754</v>
      </c>
      <c r="H216" s="109"/>
      <c r="I216" s="125"/>
      <c r="J216" s="129" t="s">
        <v>750</v>
      </c>
      <c r="K216" s="123">
        <v>46303</v>
      </c>
      <c r="L216" s="129" t="s">
        <v>979</v>
      </c>
    </row>
    <row r="217" spans="1:12" x14ac:dyDescent="0.4">
      <c r="A217" s="129" t="s">
        <v>1506</v>
      </c>
      <c r="B217" s="129" t="s">
        <v>18</v>
      </c>
      <c r="C217" s="129" t="s">
        <v>560</v>
      </c>
      <c r="D217" s="130" t="s">
        <v>561</v>
      </c>
      <c r="E217" s="129" t="s">
        <v>773</v>
      </c>
      <c r="F217" s="129" t="s">
        <v>777</v>
      </c>
      <c r="G217" s="129" t="s">
        <v>754</v>
      </c>
      <c r="H217" s="129" t="s">
        <v>777</v>
      </c>
      <c r="I217" s="125"/>
      <c r="J217" s="129" t="s">
        <v>750</v>
      </c>
      <c r="K217" s="123">
        <v>46303</v>
      </c>
      <c r="L217" s="129" t="s">
        <v>979</v>
      </c>
    </row>
    <row r="218" spans="1:12" ht="29.15" x14ac:dyDescent="0.4">
      <c r="A218" s="129" t="s">
        <v>1506</v>
      </c>
      <c r="B218" s="129" t="s">
        <v>18</v>
      </c>
      <c r="C218" s="129" t="s">
        <v>566</v>
      </c>
      <c r="D218" s="130" t="s">
        <v>567</v>
      </c>
      <c r="E218" s="129" t="s">
        <v>203</v>
      </c>
      <c r="F218" s="129">
        <v>3</v>
      </c>
      <c r="G218" s="129" t="s">
        <v>754</v>
      </c>
      <c r="H218" s="109">
        <v>3</v>
      </c>
      <c r="I218" s="125"/>
      <c r="J218" s="129" t="s">
        <v>750</v>
      </c>
      <c r="K218" s="123">
        <v>46303</v>
      </c>
      <c r="L218" s="129" t="s">
        <v>979</v>
      </c>
    </row>
    <row r="219" spans="1:12" ht="29.15" x14ac:dyDescent="0.4">
      <c r="A219" s="129" t="s">
        <v>1506</v>
      </c>
      <c r="B219" s="129" t="s">
        <v>18</v>
      </c>
      <c r="C219" s="129" t="s">
        <v>566</v>
      </c>
      <c r="D219" s="130" t="s">
        <v>567</v>
      </c>
      <c r="E219" s="129" t="s">
        <v>300</v>
      </c>
      <c r="F219" s="129">
        <v>2</v>
      </c>
      <c r="G219" s="129" t="s">
        <v>754</v>
      </c>
      <c r="H219" s="109">
        <v>2</v>
      </c>
      <c r="I219" s="125"/>
      <c r="J219" s="129" t="s">
        <v>750</v>
      </c>
      <c r="K219" s="123">
        <v>46303</v>
      </c>
      <c r="L219" s="129" t="s">
        <v>979</v>
      </c>
    </row>
    <row r="220" spans="1:12" ht="29.15" x14ac:dyDescent="0.4">
      <c r="A220" s="129" t="s">
        <v>1506</v>
      </c>
      <c r="B220" s="129" t="s">
        <v>18</v>
      </c>
      <c r="C220" s="129" t="s">
        <v>566</v>
      </c>
      <c r="D220" s="130" t="s">
        <v>567</v>
      </c>
      <c r="E220" s="129" t="s">
        <v>206</v>
      </c>
      <c r="F220" s="129">
        <v>4</v>
      </c>
      <c r="G220" s="129" t="s">
        <v>754</v>
      </c>
      <c r="H220" s="109">
        <v>4</v>
      </c>
      <c r="I220" s="125"/>
      <c r="J220" s="129" t="s">
        <v>750</v>
      </c>
      <c r="K220" s="123">
        <v>46303</v>
      </c>
      <c r="L220" s="129" t="s">
        <v>979</v>
      </c>
    </row>
    <row r="221" spans="1:12" ht="29.15" x14ac:dyDescent="0.4">
      <c r="A221" s="129" t="s">
        <v>1506</v>
      </c>
      <c r="B221" s="129" t="s">
        <v>18</v>
      </c>
      <c r="C221" s="129" t="s">
        <v>566</v>
      </c>
      <c r="D221" s="130" t="s">
        <v>567</v>
      </c>
      <c r="E221" s="129" t="s">
        <v>204</v>
      </c>
      <c r="F221" s="129">
        <v>3</v>
      </c>
      <c r="G221" s="129" t="s">
        <v>754</v>
      </c>
      <c r="H221" s="109">
        <v>3</v>
      </c>
      <c r="I221" s="125"/>
      <c r="J221" s="129" t="s">
        <v>750</v>
      </c>
      <c r="K221" s="123">
        <v>46303</v>
      </c>
      <c r="L221" s="129" t="s">
        <v>979</v>
      </c>
    </row>
    <row r="222" spans="1:12" ht="29.15" x14ac:dyDescent="0.4">
      <c r="A222" s="129" t="s">
        <v>1506</v>
      </c>
      <c r="B222" s="129" t="s">
        <v>18</v>
      </c>
      <c r="C222" s="129" t="s">
        <v>566</v>
      </c>
      <c r="D222" s="130" t="s">
        <v>567</v>
      </c>
      <c r="E222" s="129" t="s">
        <v>551</v>
      </c>
      <c r="F222" s="129"/>
      <c r="G222" s="129" t="s">
        <v>754</v>
      </c>
      <c r="H222" s="109"/>
      <c r="I222" s="125"/>
      <c r="J222" s="129" t="s">
        <v>750</v>
      </c>
      <c r="K222" s="123">
        <v>46303</v>
      </c>
      <c r="L222" s="129" t="s">
        <v>979</v>
      </c>
    </row>
    <row r="223" spans="1:12" ht="29.15" x14ac:dyDescent="0.4">
      <c r="A223" s="129" t="s">
        <v>1506</v>
      </c>
      <c r="B223" s="129" t="s">
        <v>18</v>
      </c>
      <c r="C223" s="129" t="s">
        <v>566</v>
      </c>
      <c r="D223" s="130" t="s">
        <v>567</v>
      </c>
      <c r="E223" s="129" t="s">
        <v>773</v>
      </c>
      <c r="F223" s="129" t="s">
        <v>777</v>
      </c>
      <c r="G223" s="129" t="s">
        <v>754</v>
      </c>
      <c r="H223" s="129" t="s">
        <v>777</v>
      </c>
      <c r="I223" s="125"/>
      <c r="J223" s="129" t="s">
        <v>750</v>
      </c>
      <c r="K223" s="123">
        <v>46303</v>
      </c>
      <c r="L223" s="129" t="s">
        <v>979</v>
      </c>
    </row>
    <row r="224" spans="1:12" x14ac:dyDescent="0.4">
      <c r="A224" s="129" t="s">
        <v>1506</v>
      </c>
      <c r="B224" s="129" t="s">
        <v>18</v>
      </c>
      <c r="C224" s="129" t="s">
        <v>572</v>
      </c>
      <c r="D224" s="130" t="s">
        <v>573</v>
      </c>
      <c r="E224" s="129" t="s">
        <v>203</v>
      </c>
      <c r="F224" s="129">
        <v>3</v>
      </c>
      <c r="G224" s="129" t="s">
        <v>754</v>
      </c>
      <c r="H224" s="109">
        <v>3</v>
      </c>
      <c r="I224" s="125"/>
      <c r="J224" s="129" t="s">
        <v>750</v>
      </c>
      <c r="K224" s="123">
        <v>46303</v>
      </c>
      <c r="L224" s="129" t="s">
        <v>979</v>
      </c>
    </row>
    <row r="225" spans="1:12" x14ac:dyDescent="0.4">
      <c r="A225" s="129" t="s">
        <v>1506</v>
      </c>
      <c r="B225" s="129" t="s">
        <v>18</v>
      </c>
      <c r="C225" s="129" t="s">
        <v>572</v>
      </c>
      <c r="D225" s="130" t="s">
        <v>573</v>
      </c>
      <c r="E225" s="129" t="s">
        <v>300</v>
      </c>
      <c r="F225" s="129">
        <v>2</v>
      </c>
      <c r="G225" s="129" t="s">
        <v>754</v>
      </c>
      <c r="H225" s="109">
        <v>2</v>
      </c>
      <c r="I225" s="125"/>
      <c r="J225" s="129" t="s">
        <v>750</v>
      </c>
      <c r="K225" s="123">
        <v>46303</v>
      </c>
      <c r="L225" s="129" t="s">
        <v>979</v>
      </c>
    </row>
    <row r="226" spans="1:12" x14ac:dyDescent="0.4">
      <c r="A226" s="129" t="s">
        <v>1506</v>
      </c>
      <c r="B226" s="129" t="s">
        <v>18</v>
      </c>
      <c r="C226" s="129" t="s">
        <v>572</v>
      </c>
      <c r="D226" s="130" t="s">
        <v>573</v>
      </c>
      <c r="E226" s="129" t="s">
        <v>206</v>
      </c>
      <c r="F226" s="129">
        <v>3</v>
      </c>
      <c r="G226" s="129" t="s">
        <v>754</v>
      </c>
      <c r="H226" s="109">
        <v>3</v>
      </c>
      <c r="I226" s="125"/>
      <c r="J226" s="129" t="s">
        <v>750</v>
      </c>
      <c r="K226" s="123">
        <v>46303</v>
      </c>
      <c r="L226" s="129" t="s">
        <v>979</v>
      </c>
    </row>
    <row r="227" spans="1:12" x14ac:dyDescent="0.4">
      <c r="A227" s="129" t="s">
        <v>1506</v>
      </c>
      <c r="B227" s="129" t="s">
        <v>18</v>
      </c>
      <c r="C227" s="129" t="s">
        <v>572</v>
      </c>
      <c r="D227" s="130" t="s">
        <v>573</v>
      </c>
      <c r="E227" s="129" t="s">
        <v>204</v>
      </c>
      <c r="F227" s="129">
        <v>3</v>
      </c>
      <c r="G227" s="129" t="s">
        <v>754</v>
      </c>
      <c r="H227" s="109">
        <v>3</v>
      </c>
      <c r="I227" s="125"/>
      <c r="J227" s="129" t="s">
        <v>750</v>
      </c>
      <c r="K227" s="123">
        <v>46303</v>
      </c>
      <c r="L227" s="129" t="s">
        <v>979</v>
      </c>
    </row>
    <row r="228" spans="1:12" x14ac:dyDescent="0.4">
      <c r="A228" s="129" t="s">
        <v>1506</v>
      </c>
      <c r="B228" s="129" t="s">
        <v>18</v>
      </c>
      <c r="C228" s="129" t="s">
        <v>572</v>
      </c>
      <c r="D228" s="130" t="s">
        <v>573</v>
      </c>
      <c r="E228" s="129" t="s">
        <v>551</v>
      </c>
      <c r="F228" s="129"/>
      <c r="G228" s="129" t="s">
        <v>754</v>
      </c>
      <c r="H228" s="109"/>
      <c r="I228" s="125"/>
      <c r="J228" s="129" t="s">
        <v>750</v>
      </c>
      <c r="K228" s="123">
        <v>46303</v>
      </c>
      <c r="L228" s="129" t="s">
        <v>979</v>
      </c>
    </row>
    <row r="229" spans="1:12" x14ac:dyDescent="0.4">
      <c r="A229" s="129" t="s">
        <v>1506</v>
      </c>
      <c r="B229" s="129" t="s">
        <v>18</v>
      </c>
      <c r="C229" s="129" t="s">
        <v>572</v>
      </c>
      <c r="D229" s="130" t="s">
        <v>573</v>
      </c>
      <c r="E229" s="129" t="s">
        <v>773</v>
      </c>
      <c r="F229" s="129" t="s">
        <v>777</v>
      </c>
      <c r="G229" s="129" t="s">
        <v>754</v>
      </c>
      <c r="H229" s="129" t="s">
        <v>777</v>
      </c>
      <c r="I229" s="125"/>
      <c r="J229" s="129" t="s">
        <v>750</v>
      </c>
      <c r="K229" s="123">
        <v>46303</v>
      </c>
      <c r="L229" s="129" t="s">
        <v>979</v>
      </c>
    </row>
    <row r="230" spans="1:12" x14ac:dyDescent="0.4">
      <c r="A230" s="129" t="s">
        <v>1506</v>
      </c>
      <c r="B230" s="129" t="s">
        <v>18</v>
      </c>
      <c r="C230" s="129" t="s">
        <v>576</v>
      </c>
      <c r="D230" s="130" t="s">
        <v>577</v>
      </c>
      <c r="E230" s="129" t="s">
        <v>203</v>
      </c>
      <c r="F230" s="129">
        <v>3</v>
      </c>
      <c r="G230" s="129" t="s">
        <v>754</v>
      </c>
      <c r="H230" s="109">
        <v>3</v>
      </c>
      <c r="I230" s="125"/>
      <c r="J230" s="129" t="s">
        <v>750</v>
      </c>
      <c r="K230" s="123">
        <v>46303</v>
      </c>
      <c r="L230" s="129" t="s">
        <v>979</v>
      </c>
    </row>
    <row r="231" spans="1:12" x14ac:dyDescent="0.4">
      <c r="A231" s="129" t="s">
        <v>1506</v>
      </c>
      <c r="B231" s="129" t="s">
        <v>18</v>
      </c>
      <c r="C231" s="129" t="s">
        <v>576</v>
      </c>
      <c r="D231" s="130" t="s">
        <v>577</v>
      </c>
      <c r="E231" s="129" t="s">
        <v>300</v>
      </c>
      <c r="F231" s="129">
        <v>3</v>
      </c>
      <c r="G231" s="129" t="s">
        <v>754</v>
      </c>
      <c r="H231" s="109">
        <v>3</v>
      </c>
      <c r="I231" s="125"/>
      <c r="J231" s="129" t="s">
        <v>750</v>
      </c>
      <c r="K231" s="123">
        <v>46303</v>
      </c>
      <c r="L231" s="129" t="s">
        <v>979</v>
      </c>
    </row>
    <row r="232" spans="1:12" x14ac:dyDescent="0.4">
      <c r="A232" s="129" t="s">
        <v>1506</v>
      </c>
      <c r="B232" s="129" t="s">
        <v>18</v>
      </c>
      <c r="C232" s="129" t="s">
        <v>576</v>
      </c>
      <c r="D232" s="130" t="s">
        <v>577</v>
      </c>
      <c r="E232" s="129" t="s">
        <v>206</v>
      </c>
      <c r="F232" s="129">
        <v>3</v>
      </c>
      <c r="G232" s="129" t="s">
        <v>754</v>
      </c>
      <c r="H232" s="109">
        <v>3</v>
      </c>
      <c r="I232" s="125"/>
      <c r="J232" s="129" t="s">
        <v>750</v>
      </c>
      <c r="K232" s="123">
        <v>46303</v>
      </c>
      <c r="L232" s="129" t="s">
        <v>979</v>
      </c>
    </row>
    <row r="233" spans="1:12" x14ac:dyDescent="0.4">
      <c r="A233" s="129" t="s">
        <v>1506</v>
      </c>
      <c r="B233" s="129" t="s">
        <v>18</v>
      </c>
      <c r="C233" s="129" t="s">
        <v>576</v>
      </c>
      <c r="D233" s="130" t="s">
        <v>577</v>
      </c>
      <c r="E233" s="129" t="s">
        <v>204</v>
      </c>
      <c r="F233" s="129">
        <v>3</v>
      </c>
      <c r="G233" s="129" t="s">
        <v>754</v>
      </c>
      <c r="H233" s="109">
        <v>3</v>
      </c>
      <c r="I233" s="125"/>
      <c r="J233" s="129" t="s">
        <v>750</v>
      </c>
      <c r="K233" s="123">
        <v>46303</v>
      </c>
      <c r="L233" s="129" t="s">
        <v>979</v>
      </c>
    </row>
    <row r="234" spans="1:12" x14ac:dyDescent="0.4">
      <c r="A234" s="129" t="s">
        <v>1506</v>
      </c>
      <c r="B234" s="129" t="s">
        <v>18</v>
      </c>
      <c r="C234" s="129" t="s">
        <v>576</v>
      </c>
      <c r="D234" s="130" t="s">
        <v>577</v>
      </c>
      <c r="E234" s="129" t="s">
        <v>551</v>
      </c>
      <c r="F234" s="129"/>
      <c r="G234" s="129" t="s">
        <v>754</v>
      </c>
      <c r="H234" s="109"/>
      <c r="I234" s="125"/>
      <c r="J234" s="129" t="s">
        <v>750</v>
      </c>
      <c r="K234" s="123">
        <v>46303</v>
      </c>
      <c r="L234" s="129" t="s">
        <v>979</v>
      </c>
    </row>
    <row r="235" spans="1:12" x14ac:dyDescent="0.4">
      <c r="A235" s="129" t="s">
        <v>1506</v>
      </c>
      <c r="B235" s="129" t="s">
        <v>18</v>
      </c>
      <c r="C235" s="129" t="s">
        <v>576</v>
      </c>
      <c r="D235" s="130" t="s">
        <v>577</v>
      </c>
      <c r="E235" s="129" t="s">
        <v>773</v>
      </c>
      <c r="F235" s="129" t="s">
        <v>777</v>
      </c>
      <c r="G235" s="129" t="s">
        <v>754</v>
      </c>
      <c r="H235" s="129" t="s">
        <v>777</v>
      </c>
      <c r="I235" s="125"/>
      <c r="J235" s="129" t="s">
        <v>750</v>
      </c>
      <c r="K235" s="123">
        <v>46303</v>
      </c>
      <c r="L235" s="129" t="s">
        <v>979</v>
      </c>
    </row>
    <row r="236" spans="1:12" ht="29.15" x14ac:dyDescent="0.4">
      <c r="A236" s="129" t="s">
        <v>1506</v>
      </c>
      <c r="B236" s="129" t="s">
        <v>18</v>
      </c>
      <c r="C236" s="129" t="s">
        <v>581</v>
      </c>
      <c r="D236" s="130" t="s">
        <v>582</v>
      </c>
      <c r="E236" s="129" t="s">
        <v>203</v>
      </c>
      <c r="F236" s="129">
        <v>3</v>
      </c>
      <c r="G236" s="129" t="s">
        <v>754</v>
      </c>
      <c r="H236" s="109">
        <v>3</v>
      </c>
      <c r="I236" s="130" t="s">
        <v>1625</v>
      </c>
      <c r="J236" s="129" t="s">
        <v>750</v>
      </c>
      <c r="K236" s="123">
        <v>46303</v>
      </c>
      <c r="L236" s="129" t="s">
        <v>979</v>
      </c>
    </row>
    <row r="237" spans="1:12" ht="29.15" x14ac:dyDescent="0.4">
      <c r="A237" s="129" t="s">
        <v>1506</v>
      </c>
      <c r="B237" s="129" t="s">
        <v>18</v>
      </c>
      <c r="C237" s="129" t="s">
        <v>581</v>
      </c>
      <c r="D237" s="130" t="s">
        <v>582</v>
      </c>
      <c r="E237" s="129" t="s">
        <v>300</v>
      </c>
      <c r="F237" s="129">
        <v>3</v>
      </c>
      <c r="G237" s="129" t="s">
        <v>754</v>
      </c>
      <c r="H237" s="109">
        <v>3</v>
      </c>
      <c r="I237" s="130" t="s">
        <v>1625</v>
      </c>
      <c r="J237" s="129" t="s">
        <v>750</v>
      </c>
      <c r="K237" s="123">
        <v>46303</v>
      </c>
      <c r="L237" s="129" t="s">
        <v>979</v>
      </c>
    </row>
    <row r="238" spans="1:12" ht="29.15" x14ac:dyDescent="0.4">
      <c r="A238" s="129" t="s">
        <v>1506</v>
      </c>
      <c r="B238" s="129" t="s">
        <v>18</v>
      </c>
      <c r="C238" s="129" t="s">
        <v>581</v>
      </c>
      <c r="D238" s="130" t="s">
        <v>582</v>
      </c>
      <c r="E238" s="129" t="s">
        <v>206</v>
      </c>
      <c r="F238" s="129">
        <v>3</v>
      </c>
      <c r="G238" s="129" t="s">
        <v>754</v>
      </c>
      <c r="H238" s="109">
        <v>3</v>
      </c>
      <c r="I238" s="130" t="s">
        <v>1625</v>
      </c>
      <c r="J238" s="129" t="s">
        <v>750</v>
      </c>
      <c r="K238" s="123">
        <v>46303</v>
      </c>
      <c r="L238" s="129" t="s">
        <v>979</v>
      </c>
    </row>
    <row r="239" spans="1:12" ht="29.15" x14ac:dyDescent="0.4">
      <c r="A239" s="129" t="s">
        <v>1506</v>
      </c>
      <c r="B239" s="129" t="s">
        <v>18</v>
      </c>
      <c r="C239" s="129" t="s">
        <v>581</v>
      </c>
      <c r="D239" s="130" t="s">
        <v>582</v>
      </c>
      <c r="E239" s="129" t="s">
        <v>204</v>
      </c>
      <c r="F239" s="129">
        <v>3</v>
      </c>
      <c r="G239" s="129" t="s">
        <v>754</v>
      </c>
      <c r="H239" s="109">
        <v>3</v>
      </c>
      <c r="I239" s="130" t="s">
        <v>1625</v>
      </c>
      <c r="J239" s="129" t="s">
        <v>750</v>
      </c>
      <c r="K239" s="123">
        <v>46303</v>
      </c>
      <c r="L239" s="129" t="s">
        <v>979</v>
      </c>
    </row>
    <row r="240" spans="1:12" ht="29.15" x14ac:dyDescent="0.4">
      <c r="A240" s="129" t="s">
        <v>1506</v>
      </c>
      <c r="B240" s="129" t="s">
        <v>18</v>
      </c>
      <c r="C240" s="129" t="s">
        <v>581</v>
      </c>
      <c r="D240" s="130" t="s">
        <v>582</v>
      </c>
      <c r="E240" s="129" t="s">
        <v>551</v>
      </c>
      <c r="F240" s="129"/>
      <c r="G240" s="129" t="s">
        <v>967</v>
      </c>
      <c r="H240" s="109">
        <v>1</v>
      </c>
      <c r="I240" s="130" t="s">
        <v>1625</v>
      </c>
      <c r="J240" s="129" t="s">
        <v>750</v>
      </c>
      <c r="K240" s="123">
        <v>46303</v>
      </c>
      <c r="L240" s="129" t="s">
        <v>979</v>
      </c>
    </row>
    <row r="241" spans="1:12" ht="29.15" x14ac:dyDescent="0.4">
      <c r="A241" s="129" t="s">
        <v>1506</v>
      </c>
      <c r="B241" s="129" t="s">
        <v>18</v>
      </c>
      <c r="C241" s="129" t="s">
        <v>581</v>
      </c>
      <c r="D241" s="130" t="s">
        <v>582</v>
      </c>
      <c r="E241" s="129" t="s">
        <v>773</v>
      </c>
      <c r="F241" s="129" t="s">
        <v>777</v>
      </c>
      <c r="G241" s="129" t="s">
        <v>754</v>
      </c>
      <c r="H241" s="129" t="s">
        <v>777</v>
      </c>
      <c r="I241" s="130" t="s">
        <v>1625</v>
      </c>
      <c r="J241" s="129" t="s">
        <v>750</v>
      </c>
      <c r="K241" s="123">
        <v>46303</v>
      </c>
      <c r="L241" s="129" t="s">
        <v>979</v>
      </c>
    </row>
    <row r="242" spans="1:12" ht="29.15" x14ac:dyDescent="0.4">
      <c r="A242" s="129" t="s">
        <v>1506</v>
      </c>
      <c r="B242" s="129" t="s">
        <v>18</v>
      </c>
      <c r="C242" s="129" t="s">
        <v>587</v>
      </c>
      <c r="D242" s="130" t="s">
        <v>588</v>
      </c>
      <c r="E242" s="129" t="s">
        <v>203</v>
      </c>
      <c r="F242" s="129">
        <v>4</v>
      </c>
      <c r="G242" s="129" t="s">
        <v>754</v>
      </c>
      <c r="H242" s="109">
        <v>4</v>
      </c>
      <c r="I242" s="125"/>
      <c r="J242" s="129" t="s">
        <v>750</v>
      </c>
      <c r="K242" s="123">
        <v>46303</v>
      </c>
      <c r="L242" s="129" t="s">
        <v>979</v>
      </c>
    </row>
    <row r="243" spans="1:12" ht="29.15" x14ac:dyDescent="0.4">
      <c r="A243" s="129" t="s">
        <v>1506</v>
      </c>
      <c r="B243" s="129" t="s">
        <v>18</v>
      </c>
      <c r="C243" s="129" t="s">
        <v>587</v>
      </c>
      <c r="D243" s="130" t="s">
        <v>588</v>
      </c>
      <c r="E243" s="129" t="s">
        <v>300</v>
      </c>
      <c r="F243" s="129">
        <v>5</v>
      </c>
      <c r="G243" s="129" t="s">
        <v>754</v>
      </c>
      <c r="H243" s="109">
        <v>5</v>
      </c>
      <c r="I243" s="125"/>
      <c r="J243" s="129" t="s">
        <v>750</v>
      </c>
      <c r="K243" s="123">
        <v>46303</v>
      </c>
      <c r="L243" s="129" t="s">
        <v>979</v>
      </c>
    </row>
    <row r="244" spans="1:12" ht="29.15" x14ac:dyDescent="0.4">
      <c r="A244" s="129" t="s">
        <v>1506</v>
      </c>
      <c r="B244" s="129" t="s">
        <v>18</v>
      </c>
      <c r="C244" s="129" t="s">
        <v>587</v>
      </c>
      <c r="D244" s="130" t="s">
        <v>588</v>
      </c>
      <c r="E244" s="129" t="s">
        <v>206</v>
      </c>
      <c r="F244" s="129">
        <v>3</v>
      </c>
      <c r="G244" s="129" t="s">
        <v>754</v>
      </c>
      <c r="H244" s="109">
        <v>3</v>
      </c>
      <c r="I244" s="125"/>
      <c r="J244" s="129" t="s">
        <v>750</v>
      </c>
      <c r="K244" s="123">
        <v>46303</v>
      </c>
      <c r="L244" s="129" t="s">
        <v>979</v>
      </c>
    </row>
    <row r="245" spans="1:12" ht="29.15" x14ac:dyDescent="0.4">
      <c r="A245" s="129" t="s">
        <v>1506</v>
      </c>
      <c r="B245" s="129" t="s">
        <v>18</v>
      </c>
      <c r="C245" s="129" t="s">
        <v>587</v>
      </c>
      <c r="D245" s="130" t="s">
        <v>588</v>
      </c>
      <c r="E245" s="129" t="s">
        <v>204</v>
      </c>
      <c r="F245" s="129">
        <v>3</v>
      </c>
      <c r="G245" s="129" t="s">
        <v>754</v>
      </c>
      <c r="H245" s="109">
        <v>3</v>
      </c>
      <c r="I245" s="125"/>
      <c r="J245" s="129" t="s">
        <v>750</v>
      </c>
      <c r="K245" s="123">
        <v>46303</v>
      </c>
      <c r="L245" s="129" t="s">
        <v>979</v>
      </c>
    </row>
    <row r="246" spans="1:12" ht="29.15" x14ac:dyDescent="0.4">
      <c r="A246" s="129" t="s">
        <v>1506</v>
      </c>
      <c r="B246" s="129" t="s">
        <v>18</v>
      </c>
      <c r="C246" s="129" t="s">
        <v>587</v>
      </c>
      <c r="D246" s="130" t="s">
        <v>588</v>
      </c>
      <c r="E246" s="129" t="s">
        <v>551</v>
      </c>
      <c r="F246" s="129"/>
      <c r="G246" s="129" t="s">
        <v>754</v>
      </c>
      <c r="H246" s="109"/>
      <c r="I246" s="125"/>
      <c r="J246" s="129" t="s">
        <v>750</v>
      </c>
      <c r="K246" s="123">
        <v>46303</v>
      </c>
      <c r="L246" s="129" t="s">
        <v>979</v>
      </c>
    </row>
    <row r="247" spans="1:12" ht="29.15" x14ac:dyDescent="0.4">
      <c r="A247" s="129" t="s">
        <v>1506</v>
      </c>
      <c r="B247" s="129" t="s">
        <v>18</v>
      </c>
      <c r="C247" s="129" t="s">
        <v>587</v>
      </c>
      <c r="D247" s="130" t="s">
        <v>588</v>
      </c>
      <c r="E247" s="129" t="s">
        <v>773</v>
      </c>
      <c r="F247" s="129" t="s">
        <v>777</v>
      </c>
      <c r="G247" s="129" t="s">
        <v>754</v>
      </c>
      <c r="H247" s="129" t="s">
        <v>777</v>
      </c>
      <c r="I247" s="125"/>
      <c r="J247" s="129" t="s">
        <v>750</v>
      </c>
      <c r="K247" s="123">
        <v>46303</v>
      </c>
      <c r="L247" s="129" t="s">
        <v>979</v>
      </c>
    </row>
    <row r="248" spans="1:12" x14ac:dyDescent="0.4">
      <c r="A248" s="129" t="s">
        <v>1506</v>
      </c>
      <c r="B248" s="129" t="s">
        <v>18</v>
      </c>
      <c r="C248" s="129" t="s">
        <v>591</v>
      </c>
      <c r="D248" s="130" t="s">
        <v>592</v>
      </c>
      <c r="E248" s="129" t="s">
        <v>203</v>
      </c>
      <c r="F248" s="129">
        <v>3</v>
      </c>
      <c r="G248" s="129" t="s">
        <v>754</v>
      </c>
      <c r="H248" s="109">
        <v>3</v>
      </c>
      <c r="I248" s="125"/>
      <c r="J248" s="129" t="s">
        <v>750</v>
      </c>
      <c r="K248" s="123">
        <v>46303</v>
      </c>
      <c r="L248" s="129" t="s">
        <v>979</v>
      </c>
    </row>
    <row r="249" spans="1:12" x14ac:dyDescent="0.4">
      <c r="A249" s="129" t="s">
        <v>1506</v>
      </c>
      <c r="B249" s="129" t="s">
        <v>18</v>
      </c>
      <c r="C249" s="129" t="s">
        <v>591</v>
      </c>
      <c r="D249" s="130" t="s">
        <v>592</v>
      </c>
      <c r="E249" s="129" t="s">
        <v>300</v>
      </c>
      <c r="F249" s="129">
        <v>3</v>
      </c>
      <c r="G249" s="129" t="s">
        <v>754</v>
      </c>
      <c r="H249" s="109">
        <v>3</v>
      </c>
      <c r="I249" s="125"/>
      <c r="J249" s="129" t="s">
        <v>750</v>
      </c>
      <c r="K249" s="123">
        <v>46303</v>
      </c>
      <c r="L249" s="129" t="s">
        <v>979</v>
      </c>
    </row>
    <row r="250" spans="1:12" x14ac:dyDescent="0.4">
      <c r="A250" s="129" t="s">
        <v>1506</v>
      </c>
      <c r="B250" s="129" t="s">
        <v>18</v>
      </c>
      <c r="C250" s="129" t="s">
        <v>591</v>
      </c>
      <c r="D250" s="130" t="s">
        <v>592</v>
      </c>
      <c r="E250" s="129" t="s">
        <v>206</v>
      </c>
      <c r="F250" s="129">
        <v>3</v>
      </c>
      <c r="G250" s="129" t="s">
        <v>754</v>
      </c>
      <c r="H250" s="109">
        <v>3</v>
      </c>
      <c r="I250" s="125"/>
      <c r="J250" s="129" t="s">
        <v>750</v>
      </c>
      <c r="K250" s="123">
        <v>46303</v>
      </c>
      <c r="L250" s="129" t="s">
        <v>979</v>
      </c>
    </row>
    <row r="251" spans="1:12" x14ac:dyDescent="0.4">
      <c r="A251" s="129" t="s">
        <v>1506</v>
      </c>
      <c r="B251" s="129" t="s">
        <v>18</v>
      </c>
      <c r="C251" s="129" t="s">
        <v>591</v>
      </c>
      <c r="D251" s="130" t="s">
        <v>592</v>
      </c>
      <c r="E251" s="129" t="s">
        <v>204</v>
      </c>
      <c r="F251" s="129">
        <v>2</v>
      </c>
      <c r="G251" s="129" t="s">
        <v>754</v>
      </c>
      <c r="H251" s="109">
        <v>2</v>
      </c>
      <c r="I251" s="125"/>
      <c r="J251" s="129" t="s">
        <v>750</v>
      </c>
      <c r="K251" s="123">
        <v>46303</v>
      </c>
      <c r="L251" s="129" t="s">
        <v>979</v>
      </c>
    </row>
    <row r="252" spans="1:12" x14ac:dyDescent="0.4">
      <c r="A252" s="129" t="s">
        <v>1506</v>
      </c>
      <c r="B252" s="129" t="s">
        <v>18</v>
      </c>
      <c r="C252" s="129" t="s">
        <v>591</v>
      </c>
      <c r="D252" s="130" t="s">
        <v>592</v>
      </c>
      <c r="E252" s="129" t="s">
        <v>551</v>
      </c>
      <c r="F252" s="129"/>
      <c r="G252" s="129" t="s">
        <v>754</v>
      </c>
      <c r="H252" s="109"/>
      <c r="I252" s="125"/>
      <c r="J252" s="129" t="s">
        <v>750</v>
      </c>
      <c r="K252" s="123">
        <v>46303</v>
      </c>
      <c r="L252" s="129" t="s">
        <v>979</v>
      </c>
    </row>
    <row r="253" spans="1:12" x14ac:dyDescent="0.4">
      <c r="A253" s="129" t="s">
        <v>1506</v>
      </c>
      <c r="B253" s="129" t="s">
        <v>18</v>
      </c>
      <c r="C253" s="129" t="s">
        <v>591</v>
      </c>
      <c r="D253" s="130" t="s">
        <v>592</v>
      </c>
      <c r="E253" s="129" t="s">
        <v>773</v>
      </c>
      <c r="F253" s="129" t="s">
        <v>777</v>
      </c>
      <c r="G253" s="129" t="s">
        <v>754</v>
      </c>
      <c r="H253" s="129" t="s">
        <v>777</v>
      </c>
      <c r="I253" s="125"/>
      <c r="J253" s="129" t="s">
        <v>750</v>
      </c>
      <c r="K253" s="123">
        <v>46303</v>
      </c>
      <c r="L253" s="129" t="s">
        <v>979</v>
      </c>
    </row>
    <row r="254" spans="1:12" ht="29.15" x14ac:dyDescent="0.4">
      <c r="A254" s="129" t="s">
        <v>1506</v>
      </c>
      <c r="B254" s="129" t="s">
        <v>18</v>
      </c>
      <c r="C254" s="129" t="s">
        <v>595</v>
      </c>
      <c r="D254" s="130" t="s">
        <v>596</v>
      </c>
      <c r="E254" s="129" t="s">
        <v>203</v>
      </c>
      <c r="F254" s="129">
        <v>4</v>
      </c>
      <c r="G254" s="129" t="s">
        <v>754</v>
      </c>
      <c r="H254" s="109">
        <v>4</v>
      </c>
      <c r="I254" s="125"/>
      <c r="J254" s="129" t="s">
        <v>750</v>
      </c>
      <c r="K254" s="123">
        <v>46303</v>
      </c>
      <c r="L254" s="129" t="s">
        <v>979</v>
      </c>
    </row>
    <row r="255" spans="1:12" ht="29.15" x14ac:dyDescent="0.4">
      <c r="A255" s="129" t="s">
        <v>1506</v>
      </c>
      <c r="B255" s="129" t="s">
        <v>18</v>
      </c>
      <c r="C255" s="129" t="s">
        <v>595</v>
      </c>
      <c r="D255" s="130" t="s">
        <v>596</v>
      </c>
      <c r="E255" s="129" t="s">
        <v>300</v>
      </c>
      <c r="F255" s="129">
        <v>3</v>
      </c>
      <c r="G255" s="129" t="s">
        <v>754</v>
      </c>
      <c r="H255" s="109">
        <v>3</v>
      </c>
      <c r="I255" s="125"/>
      <c r="J255" s="129" t="s">
        <v>750</v>
      </c>
      <c r="K255" s="123">
        <v>46303</v>
      </c>
      <c r="L255" s="129" t="s">
        <v>979</v>
      </c>
    </row>
    <row r="256" spans="1:12" ht="29.15" x14ac:dyDescent="0.4">
      <c r="A256" s="129" t="s">
        <v>1506</v>
      </c>
      <c r="B256" s="129" t="s">
        <v>18</v>
      </c>
      <c r="C256" s="129" t="s">
        <v>595</v>
      </c>
      <c r="D256" s="130" t="s">
        <v>596</v>
      </c>
      <c r="E256" s="129" t="s">
        <v>206</v>
      </c>
      <c r="F256" s="129">
        <v>2</v>
      </c>
      <c r="G256" s="129" t="s">
        <v>754</v>
      </c>
      <c r="H256" s="109">
        <v>2</v>
      </c>
      <c r="I256" s="125"/>
      <c r="J256" s="129" t="s">
        <v>750</v>
      </c>
      <c r="K256" s="123">
        <v>46303</v>
      </c>
      <c r="L256" s="129" t="s">
        <v>979</v>
      </c>
    </row>
    <row r="257" spans="1:12" ht="29.15" x14ac:dyDescent="0.4">
      <c r="A257" s="129" t="s">
        <v>1506</v>
      </c>
      <c r="B257" s="129" t="s">
        <v>18</v>
      </c>
      <c r="C257" s="129" t="s">
        <v>595</v>
      </c>
      <c r="D257" s="130" t="s">
        <v>596</v>
      </c>
      <c r="E257" s="129" t="s">
        <v>204</v>
      </c>
      <c r="F257" s="129">
        <v>2</v>
      </c>
      <c r="G257" s="129" t="s">
        <v>754</v>
      </c>
      <c r="H257" s="109">
        <v>2</v>
      </c>
      <c r="I257" s="125"/>
      <c r="J257" s="129" t="s">
        <v>750</v>
      </c>
      <c r="K257" s="123">
        <v>46303</v>
      </c>
      <c r="L257" s="129" t="s">
        <v>979</v>
      </c>
    </row>
    <row r="258" spans="1:12" ht="29.15" x14ac:dyDescent="0.4">
      <c r="A258" s="129" t="s">
        <v>1506</v>
      </c>
      <c r="B258" s="129" t="s">
        <v>18</v>
      </c>
      <c r="C258" s="129" t="s">
        <v>595</v>
      </c>
      <c r="D258" s="130" t="s">
        <v>596</v>
      </c>
      <c r="E258" s="129" t="s">
        <v>551</v>
      </c>
      <c r="F258" s="129"/>
      <c r="G258" s="129" t="s">
        <v>754</v>
      </c>
      <c r="H258" s="109"/>
      <c r="I258" s="125"/>
      <c r="J258" s="129" t="s">
        <v>750</v>
      </c>
      <c r="K258" s="123">
        <v>46303</v>
      </c>
      <c r="L258" s="129" t="s">
        <v>979</v>
      </c>
    </row>
    <row r="259" spans="1:12" ht="29.15" x14ac:dyDescent="0.4">
      <c r="A259" s="129" t="s">
        <v>1506</v>
      </c>
      <c r="B259" s="129" t="s">
        <v>18</v>
      </c>
      <c r="C259" s="129" t="s">
        <v>595</v>
      </c>
      <c r="D259" s="130" t="s">
        <v>596</v>
      </c>
      <c r="E259" s="129" t="s">
        <v>773</v>
      </c>
      <c r="F259" s="129" t="s">
        <v>777</v>
      </c>
      <c r="G259" s="129" t="s">
        <v>754</v>
      </c>
      <c r="H259" s="129" t="s">
        <v>777</v>
      </c>
      <c r="I259" s="125"/>
      <c r="J259" s="129" t="s">
        <v>750</v>
      </c>
      <c r="K259" s="123">
        <v>46303</v>
      </c>
      <c r="L259" s="129" t="s">
        <v>979</v>
      </c>
    </row>
    <row r="260" spans="1:12" ht="29.15" x14ac:dyDescent="0.4">
      <c r="A260" s="129" t="s">
        <v>1506</v>
      </c>
      <c r="B260" s="129" t="s">
        <v>18</v>
      </c>
      <c r="C260" s="129" t="s">
        <v>598</v>
      </c>
      <c r="D260" s="130" t="s">
        <v>599</v>
      </c>
      <c r="E260" s="129" t="s">
        <v>203</v>
      </c>
      <c r="F260" s="129">
        <v>3</v>
      </c>
      <c r="G260" s="129" t="s">
        <v>754</v>
      </c>
      <c r="H260" s="109">
        <v>3</v>
      </c>
      <c r="I260" s="130" t="s">
        <v>1626</v>
      </c>
      <c r="J260" s="129" t="s">
        <v>750</v>
      </c>
      <c r="K260" s="123">
        <v>46303</v>
      </c>
      <c r="L260" s="129" t="s">
        <v>979</v>
      </c>
    </row>
    <row r="261" spans="1:12" ht="29.15" x14ac:dyDescent="0.4">
      <c r="A261" s="129" t="s">
        <v>1506</v>
      </c>
      <c r="B261" s="129" t="s">
        <v>18</v>
      </c>
      <c r="C261" s="129" t="s">
        <v>598</v>
      </c>
      <c r="D261" s="130" t="s">
        <v>599</v>
      </c>
      <c r="E261" s="129" t="s">
        <v>300</v>
      </c>
      <c r="F261" s="129"/>
      <c r="G261" s="129" t="s">
        <v>967</v>
      </c>
      <c r="H261" s="109">
        <v>3</v>
      </c>
      <c r="I261" s="130" t="s">
        <v>1626</v>
      </c>
      <c r="J261" s="129" t="s">
        <v>750</v>
      </c>
      <c r="K261" s="123">
        <v>46303</v>
      </c>
      <c r="L261" s="129" t="s">
        <v>979</v>
      </c>
    </row>
    <row r="262" spans="1:12" ht="29.15" x14ac:dyDescent="0.4">
      <c r="A262" s="129" t="s">
        <v>1506</v>
      </c>
      <c r="B262" s="129" t="s">
        <v>18</v>
      </c>
      <c r="C262" s="129" t="s">
        <v>598</v>
      </c>
      <c r="D262" s="130" t="s">
        <v>599</v>
      </c>
      <c r="E262" s="129" t="s">
        <v>206</v>
      </c>
      <c r="F262" s="129">
        <v>3</v>
      </c>
      <c r="G262" s="129" t="s">
        <v>754</v>
      </c>
      <c r="H262" s="109">
        <v>3</v>
      </c>
      <c r="I262" s="130" t="s">
        <v>1626</v>
      </c>
      <c r="J262" s="129" t="s">
        <v>750</v>
      </c>
      <c r="K262" s="123">
        <v>46303</v>
      </c>
      <c r="L262" s="129" t="s">
        <v>979</v>
      </c>
    </row>
    <row r="263" spans="1:12" ht="29.15" x14ac:dyDescent="0.4">
      <c r="A263" s="129" t="s">
        <v>1506</v>
      </c>
      <c r="B263" s="129" t="s">
        <v>18</v>
      </c>
      <c r="C263" s="129" t="s">
        <v>598</v>
      </c>
      <c r="D263" s="130" t="s">
        <v>599</v>
      </c>
      <c r="E263" s="129" t="s">
        <v>204</v>
      </c>
      <c r="F263" s="129">
        <v>3</v>
      </c>
      <c r="G263" s="129" t="s">
        <v>754</v>
      </c>
      <c r="H263" s="109">
        <v>3</v>
      </c>
      <c r="I263" s="130" t="s">
        <v>1626</v>
      </c>
      <c r="J263" s="129" t="s">
        <v>750</v>
      </c>
      <c r="K263" s="123">
        <v>46303</v>
      </c>
      <c r="L263" s="129" t="s">
        <v>979</v>
      </c>
    </row>
    <row r="264" spans="1:12" ht="29.15" x14ac:dyDescent="0.4">
      <c r="A264" s="129" t="s">
        <v>1506</v>
      </c>
      <c r="B264" s="129" t="s">
        <v>18</v>
      </c>
      <c r="C264" s="129" t="s">
        <v>598</v>
      </c>
      <c r="D264" s="130" t="s">
        <v>599</v>
      </c>
      <c r="E264" s="129" t="s">
        <v>551</v>
      </c>
      <c r="F264" s="129"/>
      <c r="G264" s="129" t="s">
        <v>754</v>
      </c>
      <c r="H264" s="109"/>
      <c r="I264" s="130" t="s">
        <v>1626</v>
      </c>
      <c r="J264" s="129" t="s">
        <v>750</v>
      </c>
      <c r="K264" s="123">
        <v>46303</v>
      </c>
      <c r="L264" s="129" t="s">
        <v>979</v>
      </c>
    </row>
    <row r="265" spans="1:12" ht="29.15" x14ac:dyDescent="0.4">
      <c r="A265" s="129" t="s">
        <v>1506</v>
      </c>
      <c r="B265" s="129" t="s">
        <v>18</v>
      </c>
      <c r="C265" s="129" t="s">
        <v>598</v>
      </c>
      <c r="D265" s="130" t="s">
        <v>599</v>
      </c>
      <c r="E265" s="129" t="s">
        <v>773</v>
      </c>
      <c r="F265" s="129" t="s">
        <v>777</v>
      </c>
      <c r="G265" s="129" t="s">
        <v>754</v>
      </c>
      <c r="H265" s="129" t="s">
        <v>777</v>
      </c>
      <c r="I265" s="130" t="s">
        <v>1626</v>
      </c>
      <c r="J265" s="129" t="s">
        <v>750</v>
      </c>
      <c r="K265" s="123">
        <v>46303</v>
      </c>
      <c r="L265" s="129" t="s">
        <v>979</v>
      </c>
    </row>
    <row r="266" spans="1:12" x14ac:dyDescent="0.4">
      <c r="A266" s="129" t="s">
        <v>1506</v>
      </c>
      <c r="B266" s="129" t="s">
        <v>18</v>
      </c>
      <c r="C266" s="129" t="s">
        <v>604</v>
      </c>
      <c r="D266" s="130" t="s">
        <v>605</v>
      </c>
      <c r="E266" s="129" t="s">
        <v>203</v>
      </c>
      <c r="F266" s="129">
        <v>3</v>
      </c>
      <c r="G266" s="129" t="s">
        <v>754</v>
      </c>
      <c r="H266" s="109">
        <v>3</v>
      </c>
      <c r="I266" s="125"/>
      <c r="J266" s="129" t="s">
        <v>750</v>
      </c>
      <c r="K266" s="123">
        <v>46303</v>
      </c>
      <c r="L266" s="129" t="s">
        <v>979</v>
      </c>
    </row>
    <row r="267" spans="1:12" x14ac:dyDescent="0.4">
      <c r="A267" s="129" t="s">
        <v>1506</v>
      </c>
      <c r="B267" s="129" t="s">
        <v>18</v>
      </c>
      <c r="C267" s="129" t="s">
        <v>604</v>
      </c>
      <c r="D267" s="130" t="s">
        <v>605</v>
      </c>
      <c r="E267" s="129" t="s">
        <v>300</v>
      </c>
      <c r="F267" s="129">
        <v>2</v>
      </c>
      <c r="G267" s="129" t="s">
        <v>754</v>
      </c>
      <c r="H267" s="109">
        <v>2</v>
      </c>
      <c r="I267" s="125"/>
      <c r="J267" s="129" t="s">
        <v>750</v>
      </c>
      <c r="K267" s="123">
        <v>46303</v>
      </c>
      <c r="L267" s="129" t="s">
        <v>979</v>
      </c>
    </row>
    <row r="268" spans="1:12" x14ac:dyDescent="0.4">
      <c r="A268" s="129" t="s">
        <v>1506</v>
      </c>
      <c r="B268" s="129" t="s">
        <v>18</v>
      </c>
      <c r="C268" s="129" t="s">
        <v>604</v>
      </c>
      <c r="D268" s="130" t="s">
        <v>605</v>
      </c>
      <c r="E268" s="129" t="s">
        <v>206</v>
      </c>
      <c r="F268" s="129">
        <v>3</v>
      </c>
      <c r="G268" s="129" t="s">
        <v>754</v>
      </c>
      <c r="H268" s="109">
        <v>3</v>
      </c>
      <c r="I268" s="125"/>
      <c r="J268" s="129" t="s">
        <v>750</v>
      </c>
      <c r="K268" s="123">
        <v>46303</v>
      </c>
      <c r="L268" s="129" t="s">
        <v>979</v>
      </c>
    </row>
    <row r="269" spans="1:12" x14ac:dyDescent="0.4">
      <c r="A269" s="129" t="s">
        <v>1506</v>
      </c>
      <c r="B269" s="129" t="s">
        <v>18</v>
      </c>
      <c r="C269" s="129" t="s">
        <v>604</v>
      </c>
      <c r="D269" s="130" t="s">
        <v>605</v>
      </c>
      <c r="E269" s="129" t="s">
        <v>204</v>
      </c>
      <c r="F269" s="129">
        <v>3</v>
      </c>
      <c r="G269" s="129" t="s">
        <v>754</v>
      </c>
      <c r="H269" s="109">
        <v>3</v>
      </c>
      <c r="I269" s="125"/>
      <c r="J269" s="129" t="s">
        <v>750</v>
      </c>
      <c r="K269" s="123">
        <v>46303</v>
      </c>
      <c r="L269" s="129" t="s">
        <v>979</v>
      </c>
    </row>
    <row r="270" spans="1:12" x14ac:dyDescent="0.4">
      <c r="A270" s="129" t="s">
        <v>1506</v>
      </c>
      <c r="B270" s="129" t="s">
        <v>18</v>
      </c>
      <c r="C270" s="129" t="s">
        <v>604</v>
      </c>
      <c r="D270" s="130" t="s">
        <v>605</v>
      </c>
      <c r="E270" s="129" t="s">
        <v>551</v>
      </c>
      <c r="F270" s="129">
        <v>3</v>
      </c>
      <c r="G270" s="129" t="s">
        <v>754</v>
      </c>
      <c r="H270" s="109">
        <v>3</v>
      </c>
      <c r="I270" s="125"/>
      <c r="J270" s="129" t="s">
        <v>750</v>
      </c>
      <c r="K270" s="123">
        <v>46303</v>
      </c>
      <c r="L270" s="129" t="s">
        <v>979</v>
      </c>
    </row>
    <row r="271" spans="1:12" x14ac:dyDescent="0.4">
      <c r="A271" s="129" t="s">
        <v>1506</v>
      </c>
      <c r="B271" s="129" t="s">
        <v>18</v>
      </c>
      <c r="C271" s="129" t="s">
        <v>604</v>
      </c>
      <c r="D271" s="130" t="s">
        <v>605</v>
      </c>
      <c r="E271" s="129" t="s">
        <v>773</v>
      </c>
      <c r="F271" s="129" t="s">
        <v>777</v>
      </c>
      <c r="G271" s="129" t="s">
        <v>754</v>
      </c>
      <c r="H271" s="129" t="s">
        <v>777</v>
      </c>
      <c r="I271" s="125"/>
      <c r="J271" s="129" t="s">
        <v>750</v>
      </c>
      <c r="K271" s="123">
        <v>46303</v>
      </c>
      <c r="L271" s="129" t="s">
        <v>979</v>
      </c>
    </row>
    <row r="272" spans="1:12" x14ac:dyDescent="0.4">
      <c r="A272" s="129" t="s">
        <v>1506</v>
      </c>
      <c r="B272" s="129" t="s">
        <v>18</v>
      </c>
      <c r="C272" s="129" t="s">
        <v>611</v>
      </c>
      <c r="D272" s="130" t="s">
        <v>612</v>
      </c>
      <c r="E272" s="129" t="s">
        <v>203</v>
      </c>
      <c r="F272" s="129">
        <v>3</v>
      </c>
      <c r="G272" s="129" t="s">
        <v>754</v>
      </c>
      <c r="H272" s="109">
        <v>3</v>
      </c>
      <c r="I272" s="125"/>
      <c r="J272" s="129" t="s">
        <v>750</v>
      </c>
      <c r="K272" s="123">
        <v>46303</v>
      </c>
      <c r="L272" s="129" t="s">
        <v>979</v>
      </c>
    </row>
    <row r="273" spans="1:12" x14ac:dyDescent="0.4">
      <c r="A273" s="129" t="s">
        <v>1506</v>
      </c>
      <c r="B273" s="129" t="s">
        <v>18</v>
      </c>
      <c r="C273" s="129" t="s">
        <v>611</v>
      </c>
      <c r="D273" s="130" t="s">
        <v>612</v>
      </c>
      <c r="E273" s="129" t="s">
        <v>300</v>
      </c>
      <c r="F273" s="129">
        <v>4</v>
      </c>
      <c r="G273" s="129" t="s">
        <v>754</v>
      </c>
      <c r="H273" s="109">
        <v>4</v>
      </c>
      <c r="I273" s="125"/>
      <c r="J273" s="129" t="s">
        <v>750</v>
      </c>
      <c r="K273" s="123">
        <v>46303</v>
      </c>
      <c r="L273" s="129" t="s">
        <v>979</v>
      </c>
    </row>
    <row r="274" spans="1:12" x14ac:dyDescent="0.4">
      <c r="A274" s="129" t="s">
        <v>1506</v>
      </c>
      <c r="B274" s="129" t="s">
        <v>18</v>
      </c>
      <c r="C274" s="129" t="s">
        <v>611</v>
      </c>
      <c r="D274" s="130" t="s">
        <v>612</v>
      </c>
      <c r="E274" s="129" t="s">
        <v>206</v>
      </c>
      <c r="F274" s="129">
        <v>4</v>
      </c>
      <c r="G274" s="129" t="s">
        <v>754</v>
      </c>
      <c r="H274" s="109">
        <v>4</v>
      </c>
      <c r="I274" s="125"/>
      <c r="J274" s="129" t="s">
        <v>750</v>
      </c>
      <c r="K274" s="123">
        <v>46303</v>
      </c>
      <c r="L274" s="129" t="s">
        <v>979</v>
      </c>
    </row>
    <row r="275" spans="1:12" x14ac:dyDescent="0.4">
      <c r="A275" s="129" t="s">
        <v>1506</v>
      </c>
      <c r="B275" s="129" t="s">
        <v>18</v>
      </c>
      <c r="C275" s="129" t="s">
        <v>611</v>
      </c>
      <c r="D275" s="130" t="s">
        <v>612</v>
      </c>
      <c r="E275" s="129" t="s">
        <v>204</v>
      </c>
      <c r="F275" s="129">
        <v>4</v>
      </c>
      <c r="G275" s="129" t="s">
        <v>754</v>
      </c>
      <c r="H275" s="109">
        <v>4</v>
      </c>
      <c r="I275" s="125"/>
      <c r="J275" s="129" t="s">
        <v>750</v>
      </c>
      <c r="K275" s="123">
        <v>46303</v>
      </c>
      <c r="L275" s="129" t="s">
        <v>979</v>
      </c>
    </row>
    <row r="276" spans="1:12" x14ac:dyDescent="0.4">
      <c r="A276" s="129" t="s">
        <v>1506</v>
      </c>
      <c r="B276" s="129" t="s">
        <v>18</v>
      </c>
      <c r="C276" s="129" t="s">
        <v>611</v>
      </c>
      <c r="D276" s="130" t="s">
        <v>612</v>
      </c>
      <c r="E276" s="129" t="s">
        <v>551</v>
      </c>
      <c r="F276" s="129"/>
      <c r="G276" s="129" t="s">
        <v>754</v>
      </c>
      <c r="H276" s="109"/>
      <c r="I276" s="125"/>
      <c r="J276" s="129" t="s">
        <v>750</v>
      </c>
      <c r="K276" s="123">
        <v>46303</v>
      </c>
      <c r="L276" s="129" t="s">
        <v>979</v>
      </c>
    </row>
    <row r="277" spans="1:12" x14ac:dyDescent="0.4">
      <c r="A277" s="129" t="s">
        <v>1506</v>
      </c>
      <c r="B277" s="129" t="s">
        <v>18</v>
      </c>
      <c r="C277" s="129" t="s">
        <v>611</v>
      </c>
      <c r="D277" s="130" t="s">
        <v>612</v>
      </c>
      <c r="E277" s="129" t="s">
        <v>773</v>
      </c>
      <c r="F277" s="129" t="s">
        <v>777</v>
      </c>
      <c r="G277" s="129" t="s">
        <v>754</v>
      </c>
      <c r="H277" s="129" t="s">
        <v>777</v>
      </c>
      <c r="I277" s="125"/>
      <c r="J277" s="129" t="s">
        <v>750</v>
      </c>
      <c r="K277" s="123">
        <v>46303</v>
      </c>
      <c r="L277" s="129" t="s">
        <v>979</v>
      </c>
    </row>
    <row r="278" spans="1:12" x14ac:dyDescent="0.4">
      <c r="A278" s="129" t="s">
        <v>1506</v>
      </c>
      <c r="B278" s="129" t="s">
        <v>18</v>
      </c>
      <c r="C278" s="129" t="s">
        <v>1568</v>
      </c>
      <c r="D278" s="130" t="s">
        <v>1569</v>
      </c>
      <c r="E278" s="129" t="s">
        <v>203</v>
      </c>
      <c r="F278" s="129">
        <v>3</v>
      </c>
      <c r="G278" s="129" t="s">
        <v>754</v>
      </c>
      <c r="H278" s="109">
        <v>3</v>
      </c>
      <c r="I278" s="125"/>
      <c r="J278" s="129" t="s">
        <v>750</v>
      </c>
      <c r="K278" s="123">
        <v>46303</v>
      </c>
      <c r="L278" s="129" t="s">
        <v>979</v>
      </c>
    </row>
    <row r="279" spans="1:12" x14ac:dyDescent="0.4">
      <c r="A279" s="129" t="s">
        <v>1506</v>
      </c>
      <c r="B279" s="129" t="s">
        <v>18</v>
      </c>
      <c r="C279" s="129" t="s">
        <v>1568</v>
      </c>
      <c r="D279" s="130" t="s">
        <v>1569</v>
      </c>
      <c r="E279" s="129" t="s">
        <v>300</v>
      </c>
      <c r="F279" s="129"/>
      <c r="G279" s="129" t="s">
        <v>754</v>
      </c>
      <c r="H279" s="109"/>
      <c r="I279" s="125"/>
      <c r="J279" s="129" t="s">
        <v>750</v>
      </c>
      <c r="K279" s="123">
        <v>46303</v>
      </c>
      <c r="L279" s="129" t="s">
        <v>979</v>
      </c>
    </row>
    <row r="280" spans="1:12" x14ac:dyDescent="0.4">
      <c r="A280" s="129" t="s">
        <v>1506</v>
      </c>
      <c r="B280" s="129" t="s">
        <v>18</v>
      </c>
      <c r="C280" s="129" t="s">
        <v>1568</v>
      </c>
      <c r="D280" s="130" t="s">
        <v>1569</v>
      </c>
      <c r="E280" s="129" t="s">
        <v>206</v>
      </c>
      <c r="F280" s="129">
        <v>1</v>
      </c>
      <c r="G280" s="129" t="s">
        <v>754</v>
      </c>
      <c r="H280" s="109">
        <v>1</v>
      </c>
      <c r="I280" s="125"/>
      <c r="J280" s="129" t="s">
        <v>750</v>
      </c>
      <c r="K280" s="123">
        <v>46303</v>
      </c>
      <c r="L280" s="129" t="s">
        <v>979</v>
      </c>
    </row>
    <row r="281" spans="1:12" x14ac:dyDescent="0.4">
      <c r="A281" s="129" t="s">
        <v>1506</v>
      </c>
      <c r="B281" s="129" t="s">
        <v>18</v>
      </c>
      <c r="C281" s="129" t="s">
        <v>1568</v>
      </c>
      <c r="D281" s="130" t="s">
        <v>1569</v>
      </c>
      <c r="E281" s="129" t="s">
        <v>204</v>
      </c>
      <c r="F281" s="129">
        <v>2</v>
      </c>
      <c r="G281" s="129" t="s">
        <v>754</v>
      </c>
      <c r="H281" s="109">
        <v>2</v>
      </c>
      <c r="I281" s="125"/>
      <c r="J281" s="129" t="s">
        <v>750</v>
      </c>
      <c r="K281" s="123">
        <v>46303</v>
      </c>
      <c r="L281" s="129" t="s">
        <v>979</v>
      </c>
    </row>
    <row r="282" spans="1:12" x14ac:dyDescent="0.4">
      <c r="A282" s="129" t="s">
        <v>1506</v>
      </c>
      <c r="B282" s="129" t="s">
        <v>18</v>
      </c>
      <c r="C282" s="129" t="s">
        <v>1568</v>
      </c>
      <c r="D282" s="130" t="s">
        <v>1569</v>
      </c>
      <c r="E282" s="129" t="s">
        <v>551</v>
      </c>
      <c r="F282" s="129"/>
      <c r="G282" s="129" t="s">
        <v>754</v>
      </c>
      <c r="H282" s="109"/>
      <c r="I282" s="125"/>
      <c r="J282" s="129" t="s">
        <v>750</v>
      </c>
      <c r="K282" s="123">
        <v>46303</v>
      </c>
      <c r="L282" s="129" t="s">
        <v>979</v>
      </c>
    </row>
    <row r="283" spans="1:12" x14ac:dyDescent="0.4">
      <c r="A283" s="129" t="s">
        <v>1506</v>
      </c>
      <c r="B283" s="129" t="s">
        <v>18</v>
      </c>
      <c r="C283" s="129" t="s">
        <v>1568</v>
      </c>
      <c r="D283" s="130" t="s">
        <v>1569</v>
      </c>
      <c r="E283" s="129" t="s">
        <v>773</v>
      </c>
      <c r="F283" s="129" t="s">
        <v>777</v>
      </c>
      <c r="G283" s="129" t="s">
        <v>754</v>
      </c>
      <c r="H283" s="129" t="s">
        <v>777</v>
      </c>
      <c r="I283" s="125"/>
      <c r="J283" s="129" t="s">
        <v>750</v>
      </c>
      <c r="K283" s="123">
        <v>46303</v>
      </c>
      <c r="L283" s="129" t="s">
        <v>979</v>
      </c>
    </row>
    <row r="284" spans="1:12" ht="29.15" x14ac:dyDescent="0.4">
      <c r="A284" s="129" t="s">
        <v>1506</v>
      </c>
      <c r="B284" s="129" t="s">
        <v>124</v>
      </c>
      <c r="C284" s="129" t="s">
        <v>437</v>
      </c>
      <c r="D284" s="130" t="s">
        <v>1291</v>
      </c>
      <c r="E284" s="129" t="s">
        <v>835</v>
      </c>
      <c r="F284" s="129">
        <v>5.0999999999999996</v>
      </c>
      <c r="G284" s="129" t="s">
        <v>967</v>
      </c>
      <c r="H284" s="109">
        <v>5.3</v>
      </c>
      <c r="I284" s="130" t="s">
        <v>1628</v>
      </c>
      <c r="J284" s="129" t="s">
        <v>750</v>
      </c>
      <c r="K284" s="123">
        <v>46303</v>
      </c>
      <c r="L284" s="129" t="s">
        <v>979</v>
      </c>
    </row>
    <row r="285" spans="1:12" ht="29.15" x14ac:dyDescent="0.4">
      <c r="A285" s="129" t="s">
        <v>1506</v>
      </c>
      <c r="B285" s="129" t="s">
        <v>124</v>
      </c>
      <c r="C285" s="129" t="s">
        <v>437</v>
      </c>
      <c r="D285" s="130" t="s">
        <v>1291</v>
      </c>
      <c r="E285" s="129" t="s">
        <v>829</v>
      </c>
      <c r="F285" s="129">
        <v>3</v>
      </c>
      <c r="G285" s="129" t="s">
        <v>754</v>
      </c>
      <c r="H285" s="109">
        <v>3</v>
      </c>
      <c r="I285" s="130" t="s">
        <v>1628</v>
      </c>
      <c r="J285" s="129" t="s">
        <v>750</v>
      </c>
      <c r="K285" s="123">
        <v>46303</v>
      </c>
      <c r="L285" s="129" t="s">
        <v>979</v>
      </c>
    </row>
    <row r="286" spans="1:12" ht="29.15" x14ac:dyDescent="0.4">
      <c r="A286" s="129" t="s">
        <v>1506</v>
      </c>
      <c r="B286" s="129" t="s">
        <v>124</v>
      </c>
      <c r="C286" s="129" t="s">
        <v>437</v>
      </c>
      <c r="D286" s="130" t="s">
        <v>1291</v>
      </c>
      <c r="E286" s="129" t="s">
        <v>833</v>
      </c>
      <c r="F286" s="129">
        <v>6</v>
      </c>
      <c r="G286" s="129" t="s">
        <v>754</v>
      </c>
      <c r="H286" s="109">
        <v>6</v>
      </c>
      <c r="I286" s="130" t="s">
        <v>1628</v>
      </c>
      <c r="J286" s="129" t="s">
        <v>750</v>
      </c>
      <c r="K286" s="123">
        <v>46303</v>
      </c>
      <c r="L286" s="129" t="s">
        <v>979</v>
      </c>
    </row>
    <row r="287" spans="1:12" ht="29.15" x14ac:dyDescent="0.4">
      <c r="A287" s="129" t="s">
        <v>1506</v>
      </c>
      <c r="B287" s="129" t="s">
        <v>124</v>
      </c>
      <c r="C287" s="129" t="s">
        <v>1293</v>
      </c>
      <c r="D287" s="130" t="s">
        <v>1294</v>
      </c>
      <c r="E287" s="129" t="s">
        <v>835</v>
      </c>
      <c r="F287" s="129">
        <v>3</v>
      </c>
      <c r="G287" s="129" t="s">
        <v>754</v>
      </c>
      <c r="H287" s="109">
        <v>3</v>
      </c>
      <c r="I287" s="125"/>
      <c r="J287" s="129" t="s">
        <v>750</v>
      </c>
      <c r="K287" s="123">
        <v>46303</v>
      </c>
      <c r="L287" s="129" t="s">
        <v>979</v>
      </c>
    </row>
    <row r="288" spans="1:12" ht="29.15" x14ac:dyDescent="0.4">
      <c r="A288" s="129" t="s">
        <v>1506</v>
      </c>
      <c r="B288" s="129" t="s">
        <v>124</v>
      </c>
      <c r="C288" s="129" t="s">
        <v>1293</v>
      </c>
      <c r="D288" s="130" t="s">
        <v>1294</v>
      </c>
      <c r="E288" s="129" t="s">
        <v>829</v>
      </c>
      <c r="F288" s="129">
        <v>4</v>
      </c>
      <c r="G288" s="129" t="s">
        <v>754</v>
      </c>
      <c r="H288" s="109">
        <v>4</v>
      </c>
      <c r="I288" s="125"/>
      <c r="J288" s="129" t="s">
        <v>750</v>
      </c>
      <c r="K288" s="123">
        <v>46303</v>
      </c>
      <c r="L288" s="129" t="s">
        <v>979</v>
      </c>
    </row>
    <row r="289" spans="1:12" ht="29.15" x14ac:dyDescent="0.4">
      <c r="A289" s="129" t="s">
        <v>1506</v>
      </c>
      <c r="B289" s="129" t="s">
        <v>124</v>
      </c>
      <c r="C289" s="129" t="s">
        <v>1293</v>
      </c>
      <c r="D289" s="130" t="s">
        <v>1294</v>
      </c>
      <c r="E289" s="129" t="s">
        <v>833</v>
      </c>
      <c r="F289" s="129">
        <v>12</v>
      </c>
      <c r="G289" s="129" t="s">
        <v>754</v>
      </c>
      <c r="H289" s="109">
        <v>12</v>
      </c>
      <c r="I289" s="125"/>
      <c r="J289" s="129" t="s">
        <v>750</v>
      </c>
      <c r="K289" s="123">
        <v>46303</v>
      </c>
      <c r="L289" s="129" t="s">
        <v>979</v>
      </c>
    </row>
    <row r="290" spans="1:12" x14ac:dyDescent="0.4">
      <c r="A290" s="129" t="s">
        <v>1506</v>
      </c>
      <c r="B290" s="129" t="s">
        <v>124</v>
      </c>
      <c r="C290" s="129" t="s">
        <v>1299</v>
      </c>
      <c r="D290" s="130" t="s">
        <v>1300</v>
      </c>
      <c r="E290" s="129" t="s">
        <v>835</v>
      </c>
      <c r="F290" s="129">
        <v>72</v>
      </c>
      <c r="G290" s="129" t="s">
        <v>754</v>
      </c>
      <c r="H290" s="109">
        <v>72</v>
      </c>
      <c r="I290" s="125"/>
      <c r="J290" s="129" t="s">
        <v>750</v>
      </c>
      <c r="K290" s="123">
        <v>46303</v>
      </c>
      <c r="L290" s="129" t="s">
        <v>979</v>
      </c>
    </row>
    <row r="291" spans="1:12" x14ac:dyDescent="0.4">
      <c r="A291" s="129" t="s">
        <v>1506</v>
      </c>
      <c r="B291" s="129" t="s">
        <v>124</v>
      </c>
      <c r="C291" s="129" t="s">
        <v>1299</v>
      </c>
      <c r="D291" s="130" t="s">
        <v>1300</v>
      </c>
      <c r="E291" s="129" t="s">
        <v>829</v>
      </c>
      <c r="F291" s="129">
        <v>60</v>
      </c>
      <c r="G291" s="129" t="s">
        <v>754</v>
      </c>
      <c r="H291" s="109">
        <v>60</v>
      </c>
      <c r="I291" s="125"/>
      <c r="J291" s="129" t="s">
        <v>750</v>
      </c>
      <c r="K291" s="123">
        <v>46303</v>
      </c>
      <c r="L291" s="129" t="s">
        <v>979</v>
      </c>
    </row>
    <row r="292" spans="1:12" x14ac:dyDescent="0.4">
      <c r="A292" s="129" t="s">
        <v>1506</v>
      </c>
      <c r="B292" s="129" t="s">
        <v>124</v>
      </c>
      <c r="C292" s="129" t="s">
        <v>1299</v>
      </c>
      <c r="D292" s="130" t="s">
        <v>1300</v>
      </c>
      <c r="E292" s="129" t="s">
        <v>833</v>
      </c>
      <c r="F292" s="129">
        <v>75</v>
      </c>
      <c r="G292" s="129" t="s">
        <v>754</v>
      </c>
      <c r="H292" s="109">
        <v>75</v>
      </c>
      <c r="I292" s="125"/>
      <c r="J292" s="129" t="s">
        <v>750</v>
      </c>
      <c r="K292" s="123">
        <v>46303</v>
      </c>
      <c r="L292" s="129" t="s">
        <v>979</v>
      </c>
    </row>
    <row r="293" spans="1:12" ht="29.15" x14ac:dyDescent="0.4">
      <c r="A293" s="129" t="s">
        <v>1506</v>
      </c>
      <c r="B293" s="129" t="s">
        <v>124</v>
      </c>
      <c r="C293" s="129" t="s">
        <v>1304</v>
      </c>
      <c r="D293" s="130" t="s">
        <v>1305</v>
      </c>
      <c r="E293" s="129" t="s">
        <v>835</v>
      </c>
      <c r="F293" s="129">
        <v>0</v>
      </c>
      <c r="G293" s="129" t="s">
        <v>754</v>
      </c>
      <c r="H293" s="109">
        <v>0</v>
      </c>
      <c r="I293" s="125"/>
      <c r="J293" s="129" t="s">
        <v>750</v>
      </c>
      <c r="K293" s="123">
        <v>46303</v>
      </c>
      <c r="L293" s="129" t="s">
        <v>979</v>
      </c>
    </row>
    <row r="294" spans="1:12" ht="29.15" x14ac:dyDescent="0.4">
      <c r="A294" s="129" t="s">
        <v>1506</v>
      </c>
      <c r="B294" s="129" t="s">
        <v>124</v>
      </c>
      <c r="C294" s="129" t="s">
        <v>1304</v>
      </c>
      <c r="D294" s="130" t="s">
        <v>1305</v>
      </c>
      <c r="E294" s="129" t="s">
        <v>829</v>
      </c>
      <c r="F294" s="129">
        <v>2</v>
      </c>
      <c r="G294" s="129" t="s">
        <v>754</v>
      </c>
      <c r="H294" s="109">
        <v>2</v>
      </c>
      <c r="I294" s="125"/>
      <c r="J294" s="129" t="s">
        <v>750</v>
      </c>
      <c r="K294" s="123">
        <v>46303</v>
      </c>
      <c r="L294" s="129" t="s">
        <v>979</v>
      </c>
    </row>
    <row r="295" spans="1:12" ht="29.15" x14ac:dyDescent="0.4">
      <c r="A295" s="129" t="s">
        <v>1506</v>
      </c>
      <c r="B295" s="129" t="s">
        <v>124</v>
      </c>
      <c r="C295" s="129" t="s">
        <v>1304</v>
      </c>
      <c r="D295" s="130" t="s">
        <v>1305</v>
      </c>
      <c r="E295" s="129" t="s">
        <v>833</v>
      </c>
      <c r="F295" s="129">
        <v>4</v>
      </c>
      <c r="G295" s="129" t="s">
        <v>754</v>
      </c>
      <c r="H295" s="109">
        <v>4</v>
      </c>
      <c r="I295" s="125"/>
      <c r="J295" s="129" t="s">
        <v>750</v>
      </c>
      <c r="K295" s="123">
        <v>46303</v>
      </c>
      <c r="L295" s="129" t="s">
        <v>979</v>
      </c>
    </row>
    <row r="296" spans="1:12" x14ac:dyDescent="0.4">
      <c r="A296" s="129" t="s">
        <v>1506</v>
      </c>
      <c r="B296" s="129" t="s">
        <v>124</v>
      </c>
      <c r="C296" s="129" t="s">
        <v>1309</v>
      </c>
      <c r="D296" s="130" t="s">
        <v>1310</v>
      </c>
      <c r="E296" s="129" t="s">
        <v>835</v>
      </c>
      <c r="F296" s="129">
        <v>1.9</v>
      </c>
      <c r="G296" s="129" t="s">
        <v>754</v>
      </c>
      <c r="H296" s="109">
        <v>1.9</v>
      </c>
      <c r="I296" s="125"/>
      <c r="J296" s="129" t="s">
        <v>750</v>
      </c>
      <c r="K296" s="123">
        <v>46303</v>
      </c>
      <c r="L296" s="129" t="s">
        <v>979</v>
      </c>
    </row>
    <row r="297" spans="1:12" x14ac:dyDescent="0.4">
      <c r="A297" s="129" t="s">
        <v>1506</v>
      </c>
      <c r="B297" s="129" t="s">
        <v>124</v>
      </c>
      <c r="C297" s="129" t="s">
        <v>1309</v>
      </c>
      <c r="D297" s="130" t="s">
        <v>1310</v>
      </c>
      <c r="E297" s="129" t="s">
        <v>829</v>
      </c>
      <c r="F297" s="129">
        <v>1.5</v>
      </c>
      <c r="G297" s="129" t="s">
        <v>754</v>
      </c>
      <c r="H297" s="109">
        <v>1.5</v>
      </c>
      <c r="I297" s="125"/>
      <c r="J297" s="129" t="s">
        <v>750</v>
      </c>
      <c r="K297" s="123">
        <v>46303</v>
      </c>
      <c r="L297" s="129" t="s">
        <v>979</v>
      </c>
    </row>
    <row r="298" spans="1:12" x14ac:dyDescent="0.4">
      <c r="A298" s="129" t="s">
        <v>1506</v>
      </c>
      <c r="B298" s="129" t="s">
        <v>124</v>
      </c>
      <c r="C298" s="129" t="s">
        <v>1309</v>
      </c>
      <c r="D298" s="130" t="s">
        <v>1310</v>
      </c>
      <c r="E298" s="129" t="s">
        <v>833</v>
      </c>
      <c r="F298" s="129">
        <v>3</v>
      </c>
      <c r="G298" s="129" t="s">
        <v>754</v>
      </c>
      <c r="H298" s="109">
        <v>3</v>
      </c>
      <c r="I298" s="125"/>
      <c r="J298" s="129" t="s">
        <v>750</v>
      </c>
      <c r="K298" s="123">
        <v>46303</v>
      </c>
      <c r="L298" s="129" t="s">
        <v>979</v>
      </c>
    </row>
    <row r="299" spans="1:12" ht="29.15" x14ac:dyDescent="0.4">
      <c r="A299" s="129" t="s">
        <v>1506</v>
      </c>
      <c r="B299" s="129" t="s">
        <v>124</v>
      </c>
      <c r="C299" s="129" t="s">
        <v>1314</v>
      </c>
      <c r="D299" s="130" t="s">
        <v>1315</v>
      </c>
      <c r="E299" s="129" t="s">
        <v>835</v>
      </c>
      <c r="F299" s="129"/>
      <c r="G299" s="129" t="s">
        <v>754</v>
      </c>
      <c r="H299" s="109"/>
      <c r="I299" s="125"/>
      <c r="J299" s="129" t="s">
        <v>750</v>
      </c>
      <c r="K299" s="123">
        <v>46303</v>
      </c>
      <c r="L299" s="129" t="s">
        <v>979</v>
      </c>
    </row>
    <row r="300" spans="1:12" ht="29.15" x14ac:dyDescent="0.4">
      <c r="A300" s="129" t="s">
        <v>1506</v>
      </c>
      <c r="B300" s="129" t="s">
        <v>124</v>
      </c>
      <c r="C300" s="129" t="s">
        <v>1314</v>
      </c>
      <c r="D300" s="130" t="s">
        <v>1315</v>
      </c>
      <c r="E300" s="129" t="s">
        <v>829</v>
      </c>
      <c r="F300" s="129">
        <v>20</v>
      </c>
      <c r="G300" s="129" t="s">
        <v>754</v>
      </c>
      <c r="H300" s="109">
        <v>20</v>
      </c>
      <c r="I300" s="125"/>
      <c r="J300" s="129" t="s">
        <v>750</v>
      </c>
      <c r="K300" s="123">
        <v>46303</v>
      </c>
      <c r="L300" s="129" t="s">
        <v>979</v>
      </c>
    </row>
    <row r="301" spans="1:12" ht="29.15" x14ac:dyDescent="0.4">
      <c r="A301" s="129" t="s">
        <v>1506</v>
      </c>
      <c r="B301" s="129" t="s">
        <v>124</v>
      </c>
      <c r="C301" s="129" t="s">
        <v>1314</v>
      </c>
      <c r="D301" s="130" t="s">
        <v>1315</v>
      </c>
      <c r="E301" s="129" t="s">
        <v>833</v>
      </c>
      <c r="F301" s="129">
        <v>40</v>
      </c>
      <c r="G301" s="129" t="s">
        <v>754</v>
      </c>
      <c r="H301" s="109">
        <v>40</v>
      </c>
      <c r="I301" s="125"/>
      <c r="J301" s="129" t="s">
        <v>750</v>
      </c>
      <c r="K301" s="123">
        <v>46303</v>
      </c>
      <c r="L301" s="129" t="s">
        <v>979</v>
      </c>
    </row>
    <row r="302" spans="1:12" ht="29.15" x14ac:dyDescent="0.4">
      <c r="A302" s="129" t="s">
        <v>1506</v>
      </c>
      <c r="B302" s="129" t="s">
        <v>124</v>
      </c>
      <c r="C302" s="129" t="s">
        <v>1318</v>
      </c>
      <c r="D302" s="130" t="s">
        <v>1319</v>
      </c>
      <c r="E302" s="129" t="s">
        <v>835</v>
      </c>
      <c r="F302" s="129">
        <v>2</v>
      </c>
      <c r="G302" s="129" t="s">
        <v>754</v>
      </c>
      <c r="H302" s="109">
        <v>2</v>
      </c>
      <c r="I302" s="125"/>
      <c r="J302" s="129" t="s">
        <v>750</v>
      </c>
      <c r="K302" s="123">
        <v>46303</v>
      </c>
      <c r="L302" s="129" t="s">
        <v>979</v>
      </c>
    </row>
    <row r="303" spans="1:12" ht="29.15" x14ac:dyDescent="0.4">
      <c r="A303" s="129" t="s">
        <v>1506</v>
      </c>
      <c r="B303" s="129" t="s">
        <v>124</v>
      </c>
      <c r="C303" s="129" t="s">
        <v>1318</v>
      </c>
      <c r="D303" s="130" t="s">
        <v>1319</v>
      </c>
      <c r="E303" s="129" t="s">
        <v>829</v>
      </c>
      <c r="F303" s="129">
        <v>1</v>
      </c>
      <c r="G303" s="129" t="s">
        <v>754</v>
      </c>
      <c r="H303" s="109">
        <v>1</v>
      </c>
      <c r="I303" s="125"/>
      <c r="J303" s="129" t="s">
        <v>750</v>
      </c>
      <c r="K303" s="123">
        <v>46303</v>
      </c>
      <c r="L303" s="129" t="s">
        <v>979</v>
      </c>
    </row>
    <row r="304" spans="1:12" ht="29.15" x14ac:dyDescent="0.4">
      <c r="A304" s="129" t="s">
        <v>1506</v>
      </c>
      <c r="B304" s="129" t="s">
        <v>124</v>
      </c>
      <c r="C304" s="129" t="s">
        <v>1318</v>
      </c>
      <c r="D304" s="130" t="s">
        <v>1319</v>
      </c>
      <c r="E304" s="129" t="s">
        <v>833</v>
      </c>
      <c r="F304" s="129">
        <v>3</v>
      </c>
      <c r="G304" s="129" t="s">
        <v>754</v>
      </c>
      <c r="H304" s="109">
        <v>3</v>
      </c>
      <c r="I304" s="125"/>
      <c r="J304" s="129" t="s">
        <v>750</v>
      </c>
      <c r="K304" s="123">
        <v>46303</v>
      </c>
      <c r="L304" s="129" t="s">
        <v>979</v>
      </c>
    </row>
    <row r="305" spans="1:12" x14ac:dyDescent="0.4">
      <c r="A305" s="129" t="s">
        <v>1506</v>
      </c>
      <c r="B305" s="129" t="s">
        <v>124</v>
      </c>
      <c r="C305" s="129" t="s">
        <v>1322</v>
      </c>
      <c r="D305" s="130" t="s">
        <v>1323</v>
      </c>
      <c r="E305" s="129" t="s">
        <v>835</v>
      </c>
      <c r="F305" s="129">
        <v>0</v>
      </c>
      <c r="G305" s="129" t="s">
        <v>754</v>
      </c>
      <c r="H305" s="109">
        <v>0</v>
      </c>
      <c r="I305" s="125"/>
      <c r="J305" s="129" t="s">
        <v>750</v>
      </c>
      <c r="K305" s="123">
        <v>46303</v>
      </c>
      <c r="L305" s="129" t="s">
        <v>979</v>
      </c>
    </row>
    <row r="306" spans="1:12" x14ac:dyDescent="0.4">
      <c r="A306" s="129" t="s">
        <v>1506</v>
      </c>
      <c r="B306" s="129" t="s">
        <v>124</v>
      </c>
      <c r="C306" s="129" t="s">
        <v>1322</v>
      </c>
      <c r="D306" s="130" t="s">
        <v>1323</v>
      </c>
      <c r="E306" s="129" t="s">
        <v>829</v>
      </c>
      <c r="F306" s="129">
        <v>2</v>
      </c>
      <c r="G306" s="129" t="s">
        <v>754</v>
      </c>
      <c r="H306" s="109">
        <v>2</v>
      </c>
      <c r="I306" s="125"/>
      <c r="J306" s="129" t="s">
        <v>750</v>
      </c>
      <c r="K306" s="123">
        <v>46303</v>
      </c>
      <c r="L306" s="129" t="s">
        <v>979</v>
      </c>
    </row>
    <row r="307" spans="1:12" x14ac:dyDescent="0.4">
      <c r="A307" s="129" t="s">
        <v>1506</v>
      </c>
      <c r="B307" s="129" t="s">
        <v>124</v>
      </c>
      <c r="C307" s="129" t="s">
        <v>1322</v>
      </c>
      <c r="D307" s="130" t="s">
        <v>1323</v>
      </c>
      <c r="E307" s="129" t="s">
        <v>833</v>
      </c>
      <c r="F307" s="129">
        <v>5</v>
      </c>
      <c r="G307" s="129" t="s">
        <v>754</v>
      </c>
      <c r="H307" s="109">
        <v>5</v>
      </c>
      <c r="I307" s="125"/>
      <c r="J307" s="129" t="s">
        <v>750</v>
      </c>
      <c r="K307" s="123">
        <v>46303</v>
      </c>
      <c r="L307" s="129" t="s">
        <v>979</v>
      </c>
    </row>
    <row r="308" spans="1:12" x14ac:dyDescent="0.4">
      <c r="A308" s="129" t="s">
        <v>1506</v>
      </c>
      <c r="B308" s="129" t="s">
        <v>124</v>
      </c>
      <c r="C308" s="129" t="s">
        <v>1327</v>
      </c>
      <c r="D308" s="130" t="s">
        <v>1328</v>
      </c>
      <c r="E308" s="129" t="s">
        <v>835</v>
      </c>
      <c r="F308" s="129">
        <v>4</v>
      </c>
      <c r="G308" s="129" t="s">
        <v>754</v>
      </c>
      <c r="H308" s="109">
        <v>4</v>
      </c>
      <c r="I308" s="125"/>
      <c r="J308" s="129" t="s">
        <v>750</v>
      </c>
      <c r="K308" s="123">
        <v>46303</v>
      </c>
      <c r="L308" s="129" t="s">
        <v>979</v>
      </c>
    </row>
    <row r="309" spans="1:12" x14ac:dyDescent="0.4">
      <c r="A309" s="129" t="s">
        <v>1506</v>
      </c>
      <c r="B309" s="129" t="s">
        <v>124</v>
      </c>
      <c r="C309" s="129" t="s">
        <v>1327</v>
      </c>
      <c r="D309" s="130" t="s">
        <v>1328</v>
      </c>
      <c r="E309" s="129" t="s">
        <v>829</v>
      </c>
      <c r="F309" s="129">
        <v>3</v>
      </c>
      <c r="G309" s="129" t="s">
        <v>754</v>
      </c>
      <c r="H309" s="109">
        <v>3</v>
      </c>
      <c r="I309" s="125"/>
      <c r="J309" s="129" t="s">
        <v>750</v>
      </c>
      <c r="K309" s="123">
        <v>46303</v>
      </c>
      <c r="L309" s="129" t="s">
        <v>979</v>
      </c>
    </row>
    <row r="310" spans="1:12" x14ac:dyDescent="0.4">
      <c r="A310" s="129" t="s">
        <v>1506</v>
      </c>
      <c r="B310" s="129" t="s">
        <v>124</v>
      </c>
      <c r="C310" s="129" t="s">
        <v>1327</v>
      </c>
      <c r="D310" s="130" t="s">
        <v>1328</v>
      </c>
      <c r="E310" s="129" t="s">
        <v>833</v>
      </c>
      <c r="F310" s="129">
        <v>6</v>
      </c>
      <c r="G310" s="129" t="s">
        <v>754</v>
      </c>
      <c r="H310" s="109">
        <v>6</v>
      </c>
      <c r="I310" s="125"/>
      <c r="J310" s="129" t="s">
        <v>750</v>
      </c>
      <c r="K310" s="123">
        <v>46303</v>
      </c>
      <c r="L310" s="129" t="s">
        <v>979</v>
      </c>
    </row>
    <row r="311" spans="1:12" ht="29.15" x14ac:dyDescent="0.4">
      <c r="A311" s="129" t="s">
        <v>1506</v>
      </c>
      <c r="B311" s="129" t="s">
        <v>124</v>
      </c>
      <c r="C311" s="129" t="s">
        <v>1331</v>
      </c>
      <c r="D311" s="130" t="s">
        <v>1332</v>
      </c>
      <c r="E311" s="129" t="s">
        <v>835</v>
      </c>
      <c r="F311" s="129">
        <v>18</v>
      </c>
      <c r="G311" s="129" t="s">
        <v>754</v>
      </c>
      <c r="H311" s="109">
        <v>18</v>
      </c>
      <c r="I311" s="125"/>
      <c r="J311" s="129" t="s">
        <v>750</v>
      </c>
      <c r="K311" s="123">
        <v>46303</v>
      </c>
      <c r="L311" s="129" t="s">
        <v>979</v>
      </c>
    </row>
    <row r="312" spans="1:12" ht="29.15" x14ac:dyDescent="0.4">
      <c r="A312" s="129" t="s">
        <v>1506</v>
      </c>
      <c r="B312" s="129" t="s">
        <v>124</v>
      </c>
      <c r="C312" s="129" t="s">
        <v>1331</v>
      </c>
      <c r="D312" s="130" t="s">
        <v>1332</v>
      </c>
      <c r="E312" s="129" t="s">
        <v>829</v>
      </c>
      <c r="F312" s="129">
        <v>30</v>
      </c>
      <c r="G312" s="129" t="s">
        <v>754</v>
      </c>
      <c r="H312" s="109">
        <v>30</v>
      </c>
      <c r="I312" s="125"/>
      <c r="J312" s="129" t="s">
        <v>750</v>
      </c>
      <c r="K312" s="123">
        <v>46303</v>
      </c>
      <c r="L312" s="129" t="s">
        <v>979</v>
      </c>
    </row>
    <row r="313" spans="1:12" ht="29.15" x14ac:dyDescent="0.4">
      <c r="A313" s="129" t="s">
        <v>1506</v>
      </c>
      <c r="B313" s="129" t="s">
        <v>124</v>
      </c>
      <c r="C313" s="129" t="s">
        <v>1331</v>
      </c>
      <c r="D313" s="130" t="s">
        <v>1332</v>
      </c>
      <c r="E313" s="129" t="s">
        <v>833</v>
      </c>
      <c r="F313" s="129">
        <v>60</v>
      </c>
      <c r="G313" s="129" t="s">
        <v>754</v>
      </c>
      <c r="H313" s="109">
        <v>60</v>
      </c>
      <c r="I313" s="125"/>
      <c r="J313" s="129" t="s">
        <v>750</v>
      </c>
      <c r="K313" s="123">
        <v>46303</v>
      </c>
      <c r="L313" s="129" t="s">
        <v>979</v>
      </c>
    </row>
    <row r="314" spans="1:12" ht="29.15" x14ac:dyDescent="0.4">
      <c r="A314" s="129" t="s">
        <v>1506</v>
      </c>
      <c r="B314" s="129" t="s">
        <v>124</v>
      </c>
      <c r="C314" s="129" t="s">
        <v>1367</v>
      </c>
      <c r="D314" s="130" t="s">
        <v>1368</v>
      </c>
      <c r="E314" s="129" t="s">
        <v>835</v>
      </c>
      <c r="F314" s="129">
        <v>6</v>
      </c>
      <c r="G314" s="129" t="s">
        <v>754</v>
      </c>
      <c r="H314" s="109">
        <v>6</v>
      </c>
      <c r="I314" s="125"/>
      <c r="J314" s="129" t="s">
        <v>750</v>
      </c>
      <c r="K314" s="123">
        <v>46303</v>
      </c>
      <c r="L314" s="129" t="s">
        <v>979</v>
      </c>
    </row>
    <row r="315" spans="1:12" ht="29.15" x14ac:dyDescent="0.4">
      <c r="A315" s="129" t="s">
        <v>1506</v>
      </c>
      <c r="B315" s="129" t="s">
        <v>124</v>
      </c>
      <c r="C315" s="129" t="s">
        <v>1367</v>
      </c>
      <c r="D315" s="130" t="s">
        <v>1368</v>
      </c>
      <c r="E315" s="129" t="s">
        <v>829</v>
      </c>
      <c r="F315" s="129">
        <v>10</v>
      </c>
      <c r="G315" s="129" t="s">
        <v>754</v>
      </c>
      <c r="H315" s="109">
        <v>10</v>
      </c>
      <c r="I315" s="125"/>
      <c r="J315" s="129" t="s">
        <v>750</v>
      </c>
      <c r="K315" s="123">
        <v>46303</v>
      </c>
      <c r="L315" s="129" t="s">
        <v>979</v>
      </c>
    </row>
    <row r="316" spans="1:12" ht="29.15" x14ac:dyDescent="0.4">
      <c r="A316" s="129" t="s">
        <v>1506</v>
      </c>
      <c r="B316" s="129" t="s">
        <v>124</v>
      </c>
      <c r="C316" s="129" t="s">
        <v>1367</v>
      </c>
      <c r="D316" s="130" t="s">
        <v>1368</v>
      </c>
      <c r="E316" s="129" t="s">
        <v>833</v>
      </c>
      <c r="F316" s="129">
        <v>30</v>
      </c>
      <c r="G316" s="129" t="s">
        <v>754</v>
      </c>
      <c r="H316" s="109">
        <v>30</v>
      </c>
      <c r="I316" s="125"/>
      <c r="J316" s="129" t="s">
        <v>750</v>
      </c>
      <c r="K316" s="123">
        <v>46303</v>
      </c>
      <c r="L316" s="129" t="s">
        <v>979</v>
      </c>
    </row>
    <row r="317" spans="1:12" ht="29.15" x14ac:dyDescent="0.4">
      <c r="A317" s="129" t="s">
        <v>1506</v>
      </c>
      <c r="B317" s="129" t="s">
        <v>124</v>
      </c>
      <c r="C317" s="129" t="s">
        <v>1371</v>
      </c>
      <c r="D317" s="130" t="s">
        <v>1372</v>
      </c>
      <c r="E317" s="129" t="s">
        <v>835</v>
      </c>
      <c r="F317" s="129">
        <v>22</v>
      </c>
      <c r="G317" s="129" t="s">
        <v>754</v>
      </c>
      <c r="H317" s="109">
        <v>22</v>
      </c>
      <c r="I317" s="125"/>
      <c r="J317" s="129" t="s">
        <v>750</v>
      </c>
      <c r="K317" s="123">
        <v>46303</v>
      </c>
      <c r="L317" s="129" t="s">
        <v>979</v>
      </c>
    </row>
    <row r="318" spans="1:12" ht="29.15" x14ac:dyDescent="0.4">
      <c r="A318" s="129" t="s">
        <v>1506</v>
      </c>
      <c r="B318" s="129" t="s">
        <v>124</v>
      </c>
      <c r="C318" s="129" t="s">
        <v>1371</v>
      </c>
      <c r="D318" s="130" t="s">
        <v>1372</v>
      </c>
      <c r="E318" s="129" t="s">
        <v>829</v>
      </c>
      <c r="F318" s="129">
        <v>20</v>
      </c>
      <c r="G318" s="129" t="s">
        <v>754</v>
      </c>
      <c r="H318" s="109">
        <v>20</v>
      </c>
      <c r="I318" s="125"/>
      <c r="J318" s="129" t="s">
        <v>750</v>
      </c>
      <c r="K318" s="123">
        <v>46303</v>
      </c>
      <c r="L318" s="129" t="s">
        <v>979</v>
      </c>
    </row>
    <row r="319" spans="1:12" ht="29.15" x14ac:dyDescent="0.4">
      <c r="A319" s="129" t="s">
        <v>1506</v>
      </c>
      <c r="B319" s="129" t="s">
        <v>124</v>
      </c>
      <c r="C319" s="129" t="s">
        <v>1371</v>
      </c>
      <c r="D319" s="130" t="s">
        <v>1372</v>
      </c>
      <c r="E319" s="129" t="s">
        <v>833</v>
      </c>
      <c r="F319" s="129">
        <v>40</v>
      </c>
      <c r="G319" s="129" t="s">
        <v>754</v>
      </c>
      <c r="H319" s="109">
        <v>40</v>
      </c>
      <c r="I319" s="125"/>
      <c r="J319" s="129" t="s">
        <v>750</v>
      </c>
      <c r="K319" s="123">
        <v>46303</v>
      </c>
      <c r="L319" s="129" t="s">
        <v>979</v>
      </c>
    </row>
    <row r="320" spans="1:12" ht="29.15" x14ac:dyDescent="0.4">
      <c r="A320" s="129" t="s">
        <v>1506</v>
      </c>
      <c r="B320" s="129" t="s">
        <v>124</v>
      </c>
      <c r="C320" s="129" t="s">
        <v>1335</v>
      </c>
      <c r="D320" s="130" t="s">
        <v>1336</v>
      </c>
      <c r="E320" s="129" t="s">
        <v>835</v>
      </c>
      <c r="F320" s="129">
        <v>1</v>
      </c>
      <c r="G320" s="129" t="s">
        <v>754</v>
      </c>
      <c r="H320" s="109">
        <v>1</v>
      </c>
      <c r="I320" s="125"/>
      <c r="J320" s="129" t="s">
        <v>750</v>
      </c>
      <c r="K320" s="123">
        <v>46303</v>
      </c>
      <c r="L320" s="129" t="s">
        <v>979</v>
      </c>
    </row>
    <row r="321" spans="1:12" ht="29.15" x14ac:dyDescent="0.4">
      <c r="A321" s="129" t="s">
        <v>1506</v>
      </c>
      <c r="B321" s="129" t="s">
        <v>124</v>
      </c>
      <c r="C321" s="129" t="s">
        <v>1335</v>
      </c>
      <c r="D321" s="130" t="s">
        <v>1336</v>
      </c>
      <c r="E321" s="129" t="s">
        <v>829</v>
      </c>
      <c r="F321" s="129">
        <v>1</v>
      </c>
      <c r="G321" s="129" t="s">
        <v>754</v>
      </c>
      <c r="H321" s="109">
        <v>1</v>
      </c>
      <c r="I321" s="125"/>
      <c r="J321" s="129" t="s">
        <v>750</v>
      </c>
      <c r="K321" s="123">
        <v>46303</v>
      </c>
      <c r="L321" s="129" t="s">
        <v>979</v>
      </c>
    </row>
    <row r="322" spans="1:12" ht="29.15" x14ac:dyDescent="0.4">
      <c r="A322" s="129" t="s">
        <v>1506</v>
      </c>
      <c r="B322" s="129" t="s">
        <v>124</v>
      </c>
      <c r="C322" s="129" t="s">
        <v>1335</v>
      </c>
      <c r="D322" s="130" t="s">
        <v>1336</v>
      </c>
      <c r="E322" s="129" t="s">
        <v>833</v>
      </c>
      <c r="F322" s="129">
        <v>2</v>
      </c>
      <c r="G322" s="129" t="s">
        <v>754</v>
      </c>
      <c r="H322" s="109">
        <v>2</v>
      </c>
      <c r="I322" s="125"/>
      <c r="J322" s="129" t="s">
        <v>750</v>
      </c>
      <c r="K322" s="123">
        <v>46303</v>
      </c>
      <c r="L322" s="129" t="s">
        <v>979</v>
      </c>
    </row>
    <row r="323" spans="1:12" ht="29.15" x14ac:dyDescent="0.4">
      <c r="A323" s="129" t="s">
        <v>1506</v>
      </c>
      <c r="B323" s="129" t="s">
        <v>124</v>
      </c>
      <c r="C323" s="129" t="s">
        <v>1338</v>
      </c>
      <c r="D323" s="130" t="s">
        <v>1339</v>
      </c>
      <c r="E323" s="129" t="s">
        <v>835</v>
      </c>
      <c r="F323" s="129">
        <v>2.5</v>
      </c>
      <c r="G323" s="129" t="s">
        <v>754</v>
      </c>
      <c r="H323" s="109">
        <v>2.5</v>
      </c>
      <c r="I323" s="125"/>
      <c r="J323" s="129" t="s">
        <v>750</v>
      </c>
      <c r="K323" s="123">
        <v>46303</v>
      </c>
      <c r="L323" s="129" t="s">
        <v>979</v>
      </c>
    </row>
    <row r="324" spans="1:12" ht="29.15" x14ac:dyDescent="0.4">
      <c r="A324" s="129" t="s">
        <v>1506</v>
      </c>
      <c r="B324" s="129" t="s">
        <v>124</v>
      </c>
      <c r="C324" s="129" t="s">
        <v>1338</v>
      </c>
      <c r="D324" s="130" t="s">
        <v>1339</v>
      </c>
      <c r="E324" s="129" t="s">
        <v>829</v>
      </c>
      <c r="F324" s="129">
        <v>4</v>
      </c>
      <c r="G324" s="129" t="s">
        <v>754</v>
      </c>
      <c r="H324" s="109">
        <v>4</v>
      </c>
      <c r="I324" s="125"/>
      <c r="J324" s="129" t="s">
        <v>750</v>
      </c>
      <c r="K324" s="123">
        <v>46303</v>
      </c>
      <c r="L324" s="129" t="s">
        <v>979</v>
      </c>
    </row>
    <row r="325" spans="1:12" ht="29.15" x14ac:dyDescent="0.4">
      <c r="A325" s="129" t="s">
        <v>1506</v>
      </c>
      <c r="B325" s="129" t="s">
        <v>124</v>
      </c>
      <c r="C325" s="129" t="s">
        <v>1338</v>
      </c>
      <c r="D325" s="130" t="s">
        <v>1339</v>
      </c>
      <c r="E325" s="129" t="s">
        <v>833</v>
      </c>
      <c r="F325" s="129">
        <v>12</v>
      </c>
      <c r="G325" s="129" t="s">
        <v>754</v>
      </c>
      <c r="H325" s="109">
        <v>12</v>
      </c>
      <c r="I325" s="125"/>
      <c r="J325" s="129" t="s">
        <v>750</v>
      </c>
      <c r="K325" s="123">
        <v>46303</v>
      </c>
      <c r="L325" s="129" t="s">
        <v>979</v>
      </c>
    </row>
    <row r="326" spans="1:12" x14ac:dyDescent="0.4">
      <c r="A326" s="129" t="s">
        <v>1506</v>
      </c>
      <c r="B326" s="129" t="s">
        <v>124</v>
      </c>
      <c r="C326" s="129" t="s">
        <v>1341</v>
      </c>
      <c r="D326" s="130" t="s">
        <v>1342</v>
      </c>
      <c r="E326" s="129" t="s">
        <v>835</v>
      </c>
      <c r="F326" s="129">
        <v>22</v>
      </c>
      <c r="G326" s="129" t="s">
        <v>754</v>
      </c>
      <c r="H326" s="109">
        <v>22</v>
      </c>
      <c r="I326" s="125"/>
      <c r="J326" s="129" t="s">
        <v>750</v>
      </c>
      <c r="K326" s="123">
        <v>46303</v>
      </c>
      <c r="L326" s="129" t="s">
        <v>979</v>
      </c>
    </row>
    <row r="327" spans="1:12" x14ac:dyDescent="0.4">
      <c r="A327" s="129" t="s">
        <v>1506</v>
      </c>
      <c r="B327" s="129" t="s">
        <v>124</v>
      </c>
      <c r="C327" s="129" t="s">
        <v>1341</v>
      </c>
      <c r="D327" s="130" t="s">
        <v>1342</v>
      </c>
      <c r="E327" s="129" t="s">
        <v>829</v>
      </c>
      <c r="F327" s="129">
        <v>20</v>
      </c>
      <c r="G327" s="129" t="s">
        <v>754</v>
      </c>
      <c r="H327" s="109">
        <v>20</v>
      </c>
      <c r="I327" s="125"/>
      <c r="J327" s="129" t="s">
        <v>750</v>
      </c>
      <c r="K327" s="123">
        <v>46303</v>
      </c>
      <c r="L327" s="129" t="s">
        <v>979</v>
      </c>
    </row>
    <row r="328" spans="1:12" x14ac:dyDescent="0.4">
      <c r="A328" s="129" t="s">
        <v>1506</v>
      </c>
      <c r="B328" s="129" t="s">
        <v>124</v>
      </c>
      <c r="C328" s="129" t="s">
        <v>1341</v>
      </c>
      <c r="D328" s="130" t="s">
        <v>1342</v>
      </c>
      <c r="E328" s="129" t="s">
        <v>833</v>
      </c>
      <c r="F328" s="129">
        <v>50</v>
      </c>
      <c r="G328" s="129" t="s">
        <v>754</v>
      </c>
      <c r="H328" s="109">
        <v>50</v>
      </c>
      <c r="I328" s="125"/>
      <c r="J328" s="129" t="s">
        <v>750</v>
      </c>
      <c r="K328" s="123">
        <v>46303</v>
      </c>
      <c r="L328" s="129" t="s">
        <v>979</v>
      </c>
    </row>
    <row r="329" spans="1:12" x14ac:dyDescent="0.4">
      <c r="A329" s="129" t="s">
        <v>1506</v>
      </c>
      <c r="B329" s="129" t="s">
        <v>124</v>
      </c>
      <c r="C329" s="129" t="s">
        <v>1346</v>
      </c>
      <c r="D329" s="130" t="s">
        <v>1347</v>
      </c>
      <c r="E329" s="129" t="s">
        <v>835</v>
      </c>
      <c r="F329" s="129">
        <v>5</v>
      </c>
      <c r="G329" s="129" t="s">
        <v>754</v>
      </c>
      <c r="H329" s="109">
        <v>5</v>
      </c>
      <c r="I329" s="125"/>
      <c r="J329" s="129" t="s">
        <v>750</v>
      </c>
      <c r="K329" s="123">
        <v>46303</v>
      </c>
      <c r="L329" s="129" t="s">
        <v>979</v>
      </c>
    </row>
    <row r="330" spans="1:12" x14ac:dyDescent="0.4">
      <c r="A330" s="129" t="s">
        <v>1506</v>
      </c>
      <c r="B330" s="129" t="s">
        <v>124</v>
      </c>
      <c r="C330" s="129" t="s">
        <v>1346</v>
      </c>
      <c r="D330" s="130" t="s">
        <v>1347</v>
      </c>
      <c r="E330" s="129" t="s">
        <v>829</v>
      </c>
      <c r="F330" s="129">
        <v>5</v>
      </c>
      <c r="G330" s="129" t="s">
        <v>754</v>
      </c>
      <c r="H330" s="109">
        <v>5</v>
      </c>
      <c r="I330" s="125"/>
      <c r="J330" s="129" t="s">
        <v>750</v>
      </c>
      <c r="K330" s="123">
        <v>46303</v>
      </c>
      <c r="L330" s="129" t="s">
        <v>979</v>
      </c>
    </row>
    <row r="331" spans="1:12" x14ac:dyDescent="0.4">
      <c r="A331" s="129" t="s">
        <v>1506</v>
      </c>
      <c r="B331" s="129" t="s">
        <v>124</v>
      </c>
      <c r="C331" s="129" t="s">
        <v>1346</v>
      </c>
      <c r="D331" s="130" t="s">
        <v>1347</v>
      </c>
      <c r="E331" s="129" t="s">
        <v>833</v>
      </c>
      <c r="F331" s="129">
        <v>15</v>
      </c>
      <c r="G331" s="129" t="s">
        <v>754</v>
      </c>
      <c r="H331" s="109">
        <v>15</v>
      </c>
      <c r="I331" s="125"/>
      <c r="J331" s="129" t="s">
        <v>750</v>
      </c>
      <c r="K331" s="123">
        <v>46303</v>
      </c>
      <c r="L331" s="129" t="s">
        <v>979</v>
      </c>
    </row>
    <row r="332" spans="1:12" ht="29.15" x14ac:dyDescent="0.4">
      <c r="A332" s="129" t="s">
        <v>1506</v>
      </c>
      <c r="B332" s="129" t="s">
        <v>124</v>
      </c>
      <c r="C332" s="129" t="s">
        <v>1375</v>
      </c>
      <c r="D332" s="130" t="s">
        <v>1376</v>
      </c>
      <c r="E332" s="129" t="s">
        <v>835</v>
      </c>
      <c r="F332" s="129">
        <v>4.2</v>
      </c>
      <c r="G332" s="129" t="s">
        <v>754</v>
      </c>
      <c r="H332" s="109">
        <v>4.2</v>
      </c>
      <c r="I332" s="125"/>
      <c r="J332" s="129" t="s">
        <v>750</v>
      </c>
      <c r="K332" s="123">
        <v>46303</v>
      </c>
      <c r="L332" s="129" t="s">
        <v>979</v>
      </c>
    </row>
    <row r="333" spans="1:12" ht="29.15" x14ac:dyDescent="0.4">
      <c r="A333" s="129" t="s">
        <v>1506</v>
      </c>
      <c r="B333" s="129" t="s">
        <v>124</v>
      </c>
      <c r="C333" s="129" t="s">
        <v>1375</v>
      </c>
      <c r="D333" s="130" t="s">
        <v>1376</v>
      </c>
      <c r="E333" s="129" t="s">
        <v>829</v>
      </c>
      <c r="F333" s="129">
        <v>2</v>
      </c>
      <c r="G333" s="129" t="s">
        <v>754</v>
      </c>
      <c r="H333" s="109">
        <v>2</v>
      </c>
      <c r="I333" s="125"/>
      <c r="J333" s="129" t="s">
        <v>750</v>
      </c>
      <c r="K333" s="123">
        <v>46303</v>
      </c>
      <c r="L333" s="129" t="s">
        <v>979</v>
      </c>
    </row>
    <row r="334" spans="1:12" ht="29.15" x14ac:dyDescent="0.4">
      <c r="A334" s="129" t="s">
        <v>1506</v>
      </c>
      <c r="B334" s="129" t="s">
        <v>124</v>
      </c>
      <c r="C334" s="129" t="s">
        <v>1375</v>
      </c>
      <c r="D334" s="130" t="s">
        <v>1376</v>
      </c>
      <c r="E334" s="129" t="s">
        <v>833</v>
      </c>
      <c r="F334" s="129">
        <v>5</v>
      </c>
      <c r="G334" s="129" t="s">
        <v>754</v>
      </c>
      <c r="H334" s="109">
        <v>5</v>
      </c>
      <c r="I334" s="125"/>
      <c r="J334" s="129" t="s">
        <v>750</v>
      </c>
      <c r="K334" s="123">
        <v>46303</v>
      </c>
      <c r="L334" s="129" t="s">
        <v>979</v>
      </c>
    </row>
    <row r="335" spans="1:12" ht="29.15" x14ac:dyDescent="0.4">
      <c r="A335" s="129" t="s">
        <v>1506</v>
      </c>
      <c r="B335" s="129" t="s">
        <v>124</v>
      </c>
      <c r="C335" s="129" t="s">
        <v>1379</v>
      </c>
      <c r="D335" s="130" t="s">
        <v>1380</v>
      </c>
      <c r="E335" s="129" t="s">
        <v>835</v>
      </c>
      <c r="F335" s="129">
        <v>9</v>
      </c>
      <c r="G335" s="129" t="s">
        <v>754</v>
      </c>
      <c r="H335" s="109">
        <v>9</v>
      </c>
      <c r="I335" s="125"/>
      <c r="J335" s="129" t="s">
        <v>750</v>
      </c>
      <c r="K335" s="123">
        <v>46303</v>
      </c>
      <c r="L335" s="129" t="s">
        <v>979</v>
      </c>
    </row>
    <row r="336" spans="1:12" ht="29.15" x14ac:dyDescent="0.4">
      <c r="A336" s="129" t="s">
        <v>1506</v>
      </c>
      <c r="B336" s="129" t="s">
        <v>124</v>
      </c>
      <c r="C336" s="129" t="s">
        <v>1379</v>
      </c>
      <c r="D336" s="130" t="s">
        <v>1380</v>
      </c>
      <c r="E336" s="129" t="s">
        <v>829</v>
      </c>
      <c r="F336" s="129">
        <v>5</v>
      </c>
      <c r="G336" s="129" t="s">
        <v>754</v>
      </c>
      <c r="H336" s="109">
        <v>5</v>
      </c>
      <c r="I336" s="125"/>
      <c r="J336" s="129" t="s">
        <v>750</v>
      </c>
      <c r="K336" s="123">
        <v>46303</v>
      </c>
      <c r="L336" s="129" t="s">
        <v>979</v>
      </c>
    </row>
    <row r="337" spans="1:12" ht="29.15" x14ac:dyDescent="0.4">
      <c r="A337" s="129" t="s">
        <v>1506</v>
      </c>
      <c r="B337" s="129" t="s">
        <v>124</v>
      </c>
      <c r="C337" s="129" t="s">
        <v>1379</v>
      </c>
      <c r="D337" s="130" t="s">
        <v>1380</v>
      </c>
      <c r="E337" s="129" t="s">
        <v>833</v>
      </c>
      <c r="F337" s="129">
        <v>15</v>
      </c>
      <c r="G337" s="129" t="s">
        <v>754</v>
      </c>
      <c r="H337" s="109">
        <v>15</v>
      </c>
      <c r="I337" s="125"/>
      <c r="J337" s="129" t="s">
        <v>750</v>
      </c>
      <c r="K337" s="123">
        <v>46303</v>
      </c>
      <c r="L337" s="129" t="s">
        <v>979</v>
      </c>
    </row>
    <row r="338" spans="1:12" ht="29.15" x14ac:dyDescent="0.4">
      <c r="A338" s="129" t="s">
        <v>1506</v>
      </c>
      <c r="B338" s="129" t="s">
        <v>124</v>
      </c>
      <c r="C338" s="129" t="s">
        <v>1383</v>
      </c>
      <c r="D338" s="130" t="s">
        <v>1384</v>
      </c>
      <c r="E338" s="129" t="s">
        <v>835</v>
      </c>
      <c r="F338" s="129">
        <v>1.9</v>
      </c>
      <c r="G338" s="129" t="s">
        <v>754</v>
      </c>
      <c r="H338" s="109">
        <v>1.9</v>
      </c>
      <c r="I338" s="130" t="s">
        <v>1627</v>
      </c>
      <c r="J338" s="129" t="s">
        <v>750</v>
      </c>
      <c r="K338" s="123">
        <v>46303</v>
      </c>
      <c r="L338" s="129" t="s">
        <v>979</v>
      </c>
    </row>
    <row r="339" spans="1:12" ht="29.15" x14ac:dyDescent="0.4">
      <c r="A339" s="129" t="s">
        <v>1506</v>
      </c>
      <c r="B339" s="129" t="s">
        <v>124</v>
      </c>
      <c r="C339" s="129" t="s">
        <v>1383</v>
      </c>
      <c r="D339" s="130" t="s">
        <v>1384</v>
      </c>
      <c r="E339" s="129" t="s">
        <v>829</v>
      </c>
      <c r="F339" s="129"/>
      <c r="G339" s="129" t="s">
        <v>967</v>
      </c>
      <c r="H339" s="109">
        <v>2</v>
      </c>
      <c r="I339" s="130" t="s">
        <v>1627</v>
      </c>
      <c r="J339" s="129" t="s">
        <v>750</v>
      </c>
      <c r="K339" s="123">
        <v>46303</v>
      </c>
      <c r="L339" s="129" t="s">
        <v>979</v>
      </c>
    </row>
    <row r="340" spans="1:12" ht="29.15" x14ac:dyDescent="0.4">
      <c r="A340" s="129" t="s">
        <v>1506</v>
      </c>
      <c r="B340" s="129" t="s">
        <v>124</v>
      </c>
      <c r="C340" s="129" t="s">
        <v>1383</v>
      </c>
      <c r="D340" s="130" t="s">
        <v>1384</v>
      </c>
      <c r="E340" s="129" t="s">
        <v>833</v>
      </c>
      <c r="F340" s="129"/>
      <c r="G340" s="129" t="s">
        <v>967</v>
      </c>
      <c r="H340" s="109">
        <v>5</v>
      </c>
      <c r="I340" s="130" t="s">
        <v>1627</v>
      </c>
      <c r="J340" s="129" t="s">
        <v>750</v>
      </c>
      <c r="K340" s="123">
        <v>46303</v>
      </c>
      <c r="L340" s="129" t="s">
        <v>979</v>
      </c>
    </row>
    <row r="341" spans="1:12" ht="29.15" x14ac:dyDescent="0.4">
      <c r="A341" s="129" t="s">
        <v>1506</v>
      </c>
      <c r="B341" s="129" t="s">
        <v>124</v>
      </c>
      <c r="C341" s="129" t="s">
        <v>1387</v>
      </c>
      <c r="D341" s="130" t="s">
        <v>1388</v>
      </c>
      <c r="E341" s="129" t="s">
        <v>835</v>
      </c>
      <c r="F341" s="129">
        <v>45</v>
      </c>
      <c r="G341" s="129" t="s">
        <v>754</v>
      </c>
      <c r="H341" s="109">
        <v>45</v>
      </c>
      <c r="I341" s="125"/>
      <c r="J341" s="129" t="s">
        <v>750</v>
      </c>
      <c r="K341" s="123">
        <v>46303</v>
      </c>
      <c r="L341" s="129" t="s">
        <v>979</v>
      </c>
    </row>
    <row r="342" spans="1:12" ht="29.15" x14ac:dyDescent="0.4">
      <c r="A342" s="129" t="s">
        <v>1506</v>
      </c>
      <c r="B342" s="129" t="s">
        <v>124</v>
      </c>
      <c r="C342" s="129" t="s">
        <v>1387</v>
      </c>
      <c r="D342" s="130" t="s">
        <v>1388</v>
      </c>
      <c r="E342" s="129" t="s">
        <v>829</v>
      </c>
      <c r="F342" s="129">
        <v>20</v>
      </c>
      <c r="G342" s="129" t="s">
        <v>754</v>
      </c>
      <c r="H342" s="109">
        <v>20</v>
      </c>
      <c r="I342" s="125"/>
      <c r="J342" s="129" t="s">
        <v>750</v>
      </c>
      <c r="K342" s="123">
        <v>46303</v>
      </c>
      <c r="L342" s="129" t="s">
        <v>979</v>
      </c>
    </row>
    <row r="343" spans="1:12" ht="29.15" x14ac:dyDescent="0.4">
      <c r="A343" s="129" t="s">
        <v>1506</v>
      </c>
      <c r="B343" s="129" t="s">
        <v>124</v>
      </c>
      <c r="C343" s="129" t="s">
        <v>1387</v>
      </c>
      <c r="D343" s="130" t="s">
        <v>1388</v>
      </c>
      <c r="E343" s="129" t="s">
        <v>833</v>
      </c>
      <c r="F343" s="129">
        <v>50</v>
      </c>
      <c r="G343" s="129" t="s">
        <v>754</v>
      </c>
      <c r="H343" s="109">
        <v>50</v>
      </c>
      <c r="I343" s="125"/>
      <c r="J343" s="129" t="s">
        <v>750</v>
      </c>
      <c r="K343" s="123">
        <v>46303</v>
      </c>
      <c r="L343" s="129" t="s">
        <v>979</v>
      </c>
    </row>
    <row r="344" spans="1:12" ht="29.15" x14ac:dyDescent="0.4">
      <c r="A344" s="129" t="s">
        <v>1506</v>
      </c>
      <c r="B344" s="129" t="s">
        <v>124</v>
      </c>
      <c r="C344" s="129" t="s">
        <v>1350</v>
      </c>
      <c r="D344" s="130" t="s">
        <v>1351</v>
      </c>
      <c r="E344" s="129" t="s">
        <v>835</v>
      </c>
      <c r="F344" s="129">
        <v>6</v>
      </c>
      <c r="G344" s="129" t="s">
        <v>754</v>
      </c>
      <c r="H344" s="109">
        <v>6</v>
      </c>
      <c r="I344" s="125"/>
      <c r="J344" s="129" t="s">
        <v>750</v>
      </c>
      <c r="K344" s="123">
        <v>46303</v>
      </c>
      <c r="L344" s="129" t="s">
        <v>979</v>
      </c>
    </row>
    <row r="345" spans="1:12" ht="29.15" x14ac:dyDescent="0.4">
      <c r="A345" s="129" t="s">
        <v>1506</v>
      </c>
      <c r="B345" s="129" t="s">
        <v>124</v>
      </c>
      <c r="C345" s="129" t="s">
        <v>1350</v>
      </c>
      <c r="D345" s="130" t="s">
        <v>1351</v>
      </c>
      <c r="E345" s="129" t="s">
        <v>829</v>
      </c>
      <c r="F345" s="129">
        <v>3</v>
      </c>
      <c r="G345" s="129" t="s">
        <v>754</v>
      </c>
      <c r="H345" s="109">
        <v>3</v>
      </c>
      <c r="I345" s="125"/>
      <c r="J345" s="129" t="s">
        <v>750</v>
      </c>
      <c r="K345" s="123">
        <v>46303</v>
      </c>
      <c r="L345" s="129" t="s">
        <v>979</v>
      </c>
    </row>
    <row r="346" spans="1:12" ht="29.15" x14ac:dyDescent="0.4">
      <c r="A346" s="129" t="s">
        <v>1506</v>
      </c>
      <c r="B346" s="129" t="s">
        <v>124</v>
      </c>
      <c r="C346" s="129" t="s">
        <v>1350</v>
      </c>
      <c r="D346" s="130" t="s">
        <v>1351</v>
      </c>
      <c r="E346" s="129" t="s">
        <v>833</v>
      </c>
      <c r="F346" s="129">
        <v>8</v>
      </c>
      <c r="G346" s="129" t="s">
        <v>754</v>
      </c>
      <c r="H346" s="109">
        <v>8</v>
      </c>
      <c r="I346" s="125"/>
      <c r="J346" s="129" t="s">
        <v>750</v>
      </c>
      <c r="K346" s="123">
        <v>46303</v>
      </c>
      <c r="L346" s="129" t="s">
        <v>979</v>
      </c>
    </row>
    <row r="347" spans="1:12" ht="29.15" x14ac:dyDescent="0.4">
      <c r="A347" s="129" t="s">
        <v>1506</v>
      </c>
      <c r="B347" s="129" t="s">
        <v>124</v>
      </c>
      <c r="C347" s="129" t="s">
        <v>1354</v>
      </c>
      <c r="D347" s="130" t="s">
        <v>1355</v>
      </c>
      <c r="E347" s="129" t="s">
        <v>835</v>
      </c>
      <c r="F347" s="129">
        <v>5</v>
      </c>
      <c r="G347" s="129" t="s">
        <v>754</v>
      </c>
      <c r="H347" s="109">
        <v>5</v>
      </c>
      <c r="I347" s="125"/>
      <c r="J347" s="129" t="s">
        <v>750</v>
      </c>
      <c r="K347" s="123">
        <v>46303</v>
      </c>
      <c r="L347" s="129" t="s">
        <v>979</v>
      </c>
    </row>
    <row r="348" spans="1:12" ht="29.15" x14ac:dyDescent="0.4">
      <c r="A348" s="129" t="s">
        <v>1506</v>
      </c>
      <c r="B348" s="129" t="s">
        <v>124</v>
      </c>
      <c r="C348" s="129" t="s">
        <v>1354</v>
      </c>
      <c r="D348" s="130" t="s">
        <v>1355</v>
      </c>
      <c r="E348" s="129" t="s">
        <v>829</v>
      </c>
      <c r="F348" s="129">
        <v>2</v>
      </c>
      <c r="G348" s="129" t="s">
        <v>754</v>
      </c>
      <c r="H348" s="109">
        <v>2</v>
      </c>
      <c r="I348" s="125"/>
      <c r="J348" s="129" t="s">
        <v>750</v>
      </c>
      <c r="K348" s="123">
        <v>46303</v>
      </c>
      <c r="L348" s="129" t="s">
        <v>979</v>
      </c>
    </row>
    <row r="349" spans="1:12" ht="29.15" x14ac:dyDescent="0.4">
      <c r="A349" s="129" t="s">
        <v>1506</v>
      </c>
      <c r="B349" s="129" t="s">
        <v>124</v>
      </c>
      <c r="C349" s="129" t="s">
        <v>1354</v>
      </c>
      <c r="D349" s="130" t="s">
        <v>1355</v>
      </c>
      <c r="E349" s="129" t="s">
        <v>833</v>
      </c>
      <c r="F349" s="129">
        <v>6</v>
      </c>
      <c r="G349" s="129" t="s">
        <v>754</v>
      </c>
      <c r="H349" s="109">
        <v>6</v>
      </c>
      <c r="I349" s="125"/>
      <c r="J349" s="129" t="s">
        <v>750</v>
      </c>
      <c r="K349" s="123">
        <v>46303</v>
      </c>
      <c r="L349" s="129" t="s">
        <v>979</v>
      </c>
    </row>
    <row r="350" spans="1:12" ht="29.15" x14ac:dyDescent="0.4">
      <c r="A350" s="129" t="s">
        <v>1506</v>
      </c>
      <c r="B350" s="129" t="s">
        <v>124</v>
      </c>
      <c r="C350" s="129" t="s">
        <v>1358</v>
      </c>
      <c r="D350" s="130" t="s">
        <v>1359</v>
      </c>
      <c r="E350" s="129" t="s">
        <v>835</v>
      </c>
      <c r="F350" s="129">
        <v>12</v>
      </c>
      <c r="G350" s="129" t="s">
        <v>754</v>
      </c>
      <c r="H350" s="109">
        <v>12</v>
      </c>
      <c r="I350" s="125"/>
      <c r="J350" s="129" t="s">
        <v>750</v>
      </c>
      <c r="K350" s="123">
        <v>46303</v>
      </c>
      <c r="L350" s="129" t="s">
        <v>979</v>
      </c>
    </row>
    <row r="351" spans="1:12" ht="29.15" x14ac:dyDescent="0.4">
      <c r="A351" s="129" t="s">
        <v>1506</v>
      </c>
      <c r="B351" s="129" t="s">
        <v>124</v>
      </c>
      <c r="C351" s="129" t="s">
        <v>1358</v>
      </c>
      <c r="D351" s="130" t="s">
        <v>1359</v>
      </c>
      <c r="E351" s="129" t="s">
        <v>829</v>
      </c>
      <c r="F351" s="129">
        <v>10</v>
      </c>
      <c r="G351" s="129" t="s">
        <v>754</v>
      </c>
      <c r="H351" s="109">
        <v>10</v>
      </c>
      <c r="I351" s="125"/>
      <c r="J351" s="129" t="s">
        <v>750</v>
      </c>
      <c r="K351" s="123">
        <v>46303</v>
      </c>
      <c r="L351" s="129" t="s">
        <v>979</v>
      </c>
    </row>
    <row r="352" spans="1:12" ht="29.15" x14ac:dyDescent="0.4">
      <c r="A352" s="129" t="s">
        <v>1506</v>
      </c>
      <c r="B352" s="129" t="s">
        <v>124</v>
      </c>
      <c r="C352" s="129" t="s">
        <v>1358</v>
      </c>
      <c r="D352" s="130" t="s">
        <v>1359</v>
      </c>
      <c r="E352" s="129" t="s">
        <v>833</v>
      </c>
      <c r="F352" s="129">
        <v>30</v>
      </c>
      <c r="G352" s="129" t="s">
        <v>754</v>
      </c>
      <c r="H352" s="109">
        <v>30</v>
      </c>
      <c r="I352" s="125"/>
      <c r="J352" s="129" t="s">
        <v>750</v>
      </c>
      <c r="K352" s="123">
        <v>46303</v>
      </c>
      <c r="L352" s="129" t="s">
        <v>979</v>
      </c>
    </row>
    <row r="353" spans="1:12" ht="29.15" x14ac:dyDescent="0.4">
      <c r="A353" s="129" t="s">
        <v>1506</v>
      </c>
      <c r="B353" s="129" t="s">
        <v>124</v>
      </c>
      <c r="C353" s="129" t="s">
        <v>1362</v>
      </c>
      <c r="D353" s="130" t="s">
        <v>1363</v>
      </c>
      <c r="E353" s="129" t="s">
        <v>835</v>
      </c>
      <c r="F353" s="129">
        <v>4.5</v>
      </c>
      <c r="G353" s="129" t="s">
        <v>754</v>
      </c>
      <c r="H353" s="109">
        <v>4.5</v>
      </c>
      <c r="I353" s="125"/>
      <c r="J353" s="129" t="s">
        <v>750</v>
      </c>
      <c r="K353" s="123">
        <v>46303</v>
      </c>
      <c r="L353" s="129" t="s">
        <v>979</v>
      </c>
    </row>
    <row r="354" spans="1:12" ht="29.15" x14ac:dyDescent="0.4">
      <c r="A354" s="129" t="s">
        <v>1506</v>
      </c>
      <c r="B354" s="129" t="s">
        <v>124</v>
      </c>
      <c r="C354" s="129" t="s">
        <v>1362</v>
      </c>
      <c r="D354" s="130" t="s">
        <v>1363</v>
      </c>
      <c r="E354" s="129" t="s">
        <v>829</v>
      </c>
      <c r="F354" s="129">
        <v>4</v>
      </c>
      <c r="G354" s="129" t="s">
        <v>754</v>
      </c>
      <c r="H354" s="109">
        <v>4</v>
      </c>
      <c r="I354" s="125"/>
      <c r="J354" s="129" t="s">
        <v>750</v>
      </c>
      <c r="K354" s="123">
        <v>46303</v>
      </c>
      <c r="L354" s="129" t="s">
        <v>979</v>
      </c>
    </row>
    <row r="355" spans="1:12" ht="29.15" x14ac:dyDescent="0.4">
      <c r="A355" s="129" t="s">
        <v>1506</v>
      </c>
      <c r="B355" s="129" t="s">
        <v>124</v>
      </c>
      <c r="C355" s="129" t="s">
        <v>1362</v>
      </c>
      <c r="D355" s="130" t="s">
        <v>1363</v>
      </c>
      <c r="E355" s="129" t="s">
        <v>833</v>
      </c>
      <c r="F355" s="129">
        <v>12</v>
      </c>
      <c r="G355" s="129" t="s">
        <v>754</v>
      </c>
      <c r="H355" s="109">
        <v>12</v>
      </c>
      <c r="I355" s="125"/>
      <c r="J355" s="129" t="s">
        <v>750</v>
      </c>
      <c r="K355" s="123">
        <v>46303</v>
      </c>
      <c r="L355" s="129" t="s">
        <v>979</v>
      </c>
    </row>
    <row r="356" spans="1:12" ht="29.15" x14ac:dyDescent="0.4">
      <c r="A356" s="129" t="s">
        <v>1506</v>
      </c>
      <c r="B356" s="129" t="s">
        <v>124</v>
      </c>
      <c r="C356" s="129" t="s">
        <v>1538</v>
      </c>
      <c r="D356" s="130" t="s">
        <v>1539</v>
      </c>
      <c r="E356" s="129" t="s">
        <v>835</v>
      </c>
      <c r="F356" s="129"/>
      <c r="G356" s="129" t="s">
        <v>754</v>
      </c>
      <c r="H356" s="109"/>
      <c r="I356" s="125"/>
      <c r="J356" s="129" t="s">
        <v>750</v>
      </c>
      <c r="K356" s="123">
        <v>46303</v>
      </c>
      <c r="L356" s="129" t="s">
        <v>979</v>
      </c>
    </row>
    <row r="357" spans="1:12" ht="29.15" x14ac:dyDescent="0.4">
      <c r="A357" s="129" t="s">
        <v>1506</v>
      </c>
      <c r="B357" s="129" t="s">
        <v>124</v>
      </c>
      <c r="C357" s="129" t="s">
        <v>1538</v>
      </c>
      <c r="D357" s="130" t="s">
        <v>1539</v>
      </c>
      <c r="E357" s="129" t="s">
        <v>829</v>
      </c>
      <c r="F357" s="129">
        <v>1</v>
      </c>
      <c r="G357" s="129" t="s">
        <v>754</v>
      </c>
      <c r="H357" s="109">
        <v>1</v>
      </c>
      <c r="I357" s="125"/>
      <c r="J357" s="129" t="s">
        <v>750</v>
      </c>
      <c r="K357" s="123">
        <v>46303</v>
      </c>
      <c r="L357" s="129" t="s">
        <v>979</v>
      </c>
    </row>
    <row r="358" spans="1:12" ht="29.15" x14ac:dyDescent="0.4">
      <c r="A358" s="129" t="s">
        <v>1506</v>
      </c>
      <c r="B358" s="129" t="s">
        <v>124</v>
      </c>
      <c r="C358" s="129" t="s">
        <v>1538</v>
      </c>
      <c r="D358" s="130" t="s">
        <v>1539</v>
      </c>
      <c r="E358" s="129" t="s">
        <v>833</v>
      </c>
      <c r="F358" s="129">
        <v>3</v>
      </c>
      <c r="G358" s="129" t="s">
        <v>754</v>
      </c>
      <c r="H358" s="109">
        <v>3</v>
      </c>
      <c r="I358" s="125"/>
      <c r="J358" s="129" t="s">
        <v>750</v>
      </c>
      <c r="K358" s="123">
        <v>46303</v>
      </c>
      <c r="L358" s="129" t="s">
        <v>979</v>
      </c>
    </row>
    <row r="359" spans="1:12" ht="29.15" x14ac:dyDescent="0.4">
      <c r="A359" s="129" t="s">
        <v>1506</v>
      </c>
      <c r="B359" s="129" t="s">
        <v>493</v>
      </c>
      <c r="C359" s="129" t="s">
        <v>1576</v>
      </c>
      <c r="D359" s="130" t="s">
        <v>1577</v>
      </c>
      <c r="E359" s="129" t="s">
        <v>181</v>
      </c>
      <c r="F359" s="129" t="s">
        <v>557</v>
      </c>
      <c r="G359" s="129" t="s">
        <v>754</v>
      </c>
      <c r="H359" s="129" t="s">
        <v>557</v>
      </c>
      <c r="I359" s="125"/>
      <c r="J359" s="129" t="s">
        <v>750</v>
      </c>
      <c r="K359" s="123">
        <v>46303</v>
      </c>
      <c r="L359" s="129" t="s">
        <v>979</v>
      </c>
    </row>
    <row r="360" spans="1:12" ht="29.15" x14ac:dyDescent="0.4">
      <c r="A360" s="129" t="s">
        <v>1506</v>
      </c>
      <c r="B360" s="129" t="s">
        <v>493</v>
      </c>
      <c r="C360" s="129" t="s">
        <v>1576</v>
      </c>
      <c r="D360" s="130" t="s">
        <v>1577</v>
      </c>
      <c r="E360" s="129" t="s">
        <v>267</v>
      </c>
      <c r="F360" s="129" t="s">
        <v>1246</v>
      </c>
      <c r="G360" s="129" t="s">
        <v>754</v>
      </c>
      <c r="H360" s="129" t="s">
        <v>1246</v>
      </c>
      <c r="I360" s="125"/>
      <c r="J360" s="129" t="s">
        <v>750</v>
      </c>
      <c r="K360" s="123">
        <v>46303</v>
      </c>
      <c r="L360" s="129" t="s">
        <v>979</v>
      </c>
    </row>
    <row r="361" spans="1:12" ht="29.15" x14ac:dyDescent="0.4">
      <c r="A361" s="129" t="s">
        <v>1506</v>
      </c>
      <c r="B361" s="129" t="s">
        <v>493</v>
      </c>
      <c r="C361" s="129" t="s">
        <v>1579</v>
      </c>
      <c r="D361" s="130" t="s">
        <v>1580</v>
      </c>
      <c r="E361" s="129" t="s">
        <v>181</v>
      </c>
      <c r="F361" s="129" t="s">
        <v>1581</v>
      </c>
      <c r="G361" s="129" t="s">
        <v>754</v>
      </c>
      <c r="H361" s="129" t="s">
        <v>1581</v>
      </c>
      <c r="I361" s="125"/>
      <c r="J361" s="129" t="s">
        <v>750</v>
      </c>
      <c r="K361" s="123">
        <v>46303</v>
      </c>
      <c r="L361" s="129" t="s">
        <v>979</v>
      </c>
    </row>
    <row r="362" spans="1:12" ht="29.15" x14ac:dyDescent="0.4">
      <c r="A362" s="129" t="s">
        <v>1506</v>
      </c>
      <c r="B362" s="129" t="s">
        <v>493</v>
      </c>
      <c r="C362" s="129" t="s">
        <v>1579</v>
      </c>
      <c r="D362" s="130" t="s">
        <v>1580</v>
      </c>
      <c r="E362" s="129" t="s">
        <v>267</v>
      </c>
      <c r="F362" s="129" t="s">
        <v>798</v>
      </c>
      <c r="G362" s="129" t="s">
        <v>754</v>
      </c>
      <c r="H362" s="129" t="s">
        <v>798</v>
      </c>
      <c r="I362" s="125"/>
      <c r="J362" s="129" t="s">
        <v>750</v>
      </c>
      <c r="K362" s="123">
        <v>46303</v>
      </c>
      <c r="L362" s="129" t="s">
        <v>979</v>
      </c>
    </row>
    <row r="363" spans="1:12" ht="29.15" x14ac:dyDescent="0.4">
      <c r="A363" s="129" t="s">
        <v>1506</v>
      </c>
      <c r="B363" s="129" t="s">
        <v>493</v>
      </c>
      <c r="C363" s="129" t="s">
        <v>1583</v>
      </c>
      <c r="D363" s="130" t="s">
        <v>1584</v>
      </c>
      <c r="E363" s="129" t="s">
        <v>181</v>
      </c>
      <c r="F363" s="129" t="s">
        <v>563</v>
      </c>
      <c r="G363" s="129" t="s">
        <v>754</v>
      </c>
      <c r="H363" s="129" t="s">
        <v>563</v>
      </c>
      <c r="I363" s="125"/>
      <c r="J363" s="129" t="s">
        <v>750</v>
      </c>
      <c r="K363" s="123">
        <v>46303</v>
      </c>
      <c r="L363" s="129" t="s">
        <v>979</v>
      </c>
    </row>
    <row r="364" spans="1:12" ht="29.15" x14ac:dyDescent="0.4">
      <c r="A364" s="129" t="s">
        <v>1506</v>
      </c>
      <c r="B364" s="129" t="s">
        <v>493</v>
      </c>
      <c r="C364" s="129" t="s">
        <v>1583</v>
      </c>
      <c r="D364" s="130" t="s">
        <v>1584</v>
      </c>
      <c r="E364" s="129" t="s">
        <v>267</v>
      </c>
      <c r="F364" s="129" t="s">
        <v>1246</v>
      </c>
      <c r="G364" s="129" t="s">
        <v>754</v>
      </c>
      <c r="H364" s="129" t="s">
        <v>1246</v>
      </c>
      <c r="I364" s="125"/>
      <c r="J364" s="129" t="s">
        <v>750</v>
      </c>
      <c r="K364" s="123">
        <v>46303</v>
      </c>
      <c r="L364" s="129" t="s">
        <v>979</v>
      </c>
    </row>
    <row r="365" spans="1:12" ht="29.15" x14ac:dyDescent="0.4">
      <c r="A365" s="129" t="s">
        <v>1506</v>
      </c>
      <c r="B365" s="129" t="s">
        <v>493</v>
      </c>
      <c r="C365" s="129" t="s">
        <v>1586</v>
      </c>
      <c r="D365" s="130" t="s">
        <v>1587</v>
      </c>
      <c r="E365" s="129" t="s">
        <v>181</v>
      </c>
      <c r="F365" s="129" t="s">
        <v>1588</v>
      </c>
      <c r="G365" s="129" t="s">
        <v>754</v>
      </c>
      <c r="H365" s="129" t="s">
        <v>1588</v>
      </c>
      <c r="I365" s="125"/>
      <c r="J365" s="129" t="s">
        <v>750</v>
      </c>
      <c r="K365" s="123">
        <v>46303</v>
      </c>
      <c r="L365" s="129" t="s">
        <v>979</v>
      </c>
    </row>
    <row r="366" spans="1:12" ht="29.15" x14ac:dyDescent="0.4">
      <c r="A366" s="129" t="s">
        <v>1506</v>
      </c>
      <c r="B366" s="129" t="s">
        <v>493</v>
      </c>
      <c r="C366" s="129" t="s">
        <v>1586</v>
      </c>
      <c r="D366" s="130" t="s">
        <v>1587</v>
      </c>
      <c r="E366" s="129" t="s">
        <v>267</v>
      </c>
      <c r="F366" s="129" t="s">
        <v>1236</v>
      </c>
      <c r="G366" s="129" t="s">
        <v>754</v>
      </c>
      <c r="H366" s="129" t="s">
        <v>1236</v>
      </c>
      <c r="I366" s="125"/>
      <c r="J366" s="129" t="s">
        <v>750</v>
      </c>
      <c r="K366" s="123">
        <v>46303</v>
      </c>
      <c r="L366" s="129" t="s">
        <v>979</v>
      </c>
    </row>
    <row r="367" spans="1:12" ht="29.15" x14ac:dyDescent="0.4">
      <c r="A367" s="129" t="s">
        <v>1506</v>
      </c>
      <c r="B367" s="129" t="s">
        <v>493</v>
      </c>
      <c r="C367" s="129" t="s">
        <v>1590</v>
      </c>
      <c r="D367" s="130" t="s">
        <v>1591</v>
      </c>
      <c r="E367" s="129" t="s">
        <v>181</v>
      </c>
      <c r="F367" s="129" t="s">
        <v>569</v>
      </c>
      <c r="G367" s="129" t="s">
        <v>754</v>
      </c>
      <c r="H367" s="129" t="s">
        <v>569</v>
      </c>
      <c r="I367" s="125"/>
      <c r="J367" s="129" t="s">
        <v>750</v>
      </c>
      <c r="K367" s="123">
        <v>46303</v>
      </c>
      <c r="L367" s="129" t="s">
        <v>979</v>
      </c>
    </row>
    <row r="368" spans="1:12" ht="29.15" x14ac:dyDescent="0.4">
      <c r="A368" s="129" t="s">
        <v>1506</v>
      </c>
      <c r="B368" s="129" t="s">
        <v>493</v>
      </c>
      <c r="C368" s="129" t="s">
        <v>1590</v>
      </c>
      <c r="D368" s="130" t="s">
        <v>1591</v>
      </c>
      <c r="E368" s="129" t="s">
        <v>267</v>
      </c>
      <c r="F368" s="129" t="s">
        <v>1246</v>
      </c>
      <c r="G368" s="129" t="s">
        <v>754</v>
      </c>
      <c r="H368" s="129" t="s">
        <v>1246</v>
      </c>
      <c r="I368" s="125"/>
      <c r="J368" s="129" t="s">
        <v>750</v>
      </c>
      <c r="K368" s="123">
        <v>46303</v>
      </c>
      <c r="L368" s="129" t="s">
        <v>979</v>
      </c>
    </row>
    <row r="369" spans="1:12" ht="43.75" x14ac:dyDescent="0.4">
      <c r="A369" s="129" t="s">
        <v>1506</v>
      </c>
      <c r="B369" s="129" t="s">
        <v>493</v>
      </c>
      <c r="C369" s="129" t="s">
        <v>1593</v>
      </c>
      <c r="D369" s="130" t="s">
        <v>1594</v>
      </c>
      <c r="E369" s="129" t="s">
        <v>181</v>
      </c>
      <c r="F369" s="129" t="s">
        <v>575</v>
      </c>
      <c r="G369" s="129" t="s">
        <v>754</v>
      </c>
      <c r="H369" s="129" t="s">
        <v>575</v>
      </c>
      <c r="I369" s="125"/>
      <c r="J369" s="129" t="s">
        <v>750</v>
      </c>
      <c r="K369" s="123">
        <v>46303</v>
      </c>
      <c r="L369" s="129" t="s">
        <v>979</v>
      </c>
    </row>
    <row r="370" spans="1:12" ht="43.75" x14ac:dyDescent="0.4">
      <c r="A370" s="129" t="s">
        <v>1506</v>
      </c>
      <c r="B370" s="129" t="s">
        <v>493</v>
      </c>
      <c r="C370" s="129" t="s">
        <v>1593</v>
      </c>
      <c r="D370" s="130" t="s">
        <v>1594</v>
      </c>
      <c r="E370" s="129" t="s">
        <v>267</v>
      </c>
      <c r="F370" s="129" t="s">
        <v>798</v>
      </c>
      <c r="G370" s="129" t="s">
        <v>754</v>
      </c>
      <c r="H370" s="129" t="s">
        <v>798</v>
      </c>
      <c r="I370" s="125"/>
      <c r="J370" s="129" t="s">
        <v>750</v>
      </c>
      <c r="K370" s="123">
        <v>46303</v>
      </c>
      <c r="L370" s="129" t="s">
        <v>979</v>
      </c>
    </row>
    <row r="371" spans="1:12" ht="29.15" x14ac:dyDescent="0.4">
      <c r="A371" s="129" t="s">
        <v>1506</v>
      </c>
      <c r="B371" s="129" t="s">
        <v>493</v>
      </c>
      <c r="C371" s="129" t="s">
        <v>1596</v>
      </c>
      <c r="D371" s="130" t="s">
        <v>1245</v>
      </c>
      <c r="E371" s="129" t="s">
        <v>181</v>
      </c>
      <c r="F371" s="129" t="s">
        <v>579</v>
      </c>
      <c r="G371" s="129" t="s">
        <v>754</v>
      </c>
      <c r="H371" s="129" t="s">
        <v>579</v>
      </c>
      <c r="I371" s="125"/>
      <c r="J371" s="129" t="s">
        <v>750</v>
      </c>
      <c r="K371" s="123">
        <v>46303</v>
      </c>
      <c r="L371" s="129" t="s">
        <v>979</v>
      </c>
    </row>
    <row r="372" spans="1:12" ht="29.15" x14ac:dyDescent="0.4">
      <c r="A372" s="129" t="s">
        <v>1506</v>
      </c>
      <c r="B372" s="129" t="s">
        <v>493</v>
      </c>
      <c r="C372" s="129" t="s">
        <v>1596</v>
      </c>
      <c r="D372" s="130" t="s">
        <v>1245</v>
      </c>
      <c r="E372" s="129" t="s">
        <v>267</v>
      </c>
      <c r="F372" s="129" t="s">
        <v>1246</v>
      </c>
      <c r="G372" s="129" t="s">
        <v>754</v>
      </c>
      <c r="H372" s="129" t="s">
        <v>1246</v>
      </c>
      <c r="I372" s="125"/>
      <c r="J372" s="129" t="s">
        <v>750</v>
      </c>
      <c r="K372" s="123">
        <v>46303</v>
      </c>
      <c r="L372" s="129" t="s">
        <v>979</v>
      </c>
    </row>
    <row r="373" spans="1:12" ht="29.15" x14ac:dyDescent="0.4">
      <c r="A373" s="129" t="s">
        <v>1506</v>
      </c>
      <c r="B373" s="129" t="s">
        <v>493</v>
      </c>
      <c r="C373" s="129" t="s">
        <v>1598</v>
      </c>
      <c r="D373" s="130" t="s">
        <v>1599</v>
      </c>
      <c r="E373" s="129" t="s">
        <v>181</v>
      </c>
      <c r="F373" s="129" t="s">
        <v>1600</v>
      </c>
      <c r="G373" s="129" t="s">
        <v>754</v>
      </c>
      <c r="H373" s="129" t="s">
        <v>1600</v>
      </c>
      <c r="I373" s="125"/>
      <c r="J373" s="129" t="s">
        <v>750</v>
      </c>
      <c r="K373" s="123">
        <v>46303</v>
      </c>
      <c r="L373" s="129" t="s">
        <v>979</v>
      </c>
    </row>
    <row r="374" spans="1:12" ht="29.15" x14ac:dyDescent="0.4">
      <c r="A374" s="129" t="s">
        <v>1506</v>
      </c>
      <c r="B374" s="129" t="s">
        <v>493</v>
      </c>
      <c r="C374" s="129" t="s">
        <v>1598</v>
      </c>
      <c r="D374" s="130" t="s">
        <v>1599</v>
      </c>
      <c r="E374" s="129" t="s">
        <v>267</v>
      </c>
      <c r="F374" s="129" t="s">
        <v>798</v>
      </c>
      <c r="G374" s="129" t="s">
        <v>754</v>
      </c>
      <c r="H374" s="129" t="s">
        <v>798</v>
      </c>
      <c r="I374" s="125"/>
      <c r="J374" s="129" t="s">
        <v>750</v>
      </c>
      <c r="K374" s="123">
        <v>46303</v>
      </c>
      <c r="L374" s="129" t="s">
        <v>979</v>
      </c>
    </row>
    <row r="375" spans="1:12" ht="29.15" x14ac:dyDescent="0.4">
      <c r="A375" s="129" t="s">
        <v>1506</v>
      </c>
      <c r="B375" s="129" t="s">
        <v>493</v>
      </c>
      <c r="C375" s="129" t="s">
        <v>1602</v>
      </c>
      <c r="D375" s="130" t="s">
        <v>1603</v>
      </c>
      <c r="E375" s="129" t="s">
        <v>181</v>
      </c>
      <c r="F375" s="129" t="s">
        <v>584</v>
      </c>
      <c r="G375" s="129" t="s">
        <v>754</v>
      </c>
      <c r="H375" s="129" t="s">
        <v>584</v>
      </c>
      <c r="I375" s="125"/>
      <c r="J375" s="129" t="s">
        <v>750</v>
      </c>
      <c r="K375" s="123">
        <v>46303</v>
      </c>
      <c r="L375" s="129" t="s">
        <v>979</v>
      </c>
    </row>
    <row r="376" spans="1:12" ht="29.15" x14ac:dyDescent="0.4">
      <c r="A376" s="129" t="s">
        <v>1506</v>
      </c>
      <c r="B376" s="129" t="s">
        <v>493</v>
      </c>
      <c r="C376" s="129" t="s">
        <v>1602</v>
      </c>
      <c r="D376" s="130" t="s">
        <v>1603</v>
      </c>
      <c r="E376" s="129" t="s">
        <v>267</v>
      </c>
      <c r="F376" s="129" t="s">
        <v>798</v>
      </c>
      <c r="G376" s="129" t="s">
        <v>754</v>
      </c>
      <c r="H376" s="129" t="s">
        <v>798</v>
      </c>
      <c r="I376" s="125"/>
      <c r="J376" s="129" t="s">
        <v>750</v>
      </c>
      <c r="K376" s="123">
        <v>46303</v>
      </c>
      <c r="L376" s="129" t="s">
        <v>979</v>
      </c>
    </row>
    <row r="377" spans="1:12" ht="43.75" x14ac:dyDescent="0.4">
      <c r="A377" s="129" t="s">
        <v>1506</v>
      </c>
      <c r="B377" s="129" t="s">
        <v>493</v>
      </c>
      <c r="C377" s="129" t="s">
        <v>1605</v>
      </c>
      <c r="D377" s="130" t="s">
        <v>1606</v>
      </c>
      <c r="E377" s="129" t="s">
        <v>181</v>
      </c>
      <c r="F377" s="129" t="s">
        <v>563</v>
      </c>
      <c r="G377" s="129" t="s">
        <v>754</v>
      </c>
      <c r="H377" s="129" t="s">
        <v>563</v>
      </c>
      <c r="I377" s="125"/>
      <c r="J377" s="129" t="s">
        <v>750</v>
      </c>
      <c r="K377" s="123">
        <v>46303</v>
      </c>
      <c r="L377" s="129" t="s">
        <v>979</v>
      </c>
    </row>
    <row r="378" spans="1:12" ht="43.75" x14ac:dyDescent="0.4">
      <c r="A378" s="129" t="s">
        <v>1506</v>
      </c>
      <c r="B378" s="129" t="s">
        <v>493</v>
      </c>
      <c r="C378" s="129" t="s">
        <v>1605</v>
      </c>
      <c r="D378" s="130" t="s">
        <v>1606</v>
      </c>
      <c r="E378" s="129" t="s">
        <v>267</v>
      </c>
      <c r="F378" s="129" t="s">
        <v>798</v>
      </c>
      <c r="G378" s="129" t="s">
        <v>754</v>
      </c>
      <c r="H378" s="129" t="s">
        <v>798</v>
      </c>
      <c r="I378" s="125"/>
      <c r="J378" s="129" t="s">
        <v>750</v>
      </c>
      <c r="K378" s="123">
        <v>46303</v>
      </c>
      <c r="L378" s="129" t="s">
        <v>979</v>
      </c>
    </row>
    <row r="379" spans="1:12" ht="43.75" x14ac:dyDescent="0.4">
      <c r="A379" s="129" t="s">
        <v>1506</v>
      </c>
      <c r="B379" s="129" t="s">
        <v>493</v>
      </c>
      <c r="C379" s="129" t="s">
        <v>1608</v>
      </c>
      <c r="D379" s="130" t="s">
        <v>1609</v>
      </c>
      <c r="E379" s="129" t="s">
        <v>181</v>
      </c>
      <c r="F379" s="129" t="s">
        <v>584</v>
      </c>
      <c r="G379" s="129" t="s">
        <v>1249</v>
      </c>
      <c r="H379" s="109"/>
      <c r="I379" s="130" t="s">
        <v>1629</v>
      </c>
      <c r="J379" s="129" t="s">
        <v>750</v>
      </c>
      <c r="K379" s="123">
        <v>46303</v>
      </c>
      <c r="L379" s="129" t="s">
        <v>979</v>
      </c>
    </row>
    <row r="380" spans="1:12" ht="43.75" x14ac:dyDescent="0.4">
      <c r="A380" s="129" t="s">
        <v>1506</v>
      </c>
      <c r="B380" s="129" t="s">
        <v>493</v>
      </c>
      <c r="C380" s="129" t="s">
        <v>1608</v>
      </c>
      <c r="D380" s="130" t="s">
        <v>1609</v>
      </c>
      <c r="E380" s="129" t="s">
        <v>267</v>
      </c>
      <c r="F380" s="129" t="s">
        <v>1246</v>
      </c>
      <c r="G380" s="129" t="s">
        <v>1249</v>
      </c>
      <c r="H380" s="109"/>
      <c r="I380" s="130" t="s">
        <v>1629</v>
      </c>
      <c r="J380" s="129" t="s">
        <v>750</v>
      </c>
      <c r="K380" s="123">
        <v>46303</v>
      </c>
      <c r="L380" s="129" t="s">
        <v>979</v>
      </c>
    </row>
    <row r="381" spans="1:12" ht="29.15" x14ac:dyDescent="0.4">
      <c r="A381" s="129" t="s">
        <v>1506</v>
      </c>
      <c r="B381" s="129" t="s">
        <v>493</v>
      </c>
      <c r="C381" s="129" t="s">
        <v>1611</v>
      </c>
      <c r="D381" s="130" t="s">
        <v>1612</v>
      </c>
      <c r="E381" s="129" t="s">
        <v>181</v>
      </c>
      <c r="F381" s="129" t="s">
        <v>569</v>
      </c>
      <c r="G381" s="129" t="s">
        <v>754</v>
      </c>
      <c r="H381" s="129" t="s">
        <v>569</v>
      </c>
      <c r="I381" s="125"/>
      <c r="J381" s="129" t="s">
        <v>750</v>
      </c>
      <c r="K381" s="123">
        <v>46303</v>
      </c>
      <c r="L381" s="129" t="s">
        <v>979</v>
      </c>
    </row>
    <row r="382" spans="1:12" ht="29.15" x14ac:dyDescent="0.4">
      <c r="A382" s="129" t="s">
        <v>1506</v>
      </c>
      <c r="B382" s="129" t="s">
        <v>493</v>
      </c>
      <c r="C382" s="129" t="s">
        <v>1611</v>
      </c>
      <c r="D382" s="130" t="s">
        <v>1612</v>
      </c>
      <c r="E382" s="129" t="s">
        <v>267</v>
      </c>
      <c r="F382" s="129" t="s">
        <v>1236</v>
      </c>
      <c r="G382" s="129" t="s">
        <v>754</v>
      </c>
      <c r="H382" s="129" t="s">
        <v>1236</v>
      </c>
      <c r="I382" s="125"/>
      <c r="J382" s="129" t="s">
        <v>750</v>
      </c>
      <c r="K382" s="123">
        <v>46303</v>
      </c>
      <c r="L382" s="129" t="s">
        <v>979</v>
      </c>
    </row>
    <row r="383" spans="1:12" ht="43.75" x14ac:dyDescent="0.4">
      <c r="A383" s="129" t="s">
        <v>1506</v>
      </c>
      <c r="B383" s="129" t="s">
        <v>493</v>
      </c>
      <c r="C383" s="129" t="s">
        <v>1614</v>
      </c>
      <c r="D383" s="130" t="s">
        <v>1615</v>
      </c>
      <c r="E383" s="129" t="s">
        <v>181</v>
      </c>
      <c r="F383" s="129" t="s">
        <v>601</v>
      </c>
      <c r="G383" s="129" t="s">
        <v>754</v>
      </c>
      <c r="H383" s="129" t="s">
        <v>601</v>
      </c>
      <c r="I383" s="125"/>
      <c r="J383" s="129" t="s">
        <v>750</v>
      </c>
      <c r="K383" s="123">
        <v>46303</v>
      </c>
      <c r="L383" s="129" t="s">
        <v>979</v>
      </c>
    </row>
    <row r="384" spans="1:12" ht="43.75" x14ac:dyDescent="0.4">
      <c r="A384" s="129" t="s">
        <v>1506</v>
      </c>
      <c r="B384" s="129" t="s">
        <v>493</v>
      </c>
      <c r="C384" s="129" t="s">
        <v>1614</v>
      </c>
      <c r="D384" s="130" t="s">
        <v>1615</v>
      </c>
      <c r="E384" s="129" t="s">
        <v>267</v>
      </c>
      <c r="F384" s="129" t="s">
        <v>1246</v>
      </c>
      <c r="G384" s="129" t="s">
        <v>754</v>
      </c>
      <c r="H384" s="129" t="s">
        <v>1246</v>
      </c>
      <c r="I384" s="125"/>
      <c r="J384" s="129" t="s">
        <v>750</v>
      </c>
      <c r="K384" s="123">
        <v>46303</v>
      </c>
      <c r="L384" s="129" t="s">
        <v>979</v>
      </c>
    </row>
    <row r="385" spans="1:12" ht="43.75" x14ac:dyDescent="0.4">
      <c r="A385" s="129" t="s">
        <v>1506</v>
      </c>
      <c r="B385" s="129" t="s">
        <v>493</v>
      </c>
      <c r="C385" s="129" t="s">
        <v>1617</v>
      </c>
      <c r="D385" s="130" t="s">
        <v>1618</v>
      </c>
      <c r="E385" s="129" t="s">
        <v>181</v>
      </c>
      <c r="F385" s="129" t="s">
        <v>606</v>
      </c>
      <c r="G385" s="129" t="s">
        <v>754</v>
      </c>
      <c r="H385" s="129" t="s">
        <v>606</v>
      </c>
      <c r="I385" s="125"/>
      <c r="J385" s="129" t="s">
        <v>750</v>
      </c>
      <c r="K385" s="123">
        <v>46303</v>
      </c>
      <c r="L385" s="129" t="s">
        <v>979</v>
      </c>
    </row>
    <row r="386" spans="1:12" ht="43.75" x14ac:dyDescent="0.4">
      <c r="A386" s="129" t="s">
        <v>1506</v>
      </c>
      <c r="B386" s="129" t="s">
        <v>493</v>
      </c>
      <c r="C386" s="129" t="s">
        <v>1617</v>
      </c>
      <c r="D386" s="130" t="s">
        <v>1618</v>
      </c>
      <c r="E386" s="129" t="s">
        <v>267</v>
      </c>
      <c r="F386" s="129" t="s">
        <v>1236</v>
      </c>
      <c r="G386" s="129" t="s">
        <v>754</v>
      </c>
      <c r="H386" s="129" t="s">
        <v>1236</v>
      </c>
      <c r="I386" s="125"/>
      <c r="J386" s="129" t="s">
        <v>750</v>
      </c>
      <c r="K386" s="123">
        <v>46303</v>
      </c>
      <c r="L386" s="129" t="s">
        <v>979</v>
      </c>
    </row>
    <row r="387" spans="1:12" ht="43.75" x14ac:dyDescent="0.4">
      <c r="A387" s="129" t="s">
        <v>1506</v>
      </c>
      <c r="B387" s="129" t="s">
        <v>493</v>
      </c>
      <c r="C387" s="129" t="s">
        <v>1620</v>
      </c>
      <c r="D387" s="130" t="s">
        <v>1621</v>
      </c>
      <c r="E387" s="129" t="s">
        <v>181</v>
      </c>
      <c r="F387" s="129" t="s">
        <v>579</v>
      </c>
      <c r="G387" s="129" t="s">
        <v>754</v>
      </c>
      <c r="H387" s="129" t="s">
        <v>579</v>
      </c>
      <c r="I387" s="125"/>
      <c r="J387" s="129" t="s">
        <v>750</v>
      </c>
      <c r="K387" s="123">
        <v>46303</v>
      </c>
      <c r="L387" s="129" t="s">
        <v>979</v>
      </c>
    </row>
    <row r="388" spans="1:12" ht="43.75" x14ac:dyDescent="0.4">
      <c r="A388" s="129" t="s">
        <v>1506</v>
      </c>
      <c r="B388" s="129" t="s">
        <v>493</v>
      </c>
      <c r="C388" s="129" t="s">
        <v>1620</v>
      </c>
      <c r="D388" s="130" t="s">
        <v>1621</v>
      </c>
      <c r="E388" s="129" t="s">
        <v>267</v>
      </c>
      <c r="F388" s="129" t="s">
        <v>1246</v>
      </c>
      <c r="G388" s="129" t="s">
        <v>754</v>
      </c>
      <c r="H388" s="129" t="s">
        <v>1246</v>
      </c>
      <c r="I388" s="125"/>
      <c r="J388" s="129" t="s">
        <v>750</v>
      </c>
      <c r="K388" s="123">
        <v>46303</v>
      </c>
      <c r="L388" s="129" t="s">
        <v>979</v>
      </c>
    </row>
    <row r="389" spans="1:12" ht="29.15" x14ac:dyDescent="0.4">
      <c r="A389" s="129" t="s">
        <v>1651</v>
      </c>
      <c r="B389" s="129" t="s">
        <v>540</v>
      </c>
      <c r="C389" s="129" t="s">
        <v>1634</v>
      </c>
      <c r="D389" s="130" t="s">
        <v>1635</v>
      </c>
      <c r="E389" s="129" t="s">
        <v>879</v>
      </c>
      <c r="F389" s="129" t="s">
        <v>1568</v>
      </c>
      <c r="G389" s="129" t="s">
        <v>754</v>
      </c>
      <c r="H389" s="129" t="s">
        <v>1568</v>
      </c>
      <c r="I389" s="125"/>
      <c r="J389" s="129" t="s">
        <v>1653</v>
      </c>
      <c r="K389" s="123">
        <v>46303</v>
      </c>
      <c r="L389" s="129" t="s">
        <v>979</v>
      </c>
    </row>
    <row r="390" spans="1:12" ht="29.15" x14ac:dyDescent="0.4">
      <c r="A390" s="129" t="s">
        <v>1651</v>
      </c>
      <c r="B390" s="129" t="s">
        <v>540</v>
      </c>
      <c r="C390" s="129" t="s">
        <v>1634</v>
      </c>
      <c r="D390" s="130" t="s">
        <v>1635</v>
      </c>
      <c r="E390" s="129" t="s">
        <v>544</v>
      </c>
      <c r="F390" s="129" t="s">
        <v>884</v>
      </c>
      <c r="G390" s="129" t="s">
        <v>754</v>
      </c>
      <c r="H390" s="129" t="s">
        <v>884</v>
      </c>
      <c r="I390" s="125"/>
      <c r="J390" s="129" t="s">
        <v>1653</v>
      </c>
      <c r="K390" s="123">
        <v>46303</v>
      </c>
      <c r="L390" s="129" t="s">
        <v>979</v>
      </c>
    </row>
    <row r="391" spans="1:12" ht="29.15" x14ac:dyDescent="0.4">
      <c r="A391" s="129" t="s">
        <v>1651</v>
      </c>
      <c r="B391" s="129" t="s">
        <v>540</v>
      </c>
      <c r="C391" s="129" t="s">
        <v>1637</v>
      </c>
      <c r="D391" s="130" t="s">
        <v>1638</v>
      </c>
      <c r="E391" s="129" t="s">
        <v>879</v>
      </c>
      <c r="F391" s="129" t="s">
        <v>554</v>
      </c>
      <c r="G391" s="129" t="s">
        <v>754</v>
      </c>
      <c r="H391" s="129" t="s">
        <v>554</v>
      </c>
      <c r="I391" s="125"/>
      <c r="J391" s="129" t="s">
        <v>1653</v>
      </c>
      <c r="K391" s="123">
        <v>46303</v>
      </c>
      <c r="L391" s="129" t="s">
        <v>979</v>
      </c>
    </row>
    <row r="392" spans="1:12" ht="29.15" x14ac:dyDescent="0.4">
      <c r="A392" s="129" t="s">
        <v>1651</v>
      </c>
      <c r="B392" s="129" t="s">
        <v>540</v>
      </c>
      <c r="C392" s="129" t="s">
        <v>1637</v>
      </c>
      <c r="D392" s="130" t="s">
        <v>1638</v>
      </c>
      <c r="E392" s="129" t="s">
        <v>544</v>
      </c>
      <c r="F392" s="129" t="s">
        <v>884</v>
      </c>
      <c r="G392" s="129" t="s">
        <v>754</v>
      </c>
      <c r="H392" s="129" t="s">
        <v>884</v>
      </c>
      <c r="I392" s="125"/>
      <c r="J392" s="129" t="s">
        <v>1653</v>
      </c>
      <c r="K392" s="123">
        <v>46303</v>
      </c>
      <c r="L392" s="129" t="s">
        <v>979</v>
      </c>
    </row>
    <row r="393" spans="1:12" ht="29.15" x14ac:dyDescent="0.4">
      <c r="A393" s="129" t="s">
        <v>1651</v>
      </c>
      <c r="B393" s="129" t="s">
        <v>540</v>
      </c>
      <c r="C393" s="129" t="s">
        <v>1640</v>
      </c>
      <c r="D393" s="130" t="s">
        <v>1641</v>
      </c>
      <c r="E393" s="129" t="s">
        <v>879</v>
      </c>
      <c r="F393" s="129" t="s">
        <v>554</v>
      </c>
      <c r="G393" s="129" t="s">
        <v>754</v>
      </c>
      <c r="H393" s="129" t="s">
        <v>554</v>
      </c>
      <c r="I393" s="125"/>
      <c r="J393" s="129" t="s">
        <v>1653</v>
      </c>
      <c r="K393" s="123">
        <v>46303</v>
      </c>
      <c r="L393" s="129" t="s">
        <v>979</v>
      </c>
    </row>
    <row r="394" spans="1:12" ht="29.15" x14ac:dyDescent="0.4">
      <c r="A394" s="129" t="s">
        <v>1651</v>
      </c>
      <c r="B394" s="129" t="s">
        <v>540</v>
      </c>
      <c r="C394" s="129" t="s">
        <v>1640</v>
      </c>
      <c r="D394" s="130" t="s">
        <v>1641</v>
      </c>
      <c r="E394" s="129" t="s">
        <v>544</v>
      </c>
      <c r="F394" s="129" t="s">
        <v>884</v>
      </c>
      <c r="G394" s="129" t="s">
        <v>754</v>
      </c>
      <c r="H394" s="129" t="s">
        <v>884</v>
      </c>
      <c r="I394" s="125"/>
      <c r="J394" s="129" t="s">
        <v>1653</v>
      </c>
      <c r="K394" s="123">
        <v>46303</v>
      </c>
      <c r="L394" s="129" t="s">
        <v>979</v>
      </c>
    </row>
    <row r="395" spans="1:12" ht="29.15" x14ac:dyDescent="0.4">
      <c r="A395" s="129" t="s">
        <v>1651</v>
      </c>
      <c r="B395" s="129" t="s">
        <v>540</v>
      </c>
      <c r="C395" s="129" t="s">
        <v>1643</v>
      </c>
      <c r="D395" s="130" t="s">
        <v>1644</v>
      </c>
      <c r="E395" s="129" t="s">
        <v>879</v>
      </c>
      <c r="F395" s="129" t="s">
        <v>560</v>
      </c>
      <c r="G395" s="129" t="s">
        <v>754</v>
      </c>
      <c r="H395" s="129" t="s">
        <v>560</v>
      </c>
      <c r="I395" s="130" t="s">
        <v>1652</v>
      </c>
      <c r="J395" s="129" t="s">
        <v>1653</v>
      </c>
      <c r="K395" s="123">
        <v>46303</v>
      </c>
      <c r="L395" s="129" t="s">
        <v>979</v>
      </c>
    </row>
    <row r="396" spans="1:12" ht="29.15" x14ac:dyDescent="0.4">
      <c r="A396" s="129" t="s">
        <v>1651</v>
      </c>
      <c r="B396" s="129" t="s">
        <v>540</v>
      </c>
      <c r="C396" s="129" t="s">
        <v>1643</v>
      </c>
      <c r="D396" s="130" t="s">
        <v>1644</v>
      </c>
      <c r="E396" s="129" t="s">
        <v>544</v>
      </c>
      <c r="F396" s="129" t="s">
        <v>1442</v>
      </c>
      <c r="G396" s="129" t="s">
        <v>967</v>
      </c>
      <c r="H396" s="129" t="s">
        <v>1422</v>
      </c>
      <c r="I396" s="130" t="s">
        <v>1652</v>
      </c>
      <c r="J396" s="129" t="s">
        <v>1653</v>
      </c>
      <c r="K396" s="123">
        <v>46303</v>
      </c>
      <c r="L396" s="129" t="s">
        <v>979</v>
      </c>
    </row>
    <row r="397" spans="1:12" ht="29.15" x14ac:dyDescent="0.4">
      <c r="A397" s="129" t="s">
        <v>1651</v>
      </c>
      <c r="B397" s="129" t="s">
        <v>540</v>
      </c>
      <c r="C397" s="129" t="s">
        <v>1646</v>
      </c>
      <c r="D397" s="130" t="s">
        <v>1647</v>
      </c>
      <c r="E397" s="129" t="s">
        <v>879</v>
      </c>
      <c r="F397" s="129" t="s">
        <v>554</v>
      </c>
      <c r="G397" s="129" t="s">
        <v>754</v>
      </c>
      <c r="H397" s="129" t="s">
        <v>554</v>
      </c>
      <c r="I397" s="125"/>
      <c r="J397" s="129" t="s">
        <v>1653</v>
      </c>
      <c r="K397" s="123">
        <v>46303</v>
      </c>
      <c r="L397" s="129" t="s">
        <v>979</v>
      </c>
    </row>
    <row r="398" spans="1:12" ht="29.15" x14ac:dyDescent="0.4">
      <c r="A398" s="129" t="s">
        <v>1651</v>
      </c>
      <c r="B398" s="129" t="s">
        <v>540</v>
      </c>
      <c r="C398" s="129" t="s">
        <v>1646</v>
      </c>
      <c r="D398" s="130" t="s">
        <v>1647</v>
      </c>
      <c r="E398" s="129" t="s">
        <v>544</v>
      </c>
      <c r="F398" s="129" t="s">
        <v>884</v>
      </c>
      <c r="G398" s="129" t="s">
        <v>754</v>
      </c>
      <c r="H398" s="129" t="s">
        <v>884</v>
      </c>
      <c r="I398" s="125"/>
      <c r="J398" s="129" t="s">
        <v>1653</v>
      </c>
      <c r="K398" s="123">
        <v>46303</v>
      </c>
      <c r="L398" s="129" t="s">
        <v>979</v>
      </c>
    </row>
  </sheetData>
  <mergeCells count="4">
    <mergeCell ref="A3:F3"/>
    <mergeCell ref="G3:L3"/>
    <mergeCell ref="A2:I2"/>
    <mergeCell ref="A1:L1"/>
  </mergeCells>
  <conditionalFormatting sqref="G6:G20193">
    <cfRule type="expression" dxfId="2" priority="2">
      <formula>G6="Rettificato"</formula>
    </cfRule>
    <cfRule type="expression" dxfId="1" priority="3">
      <formula>G6="Respinto"</formula>
    </cfRule>
  </conditionalFormatting>
  <conditionalFormatting sqref="L6:L20193">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2026-10-08T17:02:09Z</dcterms:modified>
</cp:coreProperties>
</file>