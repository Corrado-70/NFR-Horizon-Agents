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5.xml" ContentType="application/vnd.openxmlformats-officedocument.drawing+xml"/>
  <Override PartName="/xl/worksheets/sheet11.xml" ContentType="application/vnd.openxmlformats-officedocument.spreadsheetml.worksheet+xml"/>
  <Override PartName="/xl/drawings/drawing6.xml" ContentType="application/vnd.openxmlformats-officedocument.drawing+xml"/>
  <Override PartName="/xl/worksheets/sheet12.xml" ContentType="application/vnd.openxmlformats-officedocument.spreadsheetml.worksheet+xml"/>
  <Override PartName="/xl/drawings/drawing7.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ables/table1.xml" ContentType="application/vnd.openxmlformats-officedocument.spreadsheetml.table+xml"/>
  <Override PartName="/xl/worksheets/sheet19.xml" ContentType="application/vnd.openxmlformats-officedocument.spreadsheetml.worksheet+xml"/>
  <Override PartName="/xl/tables/table2.xml" ContentType="application/vnd.openxmlformats-officedocument.spreadsheetml.table+xml"/>
  <Override PartName="/xl/worksheets/sheet20.xml" ContentType="application/vnd.openxmlformats-officedocument.spreadsheetml.worksheet+xml"/>
  <Override PartName="/xl/tables/table3.xml" ContentType="application/vnd.openxmlformats-officedocument.spreadsheetml.table+xml"/>
  <Override PartName="/xl/worksheets/sheet21.xml" ContentType="application/vnd.openxmlformats-officedocument.spreadsheetml.worksheet+xml"/>
  <Override PartName="/xl/tables/table4.xml" ContentType="application/vnd.openxmlformats-officedocument.spreadsheetml.table+xml"/>
  <Override PartName="/xl/worksheets/sheet22.xml" ContentType="application/vnd.openxmlformats-officedocument.spreadsheetml.worksheet+xml"/>
  <Override PartName="/xl/tables/table5.xml" ContentType="application/vnd.openxmlformats-officedocument.spreadsheetml.table+xml"/>
  <Override PartName="/xl/worksheets/sheet23.xml" ContentType="application/vnd.openxmlformats-officedocument.spreadsheetml.worksheet+xml"/>
  <Override PartName="/xl/tables/table6.xml" ContentType="application/vnd.openxmlformats-officedocument.spreadsheetml.table+xml"/>
  <Override PartName="/xl/worksheets/sheet24.xml" ContentType="application/vnd.openxmlformats-officedocument.spreadsheetml.worksheet+xml"/>
  <Override PartName="/xl/tables/table7.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Guida" sheetId="1" state="visible" r:id="rId1"/>
    <sheet xmlns:r="http://schemas.openxmlformats.org/officeDocument/2006/relationships" name="Quadro" sheetId="2" state="visible" r:id="rId2"/>
    <sheet xmlns:r="http://schemas.openxmlformats.org/officeDocument/2006/relationships" name="Classifica" sheetId="3" state="visible" r:id="rId3"/>
    <sheet xmlns:r="http://schemas.openxmlformats.org/officeDocument/2006/relationships" name="Radar_Mosca" sheetId="4" state="visible" r:id="rId4"/>
    <sheet xmlns:r="http://schemas.openxmlformats.org/officeDocument/2006/relationships" name="Matrice" sheetId="5" state="visible" r:id="rId5"/>
    <sheet xmlns:r="http://schemas.openxmlformats.org/officeDocument/2006/relationships" name="Delta" sheetId="6" state="visible" r:id="rId6"/>
    <sheet xmlns:r="http://schemas.openxmlformats.org/officeDocument/2006/relationships" name="Fenomeni" sheetId="7" state="visible" r:id="rId7"/>
    <sheet xmlns:r="http://schemas.openxmlformats.org/officeDocument/2006/relationships" name="Metodologia" sheetId="8" state="visible" r:id="rId8"/>
    <sheet xmlns:r="http://schemas.openxmlformats.org/officeDocument/2006/relationships" name="Registro" sheetId="9" state="visible" r:id="rId9"/>
    <sheet xmlns:r="http://schemas.openxmlformats.org/officeDocument/2006/relationships" name="Storico" sheetId="10" state="visible" r:id="rId10"/>
    <sheet xmlns:r="http://schemas.openxmlformats.org/officeDocument/2006/relationships" name="Indicatori" sheetId="11" state="visible" r:id="rId11"/>
    <sheet xmlns:r="http://schemas.openxmlformats.org/officeDocument/2006/relationships" name="Notizie" sheetId="12" state="visible" r:id="rId12"/>
    <sheet xmlns:r="http://schemas.openxmlformats.org/officeDocument/2006/relationships" name="Piano_azioni" sheetId="13" state="visible" r:id="rId13"/>
    <sheet xmlns:r="http://schemas.openxmlformats.org/officeDocument/2006/relationships" name="Osservazione" sheetId="14" state="visible" r:id="rId14"/>
    <sheet xmlns:r="http://schemas.openxmlformats.org/officeDocument/2006/relationships" name="Validazione" sheetId="15" state="visible" r:id="rId15"/>
    <sheet xmlns:r="http://schemas.openxmlformats.org/officeDocument/2006/relationships" name="Parametri" sheetId="16" state="visible" r:id="rId16"/>
    <sheet xmlns:r="http://schemas.openxmlformats.org/officeDocument/2006/relationships" name="Dizionario" sheetId="17" state="visible" r:id="rId17"/>
    <sheet xmlns:r="http://schemas.openxmlformats.org/officeDocument/2006/relationships" name="RiskRegister" sheetId="18" state="visible" r:id="rId18"/>
    <sheet xmlns:r="http://schemas.openxmlformats.org/officeDocument/2006/relationships" name="Azioni" sheetId="19" state="visible" r:id="rId19"/>
    <sheet xmlns:r="http://schemas.openxmlformats.org/officeDocument/2006/relationships" name="KRI" sheetId="20" state="visible" r:id="rId20"/>
    <sheet xmlns:r="http://schemas.openxmlformats.org/officeDocument/2006/relationships" name="NewsLog" sheetId="21" state="visible" r:id="rId21"/>
    <sheet xmlns:r="http://schemas.openxmlformats.org/officeDocument/2006/relationships" name="Sintesi_Cicli" sheetId="22" state="visible" r:id="rId22"/>
    <sheet xmlns:r="http://schemas.openxmlformats.org/officeDocument/2006/relationships" name="Sintesi_Settimane" sheetId="23" state="visible" r:id="rId23"/>
    <sheet xmlns:r="http://schemas.openxmlformats.org/officeDocument/2006/relationships" name="Storico_Validazioni" sheetId="24" state="visible" r:id="rId24"/>
  </sheets>
  <definedNames>
    <definedName name="pesoImpatto">Parametri!$B$4</definedName>
    <definedName name="pesoProbabilita">Parametri!$B$5</definedName>
    <definedName name="pesoProssimita">Parametri!$B$6</definedName>
    <definedName name="pesoVelocity">Parametri!$B$7</definedName>
    <definedName name="sogliaDirezione">Parametri!$B$11</definedName>
    <definedName name="sogliaDelta">Parametri!$B$12</definedName>
    <definedName name="cicloCorrente">Parametri!$B$15</definedName>
    <definedName name="cicloPrecedente">Parametri!$B$16</definedName>
    <definedName name="cicloMeno2">Parametri!$B$17</definedName>
    <definedName name="dataRiferimento">Parametri!$B$18</definedName>
    <definedName name="cicliTrend">Parametri!$B$20:$B$27</definedName>
    <definedName name="settimanaCorrente">Parametri!$B$30</definedName>
    <definedName name="inizioFinestra4">Parametri!$B$31</definedName>
    <definedName name="settimane12">Parametri!$B$34:$B$45</definedName>
    <definedName name="moscaX">Parametri!$B$48</definedName>
    <definedName name="moscaYDefault">Parametri!$B$49</definedName>
    <definedName name="anniProssimita">Parametri!$B$51:$B$55</definedName>
    <definedName name="livelloPxI">Parametri!$B$60</definedName>
    <definedName name="livelloQuotaKRI">Parametri!$B$61</definedName>
    <definedName name="livelloMargine">Parametri!$B$62</definedName>
    <definedName name="livelloForti">Parametri!$B$63</definedName>
    <definedName name="capienzaRadar">Parametri!$B$66</definedName>
    <definedName name="sogliaProssimitaRadar">Parametri!$B$67</definedName>
    <definedName name="sogliaProbabilitaRadar">Parametri!$B$68</definedName>
    <definedName name="cicliUscitaRadar">Parametri!$B$69</definedName>
    <definedName name="capienzaOsservazione">20</definedName>
    <definedName name="etichettaCiclo">Parametri!$B$57</definedName>
    <definedName name="codiciL1">Parametri!$E$4:$E$12</definedName>
    <definedName name="nomiL1">Parametri!$F$4:$F$12</definedName>
    <definedName name="codiciDriver">Parametri!$E$15:$E$22</definedName>
    <definedName name="nomiDriver">Parametri!$F$15:$F$22</definedName>
    <definedName name="anagrafica">Parametri!$H$4:$O$23</definedName>
    <definedName name="ANA_ID">Parametri!$H$4:$H$23</definedName>
    <definedName name="ANA_Nome">Parametri!$I$4:$I$23</definedName>
    <definedName name="ANA_Event_Type">Parametri!$J$4:$J$23</definedName>
    <definedName name="ANA_Driver">Parametri!$K$4:$K$23</definedName>
    <definedName name="ANA_Owner">Parametri!$L$4:$L$23</definedName>
    <definedName name="ANA_Anni_Adeguamento">Parametri!$M$4:$M$23</definedName>
    <definedName name="ANA_Attenzione_Supervisore">Parametri!$N$4:$N$23</definedName>
    <definedName name="ANA_Presidio_Controlli">Parametri!$O$4:$O$23</definedName>
    <definedName name="versioneTemplate">"2026-10-09"</definedName>
    <definedName name="RR_Ciclo">'RiskRegister'!$A$6:$A$20000</definedName>
    <definedName name="RR_Data_Riferimento">'RiskRegister'!$B$6:$B$20000</definedName>
    <definedName name="RR_ID_Rischio">'RiskRegister'!$C$6:$C$20000</definedName>
    <definedName name="RR_Nome">'RiskRegister'!$D$6:$D$20000</definedName>
    <definedName name="RR_Event_Type">'RiskRegister'!$E$6:$E$20000</definedName>
    <definedName name="RR_Driver">'RiskRegister'!$F$6:$F$20000</definedName>
    <definedName name="RR_Impatto">'RiskRegister'!$G$6:$G$20000</definedName>
    <definedName name="RR_Velocity">'RiskRegister'!$H$6:$H$20000</definedName>
    <definedName name="RR_Prossimita">'RiskRegister'!$I$6:$I$20000</definedName>
    <definedName name="RR_Score_Composito">'RiskRegister'!$J$6:$J$20000</definedName>
    <definedName name="RR_Probabilita">'RiskRegister'!$K$6:$K$20000</definedName>
    <definedName name="RR_Anni_Adeguamento">'RiskRegister'!$L$6:$L$20000</definedName>
    <definedName name="RR_Esito">'RiskRegister'!$M$6:$M$20000</definedName>
    <definedName name="RR_Descrizione">'RiskRegister'!$N$6:$N$20000</definedName>
    <definedName name="RR_Razionale">'RiskRegister'!$O$6:$O$20000</definedName>
    <definedName name="RR_Variazioni">'RiskRegister'!$P$6:$P$20000</definedName>
    <definedName name="RR_Fonti">'RiskRegister'!$Q$6:$Q$20000</definedName>
    <definedName name="RR_Rilievi">'RiskRegister'!$R$6:$R$20000</definedName>
    <definedName name="RR_Owner">'RiskRegister'!$S$6:$S$20000</definedName>
    <definedName name="RR_Chiave">'RiskRegister'!$T$6:$T$20000</definedName>
    <definedName name="RR_Data_Scrittura">'RiskRegister'!$U$6:$U$20000</definedName>
    <definedName name="RR_Approvato_Da">'RiskRegister'!$V$6:$V$20000</definedName>
    <definedName name="RR_Validazione">'RiskRegister'!$W$6:$W$20000</definedName>
    <definedName name="RR_Data_Validazione">'RiskRegister'!$X$6:$X$20000</definedName>
    <definedName name="RR_Periodo_Valutazione">'RiskRegister'!$Y$6:$Y$20000</definedName>
    <definedName name="RR_Stato">'RiskRegister'!$Z$6:$Z$20000</definedName>
    <definedName name="RR_Motivo_Stato">'RiskRegister'!$AA$6:$AA$20000</definedName>
    <definedName name="RR_Movimento">'RiskRegister'!$AB$6:$AB$20000</definedName>
    <definedName name="RR_Decisione_Stato">'RiskRegister'!$AC$6:$AC$20000</definedName>
    <definedName name="RR_Orizzonte_Anni">'RiskRegister'!$AD$6:$AD$20000</definedName>
    <definedName name="RR_Segnale_Avvicinamento">'RiskRegister'!$AE$6:$AE$20000</definedName>
    <definedName name="RR_Ordine_Osservazione">'RiskRegister'!$AF$6:$AF$20000</definedName>
    <definedName name="AZ_Ciclo">'Azioni'!$A$6:$A$20000</definedName>
    <definedName name="AZ_ID_Rischio">'Azioni'!$B$6:$B$20000</definedName>
    <definedName name="AZ_ID_Azione">'Azioni'!$C$6:$C$20000</definedName>
    <definedName name="AZ_Descrizione">'Azioni'!$D$6:$D$20000</definedName>
    <definedName name="AZ_Owner">'Azioni'!$E$6:$E$20000</definedName>
    <definedName name="AZ_Orizzonte">'Azioni'!$F$6:$F$20000</definedName>
    <definedName name="AZ_Mesi_Orizzonte">'Azioni'!$G$6:$G$20000</definedName>
    <definedName name="AZ_Razionale">'Azioni'!$H$6:$H$20000</definedName>
    <definedName name="AZ_Stato">'Azioni'!$I$6:$I$20000</definedName>
    <definedName name="AZ_Data_Decisione">'Azioni'!$J$6:$J$20000</definedName>
    <definedName name="AZ_Decisa_Da">'Azioni'!$K$6:$K$20000</definedName>
    <definedName name="AZ_Validazione">'Azioni'!$L$6:$L$20000</definedName>
    <definedName name="KRI_Ciclo">'KRI'!$A$6:$A$20000</definedName>
    <definedName name="KRI_KRI_ID">'KRI'!$B$6:$B$20000</definedName>
    <definedName name="KRI_ID_Rischio">'KRI'!$C$6:$C$20000</definedName>
    <definedName name="KRI_Nome">'KRI'!$D$6:$D$20000</definedName>
    <definedName name="KRI_Tipo">'KRI'!$E$6:$E$20000</definedName>
    <definedName name="KRI_Unita">'KRI'!$F$6:$F$20000</definedName>
    <definedName name="KRI_Fonte_Dati">'KRI'!$G$6:$G$20000</definedName>
    <definedName name="KRI_Soglia_Attenzione">'KRI'!$H$6:$H$20000</definedName>
    <definedName name="KRI_Soglia_Allerta">'KRI'!$I$6:$I$20000</definedName>
    <definedName name="KRI_Valore_Corrente">'KRI'!$J$6:$J$20000</definedName>
    <definedName name="KRI_Data_Rilevazione">'KRI'!$K$6:$K$20000</definedName>
    <definedName name="KRI_Fonte_Rilevazione">'KRI'!$L$6:$L$20000</definedName>
    <definedName name="KRI_Nota_Rilevazione">'KRI'!$M$6:$M$20000</definedName>
    <definedName name="KRI_Stato">'KRI'!$N$6:$N$20000</definedName>
    <definedName name="KRI_In_Vigore">'KRI'!$O$6:$O$20000</definedName>
    <definedName name="KRI_Ciclo_Definizione">'KRI'!$P$6:$P$20000</definedName>
    <definedName name="KRI_Ciclo_Aggiornamento">'KRI'!$Q$6:$Q$20000</definedName>
    <definedName name="KRI_Razionale">'KRI'!$R$6:$R$20000</definedName>
    <definedName name="KRI_Chiave">'KRI'!$S$6:$S$20000</definedName>
    <definedName name="KRI_Validazione">'KRI'!$T$6:$T$20000</definedName>
    <definedName name="NW_Data">'NewsLog'!$A$6:$A$20000</definedName>
    <definedName name="NW_Settimana">'NewsLog'!$B$6:$B$20000</definedName>
    <definedName name="NW_ID_Notizia">'NewsLog'!$C$6:$C$20000</definedName>
    <definedName name="NW_Titolo">'NewsLog'!$D$6:$D$20000</definedName>
    <definedName name="NW_Fonte">'NewsLog'!$E$6:$E$20000</definedName>
    <definedName name="NW_Codice_Fonte">'NewsLog'!$F$6:$F$20000</definedName>
    <definedName name="NW_Rischio_ID">'NewsLog'!$G$6:$G$20000</definedName>
    <definedName name="NW_Segnale">'NewsLog'!$H$6:$H$20000</definedName>
    <definedName name="NW_Imp_9_1">'NewsLog'!$I$6:$I$20000</definedName>
    <definedName name="NW_Imp_9_4">'NewsLog'!$J$6:$J$20000</definedName>
    <definedName name="NW_Imp_9_5">'NewsLog'!$K$6:$K$20000</definedName>
    <definedName name="NW_Imp_9_6">'NewsLog'!$L$6:$L$20000</definedName>
    <definedName name="NW_Imp_9_7">'NewsLog'!$M$6:$M$20000</definedName>
    <definedName name="NW_Imp_9_8">'NewsLog'!$N$6:$N$20000</definedName>
    <definedName name="NW_Imp_9_9">'NewsLog'!$O$6:$O$20000</definedName>
    <definedName name="NW_Imp_9_11">'NewsLog'!$P$6:$P$20000</definedName>
    <definedName name="NW_Imp_9_13">'NewsLog'!$Q$6:$Q$20000</definedName>
    <definedName name="NW_Sintesi">'NewsLog'!$R$6:$R$20000</definedName>
    <definedName name="NW_Validazione">'NewsLog'!$S$6:$S$20000</definedName>
    <definedName name="SI_Ciclo">'Sintesi_Cicli'!$A$6:$A$20000</definedName>
    <definedName name="SI_Data_Riferimento">'Sintesi_Cicli'!$B$6:$B$20000</definedName>
    <definedName name="SI_Sintesi_A1">'Sintesi_Cicli'!$C$6:$C$20000</definedName>
    <definedName name="SI_Sintesi_A5">'Sintesi_Cicli'!$D$6:$D$20000</definedName>
    <definedName name="SI_Osservazioni_Controlli">'Sintesi_Cicli'!$E$6:$E$20000</definedName>
    <definedName name="SI_Rilievi_Ciclo">'Sintesi_Cicli'!$F$6:$F$20000</definedName>
    <definedName name="SI_Rilievi_Superati">'Sintesi_Cicli'!$G$6:$G$20000</definedName>
    <definedName name="SI_Note_Analista">'Sintesi_Cicli'!$H$6:$H$20000</definedName>
    <definedName name="SI_Data_Scrittura">'Sintesi_Cicli'!$I$6:$I$20000</definedName>
    <definedName name="SI_Straordinario">'Sintesi_Cicli'!$J$6:$J$20000</definedName>
    <definedName name="SE_Settimana">'Sintesi_Settimane'!$A$6:$A$20000</definedName>
    <definedName name="SE_Notizie">'Sintesi_Settimane'!$B$6:$B$20000</definedName>
    <definedName name="SE_Sintesi_A3">'Sintesi_Settimane'!$C$6:$C$20000</definedName>
    <definedName name="SE_Proposta_Straordinario">'Sintesi_Settimane'!$D$6:$D$20000</definedName>
    <definedName name="SE_Flag_Proposti">'Sintesi_Settimane'!$E$6:$E$20000</definedName>
    <definedName name="SE_Data_Scrittura">'Sintesi_Settimane'!$F$6:$F$20000</definedName>
    <definedName name="VAL_Periodo">'Storico_Validazioni'!$A$6:$A$20000</definedName>
    <definedName name="VAL_Oggetto">'Storico_Validazioni'!$B$6:$B$20000</definedName>
    <definedName name="VAL_ID">'Storico_Validazioni'!$C$6:$C$20000</definedName>
    <definedName name="VAL_Nome">'Storico_Validazioni'!$D$6:$D$20000</definedName>
    <definedName name="VAL_Campo">'Storico_Validazioni'!$E$6:$E$20000</definedName>
    <definedName name="VAL_Proposta_Agente">'Storico_Validazioni'!$F$6:$F$20000</definedName>
    <definedName name="VAL_Decisione">'Storico_Validazioni'!$G$6:$G$20000</definedName>
    <definedName name="VAL_Valore_Validato">'Storico_Validazioni'!$H$6:$H$20000</definedName>
    <definedName name="VAL_Motivazione">'Storico_Validazioni'!$I$6:$I$20000</definedName>
    <definedName name="VAL_Validato_Da">'Storico_Validazioni'!$J$6:$J$20000</definedName>
    <definedName name="VAL_Data_Validazione">'Storico_Validazioni'!$K$6:$K$20000</definedName>
    <definedName name="VAL_Stato">'Storico_Validazioni'!$L$6:$L$20000</definedName>
    <definedName name="decisioniDaPrendere">Registro!$D$4</definedName>
    <definedName name="rettificheApplicate">Registro!$G$4</definedName>
    <definedName name="statoValidazione">Registro!$H$4</definedName>
    <definedName name="coperturaAnagrafica">Registro!$D$5</definedName>
    <definedName name="coperturaValutati">Registro!$G$5</definedName>
    <definedName name="statoCopertura">Registro!$H$5</definedName>
    <definedName name="posID">Registro!$AA$9:$AA$28</definedName>
    <definedName name="posNome">Registro!$AB$9:$AB$28</definedName>
    <definedName name="posImpatto">Registro!$AC$9:$AC$28</definedName>
    <definedName name="posProbabilita">Registro!$AD$9:$AD$28</definedName>
    <definedName name="posProssimita">Registro!$AE$9:$AE$28</definedName>
    <definedName name="posVelocity">Registro!$AF$9:$AF$28</definedName>
    <definedName name="posScore">Registro!$AG$9:$AG$28</definedName>
    <definedName name="posScorePrec">Registro!$AH$9:$AH$28</definedName>
    <definedName name="posScore2">Registro!$AI$9:$AI$28</definedName>
    <definedName name="posNetti">Registro!$AJ$9:$AJ$28</definedName>
    <definedName name="posBadge">Registro!$AK$9:$AK$28</definedName>
    <definedName name="posLivello">Registro!$AN$9:$AN$28</definedName>
    <definedName name="rmID">Radar_Mosca!$A$5:$A$24</definedName>
    <definedName name="rmZ">Radar_Mosca!$H$5:$H$24</definedName>
    <definedName name="rmX">Radar_Mosca!$I$5:$I$24</definedName>
    <definedName name="rmY">Radar_Mosca!$J$5:$J$24</definedName>
    <definedName name="rmMargine">Radar_Mosca!$K$5:$K$24</definedName>
    <definedName name="rmUrgenza">Radar_Mosca!$L$5:$L$24</definedName>
    <definedName name="rmPxI">Radar_Mosca!$F$5:$F$24</definedName>
    <definedName name="rmLivello">Radar_Mosca!$AA$5:$AA$24</definedName>
    <definedName name="rmMotivoLivello">Radar_Mosca!$AB$5:$AB$24</definedName>
    <definedName name="deltaEtichette">OFFSET(Delta!$AL$5,0,0,MAX(1,COUNT(Delta!$AI$5:$AI$24)),1)</definedName>
    <definedName name="deltaSu">OFFSET(Delta!$AM$5,0,0,MAX(1,COUNT(Delta!$AI$5:$AI$24)),1)</definedName>
    <definedName name="deltaGiu">OFFSET(Delta!$AN$5,0,0,MAX(1,COUNT(Delta!$AI$5:$AI$24)),1)</definedName>
    <definedName name="deltaZero">OFFSET(Delta!$AO$5,0,0,MAX(1,COUNT(Delta!$AI$5:$AI$24)),1)</definedName>
    <definedName name="deltaMotivi">Delta!$K$6:$Q$25</definedName>
    <definedName name="capienzaKRICorrenti">60</definedName>
    <definedName name="capienzaElencoKRI">150</definedName>
    <definedName name="elencoKRI">OFFSET(Indicatori!$AB$12,0,0,MAX(1,COUNTIF(Indicatori!$AB$12:$AB$161,"?*")),1)</definedName>
    <definedName name="presidioCodici">Notizie!$A$5:$A$13</definedName>
    <definedName name="presidioStato">Notizie!$F$5:$F$13</definedName>
    <definedName name="classificaEtichette">OFFSET(Classifica!$K$5,0,0,MAX(1,COUNT(Classifica!$D$5:$D$24)),1)</definedName>
    <definedName name="classificaID">OFFSET(Classifica!$B$5,0,0,MAX(1,COUNT(Classifica!$D$5:$D$24)),1)</definedName>
    <definedName name="classificaAgire">OFFSET(Classifica!$V$5,0,0,MAX(1,COUNT(Classifica!$D$5:$D$24)),1)</definedName>
    <definedName name="classificaEntro">OFFSET(Classifica!$W$5,0,0,MAX(1,COUNT(Classifica!$D$5:$D$24)),1)</definedName>
    <definedName name="classificaMargine">OFFSET(Classifica!$X$5,0,0,MAX(1,COUNT(Classifica!$D$5:$D$24)),1)</definedName>
    <definedName name="lenteEtichette">OFFSET(Classifica!$AF$5,0,0,MAX(1,COUNT(Classifica!$D$5:$D$24)),1)</definedName>
    <definedName name="lenteX">OFFSET(Classifica!$AG$5,0,0,MAX(1,COUNT(Classifica!$D$5:$D$24)),1)</definedName>
    <definedName name="lenteY">OFFSET(Classifica!$AH$5,0,0,MAX(1,COUNT(Classifica!$D$5:$D$24)),1)</definedName>
    <definedName name="lenteYOltre">OFFSET(Classifica!$AI$5,0,0,MAX(1,COUNT(Classifica!$D$5:$D$24)),1)</definedName>
    <definedName name="lenteZ">OFFSET(Classifica!$AJ$5,0,0,MAX(1,COUNT(Classifica!$D$5:$D$24)),1)</definedName>
    <definedName name="quadroNote">'Quadro'!$C$16</definedName>
    <definedName name="quadroSegnalati">Quadro!$A$50:$O$69</definedName>
    <definedName name="quadroCommento">Quadro!$A$41:$O$45</definedName>
    <definedName name="capienzaPianoAzioni">150</definedName>
    <definedName name="fenomeniLista">'Fenomeni'!$A$7:$K$26</definedName>
    <definedName name="fenomeniUscite">'Fenomeni'!$A$30:$K$35</definedName>
    <definedName name="valStato">'Validazione'!$A$3</definedName>
    <definedName name="VG_Rischio_titolo">'Validazione'!$A$5</definedName>
    <definedName name="VG_Rischio_SegnalazioniCiclo">'Validazione'!$P$5</definedName>
    <definedName name="VG_Rischio_ID">'Validazione'!$A$7:$A$26</definedName>
    <definedName name="VG_Rischio_Nome">'Validazione'!$B$7:$B$26</definedName>
    <definedName name="VG_Rischio_Motivazione">'Validazione'!$M$7:$M$26</definedName>
    <definedName name="VG_Rischio_Periodo">'Validazione'!$Q$7:$Q$26</definedName>
    <definedName name="VG_Rischio_Appoggio">'Validazione'!$R$7:$R$26</definedName>
    <definedName name="VG_Rischio_Segnalazioni">'Validazione'!$P$7:$P$26</definedName>
    <definedName name="VG_Rischio_Stato">'Validazione'!$W$7:$W$26</definedName>
    <definedName name="VG_Rischio_Impatto_P">'Validazione'!$C$7:$C$26</definedName>
    <definedName name="VG_Rischio_Velocity_P">'Validazione'!$I$7:$I$26</definedName>
    <definedName name="VG_Rischio_Prossimita_P">'Validazione'!$G$7:$G$26</definedName>
    <definedName name="VG_Rischio_Probabilita_P">'Validazione'!$E$7:$E$26</definedName>
    <definedName name="VG_Rischio_Anni_Adeguamento_P">'Validazione'!$K$7:$K$26</definedName>
    <definedName name="VG_Rischio_Decisione_Stato_P">'Validazione'!$X$7:$X$26</definedName>
    <definedName name="VG_Rischio_Impatto">'Validazione'!$D$7:$D$26</definedName>
    <definedName name="VG_Rischio_Velocity">'Validazione'!$J$7:$J$26</definedName>
    <definedName name="VG_Rischio_Prossimita">'Validazione'!$H$7:$H$26</definedName>
    <definedName name="VG_Rischio_Probabilita">'Validazione'!$F$7:$F$26</definedName>
    <definedName name="VG_Rischio_Anni_Adeguamento">'Validazione'!$L$7:$L$26</definedName>
    <definedName name="VG_Rischio_Decisione_Stato">'Validazione'!$Y$7:$Y$26</definedName>
    <definedName name="VG_Rischio_righe">'Validazione'!$A$7:$V$26</definedName>
    <definedName name="VG_KRI_titolo">'Validazione'!$A$28</definedName>
    <definedName name="VG_KRI_ID">'Validazione'!$A$30:$A$109</definedName>
    <definedName name="VG_KRI_Nome">'Validazione'!$B$30:$B$109</definedName>
    <definedName name="VG_KRI_Motivazione">'Validazione'!$M$30:$M$109</definedName>
    <definedName name="VG_KRI_Periodo">'Validazione'!$Q$30:$Q$109</definedName>
    <definedName name="VG_KRI_Appoggio">'Validazione'!$R$30:$R$109</definedName>
    <definedName name="VG_KRI_Respingi">'Validazione'!$J$30:$J$109</definedName>
    <definedName name="VG_KRI_Tipo">'Validazione'!$C$30:$C$109</definedName>
    <definedName name="VG_KRI_Valore_Corrente_P">'Validazione'!$D$30:$D$109</definedName>
    <definedName name="VG_KRI_Soglia_Attenzione_P">'Validazione'!$F$30:$F$109</definedName>
    <definedName name="VG_KRI_Soglia_Allerta_P">'Validazione'!$H$30:$H$109</definedName>
    <definedName name="VG_KRI_Valore_Corrente">'Validazione'!$E$30:$E$109</definedName>
    <definedName name="VG_KRI_Soglia_Attenzione">'Validazione'!$G$30:$G$109</definedName>
    <definedName name="VG_KRI_Soglia_Allerta">'Validazione'!$I$30:$I$109</definedName>
    <definedName name="VG_KRI_righe">'Validazione'!$A$30:$V$109</definedName>
    <definedName name="VG_Azione_titolo">'Validazione'!$A$111</definedName>
    <definedName name="VG_Azione_ID">'Validazione'!$A$113:$A$212</definedName>
    <definedName name="VG_Azione_Nome">'Validazione'!$B$113:$B$212</definedName>
    <definedName name="VG_Azione_Motivazione">'Validazione'!$M$113:$M$212</definedName>
    <definedName name="VG_Azione_Periodo">'Validazione'!$Q$113:$Q$212</definedName>
    <definedName name="VG_Azione_Appoggio">'Validazione'!$R$113:$R$212</definedName>
    <definedName name="VG_Azione_Respingi">'Validazione'!$I$113:$I$212</definedName>
    <definedName name="VG_Azione_Owner_P">'Validazione'!$C$113:$C$212</definedName>
    <definedName name="VG_Azione_Orizzonte_P">'Validazione'!$G$113:$G$212</definedName>
    <definedName name="VG_Azione_Owner">'Validazione'!$E$113:$E$212</definedName>
    <definedName name="VG_Azione_Orizzonte">'Validazione'!$H$113:$H$212</definedName>
    <definedName name="VG_Azione_righe">'Validazione'!$A$113:$V$212</definedName>
    <definedName name="VG_Notizia_titolo">'Validazione'!$A$214</definedName>
    <definedName name="VG_Notizia_ID">'Validazione'!$A$216:$A$415</definedName>
    <definedName name="VG_Notizia_Nome">'Validazione'!$B$216:$B$415</definedName>
    <definedName name="VG_Notizia_Motivazione">'Validazione'!$M$216:$M$415</definedName>
    <definedName name="VG_Notizia_Periodo">'Validazione'!$Q$216:$Q$415</definedName>
    <definedName name="VG_Notizia_Appoggio">'Validazione'!$R$216:$R$415</definedName>
    <definedName name="VG_Notizia_Respingi">'Validazione'!$I$216:$I$415</definedName>
    <definedName name="VG_Notizia_Settimana">'Validazione'!$J$216:$J$415</definedName>
    <definedName name="VG_Notizia_Rischio_ID_P">'Validazione'!$C$216:$C$415</definedName>
    <definedName name="VG_Notizia_Segnale_P">'Validazione'!$G$216:$G$415</definedName>
    <definedName name="VG_Notizia_Rischio_ID">'Validazione'!$E$216:$E$415</definedName>
    <definedName name="VG_Notizia_Segnale">'Validazione'!$H$216:$H$415</definedName>
    <definedName name="VG_Notizia_righe">'Validazione'!$A$216:$V$415</definedName>
    <definedName name="VG_Azione_Mesi">'Validazione'!$S$113:$S$212</definedName>
    <definedName name="VG_Rischio_Score">'Validazione'!$N$7:$N$26</definedName>
    <definedName name="VG_Rischio_Margine">'Validazione'!$O$7:$O$26</definedName>
    <definedName name="VG_Rischio_ScoreNum">'Validazione'!$U$7:$U$26</definedName>
    <definedName name="VG_Rischio_MargineNum">'Validazione'!$S$7:$S$26</definedName>
    <definedName name="_xlnm.Print_Area" localSheetId="1">'Quadro'!$A$1:$O$72</definedName>
    <definedName name="_xlnm.Print_Area" localSheetId="2">'Classifica'!$A$1:$K$54</definedName>
    <definedName name="_xlnm.Print_Area" localSheetId="3">'Radar_Mosca'!$A$1:$L$64</definedName>
    <definedName name="_xlnm.Print_Area" localSheetId="4">'Matrice'!$A$1:$G$37</definedName>
    <definedName name="_xlnm.Print_Area" localSheetId="5">'Delta'!$A$1:$Q$52</definedName>
    <definedName name="_xlnm.Print_Area" localSheetId="6">'Fenomeni'!$A$1:$K$37</definedName>
    <definedName name="_xlnm.Print_Area" localSheetId="7">'Metodologia'!$A$1:$B$109</definedName>
    <definedName name="_xlnm.Print_Titles" localSheetId="8">'Registro'!$7:$8</definedName>
    <definedName name="_xlnm.Print_Area" localSheetId="8">'Registro'!$A$1:$T$30</definedName>
    <definedName name="_xlnm.Print_Area" localSheetId="14">'Validazione'!$A$1:$O$417</definedName>
    <definedName name="_xlnm.Print_Area" localSheetId="15">'Parametri'!$A$1:$O$75</definedName>
  </definedNames>
  <calcPr calcId="124519" fullCalcOnLoad="1"/>
</workbook>
</file>

<file path=xl/styles.xml><?xml version="1.0" encoding="utf-8"?>
<styleSheet xmlns="http://schemas.openxmlformats.org/spreadsheetml/2006/main">
  <numFmts count="7">
    <numFmt numFmtId="164" formatCode="yyyy-mm-dd"/>
    <numFmt numFmtId="165" formatCode="dd/mm/yyyy"/>
    <numFmt numFmtId="166" formatCode="0;-0;;@"/>
    <numFmt numFmtId="167" formatCode="&quot;▲ &quot;+0.00;&quot;▼ &quot;-0.00;&quot;● &quot;0.00"/>
    <numFmt numFmtId="168" formatCode="+0.00;-0.00;0.00"/>
    <numFmt numFmtId="169" formatCode="+0.00;-0.00;;"/>
    <numFmt numFmtId="170" formatCode="0.00;-0.00;;"/>
  </numFmts>
  <fonts count="43">
    <font>
      <name val="Calibri"/>
      <family val="2"/>
      <color theme="1"/>
      <sz val="11"/>
      <scheme val="minor"/>
    </font>
    <font>
      <b val="1"/>
      <color rgb="00FFFFFF"/>
      <sz val="14"/>
    </font>
    <font>
      <b val="1"/>
    </font>
    <font>
      <i val="1"/>
      <color rgb="00595959"/>
    </font>
    <font>
      <b val="1"/>
      <color rgb="001F4E79"/>
    </font>
    <font>
      <b val="1"/>
      <color rgb="007F6000"/>
    </font>
    <font>
      <i val="1"/>
      <color rgb="00404040"/>
      <sz val="8"/>
    </font>
    <font>
      <b val="1"/>
      <color rgb="00404040"/>
    </font>
    <font>
      <b val="1"/>
      <color rgb="001F4E79"/>
      <sz val="9"/>
    </font>
    <font>
      <b val="1"/>
      <color rgb="00404040"/>
      <sz val="9"/>
    </font>
    <font>
      <b val="1"/>
      <color rgb="007F6000"/>
      <sz val="9"/>
    </font>
    <font>
      <b val="1"/>
      <color rgb="00375623"/>
    </font>
    <font>
      <b val="1"/>
      <color rgb="00375623"/>
      <sz val="9"/>
    </font>
    <font>
      <b val="1"/>
      <sz val="9"/>
    </font>
    <font>
      <b val="1"/>
      <color rgb="00BF8F00"/>
      <sz val="9"/>
    </font>
    <font>
      <i val="1"/>
      <color rgb="00595959"/>
      <sz val="8"/>
    </font>
    <font>
      <b val="1"/>
      <color rgb="001F3864"/>
      <sz val="12"/>
    </font>
    <font>
      <b val="1"/>
      <color rgb="00FFFFFF"/>
      <sz val="9"/>
    </font>
    <font>
      <b val="1"/>
      <color rgb="001F3864"/>
      <sz val="8.5"/>
    </font>
    <font>
      <sz val="8"/>
    </font>
    <font>
      <sz val="9"/>
    </font>
    <font>
      <b val="1"/>
      <color rgb="001F3864"/>
    </font>
    <font>
      <color rgb="00595959"/>
      <sz val="9"/>
    </font>
    <font>
      <b val="1"/>
      <sz val="10"/>
    </font>
    <font>
      <b val="1"/>
      <color rgb="001F3864"/>
      <sz val="9"/>
    </font>
    <font>
      <b val="1"/>
      <color rgb="00595959"/>
      <sz val="9"/>
    </font>
    <font>
      <b val="1"/>
      <color rgb="001F3864"/>
      <sz val="26"/>
    </font>
    <font>
      <b val="1"/>
      <color rgb="00C00000"/>
      <sz val="26"/>
    </font>
    <font>
      <b val="1"/>
      <color rgb="00375623"/>
      <sz val="26"/>
    </font>
    <font>
      <b val="1"/>
      <color rgb="00595959"/>
      <sz val="8"/>
    </font>
    <font>
      <b val="1"/>
      <sz val="7"/>
    </font>
    <font>
      <sz val="8.5"/>
    </font>
    <font>
      <b val="1"/>
      <color rgb="001F3864"/>
      <sz val="8"/>
    </font>
    <font>
      <b val="1"/>
      <color rgb="001F3864"/>
      <sz val="10"/>
    </font>
    <font>
      <sz val="10"/>
    </font>
    <font>
      <b val="1"/>
      <color rgb="00FFFFFF"/>
    </font>
    <font>
      <color rgb="00262626"/>
      <sz val="9"/>
    </font>
    <font>
      <b val="1"/>
      <color rgb="001F3864"/>
      <sz val="11"/>
    </font>
    <font>
      <i val="1"/>
      <color rgb="001F3864"/>
      <sz val="8"/>
    </font>
    <font>
      <color rgb="007F7F7F"/>
      <sz val="9"/>
    </font>
    <font>
      <b val="1"/>
      <sz val="9.5"/>
    </font>
    <font>
      <b val="1"/>
      <color rgb="00262626"/>
    </font>
    <font>
      <b val="1"/>
      <i val="1"/>
      <color rgb="00595959"/>
    </font>
  </fonts>
  <fills count="20">
    <fill>
      <patternFill/>
    </fill>
    <fill>
      <patternFill patternType="gray125"/>
    </fill>
    <fill>
      <patternFill patternType="solid">
        <fgColor rgb="001F3864"/>
      </patternFill>
    </fill>
    <fill>
      <patternFill patternType="solid">
        <fgColor rgb="00FFF2CC"/>
      </patternFill>
    </fill>
    <fill>
      <patternFill patternType="solid">
        <fgColor rgb="00DDEBF7"/>
      </patternFill>
    </fill>
    <fill>
      <patternFill patternType="solid">
        <fgColor rgb="00E7E6E6"/>
      </patternFill>
    </fill>
    <fill>
      <patternFill patternType="solid">
        <fgColor rgb="00EDEDED"/>
      </patternFill>
    </fill>
    <fill>
      <patternFill patternType="solid">
        <fgColor rgb="00E2EFDA"/>
      </patternFill>
    </fill>
    <fill>
      <patternFill patternType="solid">
        <fgColor rgb="00EDEDED"/>
        <bgColor rgb="00EDEDED"/>
      </patternFill>
    </fill>
    <fill>
      <patternFill patternType="solid">
        <fgColor rgb="00DDEBF7"/>
        <bgColor rgb="00DDEBF7"/>
      </patternFill>
    </fill>
    <fill>
      <patternFill patternType="solid">
        <fgColor rgb="00FFF2CC"/>
        <bgColor rgb="00FFF2CC"/>
      </patternFill>
    </fill>
    <fill>
      <patternFill patternType="solid">
        <fgColor rgb="00E2EFDA"/>
        <bgColor rgb="00E2EFDA"/>
      </patternFill>
    </fill>
    <fill>
      <patternFill patternType="solid">
        <fgColor rgb="002F5597"/>
        <bgColor rgb="002F5597"/>
      </patternFill>
    </fill>
    <fill>
      <patternFill patternType="solid">
        <fgColor rgb="00F2F2F2"/>
        <bgColor rgb="00F2F2F2"/>
      </patternFill>
    </fill>
    <fill>
      <patternFill patternType="solid">
        <fgColor rgb="001F3864"/>
        <bgColor rgb="001F3864"/>
      </patternFill>
    </fill>
    <fill>
      <patternFill patternType="solid">
        <fgColor rgb="00FBE5E5"/>
        <bgColor rgb="00FBE5E5"/>
      </patternFill>
    </fill>
    <fill>
      <patternFill patternType="solid">
        <fgColor rgb="00D9E1F2"/>
        <bgColor rgb="00D9E1F2"/>
      </patternFill>
    </fill>
    <fill>
      <patternFill patternType="solid">
        <fgColor rgb="00FFE699"/>
        <bgColor rgb="00FFE699"/>
      </patternFill>
    </fill>
    <fill>
      <patternFill patternType="solid">
        <fgColor rgb="00DEEAF6"/>
        <bgColor rgb="00DEEAF6"/>
      </patternFill>
    </fill>
    <fill>
      <patternFill patternType="solid">
        <fgColor rgb="00F2F2F2"/>
      </patternFill>
    </fill>
  </fills>
  <borders count="7">
    <border>
      <left/>
      <right/>
      <top/>
      <bottom/>
      <diagonal/>
    </border>
    <border>
      <bottom style="medium">
        <color rgb="001F3864"/>
      </bottom>
    </border>
    <border>
      <bottom style="thin">
        <color rgb="00D9D9D9"/>
      </bottom>
    </border>
    <border>
      <left style="medium">
        <color rgb="00FFFFFF"/>
      </left>
      <right style="medium">
        <color rgb="00FFFFFF"/>
      </right>
      <top style="medium">
        <color rgb="00FFFFFF"/>
      </top>
      <bottom style="medium">
        <color rgb="00FFFFFF"/>
      </bottom>
    </border>
    <border>
      <right style="thick">
        <color rgb="00FFFFFF"/>
      </right>
    </border>
    <border>
      <left style="thin">
        <color rgb="00FFFFFF"/>
      </left>
      <right style="thin">
        <color rgb="00FFFFFF"/>
      </right>
      <top style="thin">
        <color rgb="00FFFFFF"/>
      </top>
      <bottom style="thin">
        <color rgb="00FFFFFF"/>
      </bottom>
    </border>
    <border>
      <left/>
      <right/>
      <top/>
      <bottom style="thin">
        <color rgb="00D9D9D9"/>
      </bottom>
      <diagonal/>
    </border>
  </borders>
  <cellStyleXfs count="1">
    <xf numFmtId="0" fontId="0" fillId="0" borderId="0"/>
  </cellStyleXfs>
  <cellXfs count="179">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41" fillId="19" borderId="0" applyAlignment="1" pivotButton="0" quotePrefix="0" xfId="0">
      <alignment vertical="top" wrapText="1"/>
    </xf>
    <xf numFmtId="0" fontId="0" fillId="0" borderId="0" applyAlignment="1" pivotButton="0" quotePrefix="0" xfId="0">
      <alignment vertical="top" wrapText="1"/>
    </xf>
    <xf numFmtId="0" fontId="11" fillId="7" borderId="0" applyAlignment="1" pivotButton="0" quotePrefix="0" xfId="0">
      <alignment vertical="top" wrapText="1"/>
    </xf>
    <xf numFmtId="0" fontId="4" fillId="4" borderId="0" applyAlignment="1" pivotButton="0" quotePrefix="0" xfId="0">
      <alignment vertical="top" wrapText="1"/>
    </xf>
    <xf numFmtId="0" fontId="5" fillId="3" borderId="0" applyAlignment="1" pivotButton="0" quotePrefix="0" xfId="0">
      <alignment vertical="top" wrapText="1"/>
    </xf>
    <xf numFmtId="0" fontId="42" fillId="0" borderId="0" pivotButton="0" quotePrefix="0" xfId="0"/>
    <xf numFmtId="0" fontId="2" fillId="0" borderId="0" applyAlignment="1" pivotButton="0" quotePrefix="0" xfId="0">
      <alignment vertical="top" wrapText="1"/>
    </xf>
    <xf numFmtId="0" fontId="0" fillId="4" borderId="0" applyAlignment="1" pivotButton="0" quotePrefix="0" xfId="0">
      <alignment vertical="top" wrapText="1"/>
    </xf>
    <xf numFmtId="0" fontId="0" fillId="3" borderId="0" applyAlignment="1" pivotButton="0" quotePrefix="0" xfId="0">
      <alignment vertical="top" wrapText="1"/>
    </xf>
    <xf numFmtId="0" fontId="0" fillId="7" borderId="0" applyAlignment="1" pivotButton="0" quotePrefix="0" xfId="0">
      <alignment vertical="top" wrapText="1"/>
    </xf>
    <xf numFmtId="0" fontId="0" fillId="4" borderId="0" applyAlignment="1" pivotButton="0" quotePrefix="0" xfId="0">
      <alignment horizontal="left" vertical="top" wrapText="1"/>
    </xf>
    <xf numFmtId="0" fontId="25" fillId="13" borderId="0" applyAlignment="1" pivotButton="0" quotePrefix="0" xfId="0">
      <alignment horizontal="center" vertical="center" wrapText="1"/>
    </xf>
    <xf numFmtId="0" fontId="0" fillId="13" borderId="0" pivotButton="0" quotePrefix="0" xfId="0"/>
    <xf numFmtId="0" fontId="0" fillId="13" borderId="4" pivotButton="0" quotePrefix="0" xfId="0"/>
    <xf numFmtId="0" fontId="25" fillId="15" borderId="0" applyAlignment="1" pivotButton="0" quotePrefix="0" xfId="0">
      <alignment horizontal="center" vertical="center" wrapText="1"/>
    </xf>
    <xf numFmtId="0" fontId="0" fillId="15" borderId="0" pivotButton="0" quotePrefix="0" xfId="0"/>
    <xf numFmtId="0" fontId="0" fillId="15" borderId="4" pivotButton="0" quotePrefix="0" xfId="0"/>
    <xf numFmtId="0" fontId="25" fillId="11" borderId="0" applyAlignment="1" pivotButton="0" quotePrefix="0" xfId="0">
      <alignment horizontal="center" vertical="center" wrapText="1"/>
    </xf>
    <xf numFmtId="0" fontId="0" fillId="11" borderId="0" pivotButton="0" quotePrefix="0" xfId="0"/>
    <xf numFmtId="0" fontId="0" fillId="11" borderId="4" pivotButton="0" quotePrefix="0" xfId="0"/>
    <xf numFmtId="0" fontId="26" fillId="13" borderId="0" applyAlignment="1" pivotButton="0" quotePrefix="0" xfId="0">
      <alignment horizontal="center" vertical="center" wrapText="1"/>
    </xf>
    <xf numFmtId="0" fontId="27" fillId="15" borderId="0" applyAlignment="1" pivotButton="0" quotePrefix="0" xfId="0">
      <alignment horizontal="center" vertical="center" wrapText="1"/>
    </xf>
    <xf numFmtId="0" fontId="28" fillId="11" borderId="0" applyAlignment="1" pivotButton="0" quotePrefix="0" xfId="0">
      <alignment horizontal="center" vertical="center" wrapText="1"/>
    </xf>
    <xf numFmtId="0" fontId="22" fillId="13" borderId="0" applyAlignment="1" pivotButton="0" quotePrefix="0" xfId="0">
      <alignment horizontal="center" vertical="center" wrapText="1"/>
    </xf>
    <xf numFmtId="0" fontId="22" fillId="15" borderId="0" applyAlignment="1" pivotButton="0" quotePrefix="0" xfId="0">
      <alignment horizontal="center" vertical="center" wrapText="1"/>
    </xf>
    <xf numFmtId="0" fontId="22" fillId="11" borderId="0" applyAlignment="1" pivotButton="0" quotePrefix="0" xfId="0">
      <alignment horizontal="center" vertical="center" wrapText="1"/>
    </xf>
    <xf numFmtId="0" fontId="16" fillId="0" borderId="1" pivotButton="0" quotePrefix="0" xfId="0"/>
    <xf numFmtId="0" fontId="0" fillId="0" borderId="1" pivotButton="0" quotePrefix="0" xfId="0"/>
    <xf numFmtId="0" fontId="25" fillId="0" borderId="0" pivotButton="0" quotePrefix="0" xfId="0"/>
    <xf numFmtId="0" fontId="29" fillId="0" borderId="0" pivotButton="0" quotePrefix="0" xfId="0"/>
    <xf numFmtId="0" fontId="29" fillId="0" borderId="0" applyAlignment="1" pivotButton="0" quotePrefix="0" xfId="0">
      <alignment horizontal="center"/>
    </xf>
    <xf numFmtId="0" fontId="21" fillId="0" borderId="2" applyAlignment="1" pivotButton="0" quotePrefix="0" xfId="0">
      <alignment horizontal="center" vertical="center"/>
    </xf>
    <xf numFmtId="0" fontId="20" fillId="0" borderId="2" applyAlignment="1" pivotButton="0" quotePrefix="0" xfId="0">
      <alignment vertical="center" wrapText="1"/>
    </xf>
    <xf numFmtId="0" fontId="0" fillId="0" borderId="2" pivotButton="0" quotePrefix="0" xfId="0"/>
    <xf numFmtId="2" fontId="2" fillId="0" borderId="2" applyAlignment="1" pivotButton="0" quotePrefix="0" xfId="0">
      <alignment horizontal="center" vertical="center"/>
    </xf>
    <xf numFmtId="167" fontId="0" fillId="0" borderId="2" applyAlignment="1" pivotButton="0" quotePrefix="0" xfId="0">
      <alignment horizontal="center" vertical="center"/>
    </xf>
    <xf numFmtId="0" fontId="20" fillId="0" borderId="2" applyAlignment="1" pivotButton="0" quotePrefix="0" xfId="0">
      <alignment horizontal="center" vertical="center" shrinkToFit="1"/>
    </xf>
    <xf numFmtId="0" fontId="29" fillId="0" borderId="0" applyAlignment="1" pivotButton="0" quotePrefix="0" xfId="0">
      <alignment horizontal="center" vertical="center"/>
    </xf>
    <xf numFmtId="0" fontId="30" fillId="11" borderId="5" applyAlignment="1" pivotButton="0" quotePrefix="0" xfId="0">
      <alignment horizontal="center" vertical="center" wrapText="1"/>
    </xf>
    <xf numFmtId="0" fontId="30" fillId="10" borderId="5" applyAlignment="1" pivotButton="0" quotePrefix="0" xfId="0">
      <alignment horizontal="center" vertical="center" wrapText="1"/>
    </xf>
    <xf numFmtId="0" fontId="30" fillId="15" borderId="5" applyAlignment="1" pivotButton="0" quotePrefix="0" xfId="0">
      <alignment horizontal="center" vertical="center" wrapText="1"/>
    </xf>
    <xf numFmtId="0" fontId="15" fillId="0" borderId="0" pivotButton="0" quotePrefix="0" xfId="0"/>
    <xf numFmtId="0" fontId="24" fillId="0" borderId="0" applyAlignment="1" pivotButton="0" quotePrefix="0" xfId="0">
      <alignment vertical="top" wrapText="1"/>
    </xf>
    <xf numFmtId="0" fontId="31" fillId="10" borderId="0" applyAlignment="1" pivotButton="0" quotePrefix="0" xfId="0">
      <alignment vertical="top" wrapText="1"/>
    </xf>
    <xf numFmtId="0" fontId="0" fillId="10" borderId="0" pivotButton="0" quotePrefix="0" xfId="0"/>
    <xf numFmtId="0" fontId="32" fillId="0" borderId="0" pivotButton="0" quotePrefix="0" xfId="0"/>
    <xf numFmtId="0" fontId="19" fillId="0" borderId="0" pivotButton="0" quotePrefix="0" xfId="0"/>
    <xf numFmtId="0" fontId="33" fillId="0" borderId="0" applyAlignment="1" pivotButton="0" quotePrefix="0" xfId="0">
      <alignment vertical="top"/>
    </xf>
    <xf numFmtId="0" fontId="34" fillId="0" borderId="0" applyAlignment="1" pivotButton="0" quotePrefix="0" xfId="0">
      <alignment vertical="top" wrapText="1"/>
    </xf>
    <xf numFmtId="0" fontId="35" fillId="12" borderId="0" pivotButton="0" quotePrefix="0" xfId="0"/>
    <xf numFmtId="0" fontId="0" fillId="12" borderId="0" pivotButton="0" quotePrefix="0" xfId="0"/>
    <xf numFmtId="0" fontId="0" fillId="0" borderId="0" applyAlignment="1" pivotButton="0" quotePrefix="0" xfId="0">
      <alignment horizontal="center" vertical="top" wrapText="1"/>
    </xf>
    <xf numFmtId="0" fontId="20" fillId="0" borderId="0" applyAlignment="1" pivotButton="0" quotePrefix="0" xfId="0">
      <alignment vertical="top" wrapText="1"/>
    </xf>
    <xf numFmtId="0" fontId="15" fillId="0" borderId="0" applyAlignment="1" pivotButton="0" quotePrefix="0" xfId="0">
      <alignment vertical="top" wrapText="1"/>
    </xf>
    <xf numFmtId="0" fontId="13" fillId="0" borderId="0" applyAlignment="1" pivotButton="0" quotePrefix="0" xfId="0">
      <alignment vertical="top" wrapText="1"/>
    </xf>
    <xf numFmtId="2" fontId="0" fillId="0" borderId="0" pivotButton="0" quotePrefix="0" xfId="0"/>
    <xf numFmtId="167" fontId="0" fillId="0" borderId="0" pivotButton="0" quotePrefix="0" xfId="0"/>
    <xf numFmtId="170" fontId="0" fillId="0" borderId="0" pivotButton="0" quotePrefix="0" xfId="0"/>
    <xf numFmtId="0" fontId="3" fillId="0" borderId="0" applyAlignment="1" pivotButton="0" quotePrefix="0" xfId="0">
      <alignment vertical="top" wrapText="1"/>
    </xf>
    <xf numFmtId="0" fontId="21" fillId="0" borderId="0" pivotButton="0" quotePrefix="0" xfId="0"/>
    <xf numFmtId="0" fontId="22" fillId="0" borderId="0" applyAlignment="1" pivotButton="0" quotePrefix="0" xfId="0">
      <alignment horizontal="right" vertical="center"/>
    </xf>
    <xf numFmtId="0" fontId="21" fillId="0" borderId="0" applyAlignment="1" pivotButton="0" quotePrefix="0" xfId="0">
      <alignment horizontal="center" vertical="center"/>
    </xf>
    <xf numFmtId="0" fontId="23" fillId="11" borderId="3" applyAlignment="1" pivotButton="0" quotePrefix="0" xfId="0">
      <alignment horizontal="center" vertical="center" wrapText="1"/>
    </xf>
    <xf numFmtId="0" fontId="23" fillId="10" borderId="3" applyAlignment="1" pivotButton="0" quotePrefix="0" xfId="0">
      <alignment horizontal="center" vertical="center" wrapText="1"/>
    </xf>
    <xf numFmtId="0" fontId="23" fillId="15" borderId="3" applyAlignment="1" pivotButton="0" quotePrefix="0" xfId="0">
      <alignment horizontal="center" vertical="center" wrapText="1"/>
    </xf>
    <xf numFmtId="0" fontId="21" fillId="0" borderId="0" applyAlignment="1" pivotButton="0" quotePrefix="0" xfId="0">
      <alignment horizontal="center"/>
    </xf>
    <xf numFmtId="0" fontId="22" fillId="0" borderId="0" applyAlignment="1" pivotButton="0" quotePrefix="0" xfId="0">
      <alignment horizontal="center"/>
    </xf>
    <xf numFmtId="0" fontId="17" fillId="12" borderId="0" pivotButton="0" quotePrefix="0" xfId="0"/>
    <xf numFmtId="0" fontId="24" fillId="0" borderId="2" pivotButton="0" quotePrefix="0" xfId="0"/>
    <xf numFmtId="0" fontId="20" fillId="0" borderId="2" pivotButton="0" quotePrefix="0" xfId="0"/>
    <xf numFmtId="0" fontId="0" fillId="0" borderId="2" applyAlignment="1" pivotButton="0" quotePrefix="0" xfId="0">
      <alignment horizontal="center"/>
    </xf>
    <xf numFmtId="169" fontId="0" fillId="0" borderId="0" pivotButton="0" quotePrefix="0" xfId="0"/>
    <xf numFmtId="0" fontId="18" fillId="0" borderId="0" applyAlignment="1" pivotButton="0" quotePrefix="0" xfId="0">
      <alignment vertical="top" wrapText="1"/>
    </xf>
    <xf numFmtId="168" fontId="13" fillId="0" borderId="0" applyAlignment="1" pivotButton="0" quotePrefix="0" xfId="0">
      <alignment vertical="top" wrapText="1"/>
    </xf>
    <xf numFmtId="0" fontId="19" fillId="0" borderId="0" applyAlignment="1" pivotButton="0" quotePrefix="0" xfId="0">
      <alignment vertical="top" wrapText="1"/>
    </xf>
    <xf numFmtId="0" fontId="20" fillId="13" borderId="0" applyAlignment="1" pivotButton="0" quotePrefix="0" xfId="0">
      <alignment vertical="top" wrapText="1"/>
    </xf>
    <xf numFmtId="0" fontId="13" fillId="0" borderId="1" applyAlignment="1" pivotButton="0" quotePrefix="0" xfId="0">
      <alignment vertical="bottom" wrapText="1"/>
    </xf>
    <xf numFmtId="168" fontId="0" fillId="0" borderId="0" pivotButton="0" quotePrefix="0" xfId="0"/>
    <xf numFmtId="0" fontId="37" fillId="0" borderId="0" applyAlignment="1" pivotButton="0" quotePrefix="0" xfId="0">
      <alignment vertical="center" indent="1"/>
    </xf>
    <xf numFmtId="0" fontId="17" fillId="14" borderId="0" applyAlignment="1" pivotButton="0" quotePrefix="0" xfId="0">
      <alignment horizontal="center" vertical="center" wrapText="1"/>
    </xf>
    <xf numFmtId="0" fontId="36" fillId="0" borderId="2" applyAlignment="1" pivotButton="0" quotePrefix="0" xfId="0">
      <alignment horizontal="center" vertical="top" wrapText="1"/>
    </xf>
    <xf numFmtId="0" fontId="24" fillId="0" borderId="2" applyAlignment="1" pivotButton="0" quotePrefix="0" xfId="0">
      <alignment horizontal="left" vertical="top" wrapText="1"/>
    </xf>
    <xf numFmtId="0" fontId="36" fillId="0" borderId="2" applyAlignment="1" pivotButton="0" quotePrefix="0" xfId="0">
      <alignment horizontal="left" vertical="top" wrapText="1"/>
    </xf>
    <xf numFmtId="2" fontId="36" fillId="0" borderId="2" applyAlignment="1" pivotButton="0" quotePrefix="0" xfId="0">
      <alignment horizontal="center" vertical="top" wrapText="1"/>
    </xf>
    <xf numFmtId="0" fontId="13" fillId="0" borderId="2" applyAlignment="1" pivotButton="0" quotePrefix="0" xfId="0">
      <alignment vertical="top" wrapText="1"/>
    </xf>
    <xf numFmtId="0" fontId="20" fillId="0" borderId="2" applyAlignment="1" pivotButton="0" quotePrefix="0" xfId="0">
      <alignment vertical="top" wrapText="1"/>
    </xf>
    <xf numFmtId="0" fontId="0" fillId="6" borderId="0" applyAlignment="1" pivotButton="0" quotePrefix="0" xfId="0">
      <alignment horizontal="left" vertical="top" wrapText="1"/>
    </xf>
    <xf numFmtId="0" fontId="4" fillId="4" borderId="0" applyAlignment="1" pivotButton="0" quotePrefix="0" xfId="0">
      <alignment horizontal="left" vertical="top" wrapText="1"/>
    </xf>
    <xf numFmtId="0" fontId="0" fillId="0" borderId="0" applyAlignment="1" pivotButton="0" quotePrefix="0" xfId="0">
      <alignment horizontal="left" vertical="top" wrapText="1"/>
    </xf>
    <xf numFmtId="0" fontId="7" fillId="6" borderId="0" applyAlignment="1" pivotButton="0" quotePrefix="0" xfId="0">
      <alignment vertical="top" wrapText="1"/>
    </xf>
    <xf numFmtId="0" fontId="7" fillId="6" borderId="0" applyAlignment="1" pivotButton="0" quotePrefix="0" xfId="0">
      <alignment horizontal="left" vertical="top" wrapText="1"/>
    </xf>
    <xf numFmtId="2" fontId="0" fillId="0" borderId="0" applyAlignment="1" pivotButton="0" quotePrefix="0" xfId="0">
      <alignment horizontal="left" vertical="top" wrapText="1"/>
    </xf>
    <xf numFmtId="0" fontId="5" fillId="3" borderId="0" applyAlignment="1" pivotButton="0" quotePrefix="0" xfId="0">
      <alignment horizontal="left" vertical="top" wrapText="1"/>
    </xf>
    <xf numFmtId="0" fontId="0" fillId="19" borderId="0" applyAlignment="1" pivotButton="0" quotePrefix="0" xfId="0">
      <alignment horizontal="left" vertical="top" wrapText="1"/>
    </xf>
    <xf numFmtId="0" fontId="5" fillId="3" borderId="0" pivotButton="0" quotePrefix="0" xfId="0"/>
    <xf numFmtId="0" fontId="2" fillId="0" borderId="0" pivotButton="0" quotePrefix="0" xfId="0"/>
    <xf numFmtId="0" fontId="7" fillId="6" borderId="0" pivotButton="0" quotePrefix="0" xfId="0"/>
    <xf numFmtId="0" fontId="9" fillId="8" borderId="0" applyAlignment="1" pivotButton="0" quotePrefix="0" xfId="0">
      <alignment horizontal="center" wrapText="1"/>
    </xf>
    <xf numFmtId="0" fontId="0" fillId="8" borderId="0" pivotButton="0" quotePrefix="0" xfId="0"/>
    <xf numFmtId="0" fontId="8" fillId="9" borderId="0" applyAlignment="1" pivotButton="0" quotePrefix="0" xfId="0">
      <alignment horizontal="center" wrapText="1"/>
    </xf>
    <xf numFmtId="0" fontId="0" fillId="9" borderId="0" pivotButton="0" quotePrefix="0" xfId="0"/>
    <xf numFmtId="0" fontId="10" fillId="10" borderId="0" applyAlignment="1" pivotButton="0" quotePrefix="0" xfId="0">
      <alignment horizontal="center" wrapText="1"/>
    </xf>
    <xf numFmtId="0" fontId="12" fillId="11" borderId="0" applyAlignment="1" pivotButton="0" quotePrefix="0" xfId="0">
      <alignment horizontal="center" wrapText="1"/>
    </xf>
    <xf numFmtId="0" fontId="13" fillId="0" borderId="1" applyAlignment="1" pivotButton="0" quotePrefix="0" xfId="0">
      <alignment horizontal="left" vertical="bottom" wrapText="1"/>
    </xf>
    <xf numFmtId="0" fontId="13" fillId="0" borderId="1" applyAlignment="1" pivotButton="0" quotePrefix="0" xfId="0">
      <alignment horizontal="center" vertical="bottom" wrapText="1"/>
    </xf>
    <xf numFmtId="0" fontId="14" fillId="0" borderId="1" applyAlignment="1" pivotButton="0" quotePrefix="0" xfId="0">
      <alignment horizontal="center" vertical="bottom" wrapText="1"/>
    </xf>
    <xf numFmtId="0" fontId="0" fillId="0" borderId="2" applyAlignment="1" pivotButton="0" quotePrefix="0" xfId="0">
      <alignment horizontal="left" vertical="center"/>
    </xf>
    <xf numFmtId="0" fontId="0" fillId="0" borderId="2" applyAlignment="1" pivotButton="0" quotePrefix="0" xfId="0">
      <alignment horizontal="center" vertical="center"/>
    </xf>
    <xf numFmtId="2" fontId="0" fillId="0" borderId="2" applyAlignment="1" pivotButton="0" quotePrefix="0" xfId="0">
      <alignment horizontal="center" vertical="center"/>
    </xf>
    <xf numFmtId="168" fontId="0" fillId="0" borderId="2" applyAlignment="1" pivotButton="0" quotePrefix="0" xfId="0">
      <alignment horizontal="center" vertical="center"/>
    </xf>
    <xf numFmtId="166" fontId="0" fillId="0" borderId="2" applyAlignment="1" pivotButton="0" quotePrefix="0" xfId="0">
      <alignment horizontal="center" vertical="center"/>
    </xf>
    <xf numFmtId="0" fontId="0" fillId="3" borderId="0" pivotButton="0" quotePrefix="0" xfId="0"/>
    <xf numFmtId="0" fontId="17" fillId="14" borderId="0" applyAlignment="1" pivotButton="0" quotePrefix="0" xfId="0">
      <alignment vertical="top" wrapText="1"/>
    </xf>
    <xf numFmtId="0" fontId="17" fillId="14" borderId="0" pivotButton="0" quotePrefix="0" xfId="0"/>
    <xf numFmtId="165" fontId="0" fillId="0" borderId="0" pivotButton="0" quotePrefix="0" xfId="0"/>
    <xf numFmtId="0" fontId="20" fillId="0" borderId="0" pivotButton="0" quotePrefix="0" xfId="0"/>
    <xf numFmtId="0" fontId="0" fillId="7" borderId="0" applyAlignment="1" pivotButton="0" quotePrefix="0" xfId="0">
      <alignment horizontal="left" vertical="top" wrapText="1"/>
    </xf>
    <xf numFmtId="0" fontId="20" fillId="11" borderId="0" applyAlignment="1" pivotButton="0" quotePrefix="0" xfId="0">
      <alignment vertical="top" wrapText="1"/>
    </xf>
    <xf numFmtId="0" fontId="13" fillId="11" borderId="0" applyAlignment="1" pivotButton="0" quotePrefix="0" xfId="0">
      <alignment vertical="top" wrapText="1"/>
    </xf>
    <xf numFmtId="0" fontId="3" fillId="0" borderId="0" pivotButton="0" quotePrefix="0" xfId="0"/>
    <xf numFmtId="0" fontId="0" fillId="3" borderId="0" applyAlignment="1" pivotButton="0" quotePrefix="0" xfId="0">
      <alignment horizontal="left" vertical="top" wrapText="1"/>
    </xf>
    <xf numFmtId="0" fontId="8" fillId="9" borderId="0" pivotButton="0" quotePrefix="0" xfId="0"/>
    <xf numFmtId="0" fontId="10" fillId="10" borderId="0" pivotButton="0" quotePrefix="0" xfId="0"/>
    <xf numFmtId="0" fontId="0" fillId="0" borderId="2" applyAlignment="1" pivotButton="0" quotePrefix="0" xfId="0">
      <alignment vertical="top"/>
    </xf>
    <xf numFmtId="0" fontId="0" fillId="0" borderId="2" applyAlignment="1" pivotButton="0" quotePrefix="0" xfId="0">
      <alignment vertical="top" wrapText="1"/>
    </xf>
    <xf numFmtId="165" fontId="0" fillId="0" borderId="2" applyAlignment="1" pivotButton="0" quotePrefix="0" xfId="0">
      <alignment vertical="top"/>
    </xf>
    <xf numFmtId="0" fontId="24" fillId="0" borderId="2" applyAlignment="1" pivotButton="0" quotePrefix="0" xfId="0">
      <alignment horizontal="center" vertical="top" wrapText="1"/>
    </xf>
    <xf numFmtId="0" fontId="0" fillId="0" borderId="2" applyAlignment="1" pivotButton="0" quotePrefix="0" xfId="0">
      <alignment horizontal="center" vertical="top"/>
    </xf>
    <xf numFmtId="0" fontId="13" fillId="0" borderId="0" pivotButton="0" quotePrefix="0" xfId="0"/>
    <xf numFmtId="0" fontId="23" fillId="0" borderId="2" applyAlignment="1" pivotButton="0" quotePrefix="0" xfId="0">
      <alignment horizontal="center"/>
    </xf>
    <xf numFmtId="0" fontId="0" fillId="0" borderId="0" applyAlignment="1" pivotButton="0" quotePrefix="0" xfId="0">
      <alignment horizontal="center"/>
    </xf>
    <xf numFmtId="0" fontId="13" fillId="0" borderId="2" applyAlignment="1" pivotButton="0" quotePrefix="0" xfId="0">
      <alignment horizontal="left" vertical="top" wrapText="1"/>
    </xf>
    <xf numFmtId="0" fontId="20" fillId="0" borderId="2" applyAlignment="1" pivotButton="0" quotePrefix="0" xfId="0">
      <alignment horizontal="left" vertical="top" wrapText="1"/>
    </xf>
    <xf numFmtId="0" fontId="20" fillId="0" borderId="2" applyAlignment="1" pivotButton="0" quotePrefix="0" xfId="0">
      <alignment horizontal="center" vertical="top" wrapText="1"/>
    </xf>
    <xf numFmtId="2" fontId="20" fillId="0" borderId="2" applyAlignment="1" pivotButton="0" quotePrefix="0" xfId="0">
      <alignment horizontal="center" vertical="top" wrapText="1"/>
    </xf>
    <xf numFmtId="0" fontId="0" fillId="0" borderId="6" pivotButton="0" quotePrefix="0" xfId="0"/>
    <xf numFmtId="0" fontId="5" fillId="10" borderId="0" applyAlignment="1" pivotButton="0" quotePrefix="0" xfId="0">
      <alignment vertical="center" indent="1"/>
    </xf>
    <xf numFmtId="0" fontId="38" fillId="0" borderId="0" applyAlignment="1" pivotButton="0" quotePrefix="0" xfId="0">
      <alignment vertical="center" wrapText="1"/>
    </xf>
    <xf numFmtId="0" fontId="13" fillId="16" borderId="0" applyAlignment="1" pivotButton="0" quotePrefix="0" xfId="0">
      <alignment horizontal="center" vertical="center" wrapText="1"/>
    </xf>
    <xf numFmtId="0" fontId="13" fillId="13" borderId="0" applyAlignment="1" pivotButton="0" quotePrefix="0" xfId="0">
      <alignment horizontal="center" vertical="center" wrapText="1"/>
    </xf>
    <xf numFmtId="0" fontId="13" fillId="17" borderId="0" applyAlignment="1" pivotButton="0" quotePrefix="0" xfId="0">
      <alignment horizontal="center" vertical="center" wrapText="1"/>
    </xf>
    <xf numFmtId="0" fontId="13" fillId="9" borderId="0" applyAlignment="1" pivotButton="0" quotePrefix="0" xfId="0">
      <alignment horizontal="center" vertical="center" wrapText="1"/>
    </xf>
    <xf numFmtId="0" fontId="33" fillId="0" borderId="2" applyAlignment="1" pivotButton="0" quotePrefix="0" xfId="0">
      <alignment vertical="center"/>
    </xf>
    <xf numFmtId="0" fontId="39" fillId="13"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vertical="center" wrapText="1"/>
    </xf>
    <xf numFmtId="0" fontId="23" fillId="0" borderId="2" applyAlignment="1" pivotButton="0" quotePrefix="0" xfId="0">
      <alignment horizontal="center" vertical="center" wrapText="1"/>
    </xf>
    <xf numFmtId="0" fontId="40" fillId="0" borderId="2" applyAlignment="1" pivotButton="0" quotePrefix="0" xfId="0">
      <alignment horizontal="center" vertical="center" wrapText="1"/>
    </xf>
    <xf numFmtId="0" fontId="19" fillId="0" borderId="2" applyAlignment="1" pivotButton="0" quotePrefix="0" xfId="0">
      <alignment vertical="center" wrapText="1"/>
    </xf>
    <xf numFmtId="0" fontId="20" fillId="0" borderId="2" applyAlignment="1" pivotButton="0" quotePrefix="0" xfId="0">
      <alignment horizontal="center" vertical="center" wrapText="1"/>
    </xf>
    <xf numFmtId="0" fontId="0" fillId="10" borderId="2" applyAlignment="1" pivotButton="0" quotePrefix="0" xfId="0">
      <alignment horizontal="center" vertical="center" wrapText="1"/>
    </xf>
    <xf numFmtId="0" fontId="24" fillId="0" borderId="2" applyAlignment="1" pivotButton="0" quotePrefix="0" xfId="0">
      <alignment vertical="center"/>
    </xf>
    <xf numFmtId="0" fontId="15" fillId="0" borderId="0" applyAlignment="1" pivotButton="0" quotePrefix="0" xfId="0">
      <alignment wrapText="1"/>
    </xf>
    <xf numFmtId="0" fontId="4" fillId="0" borderId="0" applyAlignment="1" pivotButton="0" quotePrefix="0" xfId="0">
      <alignment vertical="top" wrapText="1"/>
    </xf>
    <xf numFmtId="2" fontId="0" fillId="3" borderId="0" pivotButton="0" quotePrefix="0" xfId="0"/>
    <xf numFmtId="0" fontId="0" fillId="5" borderId="0" pivotButton="0" quotePrefix="0" xfId="0"/>
    <xf numFmtId="165" fontId="0" fillId="3" borderId="0" pivotButton="0" quotePrefix="0" xfId="0"/>
    <xf numFmtId="1" fontId="0" fillId="3" borderId="0" pivotButton="0" quotePrefix="0" xfId="0"/>
    <xf numFmtId="9" fontId="0" fillId="3" borderId="0" pivotButton="0" quotePrefix="0" xfId="0"/>
    <xf numFmtId="0" fontId="35" fillId="14" borderId="0" pivotButton="0" quotePrefix="0" xfId="0"/>
    <xf numFmtId="0" fontId="21" fillId="18" borderId="0" pivotButton="0" quotePrefix="0" xfId="0"/>
    <xf numFmtId="0" fontId="20" fillId="9" borderId="2" applyAlignment="1" pivotButton="0" quotePrefix="0" xfId="0">
      <alignment horizontal="left" vertical="top" wrapText="1"/>
    </xf>
    <xf numFmtId="0" fontId="20" fillId="8" borderId="2" applyAlignment="1" pivotButton="0" quotePrefix="0" xfId="0">
      <alignment horizontal="left" vertical="top" wrapText="1"/>
    </xf>
    <xf numFmtId="0" fontId="20" fillId="10" borderId="2" applyAlignment="1" pivotButton="0" quotePrefix="0" xfId="0">
      <alignment horizontal="left" vertical="top" wrapText="1"/>
    </xf>
    <xf numFmtId="0" fontId="20" fillId="11" borderId="2" applyAlignment="1" pivotButton="0" quotePrefix="0" xfId="0">
      <alignment horizontal="left" vertical="top" wrapText="1"/>
    </xf>
    <xf numFmtId="0" fontId="8" fillId="4" borderId="0" applyAlignment="1" pivotButton="0" quotePrefix="0" xfId="0">
      <alignment horizontal="left" vertical="center"/>
    </xf>
    <xf numFmtId="0" fontId="9" fillId="6" borderId="0" applyAlignment="1" pivotButton="0" quotePrefix="0" xfId="0">
      <alignment horizontal="left" vertical="center"/>
    </xf>
    <xf numFmtId="0" fontId="10" fillId="3" borderId="0" applyAlignment="1" pivotButton="0" quotePrefix="0" xfId="0">
      <alignment horizontal="left" vertical="center"/>
    </xf>
    <xf numFmtId="0" fontId="6" fillId="0" borderId="0" applyAlignment="1" pivotButton="0" quotePrefix="0" xfId="0">
      <alignment vertical="top" wrapText="1"/>
    </xf>
    <xf numFmtId="0" fontId="4" fillId="4" borderId="0" pivotButton="0" quotePrefix="0" xfId="0"/>
    <xf numFmtId="165" fontId="0" fillId="5" borderId="0" pivotButton="0" quotePrefix="0" xfId="0"/>
    <xf numFmtId="2" fontId="0" fillId="5" borderId="0" pivotButton="0" quotePrefix="0" xfId="0"/>
    <xf numFmtId="0" fontId="0" fillId="5" borderId="0" applyAlignment="1" pivotButton="0" quotePrefix="0" xfId="0">
      <alignment vertical="top" wrapText="1"/>
    </xf>
    <xf numFmtId="0" fontId="12" fillId="7" borderId="0" applyAlignment="1" pivotButton="0" quotePrefix="0" xfId="0">
      <alignment horizontal="left" vertical="center"/>
    </xf>
    <xf numFmtId="0" fontId="11" fillId="7" borderId="0" pivotButton="0" quotePrefix="0" xfId="0"/>
    <xf numFmtId="165" fontId="0" fillId="5" borderId="0" applyAlignment="1" pivotButton="0" quotePrefix="0" xfId="0">
      <alignment vertical="top" wrapText="1"/>
    </xf>
  </cellXfs>
  <cellStyles count="1">
    <cellStyle name="Normal" xfId="0" builtinId="0" hidden="0"/>
  </cellStyles>
  <dxfs count="45">
    <dxf>
      <fill>
        <patternFill patternType="solid">
          <fgColor rgb="00F2F2F2"/>
          <bgColor rgb="00F2F2F2"/>
        </patternFill>
      </fill>
    </dxf>
    <dxf>
      <fill>
        <patternFill patternType="solid">
          <fgColor rgb="00FFF2CC"/>
          <bgColor rgb="00FFF2CC"/>
        </patternFill>
      </fill>
    </dxf>
    <dxf>
      <font>
        <color rgb="00C00000"/>
      </font>
    </dxf>
    <dxf>
      <font>
        <color rgb="002E75B6"/>
      </font>
    </dxf>
    <dxf>
      <font>
        <b val="1"/>
        <color rgb="00FFFFFF"/>
      </font>
      <fill>
        <patternFill patternType="solid">
          <fgColor rgb="00C00000"/>
          <bgColor rgb="00C00000"/>
        </patternFill>
      </fill>
    </dxf>
    <dxf>
      <font>
        <b val="1"/>
      </font>
      <fill>
        <patternFill patternType="solid">
          <fgColor rgb="00FFC000"/>
          <bgColor rgb="00FFC000"/>
        </patternFill>
      </fill>
    </dxf>
    <dxf>
      <font>
        <b val="1"/>
      </font>
      <fill>
        <patternFill patternType="solid">
          <fgColor rgb="00D9D9D9"/>
          <bgColor rgb="00D9D9D9"/>
        </patternFill>
      </fill>
    </dxf>
    <dxf>
      <font>
        <b val="1"/>
        <color rgb="00FFFFFF"/>
      </font>
      <fill>
        <patternFill patternType="solid">
          <fgColor rgb="00E06666"/>
          <bgColor rgb="00E06666"/>
        </patternFill>
      </fill>
    </dxf>
    <dxf>
      <font>
        <b val="1"/>
        <color rgb="00262626"/>
      </font>
      <fill>
        <patternFill patternType="solid">
          <fgColor rgb="00F6C342"/>
          <bgColor rgb="00F6C342"/>
        </patternFill>
      </fill>
    </dxf>
    <dxf>
      <font>
        <b val="1"/>
        <color rgb="00262626"/>
      </font>
      <fill>
        <patternFill patternType="solid">
          <fgColor rgb="0093C47D"/>
          <bgColor rgb="0093C47D"/>
        </patternFill>
      </fill>
    </dxf>
    <dxf>
      <border>
        <bottom style="thin">
          <color rgb="00D9D9D9"/>
        </bottom>
      </border>
    </dxf>
    <dxf>
      <font>
        <color rgb="00BFBFBF"/>
      </font>
    </dxf>
    <dxf>
      <font>
        <b val="1"/>
      </font>
      <fill>
        <patternFill patternType="solid">
          <fgColor rgb="00FBE5E5"/>
          <bgColor rgb="00FBE5E5"/>
        </patternFill>
      </fill>
    </dxf>
    <dxf>
      <font>
        <b val="1"/>
      </font>
      <fill>
        <patternFill patternType="solid">
          <fgColor rgb="00FFF2CC"/>
          <bgColor rgb="00FFF2CC"/>
        </patternFill>
      </fill>
    </dxf>
    <dxf>
      <font>
        <b val="1"/>
      </font>
      <fill>
        <patternFill patternType="solid">
          <fgColor rgb="00E2EFDA"/>
          <bgColor rgb="00E2EFDA"/>
        </patternFill>
      </fill>
    </dxf>
    <dxf>
      <fill>
        <patternFill patternType="solid">
          <fgColor rgb="00F8CBAD"/>
          <bgColor rgb="00F8CBAD"/>
        </patternFill>
      </fill>
    </dxf>
    <dxf>
      <fill>
        <patternFill patternType="solid">
          <fgColor rgb="00DDEBF7"/>
          <bgColor rgb="00DDEBF7"/>
        </patternFill>
      </fill>
    </dxf>
    <dxf>
      <font>
        <b val="1"/>
        <color rgb="001F3864"/>
      </font>
      <fill>
        <patternFill patternType="solid">
          <fgColor rgb="00DEEAF6"/>
          <bgColor rgb="00DEEAF6"/>
        </patternFill>
      </fill>
    </dxf>
    <dxf>
      <font>
        <b val="1"/>
        <color rgb="005B3F8C"/>
      </font>
      <fill>
        <patternFill patternType="solid">
          <fgColor rgb="00EDE7F6"/>
          <bgColor rgb="00EDE7F6"/>
        </patternFill>
      </fill>
    </dxf>
    <dxf>
      <fill>
        <patternFill patternType="solid">
          <fgColor rgb="00FFEB9C"/>
          <bgColor rgb="00FFEB9C"/>
        </patternFill>
      </fill>
    </dxf>
    <dxf>
      <fill>
        <patternFill patternType="solid">
          <fgColor rgb="00C6EFCE"/>
          <bgColor rgb="00C6EFCE"/>
        </patternFill>
      </fill>
    </dxf>
    <dxf>
      <font>
        <b val="1"/>
        <color rgb="00262626"/>
      </font>
      <fill>
        <patternFill patternType="solid">
          <fgColor rgb="00F2F2F2"/>
          <bgColor rgb="00F2F2F2"/>
        </patternFill>
      </fill>
    </dxf>
    <dxf>
      <font>
        <b val="1"/>
        <color rgb="00262626"/>
      </font>
      <fill>
        <patternFill patternType="solid">
          <fgColor rgb="00FCE4D6"/>
          <bgColor rgb="00FCE4D6"/>
        </patternFill>
      </fill>
    </dxf>
    <dxf>
      <font>
        <b val="1"/>
        <color rgb="00262626"/>
      </font>
      <fill>
        <patternFill patternType="solid">
          <fgColor rgb="00F8CBAD"/>
          <bgColor rgb="00F8CBAD"/>
        </patternFill>
      </fill>
    </dxf>
    <dxf>
      <font>
        <b val="1"/>
        <color rgb="00262626"/>
      </font>
      <fill>
        <patternFill patternType="solid">
          <fgColor rgb="00F4B183"/>
          <bgColor rgb="00F4B183"/>
        </patternFill>
      </fill>
    </dxf>
    <dxf>
      <font>
        <b val="1"/>
        <color rgb="00FFFFFF"/>
      </font>
      <fill>
        <patternFill patternType="solid">
          <fgColor rgb="00C55A11"/>
          <bgColor rgb="00C55A11"/>
        </patternFill>
      </fill>
    </dxf>
    <dxf>
      <font>
        <b val="1"/>
      </font>
      <fill>
        <patternFill patternType="solid">
          <fgColor rgb="00F4CCCC"/>
          <bgColor rgb="00F4CCCC"/>
        </patternFill>
      </fill>
    </dxf>
    <dxf>
      <font>
        <b val="1"/>
      </font>
      <fill>
        <patternFill patternType="solid">
          <fgColor rgb="00D9EAD3"/>
          <bgColor rgb="00D9EAD3"/>
        </patternFill>
      </fill>
    </dxf>
    <dxf>
      <font>
        <b val="1"/>
        <color rgb="00262626"/>
      </font>
      <fill>
        <patternFill patternType="solid">
          <fgColor rgb="00FFC000"/>
          <bgColor rgb="00FFC000"/>
        </patternFill>
      </fill>
    </dxf>
    <dxf>
      <font>
        <b val="1"/>
        <color rgb="00FFFFFF"/>
      </font>
      <fill>
        <patternFill patternType="solid">
          <fgColor rgb="0070AD47"/>
          <bgColor rgb="0070AD47"/>
        </patternFill>
      </fill>
    </dxf>
    <dxf>
      <font>
        <b val="1"/>
        <color rgb="00C00000"/>
      </font>
    </dxf>
    <dxf>
      <font>
        <b val="1"/>
        <color rgb="002E75B6"/>
      </font>
    </dxf>
    <dxf>
      <fill>
        <patternFill patternType="solid">
          <fgColor rgb="00FBE5E5"/>
          <bgColor rgb="00FBE5E5"/>
        </patternFill>
      </fill>
    </dxf>
    <dxf>
      <fill>
        <patternFill patternType="solid">
          <fgColor rgb="00E2EFDA"/>
          <bgColor rgb="00E2EFDA"/>
        </patternFill>
      </fill>
    </dxf>
    <dxf>
      <font>
        <color rgb="005B3F8C"/>
      </font>
      <fill>
        <patternFill patternType="solid">
          <fgColor rgb="00EDE7F6"/>
          <bgColor rgb="00EDE7F6"/>
        </patternFill>
      </fill>
    </dxf>
    <dxf>
      <font>
        <b val="1"/>
        <color rgb="00C00000"/>
      </font>
      <fill>
        <patternFill patternType="solid">
          <fgColor rgb="00F8CBAD"/>
          <bgColor rgb="00F8CBAD"/>
        </patternFill>
      </fill>
    </dxf>
    <dxf>
      <font>
        <b val="1"/>
        <color rgb="007F6000"/>
      </font>
      <fill>
        <patternFill patternType="solid">
          <fgColor rgb="00FFF2CC"/>
          <bgColor rgb="00FFF2CC"/>
        </patternFill>
      </fill>
    </dxf>
    <dxf>
      <font>
        <b val="1"/>
        <color rgb="00375623"/>
      </font>
      <fill>
        <patternFill patternType="solid">
          <fgColor rgb="00E2EFDA"/>
          <bgColor rgb="00E2EFDA"/>
        </patternFill>
      </fill>
    </dxf>
    <dxf>
      <font>
        <b val="1"/>
        <color rgb="00595959"/>
      </font>
      <fill>
        <patternFill patternType="solid">
          <fgColor rgb="00F2F2F2"/>
          <bgColor rgb="00F2F2F2"/>
        </patternFill>
      </fill>
    </dxf>
    <dxf>
      <fill>
        <patternFill patternType="solid">
          <fgColor rgb="00F4B183"/>
          <bgColor rgb="00F4B183"/>
        </patternFill>
      </fill>
    </dxf>
    <dxf>
      <fill>
        <patternFill patternType="solid">
          <fgColor rgb="00FCE4D6"/>
          <bgColor rgb="00FCE4D6"/>
        </patternFill>
      </fill>
    </dxf>
    <dxf>
      <font>
        <b val="1"/>
        <color rgb="005B3F8C"/>
        <sz val="8"/>
      </font>
      <fill>
        <patternFill patternType="solid">
          <fgColor rgb="00EDE7F6"/>
          <bgColor rgb="00EDE7F6"/>
        </patternFill>
      </fill>
    </dxf>
    <dxf>
      <font>
        <b val="1"/>
        <color rgb="007F6000"/>
        <sz val="8"/>
      </font>
      <fill>
        <patternFill patternType="solid">
          <fgColor rgb="00FFF2CC"/>
          <bgColor rgb="00FFF2CC"/>
        </patternFill>
      </fill>
    </dxf>
    <dxf>
      <font>
        <b val="1"/>
      </font>
      <fill>
        <patternFill patternType="solid">
          <fgColor rgb="00F8CBAD"/>
          <bgColor rgb="00F8CBAD"/>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plotArea>
      <scatterChart>
        <scatterStyle val="lineMarker"/>
        <varyColors val="0"/>
        <ser>
          <idx val="0"/>
          <order val="0"/>
          <tx>
            <v>Mosca</v>
          </tx>
          <spPr>
            <a:ln xmlns:a="http://schemas.openxmlformats.org/drawingml/2006/main" w="28575">
              <a:solidFill>
                <a:srgbClr val="C00000"/>
              </a:solidFill>
              <a:prstDash val="solid"/>
            </a:ln>
          </spPr>
          <marker>
            <symbol val="none"/>
            <spPr>
              <a:ln xmlns:a="http://schemas.openxmlformats.org/drawingml/2006/main">
                <a:prstDash val="solid"/>
              </a:ln>
            </spPr>
          </marker>
          <dLbls>
            <dLbl>
              <idx val="16"/>
              <txPr>
                <a:bodyPr xmlns:a="http://schemas.openxmlformats.org/drawingml/2006/main"/>
                <a:p xmlns:a="http://schemas.openxmlformats.org/drawingml/2006/main">
                  <a:pPr>
                    <a:defRPr sz="650" b="1">
                      <a:solidFill>
                        <a:srgbClr val="C00000"/>
                      </a:solidFill>
                    </a:defRPr>
                  </a:pPr>
                  <a:r>
                    <a:t/>
                  </a:r>
                  <a:endParaRPr sz="650" b="1">
                    <a:solidFill>
                      <a:srgbClr val="C00000"/>
                    </a:solidFill>
                  </a:endParaRPr>
                </a:p>
              </txPr>
              <dLblPos val="r"/>
              <showLegendKey val="0"/>
              <showVal val="0"/>
              <showCatName val="0"/>
              <showSerName val="1"/>
              <showPercent val="0"/>
              <showBubbleSize val="0"/>
            </dLbl>
            <txPr>
              <a:bodyPr xmlns:a="http://schemas.openxmlformats.org/drawingml/2006/main"/>
              <a:p xmlns:a="http://schemas.openxmlformats.org/drawingml/2006/main">
                <a:pPr>
                  <a:defRPr sz="650" b="1">
                    <a:solidFill>
                      <a:srgbClr val="C00000"/>
                    </a:solidFill>
                  </a:defRPr>
                </a:pPr>
                <a:r>
                  <a:t/>
                </a:r>
                <a:endParaRPr sz="650" b="1">
                  <a:solidFill>
                    <a:srgbClr val="C00000"/>
                  </a:solidFill>
                </a:endParaRPr>
              </a:p>
            </txPr>
            <showLegendKey val="0"/>
            <showVal val="0"/>
            <showCatName val="0"/>
            <showSerName val="0"/>
            <showPercent val="0"/>
            <showBubbleSize val="0"/>
          </dLbls>
          <xVal>
            <numRef>
              <f>'Quadro'!$BI$5:$BI$77</f>
            </numRef>
          </xVal>
          <yVal>
            <numRef>
              <f>'Quadro'!$BJ$5:$BJ$77</f>
            </numRef>
          </yVal>
          <smooth val="1"/>
        </ser>
        <ser>
          <idx val="1"/>
          <order val="1"/>
          <tx>
            <v>1 anno</v>
          </tx>
          <spPr>
            <a:ln xmlns:a="http://schemas.openxmlformats.org/drawingml/2006/main" w="12700">
              <a:solidFill>
                <a:srgbClr val="8C8C8C"/>
              </a:solidFill>
              <a:prstDash val="dash"/>
            </a:ln>
          </spPr>
          <marker>
            <symbol val="none"/>
            <spPr>
              <a:ln xmlns:a="http://schemas.openxmlformats.org/drawingml/2006/main">
                <a:prstDash val="solid"/>
              </a:ln>
            </spPr>
          </marker>
          <xVal>
            <numRef>
              <f>'Quadro'!$BK$5:$BK$77</f>
            </numRef>
          </xVal>
          <yVal>
            <numRef>
              <f>'Quadro'!$BL$5:$BL$77</f>
            </numRef>
          </yVal>
          <smooth val="1"/>
        </ser>
        <ser>
          <idx val="2"/>
          <order val="2"/>
          <tx>
            <v>2 anni</v>
          </tx>
          <spPr>
            <a:ln xmlns:a="http://schemas.openxmlformats.org/drawingml/2006/main" w="9525">
              <a:solidFill>
                <a:srgbClr val="BFBFBF"/>
              </a:solidFill>
              <a:prstDash val="solid"/>
            </a:ln>
          </spPr>
          <marker>
            <symbol val="none"/>
            <spPr>
              <a:ln xmlns:a="http://schemas.openxmlformats.org/drawingml/2006/main">
                <a:prstDash val="solid"/>
              </a:ln>
            </spPr>
          </marker>
          <xVal>
            <numRef>
              <f>'Quadro'!$BM$5:$BM$77</f>
            </numRef>
          </xVal>
          <yVal>
            <numRef>
              <f>'Quadro'!$BN$5:$BN$77</f>
            </numRef>
          </yVal>
          <smooth val="1"/>
        </ser>
        <ser>
          <idx val="3"/>
          <order val="3"/>
          <tx>
            <v>3 anni</v>
          </tx>
          <spPr>
            <a:ln xmlns:a="http://schemas.openxmlformats.org/drawingml/2006/main" w="9525">
              <a:solidFill>
                <a:srgbClr val="BFBFBF"/>
              </a:solidFill>
              <a:prstDash val="solid"/>
            </a:ln>
          </spPr>
          <marker>
            <symbol val="none"/>
            <spPr>
              <a:ln xmlns:a="http://schemas.openxmlformats.org/drawingml/2006/main">
                <a:prstDash val="solid"/>
              </a:ln>
            </spPr>
          </marker>
          <xVal>
            <numRef>
              <f>'Quadro'!$BO$5:$BO$77</f>
            </numRef>
          </xVal>
          <yVal>
            <numRef>
              <f>'Quadro'!$BP$5:$BP$77</f>
            </numRef>
          </yVal>
          <smooth val="1"/>
        </ser>
        <ser>
          <idx val="4"/>
          <order val="4"/>
          <tx>
            <v>Settore 1</v>
          </tx>
          <spPr>
            <a:ln xmlns:a="http://schemas.openxmlformats.org/drawingml/2006/main" w="9525">
              <a:solidFill>
                <a:srgbClr val="E7E6E6"/>
              </a:solidFill>
              <a:prstDash val="solid"/>
            </a:ln>
          </spPr>
          <marker>
            <symbol val="none"/>
            <spPr>
              <a:ln xmlns:a="http://schemas.openxmlformats.org/drawingml/2006/main">
                <a:prstDash val="solid"/>
              </a:ln>
            </spPr>
          </marker>
          <xVal>
            <numRef>
              <f>'Quadro'!$BR$5:$BR$6</f>
            </numRef>
          </xVal>
          <yVal>
            <numRef>
              <f>'Quadro'!$BS$5:$BS$6</f>
            </numRef>
          </yVal>
        </ser>
        <ser>
          <idx val="5"/>
          <order val="5"/>
          <tx>
            <v>Settore 2</v>
          </tx>
          <spPr>
            <a:ln xmlns:a="http://schemas.openxmlformats.org/drawingml/2006/main" w="9525">
              <a:solidFill>
                <a:srgbClr val="E7E6E6"/>
              </a:solidFill>
              <a:prstDash val="solid"/>
            </a:ln>
          </spPr>
          <marker>
            <symbol val="none"/>
            <spPr>
              <a:ln xmlns:a="http://schemas.openxmlformats.org/drawingml/2006/main">
                <a:prstDash val="solid"/>
              </a:ln>
            </spPr>
          </marker>
          <xVal>
            <numRef>
              <f>'Quadro'!$BR$7:$BR$8</f>
            </numRef>
          </xVal>
          <yVal>
            <numRef>
              <f>'Quadro'!$BS$7:$BS$8</f>
            </numRef>
          </yVal>
        </ser>
        <ser>
          <idx val="6"/>
          <order val="6"/>
          <tx>
            <v>Settore 3</v>
          </tx>
          <spPr>
            <a:ln xmlns:a="http://schemas.openxmlformats.org/drawingml/2006/main" w="9525">
              <a:solidFill>
                <a:srgbClr val="E7E6E6"/>
              </a:solidFill>
              <a:prstDash val="solid"/>
            </a:ln>
          </spPr>
          <marker>
            <symbol val="none"/>
            <spPr>
              <a:ln xmlns:a="http://schemas.openxmlformats.org/drawingml/2006/main">
                <a:prstDash val="solid"/>
              </a:ln>
            </spPr>
          </marker>
          <xVal>
            <numRef>
              <f>'Quadro'!$BR$9:$BR$10</f>
            </numRef>
          </xVal>
          <yVal>
            <numRef>
              <f>'Quadro'!$BS$9:$BS$10</f>
            </numRef>
          </yVal>
        </ser>
        <ser>
          <idx val="7"/>
          <order val="7"/>
          <tx>
            <v>Settore 4</v>
          </tx>
          <spPr>
            <a:ln xmlns:a="http://schemas.openxmlformats.org/drawingml/2006/main" w="9525">
              <a:solidFill>
                <a:srgbClr val="E7E6E6"/>
              </a:solidFill>
              <a:prstDash val="solid"/>
            </a:ln>
          </spPr>
          <marker>
            <symbol val="none"/>
            <spPr>
              <a:ln xmlns:a="http://schemas.openxmlformats.org/drawingml/2006/main">
                <a:prstDash val="solid"/>
              </a:ln>
            </spPr>
          </marker>
          <xVal>
            <numRef>
              <f>'Quadro'!$BR$11:$BR$12</f>
            </numRef>
          </xVal>
          <yVal>
            <numRef>
              <f>'Quadro'!$BS$11:$BS$12</f>
            </numRef>
          </yVal>
        </ser>
        <ser>
          <idx val="8"/>
          <order val="8"/>
          <tx>
            <v>Settore 5</v>
          </tx>
          <spPr>
            <a:ln xmlns:a="http://schemas.openxmlformats.org/drawingml/2006/main" w="9525">
              <a:solidFill>
                <a:srgbClr val="E7E6E6"/>
              </a:solidFill>
              <a:prstDash val="solid"/>
            </a:ln>
          </spPr>
          <marker>
            <symbol val="none"/>
            <spPr>
              <a:ln xmlns:a="http://schemas.openxmlformats.org/drawingml/2006/main">
                <a:prstDash val="solid"/>
              </a:ln>
            </spPr>
          </marker>
          <xVal>
            <numRef>
              <f>'Quadro'!$BR$13:$BR$14</f>
            </numRef>
          </xVal>
          <yVal>
            <numRef>
              <f>'Quadro'!$BS$13:$BS$14</f>
            </numRef>
          </yVal>
        </ser>
        <ser>
          <idx val="9"/>
          <order val="9"/>
          <tx>
            <v>Settore 6</v>
          </tx>
          <spPr>
            <a:ln xmlns:a="http://schemas.openxmlformats.org/drawingml/2006/main" w="9525">
              <a:solidFill>
                <a:srgbClr val="E7E6E6"/>
              </a:solidFill>
              <a:prstDash val="solid"/>
            </a:ln>
          </spPr>
          <marker>
            <symbol val="none"/>
            <spPr>
              <a:ln xmlns:a="http://schemas.openxmlformats.org/drawingml/2006/main">
                <a:prstDash val="solid"/>
              </a:ln>
            </spPr>
          </marker>
          <xVal>
            <numRef>
              <f>'Quadro'!$BR$15:$BR$16</f>
            </numRef>
          </xVal>
          <yVal>
            <numRef>
              <f>'Quadro'!$BS$15:$BS$16</f>
            </numRef>
          </yVal>
        </ser>
        <ser>
          <idx val="10"/>
          <order val="10"/>
          <tx>
            <v>Settore 7</v>
          </tx>
          <spPr>
            <a:ln xmlns:a="http://schemas.openxmlformats.org/drawingml/2006/main" w="9525">
              <a:solidFill>
                <a:srgbClr val="E7E6E6"/>
              </a:solidFill>
              <a:prstDash val="solid"/>
            </a:ln>
          </spPr>
          <marker>
            <symbol val="none"/>
            <spPr>
              <a:ln xmlns:a="http://schemas.openxmlformats.org/drawingml/2006/main">
                <a:prstDash val="solid"/>
              </a:ln>
            </spPr>
          </marker>
          <xVal>
            <numRef>
              <f>'Quadro'!$BR$17:$BR$18</f>
            </numRef>
          </xVal>
          <yVal>
            <numRef>
              <f>'Quadro'!$BS$17:$BS$18</f>
            </numRef>
          </yVal>
        </ser>
        <ser>
          <idx val="11"/>
          <order val="11"/>
          <tx>
            <v>Settore 8</v>
          </tx>
          <spPr>
            <a:ln xmlns:a="http://schemas.openxmlformats.org/drawingml/2006/main" w="9525">
              <a:solidFill>
                <a:srgbClr val="E7E6E6"/>
              </a:solidFill>
              <a:prstDash val="solid"/>
            </a:ln>
          </spPr>
          <marker>
            <symbol val="none"/>
            <spPr>
              <a:ln xmlns:a="http://schemas.openxmlformats.org/drawingml/2006/main">
                <a:prstDash val="solid"/>
              </a:ln>
            </spPr>
          </marker>
          <xVal>
            <numRef>
              <f>'Quadro'!$BR$19:$BR$20</f>
            </numRef>
          </xVal>
          <yVal>
            <numRef>
              <f>'Quadro'!$BS$19:$BS$20</f>
            </numRef>
          </yVal>
        </ser>
        <ser>
          <idx val="12"/>
          <order val="12"/>
          <tx>
            <v>Settore 9</v>
          </tx>
          <spPr>
            <a:ln xmlns:a="http://schemas.openxmlformats.org/drawingml/2006/main" w="9525">
              <a:solidFill>
                <a:srgbClr val="E7E6E6"/>
              </a:solidFill>
              <a:prstDash val="solid"/>
            </a:ln>
          </spPr>
          <marker>
            <symbol val="none"/>
            <spPr>
              <a:ln xmlns:a="http://schemas.openxmlformats.org/drawingml/2006/main">
                <a:prstDash val="solid"/>
              </a:ln>
            </spPr>
          </marker>
          <xVal>
            <numRef>
              <f>'Quadro'!$BR$21:$BR$22</f>
            </numRef>
          </xVal>
          <yVal>
            <numRef>
              <f>'Quadro'!$BS$21:$BS$22</f>
            </numRef>
          </yVal>
        </ser>
        <ser>
          <idx val="13"/>
          <order val="13"/>
          <tx>
            <strRef>
              <f>'Quadro'!$BU$5</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00" b="1">
                    <a:solidFill>
                      <a:srgbClr val="1F3864"/>
                    </a:solidFill>
                  </a:defRPr>
                </a:pPr>
                <a:r>
                  <a:t/>
                </a:r>
                <a:endParaRPr sz="700" b="1">
                  <a:solidFill>
                    <a:srgbClr val="1F3864"/>
                  </a:solidFill>
                </a:endParaRPr>
              </a:p>
            </txPr>
            <dLblPos val="ctr"/>
            <showLegendKey val="0"/>
            <showVal val="0"/>
            <showCatName val="0"/>
            <showSerName val="1"/>
            <showPercent val="0"/>
            <showBubbleSize val="0"/>
          </dLbls>
          <xVal>
            <numRef>
              <f>'Quadro'!$BV$5</f>
            </numRef>
          </xVal>
          <yVal>
            <numRef>
              <f>'Quadro'!$BW$5</f>
            </numRef>
          </yVal>
        </ser>
        <ser>
          <idx val="14"/>
          <order val="14"/>
          <tx>
            <strRef>
              <f>'Quadro'!$BU$6</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00" b="1">
                    <a:solidFill>
                      <a:srgbClr val="1F3864"/>
                    </a:solidFill>
                  </a:defRPr>
                </a:pPr>
                <a:r>
                  <a:t/>
                </a:r>
                <a:endParaRPr sz="700" b="1">
                  <a:solidFill>
                    <a:srgbClr val="1F3864"/>
                  </a:solidFill>
                </a:endParaRPr>
              </a:p>
            </txPr>
            <dLblPos val="ctr"/>
            <showLegendKey val="0"/>
            <showVal val="0"/>
            <showCatName val="0"/>
            <showSerName val="1"/>
            <showPercent val="0"/>
            <showBubbleSize val="0"/>
          </dLbls>
          <xVal>
            <numRef>
              <f>'Quadro'!$BV$6</f>
            </numRef>
          </xVal>
          <yVal>
            <numRef>
              <f>'Quadro'!$BW$6</f>
            </numRef>
          </yVal>
        </ser>
        <ser>
          <idx val="15"/>
          <order val="15"/>
          <tx>
            <strRef>
              <f>'Quadro'!$BU$7</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00" b="1">
                    <a:solidFill>
                      <a:srgbClr val="1F3864"/>
                    </a:solidFill>
                  </a:defRPr>
                </a:pPr>
                <a:r>
                  <a:t/>
                </a:r>
                <a:endParaRPr sz="700" b="1">
                  <a:solidFill>
                    <a:srgbClr val="1F3864"/>
                  </a:solidFill>
                </a:endParaRPr>
              </a:p>
            </txPr>
            <dLblPos val="ctr"/>
            <showLegendKey val="0"/>
            <showVal val="0"/>
            <showCatName val="0"/>
            <showSerName val="1"/>
            <showPercent val="0"/>
            <showBubbleSize val="0"/>
          </dLbls>
          <xVal>
            <numRef>
              <f>'Quadro'!$BV$7</f>
            </numRef>
          </xVal>
          <yVal>
            <numRef>
              <f>'Quadro'!$BW$7</f>
            </numRef>
          </yVal>
        </ser>
        <ser>
          <idx val="16"/>
          <order val="16"/>
          <tx>
            <strRef>
              <f>'Quadro'!$BU$8</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00" b="1">
                    <a:solidFill>
                      <a:srgbClr val="1F3864"/>
                    </a:solidFill>
                  </a:defRPr>
                </a:pPr>
                <a:r>
                  <a:t/>
                </a:r>
                <a:endParaRPr sz="700" b="1">
                  <a:solidFill>
                    <a:srgbClr val="1F3864"/>
                  </a:solidFill>
                </a:endParaRPr>
              </a:p>
            </txPr>
            <dLblPos val="ctr"/>
            <showLegendKey val="0"/>
            <showVal val="0"/>
            <showCatName val="0"/>
            <showSerName val="1"/>
            <showPercent val="0"/>
            <showBubbleSize val="0"/>
          </dLbls>
          <xVal>
            <numRef>
              <f>'Quadro'!$BV$8</f>
            </numRef>
          </xVal>
          <yVal>
            <numRef>
              <f>'Quadro'!$BW$8</f>
            </numRef>
          </yVal>
        </ser>
        <ser>
          <idx val="17"/>
          <order val="17"/>
          <tx>
            <strRef>
              <f>'Quadro'!$BU$9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00" b="1">
                    <a:solidFill>
                      <a:srgbClr val="1F3864"/>
                    </a:solidFill>
                  </a:defRPr>
                </a:pPr>
                <a:r>
                  <a:t/>
                </a:r>
                <a:endParaRPr sz="700" b="1">
                  <a:solidFill>
                    <a:srgbClr val="1F3864"/>
                  </a:solidFill>
                </a:endParaRPr>
              </a:p>
            </txPr>
            <dLblPos val="ctr"/>
            <showLegendKey val="0"/>
            <showVal val="0"/>
            <showCatName val="0"/>
            <showSerName val="1"/>
            <showPercent val="0"/>
            <showBubbleSize val="0"/>
          </dLbls>
          <xVal>
            <numRef>
              <f>'Quadro'!$BV$9</f>
            </numRef>
          </xVal>
          <yVal>
            <numRef>
              <f>'Quadro'!$BW$9</f>
            </numRef>
          </yVal>
        </ser>
        <ser>
          <idx val="18"/>
          <order val="18"/>
          <tx>
            <strRef>
              <f>'Quadro'!$BU$10</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00" b="1">
                    <a:solidFill>
                      <a:srgbClr val="1F3864"/>
                    </a:solidFill>
                  </a:defRPr>
                </a:pPr>
                <a:r>
                  <a:t/>
                </a:r>
                <a:endParaRPr sz="700" b="1">
                  <a:solidFill>
                    <a:srgbClr val="1F3864"/>
                  </a:solidFill>
                </a:endParaRPr>
              </a:p>
            </txPr>
            <dLblPos val="ctr"/>
            <showLegendKey val="0"/>
            <showVal val="0"/>
            <showCatName val="0"/>
            <showSerName val="1"/>
            <showPercent val="0"/>
            <showBubbleSize val="0"/>
          </dLbls>
          <xVal>
            <numRef>
              <f>'Quadro'!$BV$10</f>
            </numRef>
          </xVal>
          <yVal>
            <numRef>
              <f>'Quadro'!$BW$10</f>
            </numRef>
          </yVal>
        </ser>
        <ser>
          <idx val="19"/>
          <order val="19"/>
          <tx>
            <strRef>
              <f>'Quadro'!$BU$11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00" b="1">
                    <a:solidFill>
                      <a:srgbClr val="1F3864"/>
                    </a:solidFill>
                  </a:defRPr>
                </a:pPr>
                <a:r>
                  <a:t/>
                </a:r>
                <a:endParaRPr sz="700" b="1">
                  <a:solidFill>
                    <a:srgbClr val="1F3864"/>
                  </a:solidFill>
                </a:endParaRPr>
              </a:p>
            </txPr>
            <dLblPos val="ctr"/>
            <showLegendKey val="0"/>
            <showVal val="0"/>
            <showCatName val="0"/>
            <showSerName val="1"/>
            <showPercent val="0"/>
            <showBubbleSize val="0"/>
          </dLbls>
          <xVal>
            <numRef>
              <f>'Quadro'!$BV$11</f>
            </numRef>
          </xVal>
          <yVal>
            <numRef>
              <f>'Quadro'!$BW$11</f>
            </numRef>
          </yVal>
        </ser>
        <ser>
          <idx val="20"/>
          <order val="20"/>
          <tx>
            <strRef>
              <f>'Quadro'!$BU$12</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00" b="1">
                    <a:solidFill>
                      <a:srgbClr val="1F3864"/>
                    </a:solidFill>
                  </a:defRPr>
                </a:pPr>
                <a:r>
                  <a:t/>
                </a:r>
                <a:endParaRPr sz="700" b="1">
                  <a:solidFill>
                    <a:srgbClr val="1F3864"/>
                  </a:solidFill>
                </a:endParaRPr>
              </a:p>
            </txPr>
            <dLblPos val="ctr"/>
            <showLegendKey val="0"/>
            <showVal val="0"/>
            <showCatName val="0"/>
            <showSerName val="1"/>
            <showPercent val="0"/>
            <showBubbleSize val="0"/>
          </dLbls>
          <xVal>
            <numRef>
              <f>'Quadro'!$BV$12</f>
            </numRef>
          </xVal>
          <yVal>
            <numRef>
              <f>'Quadro'!$BW$12</f>
            </numRef>
          </yVal>
        </ser>
        <ser>
          <idx val="21"/>
          <order val="21"/>
          <tx>
            <strRef>
              <f>'Quadro'!$BU$13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00" b="1">
                    <a:solidFill>
                      <a:srgbClr val="1F3864"/>
                    </a:solidFill>
                  </a:defRPr>
                </a:pPr>
                <a:r>
                  <a:t/>
                </a:r>
                <a:endParaRPr sz="700" b="1">
                  <a:solidFill>
                    <a:srgbClr val="1F3864"/>
                  </a:solidFill>
                </a:endParaRPr>
              </a:p>
            </txPr>
            <dLblPos val="ctr"/>
            <showLegendKey val="0"/>
            <showVal val="0"/>
            <showCatName val="0"/>
            <showSerName val="1"/>
            <showPercent val="0"/>
            <showBubbleSize val="0"/>
          </dLbls>
          <xVal>
            <numRef>
              <f>'Quadro'!$BV$13</f>
            </numRef>
          </xVal>
          <yVal>
            <numRef>
              <f>'Quadro'!$BW$13</f>
            </numRef>
          </yVal>
        </ser>
        <ser>
          <idx val="22"/>
          <order val="22"/>
          <tx>
            <v>P x I = 1 (Attivazione)</v>
          </tx>
          <spPr>
            <a:ln xmlns:a="http://schemas.openxmlformats.org/drawingml/2006/main">
              <a:noFill/>
              <a:prstDash val="solid"/>
            </a:ln>
          </spPr>
          <marker>
            <symbol val="circle"/>
            <size val="6"/>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'Quadro'!$BY$5:$BY$24</f>
            </numRef>
          </yVal>
        </ser>
        <ser>
          <idx val="23"/>
          <order val="23"/>
          <tx>
            <v>P x I = 2 (Attivazione)</v>
          </tx>
          <spPr>
            <a:ln xmlns:a="http://schemas.openxmlformats.org/drawingml/2006/main">
              <a:noFill/>
              <a:prstDash val="solid"/>
            </a:ln>
          </spPr>
          <marker>
            <symbol val="circle"/>
            <size val="9"/>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'Quadro'!$BZ$5:$BZ$24</f>
            </numRef>
          </yVal>
        </ser>
        <ser>
          <idx val="24"/>
          <order val="24"/>
          <tx>
            <v>P x I = 3 (Attivazione)</v>
          </tx>
          <spPr>
            <a:ln xmlns:a="http://schemas.openxmlformats.org/drawingml/2006/main">
              <a:noFill/>
              <a:prstDash val="solid"/>
            </a:ln>
          </spPr>
          <marker>
            <symbol val="circle"/>
            <size val="11"/>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'Quadro'!$CA$5:$CA$24</f>
            </numRef>
          </yVal>
        </ser>
        <ser>
          <idx val="25"/>
          <order val="25"/>
          <tx>
            <v>P x I = 4 (Attivazione)</v>
          </tx>
          <spPr>
            <a:ln xmlns:a="http://schemas.openxmlformats.org/drawingml/2006/main">
              <a:noFill/>
              <a:prstDash val="solid"/>
            </a:ln>
          </spPr>
          <marker>
            <symbol val="circle"/>
            <size val="12"/>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'Quadro'!$CB$5:$CB$24</f>
            </numRef>
          </yVal>
        </ser>
        <ser>
          <idx val="26"/>
          <order val="26"/>
          <tx>
            <v>P x I = 5 (Attivazione)</v>
          </tx>
          <spPr>
            <a:ln xmlns:a="http://schemas.openxmlformats.org/drawingml/2006/main">
              <a:noFill/>
              <a:prstDash val="solid"/>
            </a:ln>
          </spPr>
          <marker>
            <symbol val="circle"/>
            <size val="14"/>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'Quadro'!$CC$5:$CC$24</f>
            </numRef>
          </yVal>
        </ser>
        <ser>
          <idx val="27"/>
          <order val="27"/>
          <tx>
            <v>P x I = 6 (Attivazione)</v>
          </tx>
          <spPr>
            <a:ln xmlns:a="http://schemas.openxmlformats.org/drawingml/2006/main">
              <a:noFill/>
              <a:prstDash val="solid"/>
            </a:ln>
          </spPr>
          <marker>
            <symbol val="circle"/>
            <size val="15"/>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'Quadro'!$CD$5:$CD$24</f>
            </numRef>
          </yVal>
        </ser>
        <ser>
          <idx val="28"/>
          <order val="28"/>
          <tx>
            <v>P x I = 8 (Attivazione)</v>
          </tx>
          <spPr>
            <a:ln xmlns:a="http://schemas.openxmlformats.org/drawingml/2006/main">
              <a:noFill/>
              <a:prstDash val="solid"/>
            </a:ln>
          </spPr>
          <marker>
            <symbol val="circle"/>
            <size val="18"/>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'Quadro'!$CE$5:$CE$24</f>
            </numRef>
          </yVal>
        </ser>
        <ser>
          <idx val="29"/>
          <order val="29"/>
          <tx>
            <v>P x I = 9 (Attivazione)</v>
          </tx>
          <spPr>
            <a:ln xmlns:a="http://schemas.openxmlformats.org/drawingml/2006/main">
              <a:noFill/>
              <a:prstDash val="solid"/>
            </a:ln>
          </spPr>
          <marker>
            <symbol val="circle"/>
            <size val="19"/>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'Quadro'!$CF$5:$CF$24</f>
            </numRef>
          </yVal>
        </ser>
        <ser>
          <idx val="30"/>
          <order val="30"/>
          <tx>
            <v>P x I = 10 (Attivazione)</v>
          </tx>
          <spPr>
            <a:ln xmlns:a="http://schemas.openxmlformats.org/drawingml/2006/main">
              <a:noFill/>
              <a:prstDash val="solid"/>
            </a:ln>
          </spPr>
          <marker>
            <symbol val="circle"/>
            <size val="20"/>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'Quadro'!$CG$5:$CG$24</f>
            </numRef>
          </yVal>
        </ser>
        <ser>
          <idx val="31"/>
          <order val="31"/>
          <tx>
            <v>P x I = 12 (Attivazione)</v>
          </tx>
          <spPr>
            <a:ln xmlns:a="http://schemas.openxmlformats.org/drawingml/2006/main">
              <a:noFill/>
              <a:prstDash val="solid"/>
            </a:ln>
          </spPr>
          <marker>
            <symbol val="circle"/>
            <size val="21"/>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'Quadro'!$CH$5:$CH$24</f>
            </numRef>
          </yVal>
        </ser>
        <ser>
          <idx val="32"/>
          <order val="32"/>
          <tx>
            <v>P x I = 15 (Attivazione)</v>
          </tx>
          <spPr>
            <a:ln xmlns:a="http://schemas.openxmlformats.org/drawingml/2006/main">
              <a:noFill/>
              <a:prstDash val="solid"/>
            </a:ln>
          </spPr>
          <marker>
            <symbol val="circle"/>
            <size val="24"/>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'Quadro'!$CI$5:$CI$24</f>
            </numRef>
          </yVal>
        </ser>
        <ser>
          <idx val="33"/>
          <order val="33"/>
          <tx>
            <v>P x I = 16 (Attivazione)</v>
          </tx>
          <spPr>
            <a:ln xmlns:a="http://schemas.openxmlformats.org/drawingml/2006/main">
              <a:noFill/>
              <a:prstDash val="solid"/>
            </a:ln>
          </spPr>
          <marker>
            <symbol val="circle"/>
            <size val="25"/>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'Quadro'!$CJ$5:$CJ$24</f>
            </numRef>
          </yVal>
        </ser>
        <ser>
          <idx val="34"/>
          <order val="34"/>
          <tx>
            <v>P x I = 20 (Attivazione)</v>
          </tx>
          <spPr>
            <a:ln xmlns:a="http://schemas.openxmlformats.org/drawingml/2006/main">
              <a:noFill/>
              <a:prstDash val="solid"/>
            </a:ln>
          </spPr>
          <marker>
            <symbol val="circle"/>
            <size val="28"/>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'Quadro'!$CK$5:$CK$24</f>
            </numRef>
          </yVal>
        </ser>
        <ser>
          <idx val="35"/>
          <order val="35"/>
          <tx>
            <v>P x I = 25 (Attivazione)</v>
          </tx>
          <spPr>
            <a:ln xmlns:a="http://schemas.openxmlformats.org/drawingml/2006/main">
              <a:noFill/>
              <a:prstDash val="solid"/>
            </a:ln>
          </spPr>
          <marker>
            <symbol val="circle"/>
            <size val="31"/>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'Quadro'!$CL$5:$CL$24</f>
            </numRef>
          </yVal>
        </ser>
        <ser>
          <idx val="36"/>
          <order val="36"/>
          <tx>
            <v>P x I = 1 (Attenzione)</v>
          </tx>
          <spPr>
            <a:ln xmlns:a="http://schemas.openxmlformats.org/drawingml/2006/main">
              <a:noFill/>
              <a:prstDash val="solid"/>
            </a:ln>
          </spPr>
          <marker>
            <symbol val="circle"/>
            <size val="6"/>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'Quadro'!$CM$5:$CM$24</f>
            </numRef>
          </yVal>
        </ser>
        <ser>
          <idx val="37"/>
          <order val="37"/>
          <tx>
            <v>P x I = 2 (Attenzione)</v>
          </tx>
          <spPr>
            <a:ln xmlns:a="http://schemas.openxmlformats.org/drawingml/2006/main">
              <a:noFill/>
              <a:prstDash val="solid"/>
            </a:ln>
          </spPr>
          <marker>
            <symbol val="circle"/>
            <size val="9"/>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'Quadro'!$CN$5:$CN$24</f>
            </numRef>
          </yVal>
        </ser>
        <ser>
          <idx val="38"/>
          <order val="38"/>
          <tx>
            <v>P x I = 3 (Attenzione)</v>
          </tx>
          <spPr>
            <a:ln xmlns:a="http://schemas.openxmlformats.org/drawingml/2006/main">
              <a:noFill/>
              <a:prstDash val="solid"/>
            </a:ln>
          </spPr>
          <marker>
            <symbol val="circle"/>
            <size val="11"/>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'Quadro'!$CO$5:$CO$24</f>
            </numRef>
          </yVal>
        </ser>
        <ser>
          <idx val="39"/>
          <order val="39"/>
          <tx>
            <v>P x I = 4 (Attenzione)</v>
          </tx>
          <spPr>
            <a:ln xmlns:a="http://schemas.openxmlformats.org/drawingml/2006/main">
              <a:noFill/>
              <a:prstDash val="solid"/>
            </a:ln>
          </spPr>
          <marker>
            <symbol val="circle"/>
            <size val="12"/>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'Quadro'!$CP$5:$CP$24</f>
            </numRef>
          </yVal>
        </ser>
        <ser>
          <idx val="40"/>
          <order val="40"/>
          <tx>
            <v>P x I = 5 (Attenzione)</v>
          </tx>
          <spPr>
            <a:ln xmlns:a="http://schemas.openxmlformats.org/drawingml/2006/main">
              <a:noFill/>
              <a:prstDash val="solid"/>
            </a:ln>
          </spPr>
          <marker>
            <symbol val="circle"/>
            <size val="14"/>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'Quadro'!$CQ$5:$CQ$24</f>
            </numRef>
          </yVal>
        </ser>
        <ser>
          <idx val="41"/>
          <order val="41"/>
          <tx>
            <v>P x I = 6 (Attenzione)</v>
          </tx>
          <spPr>
            <a:ln xmlns:a="http://schemas.openxmlformats.org/drawingml/2006/main">
              <a:noFill/>
              <a:prstDash val="solid"/>
            </a:ln>
          </spPr>
          <marker>
            <symbol val="circle"/>
            <size val="15"/>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'Quadro'!$CR$5:$CR$24</f>
            </numRef>
          </yVal>
        </ser>
        <ser>
          <idx val="42"/>
          <order val="42"/>
          <tx>
            <v>P x I = 8 (Attenzione)</v>
          </tx>
          <spPr>
            <a:ln xmlns:a="http://schemas.openxmlformats.org/drawingml/2006/main">
              <a:noFill/>
              <a:prstDash val="solid"/>
            </a:ln>
          </spPr>
          <marker>
            <symbol val="circle"/>
            <size val="18"/>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'Quadro'!$CS$5:$CS$24</f>
            </numRef>
          </yVal>
        </ser>
        <ser>
          <idx val="43"/>
          <order val="43"/>
          <tx>
            <v>P x I = 9 (Attenzione)</v>
          </tx>
          <spPr>
            <a:ln xmlns:a="http://schemas.openxmlformats.org/drawingml/2006/main">
              <a:noFill/>
              <a:prstDash val="solid"/>
            </a:ln>
          </spPr>
          <marker>
            <symbol val="circle"/>
            <size val="19"/>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'Quadro'!$CT$5:$CT$24</f>
            </numRef>
          </yVal>
        </ser>
        <ser>
          <idx val="44"/>
          <order val="44"/>
          <tx>
            <v>P x I = 10 (Attenzione)</v>
          </tx>
          <spPr>
            <a:ln xmlns:a="http://schemas.openxmlformats.org/drawingml/2006/main">
              <a:noFill/>
              <a:prstDash val="solid"/>
            </a:ln>
          </spPr>
          <marker>
            <symbol val="circle"/>
            <size val="20"/>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'Quadro'!$CU$5:$CU$24</f>
            </numRef>
          </yVal>
        </ser>
        <ser>
          <idx val="45"/>
          <order val="45"/>
          <tx>
            <v>P x I = 12 (Attenzione)</v>
          </tx>
          <spPr>
            <a:ln xmlns:a="http://schemas.openxmlformats.org/drawingml/2006/main">
              <a:noFill/>
              <a:prstDash val="solid"/>
            </a:ln>
          </spPr>
          <marker>
            <symbol val="circle"/>
            <size val="21"/>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'Quadro'!$CV$5:$CV$24</f>
            </numRef>
          </yVal>
        </ser>
        <ser>
          <idx val="46"/>
          <order val="46"/>
          <tx>
            <v>P x I = 15 (Attenzione)</v>
          </tx>
          <spPr>
            <a:ln xmlns:a="http://schemas.openxmlformats.org/drawingml/2006/main">
              <a:noFill/>
              <a:prstDash val="solid"/>
            </a:ln>
          </spPr>
          <marker>
            <symbol val="circle"/>
            <size val="24"/>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'Quadro'!$CW$5:$CW$24</f>
            </numRef>
          </yVal>
        </ser>
        <ser>
          <idx val="47"/>
          <order val="47"/>
          <tx>
            <v>P x I = 16 (Attenzione)</v>
          </tx>
          <spPr>
            <a:ln xmlns:a="http://schemas.openxmlformats.org/drawingml/2006/main">
              <a:noFill/>
              <a:prstDash val="solid"/>
            </a:ln>
          </spPr>
          <marker>
            <symbol val="circle"/>
            <size val="25"/>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'Quadro'!$CX$5:$CX$24</f>
            </numRef>
          </yVal>
        </ser>
        <ser>
          <idx val="48"/>
          <order val="48"/>
          <tx>
            <v>P x I = 20 (Attenzione)</v>
          </tx>
          <spPr>
            <a:ln xmlns:a="http://schemas.openxmlformats.org/drawingml/2006/main">
              <a:noFill/>
              <a:prstDash val="solid"/>
            </a:ln>
          </spPr>
          <marker>
            <symbol val="circle"/>
            <size val="28"/>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'Quadro'!$CY$5:$CY$24</f>
            </numRef>
          </yVal>
        </ser>
        <ser>
          <idx val="49"/>
          <order val="49"/>
          <tx>
            <v>P x I = 25 (Attenzione)</v>
          </tx>
          <spPr>
            <a:ln xmlns:a="http://schemas.openxmlformats.org/drawingml/2006/main">
              <a:noFill/>
              <a:prstDash val="solid"/>
            </a:ln>
          </spPr>
          <marker>
            <symbol val="circle"/>
            <size val="31"/>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'Quadro'!$CZ$5:$CZ$24</f>
            </numRef>
          </yVal>
        </ser>
        <ser>
          <idx val="50"/>
          <order val="50"/>
          <tx>
            <v>P x I = 1 (Monitoraggio)</v>
          </tx>
          <spPr>
            <a:ln xmlns:a="http://schemas.openxmlformats.org/drawingml/2006/main">
              <a:noFill/>
              <a:prstDash val="solid"/>
            </a:ln>
          </spPr>
          <marker>
            <symbol val="circle"/>
            <size val="6"/>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'Quadro'!$DA$5:$DA$24</f>
            </numRef>
          </yVal>
        </ser>
        <ser>
          <idx val="51"/>
          <order val="51"/>
          <tx>
            <v>P x I = 2 (Monitoraggio)</v>
          </tx>
          <spPr>
            <a:ln xmlns:a="http://schemas.openxmlformats.org/drawingml/2006/main">
              <a:noFill/>
              <a:prstDash val="solid"/>
            </a:ln>
          </spPr>
          <marker>
            <symbol val="circle"/>
            <size val="9"/>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'Quadro'!$DB$5:$DB$24</f>
            </numRef>
          </yVal>
        </ser>
        <ser>
          <idx val="52"/>
          <order val="52"/>
          <tx>
            <v>P x I = 3 (Monitoraggio)</v>
          </tx>
          <spPr>
            <a:ln xmlns:a="http://schemas.openxmlformats.org/drawingml/2006/main">
              <a:noFill/>
              <a:prstDash val="solid"/>
            </a:ln>
          </spPr>
          <marker>
            <symbol val="circle"/>
            <size val="11"/>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'Quadro'!$DC$5:$DC$24</f>
            </numRef>
          </yVal>
        </ser>
        <ser>
          <idx val="53"/>
          <order val="53"/>
          <tx>
            <v>P x I = 4 (Monitoraggio)</v>
          </tx>
          <spPr>
            <a:ln xmlns:a="http://schemas.openxmlformats.org/drawingml/2006/main">
              <a:noFill/>
              <a:prstDash val="solid"/>
            </a:ln>
          </spPr>
          <marker>
            <symbol val="circle"/>
            <size val="12"/>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'Quadro'!$DD$5:$DD$24</f>
            </numRef>
          </yVal>
        </ser>
        <ser>
          <idx val="54"/>
          <order val="54"/>
          <tx>
            <v>P x I = 5 (Monitoraggio)</v>
          </tx>
          <spPr>
            <a:ln xmlns:a="http://schemas.openxmlformats.org/drawingml/2006/main">
              <a:noFill/>
              <a:prstDash val="solid"/>
            </a:ln>
          </spPr>
          <marker>
            <symbol val="circle"/>
            <size val="14"/>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'Quadro'!$DE$5:$DE$24</f>
            </numRef>
          </yVal>
        </ser>
        <ser>
          <idx val="55"/>
          <order val="55"/>
          <tx>
            <v>P x I = 6 (Monitoraggio)</v>
          </tx>
          <spPr>
            <a:ln xmlns:a="http://schemas.openxmlformats.org/drawingml/2006/main">
              <a:noFill/>
              <a:prstDash val="solid"/>
            </a:ln>
          </spPr>
          <marker>
            <symbol val="circle"/>
            <size val="15"/>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'Quadro'!$DF$5:$DF$24</f>
            </numRef>
          </yVal>
        </ser>
        <ser>
          <idx val="56"/>
          <order val="56"/>
          <tx>
            <v>P x I = 8 (Monitoraggio)</v>
          </tx>
          <spPr>
            <a:ln xmlns:a="http://schemas.openxmlformats.org/drawingml/2006/main">
              <a:noFill/>
              <a:prstDash val="solid"/>
            </a:ln>
          </spPr>
          <marker>
            <symbol val="circle"/>
            <size val="18"/>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'Quadro'!$DG$5:$DG$24</f>
            </numRef>
          </yVal>
        </ser>
        <ser>
          <idx val="57"/>
          <order val="57"/>
          <tx>
            <v>P x I = 9 (Monitoraggio)</v>
          </tx>
          <spPr>
            <a:ln xmlns:a="http://schemas.openxmlformats.org/drawingml/2006/main">
              <a:noFill/>
              <a:prstDash val="solid"/>
            </a:ln>
          </spPr>
          <marker>
            <symbol val="circle"/>
            <size val="19"/>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'Quadro'!$DH$5:$DH$24</f>
            </numRef>
          </yVal>
        </ser>
        <ser>
          <idx val="58"/>
          <order val="58"/>
          <tx>
            <v>P x I = 10 (Monitoraggio)</v>
          </tx>
          <spPr>
            <a:ln xmlns:a="http://schemas.openxmlformats.org/drawingml/2006/main">
              <a:noFill/>
              <a:prstDash val="solid"/>
            </a:ln>
          </spPr>
          <marker>
            <symbol val="circle"/>
            <size val="20"/>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'Quadro'!$DI$5:$DI$24</f>
            </numRef>
          </yVal>
        </ser>
        <ser>
          <idx val="59"/>
          <order val="59"/>
          <tx>
            <v>P x I = 12 (Monitoraggio)</v>
          </tx>
          <spPr>
            <a:ln xmlns:a="http://schemas.openxmlformats.org/drawingml/2006/main">
              <a:noFill/>
              <a:prstDash val="solid"/>
            </a:ln>
          </spPr>
          <marker>
            <symbol val="circle"/>
            <size val="21"/>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'Quadro'!$DJ$5:$DJ$24</f>
            </numRef>
          </yVal>
        </ser>
        <ser>
          <idx val="60"/>
          <order val="60"/>
          <tx>
            <v>P x I = 15 (Monitoraggio)</v>
          </tx>
          <spPr>
            <a:ln xmlns:a="http://schemas.openxmlformats.org/drawingml/2006/main">
              <a:noFill/>
              <a:prstDash val="solid"/>
            </a:ln>
          </spPr>
          <marker>
            <symbol val="circle"/>
            <size val="24"/>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'Quadro'!$DK$5:$DK$24</f>
            </numRef>
          </yVal>
        </ser>
        <ser>
          <idx val="61"/>
          <order val="61"/>
          <tx>
            <v>P x I = 16 (Monitoraggio)</v>
          </tx>
          <spPr>
            <a:ln xmlns:a="http://schemas.openxmlformats.org/drawingml/2006/main">
              <a:noFill/>
              <a:prstDash val="solid"/>
            </a:ln>
          </spPr>
          <marker>
            <symbol val="circle"/>
            <size val="25"/>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'Quadro'!$DL$5:$DL$24</f>
            </numRef>
          </yVal>
        </ser>
        <ser>
          <idx val="62"/>
          <order val="62"/>
          <tx>
            <v>P x I = 20 (Monitoraggio)</v>
          </tx>
          <spPr>
            <a:ln xmlns:a="http://schemas.openxmlformats.org/drawingml/2006/main">
              <a:noFill/>
              <a:prstDash val="solid"/>
            </a:ln>
          </spPr>
          <marker>
            <symbol val="circle"/>
            <size val="28"/>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'Quadro'!$DM$5:$DM$24</f>
            </numRef>
          </yVal>
        </ser>
        <ser>
          <idx val="63"/>
          <order val="63"/>
          <tx>
            <v>P x I = 25 (Monitoraggio)</v>
          </tx>
          <spPr>
            <a:ln xmlns:a="http://schemas.openxmlformats.org/drawingml/2006/main">
              <a:noFill/>
              <a:prstDash val="solid"/>
            </a:ln>
          </spPr>
          <marker>
            <symbol val="circle"/>
            <size val="31"/>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'Quadro'!$DN$5:$DN$24</f>
            </numRef>
          </yVal>
        </ser>
        <ser>
          <idx val="64"/>
          <order val="64"/>
          <tx>
            <strRef>
              <f>'Quadro'!$DP$5</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'Quadro'!$DO$5</f>
            </numRef>
          </xVal>
          <yVal>
            <numRef>
              <f>'Quadro'!$DQ$5</f>
            </numRef>
          </yVal>
        </ser>
        <ser>
          <idx val="65"/>
          <order val="65"/>
          <tx>
            <strRef>
              <f>'Quadro'!$DP$6</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'Quadro'!$DO$6</f>
            </numRef>
          </xVal>
          <yVal>
            <numRef>
              <f>'Quadro'!$DQ$6</f>
            </numRef>
          </yVal>
        </ser>
        <ser>
          <idx val="66"/>
          <order val="66"/>
          <tx>
            <strRef>
              <f>'Quadro'!$DP$7</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'Quadro'!$DO$7</f>
            </numRef>
          </xVal>
          <yVal>
            <numRef>
              <f>'Quadro'!$DQ$7</f>
            </numRef>
          </yVal>
        </ser>
        <ser>
          <idx val="67"/>
          <order val="67"/>
          <tx>
            <strRef>
              <f>'Quadro'!$DP$8</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'Quadro'!$DO$8</f>
            </numRef>
          </xVal>
          <yVal>
            <numRef>
              <f>'Quadro'!$DQ$8</f>
            </numRef>
          </yVal>
        </ser>
        <ser>
          <idx val="68"/>
          <order val="68"/>
          <tx>
            <strRef>
              <f>'Quadro'!$DP$9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'Quadro'!$DO$9</f>
            </numRef>
          </xVal>
          <yVal>
            <numRef>
              <f>'Quadro'!$DQ$9</f>
            </numRef>
          </yVal>
        </ser>
        <ser>
          <idx val="69"/>
          <order val="69"/>
          <tx>
            <strRef>
              <f>'Quadro'!$DP$10</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'Quadro'!$DO$10</f>
            </numRef>
          </xVal>
          <yVal>
            <numRef>
              <f>'Quadro'!$DQ$10</f>
            </numRef>
          </yVal>
        </ser>
        <ser>
          <idx val="70"/>
          <order val="70"/>
          <tx>
            <strRef>
              <f>'Quadro'!$DP$11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'Quadro'!$DO$11</f>
            </numRef>
          </xVal>
          <yVal>
            <numRef>
              <f>'Quadro'!$DQ$11</f>
            </numRef>
          </yVal>
        </ser>
        <ser>
          <idx val="71"/>
          <order val="71"/>
          <tx>
            <strRef>
              <f>'Quadro'!$DP$12</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'Quadro'!$DO$12</f>
            </numRef>
          </xVal>
          <yVal>
            <numRef>
              <f>'Quadro'!$DQ$12</f>
            </numRef>
          </yVal>
        </ser>
        <ser>
          <idx val="72"/>
          <order val="72"/>
          <tx>
            <strRef>
              <f>'Quadro'!$DP$13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'Quadro'!$DO$13</f>
            </numRef>
          </xVal>
          <yVal>
            <numRef>
              <f>'Quadro'!$DQ$13</f>
            </numRef>
          </yVal>
        </ser>
        <ser>
          <idx val="73"/>
          <order val="73"/>
          <tx>
            <strRef>
              <f>'Quadro'!$DP$14</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'Quadro'!$DO$14</f>
            </numRef>
          </xVal>
          <yVal>
            <numRef>
              <f>'Quadro'!$DQ$14</f>
            </numRef>
          </yVal>
        </ser>
        <ser>
          <idx val="74"/>
          <order val="74"/>
          <tx>
            <strRef>
              <f>'Quadro'!$DP$15</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'Quadro'!$DO$15</f>
            </numRef>
          </xVal>
          <yVal>
            <numRef>
              <f>'Quadro'!$DQ$15</f>
            </numRef>
          </yVal>
        </ser>
        <ser>
          <idx val="75"/>
          <order val="75"/>
          <tx>
            <strRef>
              <f>'Quadro'!$DP$16</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'Quadro'!$DO$16</f>
            </numRef>
          </xVal>
          <yVal>
            <numRef>
              <f>'Quadro'!$DQ$16</f>
            </numRef>
          </yVal>
        </ser>
        <ser>
          <idx val="76"/>
          <order val="76"/>
          <tx>
            <strRef>
              <f>'Quadro'!$DP$17</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'Quadro'!$DO$17</f>
            </numRef>
          </xVal>
          <yVal>
            <numRef>
              <f>'Quadro'!$DQ$17</f>
            </numRef>
          </yVal>
        </ser>
        <ser>
          <idx val="77"/>
          <order val="77"/>
          <tx>
            <strRef>
              <f>'Quadro'!$DP$18</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'Quadro'!$DO$18</f>
            </numRef>
          </xVal>
          <yVal>
            <numRef>
              <f>'Quadro'!$DQ$18</f>
            </numRef>
          </yVal>
        </ser>
        <ser>
          <idx val="78"/>
          <order val="78"/>
          <tx>
            <strRef>
              <f>'Quadro'!$DP$19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'Quadro'!$DO$19</f>
            </numRef>
          </xVal>
          <yVal>
            <numRef>
              <f>'Quadro'!$DQ$19</f>
            </numRef>
          </yVal>
        </ser>
        <ser>
          <idx val="79"/>
          <order val="79"/>
          <tx>
            <strRef>
              <f>'Quadro'!$DP$20</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'Quadro'!$DO$20</f>
            </numRef>
          </xVal>
          <yVal>
            <numRef>
              <f>'Quadro'!$DQ$20</f>
            </numRef>
          </yVal>
        </ser>
        <ser>
          <idx val="80"/>
          <order val="80"/>
          <tx>
            <strRef>
              <f>'Quadro'!$DP$21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'Quadro'!$DO$21</f>
            </numRef>
          </xVal>
          <yVal>
            <numRef>
              <f>'Quadro'!$DQ$21</f>
            </numRef>
          </yVal>
        </ser>
        <ser>
          <idx val="81"/>
          <order val="81"/>
          <tx>
            <strRef>
              <f>'Quadro'!$DP$22</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'Quadro'!$DO$22</f>
            </numRef>
          </xVal>
          <yVal>
            <numRef>
              <f>'Quadro'!$DQ$22</f>
            </numRef>
          </yVal>
        </ser>
        <ser>
          <idx val="82"/>
          <order val="82"/>
          <tx>
            <strRef>
              <f>'Quadro'!$DP$23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'Quadro'!$DO$23</f>
            </numRef>
          </xVal>
          <yVal>
            <numRef>
              <f>'Quadro'!$DQ$23</f>
            </numRef>
          </yVal>
        </ser>
        <ser>
          <idx val="83"/>
          <order val="83"/>
          <tx>
            <strRef>
              <f>'Quadro'!$DP$24</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'Quadro'!$DO$24</f>
            </numRef>
          </xVal>
          <yVal>
            <numRef>
              <f>'Quadro'!$DQ$24</f>
            </numRef>
          </yVal>
        </ser>
        <axId val="10"/>
        <axId val="20"/>
      </scatterChart>
      <valAx>
        <axId val="10"/>
        <scaling>
          <orientation val="minMax"/>
          <max val="7.6"/>
          <min val="-7.6"/>
        </scaling>
        <delete val="1"/>
        <axPos val="l"/>
        <majorTickMark val="none"/>
        <minorTickMark val="none"/>
        <crossAx val="20"/>
      </valAx>
      <valAx>
        <axId val="20"/>
        <scaling>
          <orientation val="minMax"/>
          <max val="7.6"/>
          <min val="-7.6"/>
        </scaling>
        <delete val="1"/>
        <axPos val="l"/>
        <majorTickMark val="none"/>
        <minorTickMark val="none"/>
        <crossAx val="10"/>
      </valAx>
    </plotArea>
    <plotVisOnly val="0"/>
    <dispBlanksAs val="gap"/>
  </chart>
  <spPr>
    <a:ln xmlns:a="http://schemas.openxmlformats.org/drawingml/2006/main">
      <a:noFill/>
      <a:prstDash val="solid"/>
    </a:ln>
  </spPr>
</chartSpace>
</file>

<file path=xl/charts/chart2.xml><?xml version="1.0" encoding="utf-8"?>
<chartSpace xmlns="http://schemas.openxmlformats.org/drawingml/2006/chart">
  <chart>
    <title>
      <tx>
        <strRef>
          <f>'Classifica'!$AL$2</f>
        </strRef>
      </tx>
      <overlay val="0"/>
    </title>
    <plotArea>
      <barChart>
        <barDir val="bar"/>
        <grouping val="clustered"/>
        <varyColors val="0"/>
        <ser>
          <idx val="0"/>
          <order val="0"/>
          <tx>
            <v>Agire ora (X + Y &gt; Z)</v>
          </tx>
          <spPr>
            <a:solidFill xmlns:a="http://schemas.openxmlformats.org/drawingml/2006/main">
              <a:srgbClr val="C00000"/>
            </a:solidFill>
            <a:ln xmlns:a="http://schemas.openxmlformats.org/drawingml/2006/main">
              <a:noFill/>
              <a:prstDash val="solid"/>
            </a:ln>
          </spPr>
          <dLbls>
            <txPr>
              <a:bodyPr xmlns:a="http://schemas.openxmlformats.org/drawingml/2006/main"/>
              <a:p xmlns:a="http://schemas.openxmlformats.org/drawingml/2006/main">
                <a:pPr>
                  <a:defRPr sz="900" b="1">
                    <a:solidFill>
                      <a:srgbClr val="262626"/>
                    </a:solidFill>
                  </a:defRPr>
                </a:pPr>
                <a:r>
                  <a:t/>
                </a:r>
                <a:endParaRPr sz="900" b="1">
                  <a:solidFill>
                    <a:srgbClr val="262626"/>
                  </a:solidFill>
                </a:endParaRPr>
              </a:p>
            </txPr>
            <dLblPos val="outEnd"/>
            <showLegendKey val="0"/>
            <showVal val="1"/>
            <showCatName val="0"/>
            <showSerName val="0"/>
            <showPercent val="0"/>
          </dLbls>
          <cat>
            <strRef>
              <f>[0]!classificaEtichette</f>
            </strRef>
          </cat>
          <val>
            <numRef>
              <f>[0]!classificaAgire</f>
            </numRef>
          </val>
        </ser>
        <ser>
          <idx val="1"/>
          <order val="1"/>
          <tx>
            <v>Agire entro l'anno</v>
          </tx>
          <spPr>
            <a:solidFill xmlns:a="http://schemas.openxmlformats.org/drawingml/2006/main">
              <a:srgbClr val="FFC000"/>
            </a:solidFill>
            <a:ln xmlns:a="http://schemas.openxmlformats.org/drawingml/2006/main">
              <a:noFill/>
              <a:prstDash val="solid"/>
            </a:ln>
          </spPr>
          <dLbls>
            <txPr>
              <a:bodyPr xmlns:a="http://schemas.openxmlformats.org/drawingml/2006/main"/>
              <a:p xmlns:a="http://schemas.openxmlformats.org/drawingml/2006/main">
                <a:pPr>
                  <a:defRPr sz="900" b="1">
                    <a:solidFill>
                      <a:srgbClr val="262626"/>
                    </a:solidFill>
                  </a:defRPr>
                </a:pPr>
                <a:r>
                  <a:t/>
                </a:r>
                <a:endParaRPr sz="900" b="1">
                  <a:solidFill>
                    <a:srgbClr val="262626"/>
                  </a:solidFill>
                </a:endParaRPr>
              </a:p>
            </txPr>
            <dLblPos val="outEnd"/>
            <showLegendKey val="0"/>
            <showVal val="1"/>
            <showCatName val="0"/>
            <showSerName val="0"/>
            <showPercent val="0"/>
          </dLbls>
          <cat>
            <strRef>
              <f>[0]!classificaEtichette</f>
            </strRef>
          </cat>
          <val>
            <numRef>
              <f>[0]!classificaEntro</f>
            </numRef>
          </val>
        </ser>
        <ser>
          <idx val="2"/>
          <order val="2"/>
          <tx>
            <v>Con margine</v>
          </tx>
          <spPr>
            <a:solidFill xmlns:a="http://schemas.openxmlformats.org/drawingml/2006/main">
              <a:srgbClr val="A6A6A6"/>
            </a:solidFill>
            <a:ln xmlns:a="http://schemas.openxmlformats.org/drawingml/2006/main">
              <a:noFill/>
              <a:prstDash val="solid"/>
            </a:ln>
          </spPr>
          <dLbls>
            <txPr>
              <a:bodyPr xmlns:a="http://schemas.openxmlformats.org/drawingml/2006/main"/>
              <a:p xmlns:a="http://schemas.openxmlformats.org/drawingml/2006/main">
                <a:pPr>
                  <a:defRPr sz="900" b="1">
                    <a:solidFill>
                      <a:srgbClr val="262626"/>
                    </a:solidFill>
                  </a:defRPr>
                </a:pPr>
                <a:r>
                  <a:t/>
                </a:r>
                <a:endParaRPr sz="900" b="1">
                  <a:solidFill>
                    <a:srgbClr val="262626"/>
                  </a:solidFill>
                </a:endParaRPr>
              </a:p>
            </txPr>
            <dLblPos val="outEnd"/>
            <showLegendKey val="0"/>
            <showVal val="1"/>
            <showCatName val="0"/>
            <showSerName val="0"/>
            <showPercent val="0"/>
          </dLbls>
          <cat>
            <strRef>
              <f>[0]!classificaEtichette</f>
            </strRef>
          </cat>
          <val>
            <numRef>
              <f>[0]!classificaMargine</f>
            </numRef>
          </val>
        </ser>
        <gapWidth val="45"/>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0"/>
        <lblOffset val="100"/>
      </catAx>
      <valAx>
        <axId val="100"/>
        <scaling>
          <orientation val="minMax"/>
          <max val="5"/>
          <min val="0"/>
        </scaling>
        <delete val="0"/>
        <axPos val="l"/>
        <majorGridlines>
          <spPr>
            <a:ln xmlns:a="http://schemas.openxmlformats.org/drawingml/2006/main">
              <a:solidFill>
                <a:srgbClr val="EDEDED"/>
              </a:solidFill>
              <a:prstDash val="solid"/>
            </a:ln>
          </spPr>
        </majorGridlines>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
        <majorUnit val="1"/>
      </valAx>
    </plotArea>
    <legend>
      <legendPos val="b"/>
      <overlay val="0"/>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legend>
    <plotVisOnly val="0"/>
    <dispBlanksAs val="gap"/>
  </chart>
  <spPr>
    <a:ln xmlns:a="http://schemas.openxmlformats.org/drawingml/2006/main">
      <a:noFill/>
      <a:prstDash val="solid"/>
    </a:ln>
  </spPr>
</chartSpace>
</file>

<file path=xl/charts/chart3.xml><?xml version="1.0" encoding="utf-8"?>
<chartSpace xmlns="http://schemas.openxmlformats.org/drawingml/2006/chart">
  <chart>
    <title>
      <tx>
        <strRef>
          <f>'Classifica'!$AL$3</f>
        </strRef>
      </tx>
      <overlay val="0"/>
    </title>
    <plotArea>
      <barChart>
        <barDir val="col"/>
        <grouping val="stacked"/>
        <varyColors val="0"/>
        <ser>
          <idx val="0"/>
          <order val="0"/>
          <tx>
            <v>X: decidere e avviare</v>
          </tx>
          <spPr>
            <a:solidFill xmlns:a="http://schemas.openxmlformats.org/drawingml/2006/main">
              <a:srgbClr val="BFBFBF"/>
            </a:solidFill>
            <a:ln xmlns:a="http://schemas.openxmlformats.org/drawingml/2006/main">
              <a:noFill/>
              <a:prstDash val="solid"/>
            </a:ln>
          </spPr>
          <cat>
            <strRef>
              <f>[0]!lenteEtichette</f>
            </strRef>
          </cat>
          <val>
            <numRef>
              <f>[0]!lenteX</f>
            </numRef>
          </val>
        </ser>
        <ser>
          <idx val="1"/>
          <order val="1"/>
          <tx>
            <v>Y: mitigare, entro Z</v>
          </tx>
          <spPr>
            <a:solidFill xmlns:a="http://schemas.openxmlformats.org/drawingml/2006/main">
              <a:srgbClr val="ED7D31"/>
            </a:solidFill>
            <a:ln xmlns:a="http://schemas.openxmlformats.org/drawingml/2006/main">
              <a:noFill/>
              <a:prstDash val="solid"/>
            </a:ln>
          </spPr>
          <cat>
            <strRef>
              <f>[0]!lenteEtichette</f>
            </strRef>
          </cat>
          <val>
            <numRef>
              <f>[0]!lenteY</f>
            </numRef>
          </val>
        </ser>
        <ser>
          <idx val="2"/>
          <order val="2"/>
          <tx>
            <v>Y: mitigare, OLTRE Z</v>
          </tx>
          <spPr>
            <a:solidFill xmlns:a="http://schemas.openxmlformats.org/drawingml/2006/main">
              <a:srgbClr val="C00000"/>
            </a:solidFill>
            <a:ln xmlns:a="http://schemas.openxmlformats.org/drawingml/2006/main">
              <a:noFill/>
              <a:prstDash val="solid"/>
            </a:ln>
          </spPr>
          <cat>
            <strRef>
              <f>[0]!lenteEtichette</f>
            </strRef>
          </cat>
          <val>
            <numRef>
              <f>[0]!lenteYOltre</f>
            </numRef>
          </val>
        </ser>
        <gapWidth val="60"/>
        <overlap val="100"/>
        <axId val="10"/>
        <axId val="100"/>
      </barChart>
      <lineChart>
        <grouping val="standard"/>
        <ser>
          <idx val="3"/>
          <order val="3"/>
          <tx>
            <v>Z: tempo disponibile</v>
          </tx>
          <spPr>
            <a:ln xmlns:a="http://schemas.openxmlformats.org/drawingml/2006/main">
              <a:noFill/>
              <a:prstDash val="solid"/>
            </a:ln>
          </spPr>
          <marker>
            <symbol val="diamond"/>
            <size val="10"/>
            <spPr>
              <a:solidFill xmlns:a="http://schemas.openxmlformats.org/drawingml/2006/main">
                <a:srgbClr val="1F3864"/>
              </a:solidFill>
              <a:ln xmlns:a="http://schemas.openxmlformats.org/drawingml/2006/main">
                <a:solidFill>
                  <a:srgbClr val="1F3864"/>
                </a:solidFill>
                <a:prstDash val="solid"/>
              </a:ln>
            </spPr>
          </marker>
          <cat>
            <strRef>
              <f>[0]!lenteEtichette</f>
            </strRef>
          </cat>
          <val>
            <numRef>
              <f>[0]!lenteZ</f>
            </numRef>
          </val>
          <smooth val="0"/>
        </ser>
        <axId val="10"/>
        <axId val="100"/>
      </lineChart>
      <catAx>
        <axId val="10"/>
        <scaling>
          <orientation val="minMax"/>
        </scaling>
        <delete val="0"/>
        <axPos val="l"/>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0"/>
        <lblOffset val="100"/>
      </catAx>
      <valAx>
        <axId val="100"/>
        <scaling>
          <orientation val="minMax"/>
          <min val="0"/>
        </scaling>
        <delete val="0"/>
        <axPos val="l"/>
        <majorGridlines>
          <spPr>
            <a:ln xmlns:a="http://schemas.openxmlformats.org/drawingml/2006/main">
              <a:solidFill>
                <a:srgbClr val="EDEDED"/>
              </a:solidFill>
              <a:prstDash val="solid"/>
            </a:ln>
          </spPr>
        </majorGridlines>
        <title>
          <tx>
            <rich>
              <a:bodyPr xmlns:a="http://schemas.openxmlformats.org/drawingml/2006/main"/>
              <a:p xmlns:a="http://schemas.openxmlformats.org/drawingml/2006/main">
                <a:pPr>
                  <a:defRPr/>
                </a:pPr>
                <a:r>
                  <a:t>anni</a:t>
                </a:r>
              </a:p>
            </rich>
          </tx>
        </title>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
      </valAx>
    </plotArea>
    <legend>
      <legendPos val="b"/>
      <overlay val="0"/>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legend>
    <plotVisOnly val="0"/>
    <dispBlanksAs val="gap"/>
  </chart>
  <spPr>
    <a:ln xmlns:a="http://schemas.openxmlformats.org/drawingml/2006/main">
      <a:noFill/>
      <a:prstDash val="solid"/>
    </a:ln>
  </spPr>
</chartSpace>
</file>

<file path=xl/charts/chart4.xml><?xml version="1.0" encoding="utf-8"?>
<chartSpace xmlns="http://schemas.openxmlformats.org/drawingml/2006/chart">
  <chart>
    <plotArea>
      <scatterChart>
        <scatterStyle val="lineMarker"/>
        <varyColors val="0"/>
        <ser>
          <idx val="0"/>
          <order val="0"/>
          <tx>
            <v>Mosca</v>
          </tx>
          <spPr>
            <a:ln xmlns:a="http://schemas.openxmlformats.org/drawingml/2006/main" w="28575">
              <a:solidFill>
                <a:srgbClr val="C00000"/>
              </a:solidFill>
              <a:prstDash val="solid"/>
            </a:ln>
          </spPr>
          <marker>
            <symbol val="none"/>
            <spPr>
              <a:ln xmlns:a="http://schemas.openxmlformats.org/drawingml/2006/main">
                <a:prstDash val="solid"/>
              </a:ln>
            </spPr>
          </marker>
          <dLbls>
            <dLbl>
              <idx val="16"/>
              <txPr>
                <a:bodyPr xmlns:a="http://schemas.openxmlformats.org/drawingml/2006/main"/>
                <a:p xmlns:a="http://schemas.openxmlformats.org/drawingml/2006/main">
                  <a:pPr>
                    <a:defRPr sz="800" b="1">
                      <a:solidFill>
                        <a:srgbClr val="C00000"/>
                      </a:solidFill>
                    </a:defRPr>
                  </a:pPr>
                  <a:r>
                    <a:t/>
                  </a:r>
                  <a:endParaRPr sz="800" b="1">
                    <a:solidFill>
                      <a:srgbClr val="C00000"/>
                    </a:solidFill>
                  </a:endParaRPr>
                </a:p>
              </txPr>
              <dLblPos val="r"/>
              <showLegendKey val="0"/>
              <showVal val="0"/>
              <showCatName val="0"/>
              <showSerName val="1"/>
              <showPercent val="0"/>
              <showBubbleSize val="0"/>
            </dLbl>
            <txPr>
              <a:bodyPr xmlns:a="http://schemas.openxmlformats.org/drawingml/2006/main"/>
              <a:p xmlns:a="http://schemas.openxmlformats.org/drawingml/2006/main">
                <a:pPr>
                  <a:defRPr sz="800" b="1">
                    <a:solidFill>
                      <a:srgbClr val="C00000"/>
                    </a:solidFill>
                  </a:defRPr>
                </a:pPr>
                <a:r>
                  <a:t/>
                </a:r>
                <a:endParaRPr sz="800" b="1">
                  <a:solidFill>
                    <a:srgbClr val="C00000"/>
                  </a:solidFill>
                </a:endParaRPr>
              </a:p>
            </txPr>
            <showLegendKey val="0"/>
            <showVal val="0"/>
            <showCatName val="0"/>
            <showSerName val="0"/>
            <showPercent val="0"/>
            <showBubbleSize val="0"/>
          </dLbls>
          <xVal>
            <numRef>
              <f>'Radar_Mosca'!$AE$5:$AE$77</f>
            </numRef>
          </xVal>
          <yVal>
            <numRef>
              <f>'Radar_Mosca'!$AF$5:$AF$77</f>
            </numRef>
          </yVal>
          <smooth val="1"/>
        </ser>
        <ser>
          <idx val="1"/>
          <order val="1"/>
          <tx>
            <v>1 anno</v>
          </tx>
          <spPr>
            <a:ln xmlns:a="http://schemas.openxmlformats.org/drawingml/2006/main" w="12700">
              <a:solidFill>
                <a:srgbClr val="8C8C8C"/>
              </a:solidFill>
              <a:prstDash val="dash"/>
            </a:ln>
          </spPr>
          <marker>
            <symbol val="none"/>
            <spPr>
              <a:ln xmlns:a="http://schemas.openxmlformats.org/drawingml/2006/main">
                <a:prstDash val="solid"/>
              </a:ln>
            </spPr>
          </marker>
          <dLbls>
            <dLbl>
              <idx val="16"/>
              <txPr>
                <a:bodyPr xmlns:a="http://schemas.openxmlformats.org/drawingml/2006/main"/>
                <a:p xmlns:a="http://schemas.openxmlformats.org/drawingml/2006/main">
                  <a:pPr>
                    <a:defRPr sz="800" b="0">
                      <a:solidFill>
                        <a:srgbClr val="595959"/>
                      </a:solidFill>
                    </a:defRPr>
                  </a:pPr>
                  <a:r>
                    <a:t/>
                  </a:r>
                  <a:endParaRPr sz="800" b="0">
                    <a:solidFill>
                      <a:srgbClr val="595959"/>
                    </a:solidFill>
                  </a:endParaRPr>
                </a:p>
              </txPr>
              <dLblPos val="r"/>
              <showLegendKey val="0"/>
              <showVal val="0"/>
              <showCatName val="0"/>
              <showSerName val="1"/>
              <showPercent val="0"/>
              <showBubbleSize val="0"/>
            </dLbl>
            <txPr>
              <a:bodyPr xmlns:a="http://schemas.openxmlformats.org/drawingml/2006/main"/>
              <a:p xmlns:a="http://schemas.openxmlformats.org/drawingml/2006/main">
                <a:pPr>
                  <a:defRPr sz="800" b="0">
                    <a:solidFill>
                      <a:srgbClr val="595959"/>
                    </a:solidFill>
                  </a:defRPr>
                </a:pPr>
                <a:r>
                  <a:t/>
                </a:r>
                <a:endParaRPr sz="800" b="0">
                  <a:solidFill>
                    <a:srgbClr val="595959"/>
                  </a:solidFill>
                </a:endParaRPr>
              </a:p>
            </txPr>
            <showLegendKey val="0"/>
            <showVal val="0"/>
            <showCatName val="0"/>
            <showSerName val="0"/>
            <showPercent val="0"/>
            <showBubbleSize val="0"/>
          </dLbls>
          <xVal>
            <numRef>
              <f>'Radar_Mosca'!$AG$5:$AG$77</f>
            </numRef>
          </xVal>
          <yVal>
            <numRef>
              <f>'Radar_Mosca'!$AH$5:$AH$77</f>
            </numRef>
          </yVal>
          <smooth val="1"/>
        </ser>
        <ser>
          <idx val="2"/>
          <order val="2"/>
          <tx>
            <v>2 anni</v>
          </tx>
          <spPr>
            <a:ln xmlns:a="http://schemas.openxmlformats.org/drawingml/2006/main" w="9525">
              <a:solidFill>
                <a:srgbClr val="BFBFBF"/>
              </a:solidFill>
              <a:prstDash val="solid"/>
            </a:ln>
          </spPr>
          <marker>
            <symbol val="none"/>
            <spPr>
              <a:ln xmlns:a="http://schemas.openxmlformats.org/drawingml/2006/main">
                <a:prstDash val="solid"/>
              </a:ln>
            </spPr>
          </marker>
          <dLbls>
            <dLbl>
              <idx val="16"/>
              <txPr>
                <a:bodyPr xmlns:a="http://schemas.openxmlformats.org/drawingml/2006/main"/>
                <a:p xmlns:a="http://schemas.openxmlformats.org/drawingml/2006/main">
                  <a:pPr>
                    <a:defRPr sz="800" b="0">
                      <a:solidFill>
                        <a:srgbClr val="595959"/>
                      </a:solidFill>
                    </a:defRPr>
                  </a:pPr>
                  <a:r>
                    <a:t/>
                  </a:r>
                  <a:endParaRPr sz="800" b="0">
                    <a:solidFill>
                      <a:srgbClr val="595959"/>
                    </a:solidFill>
                  </a:endParaRPr>
                </a:p>
              </txPr>
              <dLblPos val="r"/>
              <showLegendKey val="0"/>
              <showVal val="0"/>
              <showCatName val="0"/>
              <showSerName val="1"/>
              <showPercent val="0"/>
              <showBubbleSize val="0"/>
            </dLbl>
            <txPr>
              <a:bodyPr xmlns:a="http://schemas.openxmlformats.org/drawingml/2006/main"/>
              <a:p xmlns:a="http://schemas.openxmlformats.org/drawingml/2006/main">
                <a:pPr>
                  <a:defRPr sz="800" b="0">
                    <a:solidFill>
                      <a:srgbClr val="595959"/>
                    </a:solidFill>
                  </a:defRPr>
                </a:pPr>
                <a:r>
                  <a:t/>
                </a:r>
                <a:endParaRPr sz="800" b="0">
                  <a:solidFill>
                    <a:srgbClr val="595959"/>
                  </a:solidFill>
                </a:endParaRPr>
              </a:p>
            </txPr>
            <showLegendKey val="0"/>
            <showVal val="0"/>
            <showCatName val="0"/>
            <showSerName val="0"/>
            <showPercent val="0"/>
            <showBubbleSize val="0"/>
          </dLbls>
          <xVal>
            <numRef>
              <f>'Radar_Mosca'!$AI$5:$AI$77</f>
            </numRef>
          </xVal>
          <yVal>
            <numRef>
              <f>'Radar_Mosca'!$AJ$5:$AJ$77</f>
            </numRef>
          </yVal>
          <smooth val="1"/>
        </ser>
        <ser>
          <idx val="3"/>
          <order val="3"/>
          <tx>
            <v>3 anni</v>
          </tx>
          <spPr>
            <a:ln xmlns:a="http://schemas.openxmlformats.org/drawingml/2006/main" w="9525">
              <a:solidFill>
                <a:srgbClr val="BFBFBF"/>
              </a:solidFill>
              <a:prstDash val="solid"/>
            </a:ln>
          </spPr>
          <marker>
            <symbol val="none"/>
            <spPr>
              <a:ln xmlns:a="http://schemas.openxmlformats.org/drawingml/2006/main">
                <a:prstDash val="solid"/>
              </a:ln>
            </spPr>
          </marker>
          <dLbls>
            <dLbl>
              <idx val="16"/>
              <txPr>
                <a:bodyPr xmlns:a="http://schemas.openxmlformats.org/drawingml/2006/main"/>
                <a:p xmlns:a="http://schemas.openxmlformats.org/drawingml/2006/main">
                  <a:pPr>
                    <a:defRPr sz="800" b="0">
                      <a:solidFill>
                        <a:srgbClr val="595959"/>
                      </a:solidFill>
                    </a:defRPr>
                  </a:pPr>
                  <a:r>
                    <a:t/>
                  </a:r>
                  <a:endParaRPr sz="800" b="0">
                    <a:solidFill>
                      <a:srgbClr val="595959"/>
                    </a:solidFill>
                  </a:endParaRPr>
                </a:p>
              </txPr>
              <dLblPos val="r"/>
              <showLegendKey val="0"/>
              <showVal val="0"/>
              <showCatName val="0"/>
              <showSerName val="1"/>
              <showPercent val="0"/>
              <showBubbleSize val="0"/>
            </dLbl>
            <txPr>
              <a:bodyPr xmlns:a="http://schemas.openxmlformats.org/drawingml/2006/main"/>
              <a:p xmlns:a="http://schemas.openxmlformats.org/drawingml/2006/main">
                <a:pPr>
                  <a:defRPr sz="800" b="0">
                    <a:solidFill>
                      <a:srgbClr val="595959"/>
                    </a:solidFill>
                  </a:defRPr>
                </a:pPr>
                <a:r>
                  <a:t/>
                </a:r>
                <a:endParaRPr sz="800" b="0">
                  <a:solidFill>
                    <a:srgbClr val="595959"/>
                  </a:solidFill>
                </a:endParaRPr>
              </a:p>
            </txPr>
            <showLegendKey val="0"/>
            <showVal val="0"/>
            <showCatName val="0"/>
            <showSerName val="0"/>
            <showPercent val="0"/>
            <showBubbleSize val="0"/>
          </dLbls>
          <xVal>
            <numRef>
              <f>'Radar_Mosca'!$AK$5:$AK$77</f>
            </numRef>
          </xVal>
          <yVal>
            <numRef>
              <f>'Radar_Mosca'!$AL$5:$AL$77</f>
            </numRef>
          </yVal>
          <smooth val="1"/>
        </ser>
        <ser>
          <idx val="4"/>
          <order val="4"/>
          <tx>
            <v>Settore 1</v>
          </tx>
          <spPr>
            <a:ln xmlns:a="http://schemas.openxmlformats.org/drawingml/2006/main" w="9525">
              <a:solidFill>
                <a:srgbClr val="E7E6E6"/>
              </a:solidFill>
              <a:prstDash val="solid"/>
            </a:ln>
          </spPr>
          <marker>
            <symbol val="none"/>
            <spPr>
              <a:ln xmlns:a="http://schemas.openxmlformats.org/drawingml/2006/main">
                <a:prstDash val="solid"/>
              </a:ln>
            </spPr>
          </marker>
          <xVal>
            <numRef>
              <f>'Radar_Mosca'!$AN$5:$AN$6</f>
            </numRef>
          </xVal>
          <yVal>
            <numRef>
              <f>'Radar_Mosca'!$AO$5:$AO$6</f>
            </numRef>
          </yVal>
        </ser>
        <ser>
          <idx val="5"/>
          <order val="5"/>
          <tx>
            <v>Settore 2</v>
          </tx>
          <spPr>
            <a:ln xmlns:a="http://schemas.openxmlformats.org/drawingml/2006/main" w="9525">
              <a:solidFill>
                <a:srgbClr val="E7E6E6"/>
              </a:solidFill>
              <a:prstDash val="solid"/>
            </a:ln>
          </spPr>
          <marker>
            <symbol val="none"/>
            <spPr>
              <a:ln xmlns:a="http://schemas.openxmlformats.org/drawingml/2006/main">
                <a:prstDash val="solid"/>
              </a:ln>
            </spPr>
          </marker>
          <xVal>
            <numRef>
              <f>'Radar_Mosca'!$AN$7:$AN$8</f>
            </numRef>
          </xVal>
          <yVal>
            <numRef>
              <f>'Radar_Mosca'!$AO$7:$AO$8</f>
            </numRef>
          </yVal>
        </ser>
        <ser>
          <idx val="6"/>
          <order val="6"/>
          <tx>
            <v>Settore 3</v>
          </tx>
          <spPr>
            <a:ln xmlns:a="http://schemas.openxmlformats.org/drawingml/2006/main" w="9525">
              <a:solidFill>
                <a:srgbClr val="E7E6E6"/>
              </a:solidFill>
              <a:prstDash val="solid"/>
            </a:ln>
          </spPr>
          <marker>
            <symbol val="none"/>
            <spPr>
              <a:ln xmlns:a="http://schemas.openxmlformats.org/drawingml/2006/main">
                <a:prstDash val="solid"/>
              </a:ln>
            </spPr>
          </marker>
          <xVal>
            <numRef>
              <f>'Radar_Mosca'!$AN$9:$AN$10</f>
            </numRef>
          </xVal>
          <yVal>
            <numRef>
              <f>'Radar_Mosca'!$AO$9:$AO$10</f>
            </numRef>
          </yVal>
        </ser>
        <ser>
          <idx val="7"/>
          <order val="7"/>
          <tx>
            <v>Settore 4</v>
          </tx>
          <spPr>
            <a:ln xmlns:a="http://schemas.openxmlformats.org/drawingml/2006/main" w="9525">
              <a:solidFill>
                <a:srgbClr val="E7E6E6"/>
              </a:solidFill>
              <a:prstDash val="solid"/>
            </a:ln>
          </spPr>
          <marker>
            <symbol val="none"/>
            <spPr>
              <a:ln xmlns:a="http://schemas.openxmlformats.org/drawingml/2006/main">
                <a:prstDash val="solid"/>
              </a:ln>
            </spPr>
          </marker>
          <xVal>
            <numRef>
              <f>'Radar_Mosca'!$AN$11:$AN$12</f>
            </numRef>
          </xVal>
          <yVal>
            <numRef>
              <f>'Radar_Mosca'!$AO$11:$AO$12</f>
            </numRef>
          </yVal>
        </ser>
        <ser>
          <idx val="8"/>
          <order val="8"/>
          <tx>
            <v>Settore 5</v>
          </tx>
          <spPr>
            <a:ln xmlns:a="http://schemas.openxmlformats.org/drawingml/2006/main" w="9525">
              <a:solidFill>
                <a:srgbClr val="E7E6E6"/>
              </a:solidFill>
              <a:prstDash val="solid"/>
            </a:ln>
          </spPr>
          <marker>
            <symbol val="none"/>
            <spPr>
              <a:ln xmlns:a="http://schemas.openxmlformats.org/drawingml/2006/main">
                <a:prstDash val="solid"/>
              </a:ln>
            </spPr>
          </marker>
          <xVal>
            <numRef>
              <f>'Radar_Mosca'!$AN$13:$AN$14</f>
            </numRef>
          </xVal>
          <yVal>
            <numRef>
              <f>'Radar_Mosca'!$AO$13:$AO$14</f>
            </numRef>
          </yVal>
        </ser>
        <ser>
          <idx val="9"/>
          <order val="9"/>
          <tx>
            <v>Settore 6</v>
          </tx>
          <spPr>
            <a:ln xmlns:a="http://schemas.openxmlformats.org/drawingml/2006/main" w="9525">
              <a:solidFill>
                <a:srgbClr val="E7E6E6"/>
              </a:solidFill>
              <a:prstDash val="solid"/>
            </a:ln>
          </spPr>
          <marker>
            <symbol val="none"/>
            <spPr>
              <a:ln xmlns:a="http://schemas.openxmlformats.org/drawingml/2006/main">
                <a:prstDash val="solid"/>
              </a:ln>
            </spPr>
          </marker>
          <xVal>
            <numRef>
              <f>'Radar_Mosca'!$AN$15:$AN$16</f>
            </numRef>
          </xVal>
          <yVal>
            <numRef>
              <f>'Radar_Mosca'!$AO$15:$AO$16</f>
            </numRef>
          </yVal>
        </ser>
        <ser>
          <idx val="10"/>
          <order val="10"/>
          <tx>
            <v>Settore 7</v>
          </tx>
          <spPr>
            <a:ln xmlns:a="http://schemas.openxmlformats.org/drawingml/2006/main" w="9525">
              <a:solidFill>
                <a:srgbClr val="E7E6E6"/>
              </a:solidFill>
              <a:prstDash val="solid"/>
            </a:ln>
          </spPr>
          <marker>
            <symbol val="none"/>
            <spPr>
              <a:ln xmlns:a="http://schemas.openxmlformats.org/drawingml/2006/main">
                <a:prstDash val="solid"/>
              </a:ln>
            </spPr>
          </marker>
          <xVal>
            <numRef>
              <f>'Radar_Mosca'!$AN$17:$AN$18</f>
            </numRef>
          </xVal>
          <yVal>
            <numRef>
              <f>'Radar_Mosca'!$AO$17:$AO$18</f>
            </numRef>
          </yVal>
        </ser>
        <ser>
          <idx val="11"/>
          <order val="11"/>
          <tx>
            <v>Settore 8</v>
          </tx>
          <spPr>
            <a:ln xmlns:a="http://schemas.openxmlformats.org/drawingml/2006/main" w="9525">
              <a:solidFill>
                <a:srgbClr val="E7E6E6"/>
              </a:solidFill>
              <a:prstDash val="solid"/>
            </a:ln>
          </spPr>
          <marker>
            <symbol val="none"/>
            <spPr>
              <a:ln xmlns:a="http://schemas.openxmlformats.org/drawingml/2006/main">
                <a:prstDash val="solid"/>
              </a:ln>
            </spPr>
          </marker>
          <xVal>
            <numRef>
              <f>'Radar_Mosca'!$AN$19:$AN$20</f>
            </numRef>
          </xVal>
          <yVal>
            <numRef>
              <f>'Radar_Mosca'!$AO$19:$AO$20</f>
            </numRef>
          </yVal>
        </ser>
        <ser>
          <idx val="12"/>
          <order val="12"/>
          <tx>
            <v>Settore 9</v>
          </tx>
          <spPr>
            <a:ln xmlns:a="http://schemas.openxmlformats.org/drawingml/2006/main" w="9525">
              <a:solidFill>
                <a:srgbClr val="E7E6E6"/>
              </a:solidFill>
              <a:prstDash val="solid"/>
            </a:ln>
          </spPr>
          <marker>
            <symbol val="none"/>
            <spPr>
              <a:ln xmlns:a="http://schemas.openxmlformats.org/drawingml/2006/main">
                <a:prstDash val="solid"/>
              </a:ln>
            </spPr>
          </marker>
          <xVal>
            <numRef>
              <f>'Radar_Mosca'!$AN$21:$AN$22</f>
            </numRef>
          </xVal>
          <yVal>
            <numRef>
              <f>'Radar_Mosca'!$AO$21:$AO$22</f>
            </numRef>
          </yVal>
        </ser>
        <ser>
          <idx val="13"/>
          <order val="13"/>
          <tx>
            <strRef>
              <f>'Radar_Mosca'!$AQ$5</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50" b="1">
                    <a:solidFill>
                      <a:srgbClr val="1F3864"/>
                    </a:solidFill>
                  </a:defRPr>
                </a:pPr>
                <a:r>
                  <a:t/>
                </a:r>
                <a:endParaRPr sz="850" b="1">
                  <a:solidFill>
                    <a:srgbClr val="1F3864"/>
                  </a:solidFill>
                </a:endParaRPr>
              </a:p>
            </txPr>
            <dLblPos val="ctr"/>
            <showLegendKey val="0"/>
            <showVal val="0"/>
            <showCatName val="0"/>
            <showSerName val="1"/>
            <showPercent val="0"/>
            <showBubbleSize val="0"/>
          </dLbls>
          <xVal>
            <numRef>
              <f>'Radar_Mosca'!$AR$5</f>
            </numRef>
          </xVal>
          <yVal>
            <numRef>
              <f>'Radar_Mosca'!$AS$5</f>
            </numRef>
          </yVal>
        </ser>
        <ser>
          <idx val="14"/>
          <order val="14"/>
          <tx>
            <strRef>
              <f>'Radar_Mosca'!$AQ$6</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50" b="1">
                    <a:solidFill>
                      <a:srgbClr val="1F3864"/>
                    </a:solidFill>
                  </a:defRPr>
                </a:pPr>
                <a:r>
                  <a:t/>
                </a:r>
                <a:endParaRPr sz="850" b="1">
                  <a:solidFill>
                    <a:srgbClr val="1F3864"/>
                  </a:solidFill>
                </a:endParaRPr>
              </a:p>
            </txPr>
            <dLblPos val="ctr"/>
            <showLegendKey val="0"/>
            <showVal val="0"/>
            <showCatName val="0"/>
            <showSerName val="1"/>
            <showPercent val="0"/>
            <showBubbleSize val="0"/>
          </dLbls>
          <xVal>
            <numRef>
              <f>'Radar_Mosca'!$AR$6</f>
            </numRef>
          </xVal>
          <yVal>
            <numRef>
              <f>'Radar_Mosca'!$AS$6</f>
            </numRef>
          </yVal>
        </ser>
        <ser>
          <idx val="15"/>
          <order val="15"/>
          <tx>
            <strRef>
              <f>'Radar_Mosca'!$AQ$7</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50" b="1">
                    <a:solidFill>
                      <a:srgbClr val="1F3864"/>
                    </a:solidFill>
                  </a:defRPr>
                </a:pPr>
                <a:r>
                  <a:t/>
                </a:r>
                <a:endParaRPr sz="850" b="1">
                  <a:solidFill>
                    <a:srgbClr val="1F3864"/>
                  </a:solidFill>
                </a:endParaRPr>
              </a:p>
            </txPr>
            <dLblPos val="ctr"/>
            <showLegendKey val="0"/>
            <showVal val="0"/>
            <showCatName val="0"/>
            <showSerName val="1"/>
            <showPercent val="0"/>
            <showBubbleSize val="0"/>
          </dLbls>
          <xVal>
            <numRef>
              <f>'Radar_Mosca'!$AR$7</f>
            </numRef>
          </xVal>
          <yVal>
            <numRef>
              <f>'Radar_Mosca'!$AS$7</f>
            </numRef>
          </yVal>
        </ser>
        <ser>
          <idx val="16"/>
          <order val="16"/>
          <tx>
            <strRef>
              <f>'Radar_Mosca'!$AQ$8</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50" b="1">
                    <a:solidFill>
                      <a:srgbClr val="1F3864"/>
                    </a:solidFill>
                  </a:defRPr>
                </a:pPr>
                <a:r>
                  <a:t/>
                </a:r>
                <a:endParaRPr sz="850" b="1">
                  <a:solidFill>
                    <a:srgbClr val="1F3864"/>
                  </a:solidFill>
                </a:endParaRPr>
              </a:p>
            </txPr>
            <dLblPos val="ctr"/>
            <showLegendKey val="0"/>
            <showVal val="0"/>
            <showCatName val="0"/>
            <showSerName val="1"/>
            <showPercent val="0"/>
            <showBubbleSize val="0"/>
          </dLbls>
          <xVal>
            <numRef>
              <f>'Radar_Mosca'!$AR$8</f>
            </numRef>
          </xVal>
          <yVal>
            <numRef>
              <f>'Radar_Mosca'!$AS$8</f>
            </numRef>
          </yVal>
        </ser>
        <ser>
          <idx val="17"/>
          <order val="17"/>
          <tx>
            <strRef>
              <f>'Radar_Mosca'!$AQ$9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50" b="1">
                    <a:solidFill>
                      <a:srgbClr val="1F3864"/>
                    </a:solidFill>
                  </a:defRPr>
                </a:pPr>
                <a:r>
                  <a:t/>
                </a:r>
                <a:endParaRPr sz="850" b="1">
                  <a:solidFill>
                    <a:srgbClr val="1F3864"/>
                  </a:solidFill>
                </a:endParaRPr>
              </a:p>
            </txPr>
            <dLblPos val="ctr"/>
            <showLegendKey val="0"/>
            <showVal val="0"/>
            <showCatName val="0"/>
            <showSerName val="1"/>
            <showPercent val="0"/>
            <showBubbleSize val="0"/>
          </dLbls>
          <xVal>
            <numRef>
              <f>'Radar_Mosca'!$AR$9</f>
            </numRef>
          </xVal>
          <yVal>
            <numRef>
              <f>'Radar_Mosca'!$AS$9</f>
            </numRef>
          </yVal>
        </ser>
        <ser>
          <idx val="18"/>
          <order val="18"/>
          <tx>
            <strRef>
              <f>'Radar_Mosca'!$AQ$10</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50" b="1">
                    <a:solidFill>
                      <a:srgbClr val="1F3864"/>
                    </a:solidFill>
                  </a:defRPr>
                </a:pPr>
                <a:r>
                  <a:t/>
                </a:r>
                <a:endParaRPr sz="850" b="1">
                  <a:solidFill>
                    <a:srgbClr val="1F3864"/>
                  </a:solidFill>
                </a:endParaRPr>
              </a:p>
            </txPr>
            <dLblPos val="ctr"/>
            <showLegendKey val="0"/>
            <showVal val="0"/>
            <showCatName val="0"/>
            <showSerName val="1"/>
            <showPercent val="0"/>
            <showBubbleSize val="0"/>
          </dLbls>
          <xVal>
            <numRef>
              <f>'Radar_Mosca'!$AR$10</f>
            </numRef>
          </xVal>
          <yVal>
            <numRef>
              <f>'Radar_Mosca'!$AS$10</f>
            </numRef>
          </yVal>
        </ser>
        <ser>
          <idx val="19"/>
          <order val="19"/>
          <tx>
            <strRef>
              <f>'Radar_Mosca'!$AQ$11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50" b="1">
                    <a:solidFill>
                      <a:srgbClr val="1F3864"/>
                    </a:solidFill>
                  </a:defRPr>
                </a:pPr>
                <a:r>
                  <a:t/>
                </a:r>
                <a:endParaRPr sz="850" b="1">
                  <a:solidFill>
                    <a:srgbClr val="1F3864"/>
                  </a:solidFill>
                </a:endParaRPr>
              </a:p>
            </txPr>
            <dLblPos val="ctr"/>
            <showLegendKey val="0"/>
            <showVal val="0"/>
            <showCatName val="0"/>
            <showSerName val="1"/>
            <showPercent val="0"/>
            <showBubbleSize val="0"/>
          </dLbls>
          <xVal>
            <numRef>
              <f>'Radar_Mosca'!$AR$11</f>
            </numRef>
          </xVal>
          <yVal>
            <numRef>
              <f>'Radar_Mosca'!$AS$11</f>
            </numRef>
          </yVal>
        </ser>
        <ser>
          <idx val="20"/>
          <order val="20"/>
          <tx>
            <strRef>
              <f>'Radar_Mosca'!$AQ$12</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50" b="1">
                    <a:solidFill>
                      <a:srgbClr val="1F3864"/>
                    </a:solidFill>
                  </a:defRPr>
                </a:pPr>
                <a:r>
                  <a:t/>
                </a:r>
                <a:endParaRPr sz="850" b="1">
                  <a:solidFill>
                    <a:srgbClr val="1F3864"/>
                  </a:solidFill>
                </a:endParaRPr>
              </a:p>
            </txPr>
            <dLblPos val="ctr"/>
            <showLegendKey val="0"/>
            <showVal val="0"/>
            <showCatName val="0"/>
            <showSerName val="1"/>
            <showPercent val="0"/>
            <showBubbleSize val="0"/>
          </dLbls>
          <xVal>
            <numRef>
              <f>'Radar_Mosca'!$AR$12</f>
            </numRef>
          </xVal>
          <yVal>
            <numRef>
              <f>'Radar_Mosca'!$AS$12</f>
            </numRef>
          </yVal>
        </ser>
        <ser>
          <idx val="21"/>
          <order val="21"/>
          <tx>
            <strRef>
              <f>'Radar_Mosca'!$AQ$13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50" b="1">
                    <a:solidFill>
                      <a:srgbClr val="1F3864"/>
                    </a:solidFill>
                  </a:defRPr>
                </a:pPr>
                <a:r>
                  <a:t/>
                </a:r>
                <a:endParaRPr sz="850" b="1">
                  <a:solidFill>
                    <a:srgbClr val="1F3864"/>
                  </a:solidFill>
                </a:endParaRPr>
              </a:p>
            </txPr>
            <dLblPos val="ctr"/>
            <showLegendKey val="0"/>
            <showVal val="0"/>
            <showCatName val="0"/>
            <showSerName val="1"/>
            <showPercent val="0"/>
            <showBubbleSize val="0"/>
          </dLbls>
          <xVal>
            <numRef>
              <f>'Radar_Mosca'!$AR$13</f>
            </numRef>
          </xVal>
          <yVal>
            <numRef>
              <f>'Radar_Mosca'!$AS$13</f>
            </numRef>
          </yVal>
        </ser>
        <ser>
          <idx val="22"/>
          <order val="22"/>
          <tx>
            <v>P x I = 1 (Attivazione)</v>
          </tx>
          <spPr>
            <a:ln xmlns:a="http://schemas.openxmlformats.org/drawingml/2006/main">
              <a:noFill/>
              <a:prstDash val="solid"/>
            </a:ln>
          </spPr>
          <marker>
            <symbol val="circle"/>
            <size val="10"/>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'Radar_Mosca'!$AU$5:$AU$24</f>
            </numRef>
          </yVal>
        </ser>
        <ser>
          <idx val="23"/>
          <order val="23"/>
          <tx>
            <v>P x I = 2 (Attivazione)</v>
          </tx>
          <spPr>
            <a:ln xmlns:a="http://schemas.openxmlformats.org/drawingml/2006/main">
              <a:noFill/>
              <a:prstDash val="solid"/>
            </a:ln>
          </spPr>
          <marker>
            <symbol val="circle"/>
            <size val="14"/>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'Radar_Mosca'!$AV$5:$AV$24</f>
            </numRef>
          </yVal>
        </ser>
        <ser>
          <idx val="24"/>
          <order val="24"/>
          <tx>
            <v>P x I = 3 (Attivazione)</v>
          </tx>
          <spPr>
            <a:ln xmlns:a="http://schemas.openxmlformats.org/drawingml/2006/main">
              <a:noFill/>
              <a:prstDash val="solid"/>
            </a:ln>
          </spPr>
          <marker>
            <symbol val="circle"/>
            <size val="17"/>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'Radar_Mosca'!$AW$5:$AW$24</f>
            </numRef>
          </yVal>
        </ser>
        <ser>
          <idx val="25"/>
          <order val="25"/>
          <tx>
            <v>P x I = 4 (Attivazione)</v>
          </tx>
          <spPr>
            <a:ln xmlns:a="http://schemas.openxmlformats.org/drawingml/2006/main">
              <a:noFill/>
              <a:prstDash val="solid"/>
            </a:ln>
          </spPr>
          <marker>
            <symbol val="circle"/>
            <size val="20"/>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'Radar_Mosca'!$AX$5:$AX$24</f>
            </numRef>
          </yVal>
        </ser>
        <ser>
          <idx val="26"/>
          <order val="26"/>
          <tx>
            <v>P x I = 5 (Attivazione)</v>
          </tx>
          <spPr>
            <a:ln xmlns:a="http://schemas.openxmlformats.org/drawingml/2006/main">
              <a:noFill/>
              <a:prstDash val="solid"/>
            </a:ln>
          </spPr>
          <marker>
            <symbol val="circle"/>
            <size val="22"/>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'Radar_Mosca'!$AY$5:$AY$24</f>
            </numRef>
          </yVal>
        </ser>
        <ser>
          <idx val="27"/>
          <order val="27"/>
          <tx>
            <v>P x I = 6 (Attivazione)</v>
          </tx>
          <spPr>
            <a:ln xmlns:a="http://schemas.openxmlformats.org/drawingml/2006/main">
              <a:noFill/>
              <a:prstDash val="solid"/>
            </a:ln>
          </spPr>
          <marker>
            <symbol val="circle"/>
            <size val="24"/>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'Radar_Mosca'!$AZ$5:$AZ$24</f>
            </numRef>
          </yVal>
        </ser>
        <ser>
          <idx val="28"/>
          <order val="28"/>
          <tx>
            <v>P x I = 8 (Attivazione)</v>
          </tx>
          <spPr>
            <a:ln xmlns:a="http://schemas.openxmlformats.org/drawingml/2006/main">
              <a:noFill/>
              <a:prstDash val="solid"/>
            </a:ln>
          </spPr>
          <marker>
            <symbol val="circle"/>
            <size val="28"/>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'Radar_Mosca'!$BA$5:$BA$24</f>
            </numRef>
          </yVal>
        </ser>
        <ser>
          <idx val="29"/>
          <order val="29"/>
          <tx>
            <v>P x I = 9 (Attivazione)</v>
          </tx>
          <spPr>
            <a:ln xmlns:a="http://schemas.openxmlformats.org/drawingml/2006/main">
              <a:noFill/>
              <a:prstDash val="solid"/>
            </a:ln>
          </spPr>
          <marker>
            <symbol val="circle"/>
            <size val="30"/>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'Radar_Mosca'!$BB$5:$BB$24</f>
            </numRef>
          </yVal>
        </ser>
        <ser>
          <idx val="30"/>
          <order val="30"/>
          <tx>
            <v>P x I = 10 (Attivazione)</v>
          </tx>
          <spPr>
            <a:ln xmlns:a="http://schemas.openxmlformats.org/drawingml/2006/main">
              <a:noFill/>
              <a:prstDash val="solid"/>
            </a:ln>
          </spPr>
          <marker>
            <symbol val="circle"/>
            <size val="32"/>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'Radar_Mosca'!$BC$5:$BC$24</f>
            </numRef>
          </yVal>
        </ser>
        <ser>
          <idx val="31"/>
          <order val="31"/>
          <tx>
            <v>P x I = 12 (Attivazione)</v>
          </tx>
          <spPr>
            <a:ln xmlns:a="http://schemas.openxmlformats.org/drawingml/2006/main">
              <a:noFill/>
              <a:prstDash val="solid"/>
            </a:ln>
          </spPr>
          <marker>
            <symbol val="circle"/>
            <size val="35"/>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'Radar_Mosca'!$BD$5:$BD$24</f>
            </numRef>
          </yVal>
        </ser>
        <ser>
          <idx val="32"/>
          <order val="32"/>
          <tx>
            <v>P x I = 15 (Attivazione)</v>
          </tx>
          <spPr>
            <a:ln xmlns:a="http://schemas.openxmlformats.org/drawingml/2006/main">
              <a:noFill/>
              <a:prstDash val="solid"/>
            </a:ln>
          </spPr>
          <marker>
            <symbol val="circle"/>
            <size val="39"/>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'Radar_Mosca'!$BE$5:$BE$24</f>
            </numRef>
          </yVal>
        </ser>
        <ser>
          <idx val="33"/>
          <order val="33"/>
          <tx>
            <v>P x I = 16 (Attivazione)</v>
          </tx>
          <spPr>
            <a:ln xmlns:a="http://schemas.openxmlformats.org/drawingml/2006/main">
              <a:noFill/>
              <a:prstDash val="solid"/>
            </a:ln>
          </spPr>
          <marker>
            <symbol val="circle"/>
            <size val="40"/>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'Radar_Mosca'!$BF$5:$BF$24</f>
            </numRef>
          </yVal>
        </ser>
        <ser>
          <idx val="34"/>
          <order val="34"/>
          <tx>
            <v>P x I = 20 (Attivazione)</v>
          </tx>
          <spPr>
            <a:ln xmlns:a="http://schemas.openxmlformats.org/drawingml/2006/main">
              <a:noFill/>
              <a:prstDash val="solid"/>
            </a:ln>
          </spPr>
          <marker>
            <symbol val="circle"/>
            <size val="45"/>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'Radar_Mosca'!$BG$5:$BG$24</f>
            </numRef>
          </yVal>
        </ser>
        <ser>
          <idx val="35"/>
          <order val="35"/>
          <tx>
            <v>P x I = 25 (Attivazione)</v>
          </tx>
          <spPr>
            <a:ln xmlns:a="http://schemas.openxmlformats.org/drawingml/2006/main">
              <a:noFill/>
              <a:prstDash val="solid"/>
            </a:ln>
          </spPr>
          <marker>
            <symbol val="circle"/>
            <size val="50"/>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'Radar_Mosca'!$BH$5:$BH$24</f>
            </numRef>
          </yVal>
        </ser>
        <ser>
          <idx val="36"/>
          <order val="36"/>
          <tx>
            <v>P x I = 1 (Attenzione)</v>
          </tx>
          <spPr>
            <a:ln xmlns:a="http://schemas.openxmlformats.org/drawingml/2006/main">
              <a:noFill/>
              <a:prstDash val="solid"/>
            </a:ln>
          </spPr>
          <marker>
            <symbol val="circle"/>
            <size val="10"/>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'Radar_Mosca'!$BI$5:$BI$24</f>
            </numRef>
          </yVal>
        </ser>
        <ser>
          <idx val="37"/>
          <order val="37"/>
          <tx>
            <v>P x I = 2 (Attenzione)</v>
          </tx>
          <spPr>
            <a:ln xmlns:a="http://schemas.openxmlformats.org/drawingml/2006/main">
              <a:noFill/>
              <a:prstDash val="solid"/>
            </a:ln>
          </spPr>
          <marker>
            <symbol val="circle"/>
            <size val="14"/>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'Radar_Mosca'!$BJ$5:$BJ$24</f>
            </numRef>
          </yVal>
        </ser>
        <ser>
          <idx val="38"/>
          <order val="38"/>
          <tx>
            <v>P x I = 3 (Attenzione)</v>
          </tx>
          <spPr>
            <a:ln xmlns:a="http://schemas.openxmlformats.org/drawingml/2006/main">
              <a:noFill/>
              <a:prstDash val="solid"/>
            </a:ln>
          </spPr>
          <marker>
            <symbol val="circle"/>
            <size val="17"/>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'Radar_Mosca'!$BK$5:$BK$24</f>
            </numRef>
          </yVal>
        </ser>
        <ser>
          <idx val="39"/>
          <order val="39"/>
          <tx>
            <v>P x I = 4 (Attenzione)</v>
          </tx>
          <spPr>
            <a:ln xmlns:a="http://schemas.openxmlformats.org/drawingml/2006/main">
              <a:noFill/>
              <a:prstDash val="solid"/>
            </a:ln>
          </spPr>
          <marker>
            <symbol val="circle"/>
            <size val="20"/>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'Radar_Mosca'!$BL$5:$BL$24</f>
            </numRef>
          </yVal>
        </ser>
        <ser>
          <idx val="40"/>
          <order val="40"/>
          <tx>
            <v>P x I = 5 (Attenzione)</v>
          </tx>
          <spPr>
            <a:ln xmlns:a="http://schemas.openxmlformats.org/drawingml/2006/main">
              <a:noFill/>
              <a:prstDash val="solid"/>
            </a:ln>
          </spPr>
          <marker>
            <symbol val="circle"/>
            <size val="22"/>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'Radar_Mosca'!$BM$5:$BM$24</f>
            </numRef>
          </yVal>
        </ser>
        <ser>
          <idx val="41"/>
          <order val="41"/>
          <tx>
            <v>P x I = 6 (Attenzione)</v>
          </tx>
          <spPr>
            <a:ln xmlns:a="http://schemas.openxmlformats.org/drawingml/2006/main">
              <a:noFill/>
              <a:prstDash val="solid"/>
            </a:ln>
          </spPr>
          <marker>
            <symbol val="circle"/>
            <size val="24"/>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'Radar_Mosca'!$BN$5:$BN$24</f>
            </numRef>
          </yVal>
        </ser>
        <ser>
          <idx val="42"/>
          <order val="42"/>
          <tx>
            <v>P x I = 8 (Attenzione)</v>
          </tx>
          <spPr>
            <a:ln xmlns:a="http://schemas.openxmlformats.org/drawingml/2006/main">
              <a:noFill/>
              <a:prstDash val="solid"/>
            </a:ln>
          </spPr>
          <marker>
            <symbol val="circle"/>
            <size val="28"/>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'Radar_Mosca'!$BO$5:$BO$24</f>
            </numRef>
          </yVal>
        </ser>
        <ser>
          <idx val="43"/>
          <order val="43"/>
          <tx>
            <v>P x I = 9 (Attenzione)</v>
          </tx>
          <spPr>
            <a:ln xmlns:a="http://schemas.openxmlformats.org/drawingml/2006/main">
              <a:noFill/>
              <a:prstDash val="solid"/>
            </a:ln>
          </spPr>
          <marker>
            <symbol val="circle"/>
            <size val="30"/>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'Radar_Mosca'!$BP$5:$BP$24</f>
            </numRef>
          </yVal>
        </ser>
        <ser>
          <idx val="44"/>
          <order val="44"/>
          <tx>
            <v>P x I = 10 (Attenzione)</v>
          </tx>
          <spPr>
            <a:ln xmlns:a="http://schemas.openxmlformats.org/drawingml/2006/main">
              <a:noFill/>
              <a:prstDash val="solid"/>
            </a:ln>
          </spPr>
          <marker>
            <symbol val="circle"/>
            <size val="32"/>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'Radar_Mosca'!$BQ$5:$BQ$24</f>
            </numRef>
          </yVal>
        </ser>
        <ser>
          <idx val="45"/>
          <order val="45"/>
          <tx>
            <v>P x I = 12 (Attenzione)</v>
          </tx>
          <spPr>
            <a:ln xmlns:a="http://schemas.openxmlformats.org/drawingml/2006/main">
              <a:noFill/>
              <a:prstDash val="solid"/>
            </a:ln>
          </spPr>
          <marker>
            <symbol val="circle"/>
            <size val="35"/>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'Radar_Mosca'!$BR$5:$BR$24</f>
            </numRef>
          </yVal>
        </ser>
        <ser>
          <idx val="46"/>
          <order val="46"/>
          <tx>
            <v>P x I = 15 (Attenzione)</v>
          </tx>
          <spPr>
            <a:ln xmlns:a="http://schemas.openxmlformats.org/drawingml/2006/main">
              <a:noFill/>
              <a:prstDash val="solid"/>
            </a:ln>
          </spPr>
          <marker>
            <symbol val="circle"/>
            <size val="39"/>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'Radar_Mosca'!$BS$5:$BS$24</f>
            </numRef>
          </yVal>
        </ser>
        <ser>
          <idx val="47"/>
          <order val="47"/>
          <tx>
            <v>P x I = 16 (Attenzione)</v>
          </tx>
          <spPr>
            <a:ln xmlns:a="http://schemas.openxmlformats.org/drawingml/2006/main">
              <a:noFill/>
              <a:prstDash val="solid"/>
            </a:ln>
          </spPr>
          <marker>
            <symbol val="circle"/>
            <size val="40"/>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'Radar_Mosca'!$BT$5:$BT$24</f>
            </numRef>
          </yVal>
        </ser>
        <ser>
          <idx val="48"/>
          <order val="48"/>
          <tx>
            <v>P x I = 20 (Attenzione)</v>
          </tx>
          <spPr>
            <a:ln xmlns:a="http://schemas.openxmlformats.org/drawingml/2006/main">
              <a:noFill/>
              <a:prstDash val="solid"/>
            </a:ln>
          </spPr>
          <marker>
            <symbol val="circle"/>
            <size val="45"/>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'Radar_Mosca'!$BU$5:$BU$24</f>
            </numRef>
          </yVal>
        </ser>
        <ser>
          <idx val="49"/>
          <order val="49"/>
          <tx>
            <v>P x I = 25 (Attenzione)</v>
          </tx>
          <spPr>
            <a:ln xmlns:a="http://schemas.openxmlformats.org/drawingml/2006/main">
              <a:noFill/>
              <a:prstDash val="solid"/>
            </a:ln>
          </spPr>
          <marker>
            <symbol val="circle"/>
            <size val="50"/>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'Radar_Mosca'!$BV$5:$BV$24</f>
            </numRef>
          </yVal>
        </ser>
        <ser>
          <idx val="50"/>
          <order val="50"/>
          <tx>
            <v>P x I = 1 (Monitoraggio)</v>
          </tx>
          <spPr>
            <a:ln xmlns:a="http://schemas.openxmlformats.org/drawingml/2006/main">
              <a:noFill/>
              <a:prstDash val="solid"/>
            </a:ln>
          </spPr>
          <marker>
            <symbol val="circle"/>
            <size val="10"/>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'Radar_Mosca'!$BW$5:$BW$24</f>
            </numRef>
          </yVal>
        </ser>
        <ser>
          <idx val="51"/>
          <order val="51"/>
          <tx>
            <v>P x I = 2 (Monitoraggio)</v>
          </tx>
          <spPr>
            <a:ln xmlns:a="http://schemas.openxmlformats.org/drawingml/2006/main">
              <a:noFill/>
              <a:prstDash val="solid"/>
            </a:ln>
          </spPr>
          <marker>
            <symbol val="circle"/>
            <size val="14"/>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'Radar_Mosca'!$BX$5:$BX$24</f>
            </numRef>
          </yVal>
        </ser>
        <ser>
          <idx val="52"/>
          <order val="52"/>
          <tx>
            <v>P x I = 3 (Monitoraggio)</v>
          </tx>
          <spPr>
            <a:ln xmlns:a="http://schemas.openxmlformats.org/drawingml/2006/main">
              <a:noFill/>
              <a:prstDash val="solid"/>
            </a:ln>
          </spPr>
          <marker>
            <symbol val="circle"/>
            <size val="17"/>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'Radar_Mosca'!$BY$5:$BY$24</f>
            </numRef>
          </yVal>
        </ser>
        <ser>
          <idx val="53"/>
          <order val="53"/>
          <tx>
            <v>P x I = 4 (Monitoraggio)</v>
          </tx>
          <spPr>
            <a:ln xmlns:a="http://schemas.openxmlformats.org/drawingml/2006/main">
              <a:noFill/>
              <a:prstDash val="solid"/>
            </a:ln>
          </spPr>
          <marker>
            <symbol val="circle"/>
            <size val="20"/>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'Radar_Mosca'!$BZ$5:$BZ$24</f>
            </numRef>
          </yVal>
        </ser>
        <ser>
          <idx val="54"/>
          <order val="54"/>
          <tx>
            <v>P x I = 5 (Monitoraggio)</v>
          </tx>
          <spPr>
            <a:ln xmlns:a="http://schemas.openxmlformats.org/drawingml/2006/main">
              <a:noFill/>
              <a:prstDash val="solid"/>
            </a:ln>
          </spPr>
          <marker>
            <symbol val="circle"/>
            <size val="22"/>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'Radar_Mosca'!$CA$5:$CA$24</f>
            </numRef>
          </yVal>
        </ser>
        <ser>
          <idx val="55"/>
          <order val="55"/>
          <tx>
            <v>P x I = 6 (Monitoraggio)</v>
          </tx>
          <spPr>
            <a:ln xmlns:a="http://schemas.openxmlformats.org/drawingml/2006/main">
              <a:noFill/>
              <a:prstDash val="solid"/>
            </a:ln>
          </spPr>
          <marker>
            <symbol val="circle"/>
            <size val="24"/>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'Radar_Mosca'!$CB$5:$CB$24</f>
            </numRef>
          </yVal>
        </ser>
        <ser>
          <idx val="56"/>
          <order val="56"/>
          <tx>
            <v>P x I = 8 (Monitoraggio)</v>
          </tx>
          <spPr>
            <a:ln xmlns:a="http://schemas.openxmlformats.org/drawingml/2006/main">
              <a:noFill/>
              <a:prstDash val="solid"/>
            </a:ln>
          </spPr>
          <marker>
            <symbol val="circle"/>
            <size val="28"/>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'Radar_Mosca'!$CC$5:$CC$24</f>
            </numRef>
          </yVal>
        </ser>
        <ser>
          <idx val="57"/>
          <order val="57"/>
          <tx>
            <v>P x I = 9 (Monitoraggio)</v>
          </tx>
          <spPr>
            <a:ln xmlns:a="http://schemas.openxmlformats.org/drawingml/2006/main">
              <a:noFill/>
              <a:prstDash val="solid"/>
            </a:ln>
          </spPr>
          <marker>
            <symbol val="circle"/>
            <size val="30"/>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'Radar_Mosca'!$CD$5:$CD$24</f>
            </numRef>
          </yVal>
        </ser>
        <ser>
          <idx val="58"/>
          <order val="58"/>
          <tx>
            <v>P x I = 10 (Monitoraggio)</v>
          </tx>
          <spPr>
            <a:ln xmlns:a="http://schemas.openxmlformats.org/drawingml/2006/main">
              <a:noFill/>
              <a:prstDash val="solid"/>
            </a:ln>
          </spPr>
          <marker>
            <symbol val="circle"/>
            <size val="32"/>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'Radar_Mosca'!$CE$5:$CE$24</f>
            </numRef>
          </yVal>
        </ser>
        <ser>
          <idx val="59"/>
          <order val="59"/>
          <tx>
            <v>P x I = 12 (Monitoraggio)</v>
          </tx>
          <spPr>
            <a:ln xmlns:a="http://schemas.openxmlformats.org/drawingml/2006/main">
              <a:noFill/>
              <a:prstDash val="solid"/>
            </a:ln>
          </spPr>
          <marker>
            <symbol val="circle"/>
            <size val="35"/>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'Radar_Mosca'!$CF$5:$CF$24</f>
            </numRef>
          </yVal>
        </ser>
        <ser>
          <idx val="60"/>
          <order val="60"/>
          <tx>
            <v>P x I = 15 (Monitoraggio)</v>
          </tx>
          <spPr>
            <a:ln xmlns:a="http://schemas.openxmlformats.org/drawingml/2006/main">
              <a:noFill/>
              <a:prstDash val="solid"/>
            </a:ln>
          </spPr>
          <marker>
            <symbol val="circle"/>
            <size val="39"/>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'Radar_Mosca'!$CG$5:$CG$24</f>
            </numRef>
          </yVal>
        </ser>
        <ser>
          <idx val="61"/>
          <order val="61"/>
          <tx>
            <v>P x I = 16 (Monitoraggio)</v>
          </tx>
          <spPr>
            <a:ln xmlns:a="http://schemas.openxmlformats.org/drawingml/2006/main">
              <a:noFill/>
              <a:prstDash val="solid"/>
            </a:ln>
          </spPr>
          <marker>
            <symbol val="circle"/>
            <size val="40"/>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'Radar_Mosca'!$CH$5:$CH$24</f>
            </numRef>
          </yVal>
        </ser>
        <ser>
          <idx val="62"/>
          <order val="62"/>
          <tx>
            <v>P x I = 20 (Monitoraggio)</v>
          </tx>
          <spPr>
            <a:ln xmlns:a="http://schemas.openxmlformats.org/drawingml/2006/main">
              <a:noFill/>
              <a:prstDash val="solid"/>
            </a:ln>
          </spPr>
          <marker>
            <symbol val="circle"/>
            <size val="45"/>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'Radar_Mosca'!$CI$5:$CI$24</f>
            </numRef>
          </yVal>
        </ser>
        <ser>
          <idx val="63"/>
          <order val="63"/>
          <tx>
            <v>P x I = 25 (Monitoraggio)</v>
          </tx>
          <spPr>
            <a:ln xmlns:a="http://schemas.openxmlformats.org/drawingml/2006/main">
              <a:noFill/>
              <a:prstDash val="solid"/>
            </a:ln>
          </spPr>
          <marker>
            <symbol val="circle"/>
            <size val="50"/>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'Radar_Mosca'!$CJ$5:$CJ$24</f>
            </numRef>
          </yVal>
        </ser>
        <ser>
          <idx val="64"/>
          <order val="64"/>
          <tx>
            <strRef>
              <f>'Radar_Mosca'!$CL$5</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'Radar_Mosca'!$CK$5</f>
            </numRef>
          </xVal>
          <yVal>
            <numRef>
              <f>'Radar_Mosca'!$CM$5</f>
            </numRef>
          </yVal>
        </ser>
        <ser>
          <idx val="65"/>
          <order val="65"/>
          <tx>
            <strRef>
              <f>'Radar_Mosca'!$CL$6</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'Radar_Mosca'!$CK$6</f>
            </numRef>
          </xVal>
          <yVal>
            <numRef>
              <f>'Radar_Mosca'!$CM$6</f>
            </numRef>
          </yVal>
        </ser>
        <ser>
          <idx val="66"/>
          <order val="66"/>
          <tx>
            <strRef>
              <f>'Radar_Mosca'!$CL$7</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'Radar_Mosca'!$CK$7</f>
            </numRef>
          </xVal>
          <yVal>
            <numRef>
              <f>'Radar_Mosca'!$CM$7</f>
            </numRef>
          </yVal>
        </ser>
        <ser>
          <idx val="67"/>
          <order val="67"/>
          <tx>
            <strRef>
              <f>'Radar_Mosca'!$CL$8</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'Radar_Mosca'!$CK$8</f>
            </numRef>
          </xVal>
          <yVal>
            <numRef>
              <f>'Radar_Mosca'!$CM$8</f>
            </numRef>
          </yVal>
        </ser>
        <ser>
          <idx val="68"/>
          <order val="68"/>
          <tx>
            <strRef>
              <f>'Radar_Mosca'!$CL$9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'Radar_Mosca'!$CK$9</f>
            </numRef>
          </xVal>
          <yVal>
            <numRef>
              <f>'Radar_Mosca'!$CM$9</f>
            </numRef>
          </yVal>
        </ser>
        <ser>
          <idx val="69"/>
          <order val="69"/>
          <tx>
            <strRef>
              <f>'Radar_Mosca'!$CL$10</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'Radar_Mosca'!$CK$10</f>
            </numRef>
          </xVal>
          <yVal>
            <numRef>
              <f>'Radar_Mosca'!$CM$10</f>
            </numRef>
          </yVal>
        </ser>
        <ser>
          <idx val="70"/>
          <order val="70"/>
          <tx>
            <strRef>
              <f>'Radar_Mosca'!$CL$11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'Radar_Mosca'!$CK$11</f>
            </numRef>
          </xVal>
          <yVal>
            <numRef>
              <f>'Radar_Mosca'!$CM$11</f>
            </numRef>
          </yVal>
        </ser>
        <ser>
          <idx val="71"/>
          <order val="71"/>
          <tx>
            <strRef>
              <f>'Radar_Mosca'!$CL$12</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'Radar_Mosca'!$CK$12</f>
            </numRef>
          </xVal>
          <yVal>
            <numRef>
              <f>'Radar_Mosca'!$CM$12</f>
            </numRef>
          </yVal>
        </ser>
        <ser>
          <idx val="72"/>
          <order val="72"/>
          <tx>
            <strRef>
              <f>'Radar_Mosca'!$CL$13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'Radar_Mosca'!$CK$13</f>
            </numRef>
          </xVal>
          <yVal>
            <numRef>
              <f>'Radar_Mosca'!$CM$13</f>
            </numRef>
          </yVal>
        </ser>
        <ser>
          <idx val="73"/>
          <order val="73"/>
          <tx>
            <strRef>
              <f>'Radar_Mosca'!$CL$14</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'Radar_Mosca'!$CK$14</f>
            </numRef>
          </xVal>
          <yVal>
            <numRef>
              <f>'Radar_Mosca'!$CM$14</f>
            </numRef>
          </yVal>
        </ser>
        <ser>
          <idx val="74"/>
          <order val="74"/>
          <tx>
            <strRef>
              <f>'Radar_Mosca'!$CL$15</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'Radar_Mosca'!$CK$15</f>
            </numRef>
          </xVal>
          <yVal>
            <numRef>
              <f>'Radar_Mosca'!$CM$15</f>
            </numRef>
          </yVal>
        </ser>
        <ser>
          <idx val="75"/>
          <order val="75"/>
          <tx>
            <strRef>
              <f>'Radar_Mosca'!$CL$16</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'Radar_Mosca'!$CK$16</f>
            </numRef>
          </xVal>
          <yVal>
            <numRef>
              <f>'Radar_Mosca'!$CM$16</f>
            </numRef>
          </yVal>
        </ser>
        <ser>
          <idx val="76"/>
          <order val="76"/>
          <tx>
            <strRef>
              <f>'Radar_Mosca'!$CL$17</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'Radar_Mosca'!$CK$17</f>
            </numRef>
          </xVal>
          <yVal>
            <numRef>
              <f>'Radar_Mosca'!$CM$17</f>
            </numRef>
          </yVal>
        </ser>
        <ser>
          <idx val="77"/>
          <order val="77"/>
          <tx>
            <strRef>
              <f>'Radar_Mosca'!$CL$18</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'Radar_Mosca'!$CK$18</f>
            </numRef>
          </xVal>
          <yVal>
            <numRef>
              <f>'Radar_Mosca'!$CM$18</f>
            </numRef>
          </yVal>
        </ser>
        <ser>
          <idx val="78"/>
          <order val="78"/>
          <tx>
            <strRef>
              <f>'Radar_Mosca'!$CL$19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'Radar_Mosca'!$CK$19</f>
            </numRef>
          </xVal>
          <yVal>
            <numRef>
              <f>'Radar_Mosca'!$CM$19</f>
            </numRef>
          </yVal>
        </ser>
        <ser>
          <idx val="79"/>
          <order val="79"/>
          <tx>
            <strRef>
              <f>'Radar_Mosca'!$CL$20</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'Radar_Mosca'!$CK$20</f>
            </numRef>
          </xVal>
          <yVal>
            <numRef>
              <f>'Radar_Mosca'!$CM$20</f>
            </numRef>
          </yVal>
        </ser>
        <ser>
          <idx val="80"/>
          <order val="80"/>
          <tx>
            <strRef>
              <f>'Radar_Mosca'!$CL$21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'Radar_Mosca'!$CK$21</f>
            </numRef>
          </xVal>
          <yVal>
            <numRef>
              <f>'Radar_Mosca'!$CM$21</f>
            </numRef>
          </yVal>
        </ser>
        <ser>
          <idx val="81"/>
          <order val="81"/>
          <tx>
            <strRef>
              <f>'Radar_Mosca'!$CL$22</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'Radar_Mosca'!$CK$22</f>
            </numRef>
          </xVal>
          <yVal>
            <numRef>
              <f>'Radar_Mosca'!$CM$22</f>
            </numRef>
          </yVal>
        </ser>
        <ser>
          <idx val="82"/>
          <order val="82"/>
          <tx>
            <strRef>
              <f>'Radar_Mosca'!$CL$23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'Radar_Mosca'!$CK$23</f>
            </numRef>
          </xVal>
          <yVal>
            <numRef>
              <f>'Radar_Mosca'!$CM$23</f>
            </numRef>
          </yVal>
        </ser>
        <ser>
          <idx val="83"/>
          <order val="83"/>
          <tx>
            <strRef>
              <f>'Radar_Mosca'!$CL$24</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'Radar_Mosca'!$CK$24</f>
            </numRef>
          </xVal>
          <yVal>
            <numRef>
              <f>'Radar_Mosca'!$CM$24</f>
            </numRef>
          </yVal>
        </ser>
        <ser>
          <idx val="84"/>
          <order val="84"/>
          <tx>
            <strRef>
              <f>'Radar_Mosca'!$CN$5</f>
            </strRef>
          </tx>
          <spPr>
            <a:ln xmlns:a="http://schemas.openxmlformats.org/drawingml/2006/main">
              <a:noFill/>
              <a:prstDash val="solid"/>
            </a:ln>
          </spPr>
          <marker>
            <symbol val="circle"/>
            <size val="14"/>
            <spPr>
              <a:solidFill xmlns:a="http://schemas.openxmlformats.org/drawingml/2006/main">
                <a:srgbClr val="E06666">
                  <a:alpha val="55000"/>
                </a:srgbClr>
              </a:solidFill>
              <a:ln xmlns:a="http://schemas.openxmlformats.org/drawingml/2006/main" w="9525">
                <a:solidFill>
                  <a:srgbClr val="595959"/>
                </a:solidFill>
                <a:prstDash val="solid"/>
              </a:ln>
            </spPr>
          </marker>
          <dLbls>
            <txPr>
              <a:bodyPr xmlns:a="http://schemas.openxmlformats.org/drawingml/2006/main"/>
              <a:p xmlns:a="http://schemas.openxmlformats.org/drawingml/2006/main">
                <a:pPr>
                  <a:defRPr sz="800" b="1">
                    <a:solidFill>
                      <a:srgbClr val="595959"/>
                    </a:solidFill>
                  </a:defRPr>
                </a:pPr>
                <a:r>
                  <a:t/>
                </a:r>
                <a:endParaRPr sz="800" b="1">
                  <a:solidFill>
                    <a:srgbClr val="595959"/>
                  </a:solidFill>
                </a:endParaRPr>
              </a:p>
            </txPr>
            <dLblPos val="r"/>
            <showLegendKey val="0"/>
            <showVal val="0"/>
            <showCatName val="0"/>
            <showSerName val="1"/>
            <showPercent val="0"/>
            <showBubbleSize val="0"/>
          </dLbls>
          <xVal>
            <numRef>
              <f>'Radar_Mosca'!$CO$5</f>
            </numRef>
          </xVal>
          <yVal>
            <numRef>
              <f>'Radar_Mosca'!$CP$5</f>
            </numRef>
          </yVal>
        </ser>
        <ser>
          <idx val="85"/>
          <order val="85"/>
          <tx>
            <strRef>
              <f>'Radar_Mosca'!$CN$6</f>
            </strRef>
          </tx>
          <spPr>
            <a:ln xmlns:a="http://schemas.openxmlformats.org/drawingml/2006/main">
              <a:noFill/>
              <a:prstDash val="solid"/>
            </a:ln>
          </spPr>
          <marker>
            <symbol val="circle"/>
            <size val="14"/>
            <spPr>
              <a:solidFill xmlns:a="http://schemas.openxmlformats.org/drawingml/2006/main">
                <a:srgbClr val="F6C342">
                  <a:alpha val="55000"/>
                </a:srgbClr>
              </a:solidFill>
              <a:ln xmlns:a="http://schemas.openxmlformats.org/drawingml/2006/main" w="9525">
                <a:solidFill>
                  <a:srgbClr val="595959"/>
                </a:solidFill>
                <a:prstDash val="solid"/>
              </a:ln>
            </spPr>
          </marker>
          <dLbls>
            <txPr>
              <a:bodyPr xmlns:a="http://schemas.openxmlformats.org/drawingml/2006/main"/>
              <a:p xmlns:a="http://schemas.openxmlformats.org/drawingml/2006/main">
                <a:pPr>
                  <a:defRPr sz="800" b="1">
                    <a:solidFill>
                      <a:srgbClr val="595959"/>
                    </a:solidFill>
                  </a:defRPr>
                </a:pPr>
                <a:r>
                  <a:t/>
                </a:r>
                <a:endParaRPr sz="800" b="1">
                  <a:solidFill>
                    <a:srgbClr val="595959"/>
                  </a:solidFill>
                </a:endParaRPr>
              </a:p>
            </txPr>
            <dLblPos val="r"/>
            <showLegendKey val="0"/>
            <showVal val="0"/>
            <showCatName val="0"/>
            <showSerName val="1"/>
            <showPercent val="0"/>
            <showBubbleSize val="0"/>
          </dLbls>
          <xVal>
            <numRef>
              <f>'Radar_Mosca'!$CO$6</f>
            </numRef>
          </xVal>
          <yVal>
            <numRef>
              <f>'Radar_Mosca'!$CP$6</f>
            </numRef>
          </yVal>
        </ser>
        <ser>
          <idx val="86"/>
          <order val="86"/>
          <tx>
            <strRef>
              <f>'Radar_Mosca'!$CN$7</f>
            </strRef>
          </tx>
          <spPr>
            <a:ln xmlns:a="http://schemas.openxmlformats.org/drawingml/2006/main">
              <a:noFill/>
              <a:prstDash val="solid"/>
            </a:ln>
          </spPr>
          <marker>
            <symbol val="circle"/>
            <size val="14"/>
            <spPr>
              <a:solidFill xmlns:a="http://schemas.openxmlformats.org/drawingml/2006/main">
                <a:srgbClr val="93C47D">
                  <a:alpha val="55000"/>
                </a:srgbClr>
              </a:solidFill>
              <a:ln xmlns:a="http://schemas.openxmlformats.org/drawingml/2006/main" w="9525">
                <a:solidFill>
                  <a:srgbClr val="595959"/>
                </a:solidFill>
                <a:prstDash val="solid"/>
              </a:ln>
            </spPr>
          </marker>
          <dLbls>
            <txPr>
              <a:bodyPr xmlns:a="http://schemas.openxmlformats.org/drawingml/2006/main"/>
              <a:p xmlns:a="http://schemas.openxmlformats.org/drawingml/2006/main">
                <a:pPr>
                  <a:defRPr sz="800" b="1">
                    <a:solidFill>
                      <a:srgbClr val="595959"/>
                    </a:solidFill>
                  </a:defRPr>
                </a:pPr>
                <a:r>
                  <a:t/>
                </a:r>
                <a:endParaRPr sz="800" b="1">
                  <a:solidFill>
                    <a:srgbClr val="595959"/>
                  </a:solidFill>
                </a:endParaRPr>
              </a:p>
            </txPr>
            <dLblPos val="r"/>
            <showLegendKey val="0"/>
            <showVal val="0"/>
            <showCatName val="0"/>
            <showSerName val="1"/>
            <showPercent val="0"/>
            <showBubbleSize val="0"/>
          </dLbls>
          <xVal>
            <numRef>
              <f>'Radar_Mosca'!$CO$7</f>
            </numRef>
          </xVal>
          <yVal>
            <numRef>
              <f>'Radar_Mosca'!$CP$7</f>
            </numRef>
          </yVal>
        </ser>
        <ser>
          <idx val="87"/>
          <order val="87"/>
          <tx>
            <strRef>
              <f>'Radar_Mosca'!$CN$8</f>
            </strRef>
          </tx>
          <spPr>
            <a:ln xmlns:a="http://schemas.openxmlformats.org/drawingml/2006/main" w="28575">
              <a:solidFill>
                <a:srgbClr val="C00000"/>
              </a:solidFill>
              <a:prstDash val="solid"/>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800" b="1">
                      <a:solidFill>
                        <a:srgbClr val="C00000"/>
                      </a:solidFill>
                    </a:defRPr>
                  </a:pPr>
                  <a:r>
                    <a:t/>
                  </a:r>
                  <a:endParaRPr sz="800" b="1">
                    <a:solidFill>
                      <a:srgbClr val="C00000"/>
                    </a:solidFill>
                  </a:endParaRPr>
                </a:p>
              </txPr>
              <dLblPos val="r"/>
              <showLegendKey val="0"/>
              <showVal val="0"/>
              <showCatName val="0"/>
              <showSerName val="1"/>
              <showPercent val="0"/>
              <showBubbleSize val="0"/>
            </dLbl>
            <txPr>
              <a:bodyPr xmlns:a="http://schemas.openxmlformats.org/drawingml/2006/main"/>
              <a:p xmlns:a="http://schemas.openxmlformats.org/drawingml/2006/main">
                <a:pPr>
                  <a:defRPr sz="800" b="1">
                    <a:solidFill>
                      <a:srgbClr val="C00000"/>
                    </a:solidFill>
                  </a:defRPr>
                </a:pPr>
                <a:r>
                  <a:t/>
                </a:r>
                <a:endParaRPr sz="800" b="1">
                  <a:solidFill>
                    <a:srgbClr val="C00000"/>
                  </a:solidFill>
                </a:endParaRPr>
              </a:p>
            </txPr>
            <showLegendKey val="0"/>
            <showVal val="0"/>
            <showCatName val="0"/>
            <showSerName val="0"/>
            <showPercent val="0"/>
            <showBubbleSize val="0"/>
          </dLbls>
          <xVal>
            <numRef>
              <f>'Radar_Mosca'!$CO$8:$CO$9</f>
            </numRef>
          </xVal>
          <yVal>
            <numRef>
              <f>'Radar_Mosca'!$CP$8:$CP$9</f>
            </numRef>
          </yVal>
        </ser>
        <ser>
          <idx val="88"/>
          <order val="88"/>
          <tx>
            <strRef>
              <f>'Radar_Mosca'!$CN$10</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595959"/>
                    </a:solidFill>
                  </a:defRPr>
                </a:pPr>
                <a:r>
                  <a:t/>
                </a:r>
                <a:endParaRPr sz="800" b="1">
                  <a:solidFill>
                    <a:srgbClr val="595959"/>
                  </a:solidFill>
                </a:endParaRPr>
              </a:p>
            </txPr>
            <dLblPos val="ctr"/>
            <showLegendKey val="0"/>
            <showVal val="0"/>
            <showCatName val="0"/>
            <showSerName val="1"/>
            <showPercent val="0"/>
            <showBubbleSize val="0"/>
          </dLbls>
          <xVal>
            <numRef>
              <f>'Radar_Mosca'!$CO$10</f>
            </numRef>
          </xVal>
          <yVal>
            <numRef>
              <f>'Radar_Mosca'!$CP$10</f>
            </numRef>
          </yVal>
        </ser>
        <ser>
          <idx val="89"/>
          <order val="89"/>
          <tx>
            <strRef>
              <f>'Radar_Mosca'!$CN$11</f>
            </strRef>
          </tx>
          <spPr>
            <a:ln xmlns:a="http://schemas.openxmlformats.org/drawingml/2006/main">
              <a:noFill/>
              <a:prstDash val="solid"/>
            </a:ln>
          </spPr>
          <marker>
            <symbol val="circle"/>
            <size val="20"/>
            <spPr>
              <a:solidFill xmlns:a="http://schemas.openxmlformats.org/drawingml/2006/main">
                <a:srgbClr val="9DC3E7">
                  <a:alpha val="55000"/>
                </a:srgbClr>
              </a:solidFill>
              <a:ln xmlns:a="http://schemas.openxmlformats.org/drawingml/2006/main" w="9525">
                <a:solidFill>
                  <a:srgbClr val="1F4E79"/>
                </a:solidFill>
                <a:prstDash val="solid"/>
              </a:ln>
            </spPr>
          </marker>
          <dLbls>
            <txPr>
              <a:bodyPr xmlns:a="http://schemas.openxmlformats.org/drawingml/2006/main"/>
              <a:p xmlns:a="http://schemas.openxmlformats.org/drawingml/2006/main">
                <a:pPr>
                  <a:defRPr sz="800" b="0">
                    <a:solidFill>
                      <a:srgbClr val="595959"/>
                    </a:solidFill>
                  </a:defRPr>
                </a:pPr>
                <a:r>
                  <a:t/>
                </a:r>
                <a:endParaRPr sz="800" b="0">
                  <a:solidFill>
                    <a:srgbClr val="595959"/>
                  </a:solidFill>
                </a:endParaRPr>
              </a:p>
            </txPr>
            <dLblPos val="b"/>
            <showLegendKey val="0"/>
            <showVal val="0"/>
            <showCatName val="0"/>
            <showSerName val="1"/>
            <showPercent val="0"/>
            <showBubbleSize val="0"/>
          </dLbls>
          <xVal>
            <numRef>
              <f>'Radar_Mosca'!$CO$11</f>
            </numRef>
          </xVal>
          <yVal>
            <numRef>
              <f>'Radar_Mosca'!$CP$11</f>
            </numRef>
          </yVal>
        </ser>
        <ser>
          <idx val="90"/>
          <order val="90"/>
          <tx>
            <strRef>
              <f>'Radar_Mosca'!$CN$12</f>
            </strRef>
          </tx>
          <spPr>
            <a:ln xmlns:a="http://schemas.openxmlformats.org/drawingml/2006/main">
              <a:noFill/>
              <a:prstDash val="solid"/>
            </a:ln>
          </spPr>
          <marker>
            <symbol val="circle"/>
            <size val="35"/>
            <spPr>
              <a:solidFill xmlns:a="http://schemas.openxmlformats.org/drawingml/2006/main">
                <a:srgbClr val="9DC3E7">
                  <a:alpha val="55000"/>
                </a:srgbClr>
              </a:solidFill>
              <a:ln xmlns:a="http://schemas.openxmlformats.org/drawingml/2006/main" w="9525">
                <a:solidFill>
                  <a:srgbClr val="1F4E79"/>
                </a:solidFill>
                <a:prstDash val="solid"/>
              </a:ln>
            </spPr>
          </marker>
          <dLbls>
            <txPr>
              <a:bodyPr xmlns:a="http://schemas.openxmlformats.org/drawingml/2006/main"/>
              <a:p xmlns:a="http://schemas.openxmlformats.org/drawingml/2006/main">
                <a:pPr>
                  <a:defRPr sz="800" b="0">
                    <a:solidFill>
                      <a:srgbClr val="595959"/>
                    </a:solidFill>
                  </a:defRPr>
                </a:pPr>
                <a:r>
                  <a:t/>
                </a:r>
                <a:endParaRPr sz="800" b="0">
                  <a:solidFill>
                    <a:srgbClr val="595959"/>
                  </a:solidFill>
                </a:endParaRPr>
              </a:p>
            </txPr>
            <dLblPos val="b"/>
            <showLegendKey val="0"/>
            <showVal val="0"/>
            <showCatName val="0"/>
            <showSerName val="1"/>
            <showPercent val="0"/>
            <showBubbleSize val="0"/>
          </dLbls>
          <xVal>
            <numRef>
              <f>'Radar_Mosca'!$CO$12</f>
            </numRef>
          </xVal>
          <yVal>
            <numRef>
              <f>'Radar_Mosca'!$CP$12</f>
            </numRef>
          </yVal>
        </ser>
        <ser>
          <idx val="91"/>
          <order val="91"/>
          <tx>
            <strRef>
              <f>'Radar_Mosca'!$CN$13</f>
            </strRef>
          </tx>
          <spPr>
            <a:ln xmlns:a="http://schemas.openxmlformats.org/drawingml/2006/main">
              <a:noFill/>
              <a:prstDash val="solid"/>
            </a:ln>
          </spPr>
          <marker>
            <symbol val="circle"/>
            <size val="50"/>
            <spPr>
              <a:solidFill xmlns:a="http://schemas.openxmlformats.org/drawingml/2006/main">
                <a:srgbClr val="9DC3E7">
                  <a:alpha val="55000"/>
                </a:srgbClr>
              </a:solidFill>
              <a:ln xmlns:a="http://schemas.openxmlformats.org/drawingml/2006/main" w="9525">
                <a:solidFill>
                  <a:srgbClr val="1F4E79"/>
                </a:solidFill>
                <a:prstDash val="solid"/>
              </a:ln>
            </spPr>
          </marker>
          <dLbls>
            <txPr>
              <a:bodyPr xmlns:a="http://schemas.openxmlformats.org/drawingml/2006/main"/>
              <a:p xmlns:a="http://schemas.openxmlformats.org/drawingml/2006/main">
                <a:pPr>
                  <a:defRPr sz="800" b="0">
                    <a:solidFill>
                      <a:srgbClr val="595959"/>
                    </a:solidFill>
                  </a:defRPr>
                </a:pPr>
                <a:r>
                  <a:t/>
                </a:r>
                <a:endParaRPr sz="800" b="0">
                  <a:solidFill>
                    <a:srgbClr val="595959"/>
                  </a:solidFill>
                </a:endParaRPr>
              </a:p>
            </txPr>
            <dLblPos val="b"/>
            <showLegendKey val="0"/>
            <showVal val="0"/>
            <showCatName val="0"/>
            <showSerName val="1"/>
            <showPercent val="0"/>
            <showBubbleSize val="0"/>
          </dLbls>
          <xVal>
            <numRef>
              <f>'Radar_Mosca'!$CO$13</f>
            </numRef>
          </xVal>
          <yVal>
            <numRef>
              <f>'Radar_Mosca'!$CP$13</f>
            </numRef>
          </yVal>
        </ser>
        <axId val="10"/>
        <axId val="20"/>
      </scatterChart>
      <valAx>
        <axId val="10"/>
        <scaling>
          <orientation val="minMax"/>
          <max val="7.6"/>
          <min val="-7.6"/>
        </scaling>
        <delete val="1"/>
        <axPos val="l"/>
        <majorTickMark val="none"/>
        <minorTickMark val="none"/>
        <crossAx val="20"/>
      </valAx>
      <valAx>
        <axId val="20"/>
        <scaling>
          <orientation val="minMax"/>
          <max val="7.6"/>
          <min val="-10.4"/>
        </scaling>
        <delete val="1"/>
        <axPos val="l"/>
        <majorTickMark val="none"/>
        <minorTickMark val="none"/>
        <crossAx val="10"/>
      </valAx>
    </plotArea>
    <plotVisOnly val="0"/>
    <dispBlanksAs val="gap"/>
  </chart>
  <spPr>
    <a:ln xmlns:a="http://schemas.openxmlformats.org/drawingml/2006/main">
      <a:noFill/>
      <a:prstDash val="solid"/>
    </a:ln>
  </spPr>
</chartSpace>
</file>

<file path=xl/charts/chart5.xml><?xml version="1.0" encoding="utf-8"?>
<chartSpace xmlns="http://schemas.openxmlformats.org/drawingml/2006/chart">
  <chart>
    <title>
      <tx>
        <strRef>
          <f>'Delta'!$AT$2</f>
        </strRef>
      </tx>
      <overlay val="0"/>
    </title>
    <plotArea>
      <barChart>
        <barDir val="bar"/>
        <grouping val="clustered"/>
        <varyColors val="0"/>
        <ser>
          <idx val="0"/>
          <order val="0"/>
          <tx>
            <v>In aumento</v>
          </tx>
          <spPr>
            <a:solidFill xmlns:a="http://schemas.openxmlformats.org/drawingml/2006/main">
              <a:srgbClr val="C00000"/>
            </a:solidFill>
            <a:ln xmlns:a="http://schemas.openxmlformats.org/drawingml/2006/main">
              <a:noFill/>
              <a:prstDash val="solid"/>
            </a:ln>
          </spPr>
          <invertIfNegative val="0"/>
          <dLbls>
            <txPr>
              <a:bodyPr xmlns:a="http://schemas.openxmlformats.org/drawingml/2006/main"/>
              <a:p xmlns:a="http://schemas.openxmlformats.org/drawingml/2006/main">
                <a:pPr>
                  <a:defRPr sz="900" b="1">
                    <a:solidFill>
                      <a:srgbClr val="C00000"/>
                    </a:solidFill>
                  </a:defRPr>
                </a:pPr>
                <a:r>
                  <a:t/>
                </a:r>
                <a:endParaRPr sz="900" b="1">
                  <a:solidFill>
                    <a:srgbClr val="C00000"/>
                  </a:solidFill>
                </a:endParaRPr>
              </a:p>
            </txPr>
            <dLblPos val="outEnd"/>
            <showLegendKey val="0"/>
            <showVal val="1"/>
            <showCatName val="0"/>
            <showSerName val="0"/>
            <showPercent val="0"/>
          </dLbls>
          <cat>
            <strRef>
              <f>[0]!deltaEtichette</f>
            </strRef>
          </cat>
          <val>
            <numRef>
              <f>[0]!deltaSu</f>
            </numRef>
          </val>
        </ser>
        <ser>
          <idx val="1"/>
          <order val="1"/>
          <tx>
            <v>In diminuzione</v>
          </tx>
          <spPr>
            <a:solidFill xmlns:a="http://schemas.openxmlformats.org/drawingml/2006/main">
              <a:srgbClr val="2E75B6"/>
            </a:solidFill>
            <a:ln xmlns:a="http://schemas.openxmlformats.org/drawingml/2006/main">
              <a:noFill/>
              <a:prstDash val="solid"/>
            </a:ln>
          </spPr>
          <invertIfNegative val="0"/>
          <dLbls>
            <txPr>
              <a:bodyPr xmlns:a="http://schemas.openxmlformats.org/drawingml/2006/main"/>
              <a:p xmlns:a="http://schemas.openxmlformats.org/drawingml/2006/main">
                <a:pPr>
                  <a:defRPr sz="900" b="1">
                    <a:solidFill>
                      <a:srgbClr val="2E75B6"/>
                    </a:solidFill>
                  </a:defRPr>
                </a:pPr>
                <a:r>
                  <a:t/>
                </a:r>
                <a:endParaRPr sz="900" b="1">
                  <a:solidFill>
                    <a:srgbClr val="2E75B6"/>
                  </a:solidFill>
                </a:endParaRPr>
              </a:p>
            </txPr>
            <dLblPos val="outEnd"/>
            <showLegendKey val="0"/>
            <showVal val="1"/>
            <showCatName val="0"/>
            <showSerName val="0"/>
            <showPercent val="0"/>
          </dLbls>
          <cat>
            <strRef>
              <f>[0]!deltaEtichette</f>
            </strRef>
          </cat>
          <val>
            <numRef>
              <f>[0]!deltaGiu</f>
            </numRef>
          </val>
        </ser>
        <ser>
          <idx val="2"/>
          <order val="2"/>
          <tx>
            <v>Invariato</v>
          </tx>
          <spPr>
            <a:solidFill xmlns:a="http://schemas.openxmlformats.org/drawingml/2006/main">
              <a:srgbClr val="A6A6A6"/>
            </a:solidFill>
            <a:ln xmlns:a="http://schemas.openxmlformats.org/drawingml/2006/main">
              <a:noFill/>
              <a:prstDash val="solid"/>
            </a:ln>
          </spPr>
          <invertIfNegative val="0"/>
          <cat>
            <strRef>
              <f>[0]!deltaEtichette</f>
            </strRef>
          </cat>
          <val>
            <numRef>
              <f>[0]!deltaZero</f>
            </numRef>
          </val>
        </ser>
        <gapWidth val="50"/>
        <overlap val="100"/>
        <axId val="10"/>
        <axId val="100"/>
      </barChart>
      <catAx>
        <axId val="10"/>
        <scaling>
          <orientation val="maxMin"/>
        </scaling>
        <delete val="0"/>
        <axPos val="l"/>
        <majorTickMark val="none"/>
        <minorTickMark val="none"/>
        <tickLblPos val="low"/>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0"/>
        <lblOffset val="100"/>
      </catAx>
      <valAx>
        <axId val="100"/>
        <scaling>
          <orientation val="minMax"/>
          <max val="1.5"/>
          <min val="-1.5"/>
        </scaling>
        <delete val="0"/>
        <axPos val="l"/>
        <majorGridlines>
          <spPr>
            <a:ln xmlns:a="http://schemas.openxmlformats.org/drawingml/2006/main">
              <a:solidFill>
                <a:srgbClr val="EDEDED"/>
              </a:solidFill>
              <a:prstDash val="solid"/>
            </a:ln>
          </spPr>
        </majorGridlines>
        <numFmt formatCode="+0.00;-0.00;0" sourceLinked="0"/>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
        <majorUnit val="0.5"/>
      </valAx>
    </plotArea>
    <legend>
      <legendPos val="b"/>
      <overlay val="0"/>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legend>
    <plotVisOnly val="0"/>
    <dispBlanksAs val="gap"/>
  </chart>
  <spPr>
    <a:ln xmlns:a="http://schemas.openxmlformats.org/drawingml/2006/main">
      <a:noFill/>
      <a:prstDash val="solid"/>
    </a:ln>
  </spPr>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Score composito per rischio (scala fissa 0-5)</a:t>
            </a:r>
          </a:p>
        </rich>
      </tx>
      <overlay val="0"/>
    </title>
    <plotArea>
      <lineChart>
        <grouping val="standard"/>
        <varyColors val="0"/>
        <ser>
          <idx val="0"/>
          <order val="0"/>
          <tx>
            <strRef>
              <f>'Storico'!B5</f>
            </strRef>
          </tx>
          <spPr>
            <a:ln xmlns:a="http://schemas.openxmlformats.org/drawingml/2006/main">
              <a:prstDash val="solid"/>
            </a:ln>
          </spPr>
          <marker>
            <symbol val="circle"/>
            <spPr>
              <a:ln xmlns:a="http://schemas.openxmlformats.org/drawingml/2006/main">
                <a:prstDash val="solid"/>
              </a:ln>
            </spPr>
          </marker>
          <cat>
            <numRef>
              <f>'Storico'!$C$4:$J$4</f>
            </numRef>
          </cat>
          <val>
            <numRef>
              <f>'Storico'!$C$5:$J$5</f>
            </numRef>
          </val>
          <smooth val="0"/>
        </ser>
        <ser>
          <idx val="1"/>
          <order val="1"/>
          <tx>
            <strRef>
              <f>'Storico'!B6</f>
            </strRef>
          </tx>
          <spPr>
            <a:ln xmlns:a="http://schemas.openxmlformats.org/drawingml/2006/main">
              <a:prstDash val="solid"/>
            </a:ln>
          </spPr>
          <marker>
            <symbol val="circle"/>
            <spPr>
              <a:ln xmlns:a="http://schemas.openxmlformats.org/drawingml/2006/main">
                <a:prstDash val="solid"/>
              </a:ln>
            </spPr>
          </marker>
          <cat>
            <numRef>
              <f>'Storico'!$C$4:$J$4</f>
            </numRef>
          </cat>
          <val>
            <numRef>
              <f>'Storico'!$C$6:$J$6</f>
            </numRef>
          </val>
          <smooth val="0"/>
        </ser>
        <ser>
          <idx val="2"/>
          <order val="2"/>
          <tx>
            <strRef>
              <f>'Storico'!B7</f>
            </strRef>
          </tx>
          <spPr>
            <a:ln xmlns:a="http://schemas.openxmlformats.org/drawingml/2006/main">
              <a:prstDash val="solid"/>
            </a:ln>
          </spPr>
          <marker>
            <symbol val="circle"/>
            <spPr>
              <a:ln xmlns:a="http://schemas.openxmlformats.org/drawingml/2006/main">
                <a:prstDash val="solid"/>
              </a:ln>
            </spPr>
          </marker>
          <cat>
            <numRef>
              <f>'Storico'!$C$4:$J$4</f>
            </numRef>
          </cat>
          <val>
            <numRef>
              <f>'Storico'!$C$7:$J$7</f>
            </numRef>
          </val>
          <smooth val="0"/>
        </ser>
        <ser>
          <idx val="3"/>
          <order val="3"/>
          <tx>
            <strRef>
              <f>'Storico'!B8</f>
            </strRef>
          </tx>
          <spPr>
            <a:ln xmlns:a="http://schemas.openxmlformats.org/drawingml/2006/main">
              <a:prstDash val="solid"/>
            </a:ln>
          </spPr>
          <marker>
            <symbol val="circle"/>
            <spPr>
              <a:ln xmlns:a="http://schemas.openxmlformats.org/drawingml/2006/main">
                <a:prstDash val="solid"/>
              </a:ln>
            </spPr>
          </marker>
          <cat>
            <numRef>
              <f>'Storico'!$C$4:$J$4</f>
            </numRef>
          </cat>
          <val>
            <numRef>
              <f>'Storico'!$C$8:$J$8</f>
            </numRef>
          </val>
          <smooth val="0"/>
        </ser>
        <ser>
          <idx val="4"/>
          <order val="4"/>
          <tx>
            <strRef>
              <f>'Storico'!B9</f>
            </strRef>
          </tx>
          <spPr>
            <a:ln xmlns:a="http://schemas.openxmlformats.org/drawingml/2006/main">
              <a:prstDash val="solid"/>
            </a:ln>
          </spPr>
          <marker>
            <symbol val="circle"/>
            <spPr>
              <a:ln xmlns:a="http://schemas.openxmlformats.org/drawingml/2006/main">
                <a:prstDash val="solid"/>
              </a:ln>
            </spPr>
          </marker>
          <cat>
            <numRef>
              <f>'Storico'!$C$4:$J$4</f>
            </numRef>
          </cat>
          <val>
            <numRef>
              <f>'Storico'!$C$9:$J$9</f>
            </numRef>
          </val>
          <smooth val="0"/>
        </ser>
        <ser>
          <idx val="5"/>
          <order val="5"/>
          <tx>
            <strRef>
              <f>'Storico'!B10</f>
            </strRef>
          </tx>
          <spPr>
            <a:ln xmlns:a="http://schemas.openxmlformats.org/drawingml/2006/main">
              <a:prstDash val="solid"/>
            </a:ln>
          </spPr>
          <marker>
            <symbol val="circle"/>
            <spPr>
              <a:ln xmlns:a="http://schemas.openxmlformats.org/drawingml/2006/main">
                <a:prstDash val="solid"/>
              </a:ln>
            </spPr>
          </marker>
          <cat>
            <numRef>
              <f>'Storico'!$C$4:$J$4</f>
            </numRef>
          </cat>
          <val>
            <numRef>
              <f>'Storico'!$C$10:$J$10</f>
            </numRef>
          </val>
          <smooth val="0"/>
        </ser>
        <ser>
          <idx val="6"/>
          <order val="6"/>
          <tx>
            <strRef>
              <f>'Storico'!B11</f>
            </strRef>
          </tx>
          <spPr>
            <a:ln xmlns:a="http://schemas.openxmlformats.org/drawingml/2006/main">
              <a:prstDash val="solid"/>
            </a:ln>
          </spPr>
          <marker>
            <symbol val="circle"/>
            <spPr>
              <a:ln xmlns:a="http://schemas.openxmlformats.org/drawingml/2006/main">
                <a:prstDash val="solid"/>
              </a:ln>
            </spPr>
          </marker>
          <cat>
            <numRef>
              <f>'Storico'!$C$4:$J$4</f>
            </numRef>
          </cat>
          <val>
            <numRef>
              <f>'Storico'!$C$11:$J$11</f>
            </numRef>
          </val>
          <smooth val="0"/>
        </ser>
        <ser>
          <idx val="7"/>
          <order val="7"/>
          <tx>
            <strRef>
              <f>'Storico'!B12</f>
            </strRef>
          </tx>
          <spPr>
            <a:ln xmlns:a="http://schemas.openxmlformats.org/drawingml/2006/main">
              <a:prstDash val="solid"/>
            </a:ln>
          </spPr>
          <marker>
            <symbol val="circle"/>
            <spPr>
              <a:ln xmlns:a="http://schemas.openxmlformats.org/drawingml/2006/main">
                <a:prstDash val="solid"/>
              </a:ln>
            </spPr>
          </marker>
          <cat>
            <numRef>
              <f>'Storico'!$C$4:$J$4</f>
            </numRef>
          </cat>
          <val>
            <numRef>
              <f>'Storico'!$C$12:$J$12</f>
            </numRef>
          </val>
          <smooth val="0"/>
        </ser>
        <ser>
          <idx val="8"/>
          <order val="8"/>
          <tx>
            <strRef>
              <f>'Storico'!B13</f>
            </strRef>
          </tx>
          <spPr>
            <a:ln xmlns:a="http://schemas.openxmlformats.org/drawingml/2006/main">
              <a:prstDash val="solid"/>
            </a:ln>
          </spPr>
          <marker>
            <symbol val="circle"/>
            <spPr>
              <a:ln xmlns:a="http://schemas.openxmlformats.org/drawingml/2006/main">
                <a:prstDash val="solid"/>
              </a:ln>
            </spPr>
          </marker>
          <cat>
            <numRef>
              <f>'Storico'!$C$4:$J$4</f>
            </numRef>
          </cat>
          <val>
            <numRef>
              <f>'Storico'!$C$13:$J$13</f>
            </numRef>
          </val>
          <smooth val="0"/>
        </ser>
        <ser>
          <idx val="9"/>
          <order val="9"/>
          <tx>
            <strRef>
              <f>'Storico'!B14</f>
            </strRef>
          </tx>
          <spPr>
            <a:ln xmlns:a="http://schemas.openxmlformats.org/drawingml/2006/main">
              <a:prstDash val="solid"/>
            </a:ln>
          </spPr>
          <marker>
            <symbol val="circle"/>
            <spPr>
              <a:ln xmlns:a="http://schemas.openxmlformats.org/drawingml/2006/main">
                <a:prstDash val="solid"/>
              </a:ln>
            </spPr>
          </marker>
          <cat>
            <numRef>
              <f>'Storico'!$C$4:$J$4</f>
            </numRef>
          </cat>
          <val>
            <numRef>
              <f>'Storico'!$C$14:$J$14</f>
            </numRef>
          </val>
          <smooth val="0"/>
        </ser>
        <ser>
          <idx val="10"/>
          <order val="10"/>
          <tx>
            <strRef>
              <f>'Storico'!B15</f>
            </strRef>
          </tx>
          <spPr>
            <a:ln xmlns:a="http://schemas.openxmlformats.org/drawingml/2006/main">
              <a:prstDash val="solid"/>
            </a:ln>
          </spPr>
          <marker>
            <symbol val="circle"/>
            <spPr>
              <a:ln xmlns:a="http://schemas.openxmlformats.org/drawingml/2006/main">
                <a:prstDash val="solid"/>
              </a:ln>
            </spPr>
          </marker>
          <cat>
            <numRef>
              <f>'Storico'!$C$4:$J$4</f>
            </numRef>
          </cat>
          <val>
            <numRef>
              <f>'Storico'!$C$15:$J$15</f>
            </numRef>
          </val>
          <smooth val="0"/>
        </ser>
        <ser>
          <idx val="11"/>
          <order val="11"/>
          <tx>
            <strRef>
              <f>'Storico'!B16</f>
            </strRef>
          </tx>
          <spPr>
            <a:ln xmlns:a="http://schemas.openxmlformats.org/drawingml/2006/main">
              <a:prstDash val="solid"/>
            </a:ln>
          </spPr>
          <marker>
            <symbol val="circle"/>
            <spPr>
              <a:ln xmlns:a="http://schemas.openxmlformats.org/drawingml/2006/main">
                <a:prstDash val="solid"/>
              </a:ln>
            </spPr>
          </marker>
          <cat>
            <numRef>
              <f>'Storico'!$C$4:$J$4</f>
            </numRef>
          </cat>
          <val>
            <numRef>
              <f>'Storico'!$C$16:$J$16</f>
            </numRef>
          </val>
          <smooth val="0"/>
        </ser>
        <ser>
          <idx val="12"/>
          <order val="12"/>
          <tx>
            <strRef>
              <f>'Storico'!B17</f>
            </strRef>
          </tx>
          <spPr>
            <a:ln xmlns:a="http://schemas.openxmlformats.org/drawingml/2006/main">
              <a:prstDash val="solid"/>
            </a:ln>
          </spPr>
          <marker>
            <symbol val="circle"/>
            <spPr>
              <a:ln xmlns:a="http://schemas.openxmlformats.org/drawingml/2006/main">
                <a:prstDash val="solid"/>
              </a:ln>
            </spPr>
          </marker>
          <cat>
            <numRef>
              <f>'Storico'!$C$4:$J$4</f>
            </numRef>
          </cat>
          <val>
            <numRef>
              <f>'Storico'!$C$17:$J$17</f>
            </numRef>
          </val>
          <smooth val="0"/>
        </ser>
        <ser>
          <idx val="13"/>
          <order val="13"/>
          <tx>
            <strRef>
              <f>'Storico'!B18</f>
            </strRef>
          </tx>
          <spPr>
            <a:ln xmlns:a="http://schemas.openxmlformats.org/drawingml/2006/main">
              <a:prstDash val="solid"/>
            </a:ln>
          </spPr>
          <marker>
            <symbol val="circle"/>
            <spPr>
              <a:ln xmlns:a="http://schemas.openxmlformats.org/drawingml/2006/main">
                <a:prstDash val="solid"/>
              </a:ln>
            </spPr>
          </marker>
          <cat>
            <numRef>
              <f>'Storico'!$C$4:$J$4</f>
            </numRef>
          </cat>
          <val>
            <numRef>
              <f>'Storico'!$C$18:$J$18</f>
            </numRef>
          </val>
          <smooth val="0"/>
        </ser>
        <ser>
          <idx val="14"/>
          <order val="14"/>
          <tx>
            <strRef>
              <f>'Storico'!B19</f>
            </strRef>
          </tx>
          <spPr>
            <a:ln xmlns:a="http://schemas.openxmlformats.org/drawingml/2006/main">
              <a:prstDash val="solid"/>
            </a:ln>
          </spPr>
          <marker>
            <symbol val="circle"/>
            <spPr>
              <a:ln xmlns:a="http://schemas.openxmlformats.org/drawingml/2006/main">
                <a:prstDash val="solid"/>
              </a:ln>
            </spPr>
          </marker>
          <cat>
            <numRef>
              <f>'Storico'!$C$4:$J$4</f>
            </numRef>
          </cat>
          <val>
            <numRef>
              <f>'Storico'!$C$19:$J$19</f>
            </numRef>
          </val>
          <smooth val="0"/>
        </ser>
        <ser>
          <idx val="15"/>
          <order val="15"/>
          <tx>
            <strRef>
              <f>'Storico'!B20</f>
            </strRef>
          </tx>
          <spPr>
            <a:ln xmlns:a="http://schemas.openxmlformats.org/drawingml/2006/main">
              <a:prstDash val="solid"/>
            </a:ln>
          </spPr>
          <marker>
            <symbol val="circle"/>
            <spPr>
              <a:ln xmlns:a="http://schemas.openxmlformats.org/drawingml/2006/main">
                <a:prstDash val="solid"/>
              </a:ln>
            </spPr>
          </marker>
          <cat>
            <numRef>
              <f>'Storico'!$C$4:$J$4</f>
            </numRef>
          </cat>
          <val>
            <numRef>
              <f>'Storico'!$C$20:$J$20</f>
            </numRef>
          </val>
          <smooth val="0"/>
        </ser>
        <ser>
          <idx val="16"/>
          <order val="16"/>
          <tx>
            <strRef>
              <f>'Storico'!B21</f>
            </strRef>
          </tx>
          <spPr>
            <a:ln xmlns:a="http://schemas.openxmlformats.org/drawingml/2006/main">
              <a:prstDash val="solid"/>
            </a:ln>
          </spPr>
          <marker>
            <symbol val="circle"/>
            <spPr>
              <a:ln xmlns:a="http://schemas.openxmlformats.org/drawingml/2006/main">
                <a:prstDash val="solid"/>
              </a:ln>
            </spPr>
          </marker>
          <cat>
            <numRef>
              <f>'Storico'!$C$4:$J$4</f>
            </numRef>
          </cat>
          <val>
            <numRef>
              <f>'Storico'!$C$21:$J$21</f>
            </numRef>
          </val>
          <smooth val="0"/>
        </ser>
        <ser>
          <idx val="17"/>
          <order val="17"/>
          <tx>
            <strRef>
              <f>'Storico'!B22</f>
            </strRef>
          </tx>
          <spPr>
            <a:ln xmlns:a="http://schemas.openxmlformats.org/drawingml/2006/main">
              <a:prstDash val="solid"/>
            </a:ln>
          </spPr>
          <marker>
            <symbol val="circle"/>
            <spPr>
              <a:ln xmlns:a="http://schemas.openxmlformats.org/drawingml/2006/main">
                <a:prstDash val="solid"/>
              </a:ln>
            </spPr>
          </marker>
          <cat>
            <numRef>
              <f>'Storico'!$C$4:$J$4</f>
            </numRef>
          </cat>
          <val>
            <numRef>
              <f>'Storico'!$C$22:$J$22</f>
            </numRef>
          </val>
          <smooth val="0"/>
        </ser>
        <ser>
          <idx val="18"/>
          <order val="18"/>
          <tx>
            <strRef>
              <f>'Storico'!B23</f>
            </strRef>
          </tx>
          <spPr>
            <a:ln xmlns:a="http://schemas.openxmlformats.org/drawingml/2006/main">
              <a:prstDash val="solid"/>
            </a:ln>
          </spPr>
          <marker>
            <symbol val="circle"/>
            <spPr>
              <a:ln xmlns:a="http://schemas.openxmlformats.org/drawingml/2006/main">
                <a:prstDash val="solid"/>
              </a:ln>
            </spPr>
          </marker>
          <cat>
            <numRef>
              <f>'Storico'!$C$4:$J$4</f>
            </numRef>
          </cat>
          <val>
            <numRef>
              <f>'Storico'!$C$23:$J$23</f>
            </numRef>
          </val>
          <smooth val="0"/>
        </ser>
        <ser>
          <idx val="19"/>
          <order val="19"/>
          <tx>
            <strRef>
              <f>'Storico'!B24</f>
            </strRef>
          </tx>
          <spPr>
            <a:ln xmlns:a="http://schemas.openxmlformats.org/drawingml/2006/main">
              <a:prstDash val="solid"/>
            </a:ln>
          </spPr>
          <marker>
            <symbol val="circle"/>
            <spPr>
              <a:ln xmlns:a="http://schemas.openxmlformats.org/drawingml/2006/main">
                <a:prstDash val="solid"/>
              </a:ln>
            </spPr>
          </marker>
          <cat>
            <numRef>
              <f>'Storico'!$C$4:$J$4</f>
            </numRef>
          </cat>
          <val>
            <numRef>
              <f>'Storico'!$C$24:$J$24</f>
            </numRef>
          </val>
          <smooth val="0"/>
        </ser>
        <axId val="10"/>
        <axId val="100"/>
      </lineChart>
      <catAx>
        <axId val="10"/>
        <scaling>
          <orientation val="minMax"/>
        </scaling>
        <delete val="0"/>
        <axPos val="l"/>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0"/>
        <lblOffset val="100"/>
      </catAx>
      <valAx>
        <axId val="100"/>
        <scaling>
          <orientation val="minMax"/>
          <max val="5"/>
          <min val="0"/>
        </scaling>
        <delete val="0"/>
        <axPos val="l"/>
        <majorGridlines>
          <spPr>
            <a:ln xmlns:a="http://schemas.openxmlformats.org/drawingml/2006/main">
              <a:solidFill>
                <a:srgbClr val="EDEDED"/>
              </a:solidFill>
              <a:prstDash val="solid"/>
            </a:ln>
          </spPr>
        </majorGridlines>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
        <majorUnit val="1"/>
      </valAx>
    </plotArea>
    <legend>
      <legendPos val="b"/>
      <overlay val="0"/>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legend>
    <plotVisOnly val="1"/>
    <dispBlanksAs val="gap"/>
  </chart>
  <spPr>
    <a:ln xmlns:a="http://schemas.openxmlformats.org/drawingml/2006/main">
      <a:noFill/>
      <a:prstDash val="solid"/>
    </a:ln>
  </spPr>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Valore rilevato e soglie, ultimi otto cicli</a:t>
            </a:r>
          </a:p>
        </rich>
      </tx>
      <overlay val="0"/>
    </title>
    <plotArea>
      <lineChart>
        <grouping val="standard"/>
        <varyColors val="0"/>
        <ser>
          <idx val="0"/>
          <order val="0"/>
          <tx>
            <strRef>
              <f>'Indicatori'!N11</f>
            </strRef>
          </tx>
          <spPr>
            <a:ln xmlns:a="http://schemas.openxmlformats.org/drawingml/2006/main">
              <a:solidFill>
                <a:srgbClr val="1F3864"/>
              </a:solidFill>
              <a:prstDash val="solid"/>
            </a:ln>
          </spPr>
          <marker>
            <symbol val="circle"/>
            <spPr>
              <a:ln xmlns:a="http://schemas.openxmlformats.org/drawingml/2006/main">
                <a:prstDash val="solid"/>
              </a:ln>
            </spPr>
          </marker>
          <cat>
            <numRef>
              <f>'Indicatori'!$M$12:$M$19</f>
            </numRef>
          </cat>
          <val>
            <numRef>
              <f>'Indicatori'!$N$12:$N$19</f>
            </numRef>
          </val>
          <smooth val="0"/>
        </ser>
        <ser>
          <idx val="1"/>
          <order val="1"/>
          <tx>
            <strRef>
              <f>'Indicatori'!O11</f>
            </strRef>
          </tx>
          <spPr>
            <a:ln xmlns:a="http://schemas.openxmlformats.org/drawingml/2006/main">
              <a:solidFill>
                <a:srgbClr val="BF9000"/>
              </a:solidFill>
              <a:prstDash val="dash"/>
            </a:ln>
          </spPr>
          <marker>
            <symbol val="none"/>
            <spPr>
              <a:ln xmlns:a="http://schemas.openxmlformats.org/drawingml/2006/main">
                <a:prstDash val="solid"/>
              </a:ln>
            </spPr>
          </marker>
          <cat>
            <numRef>
              <f>'Indicatori'!$M$12:$M$19</f>
            </numRef>
          </cat>
          <val>
            <numRef>
              <f>'Indicatori'!$O$12:$O$19</f>
            </numRef>
          </val>
          <smooth val="0"/>
        </ser>
        <ser>
          <idx val="2"/>
          <order val="2"/>
          <tx>
            <strRef>
              <f>'Indicatori'!P11</f>
            </strRef>
          </tx>
          <spPr>
            <a:ln xmlns:a="http://schemas.openxmlformats.org/drawingml/2006/main">
              <a:solidFill>
                <a:srgbClr val="C00000"/>
              </a:solidFill>
              <a:prstDash val="dash"/>
            </a:ln>
          </spPr>
          <marker>
            <symbol val="none"/>
            <spPr>
              <a:ln xmlns:a="http://schemas.openxmlformats.org/drawingml/2006/main">
                <a:prstDash val="solid"/>
              </a:ln>
            </spPr>
          </marker>
          <cat>
            <numRef>
              <f>'Indicatori'!$M$12:$M$19</f>
            </numRef>
          </cat>
          <val>
            <numRef>
              <f>'Indicatori'!$P$12:$P$19</f>
            </numRef>
          </val>
          <smooth val="0"/>
        </ser>
        <axId val="10"/>
        <axId val="100"/>
      </lineChart>
      <catAx>
        <axId val="10"/>
        <scaling>
          <orientation val="minMax"/>
        </scaling>
        <delete val="0"/>
        <axPos val="l"/>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0"/>
        <lblOffset val="100"/>
      </catAx>
      <valAx>
        <axId val="100"/>
        <scaling>
          <orientation val="minMax"/>
          <min val="0"/>
        </scaling>
        <delete val="0"/>
        <axPos val="l"/>
        <majorGridlines>
          <spPr>
            <a:ln xmlns:a="http://schemas.openxmlformats.org/drawingml/2006/main">
              <a:solidFill>
                <a:srgbClr val="EDEDED"/>
              </a:solidFill>
              <a:prstDash val="solid"/>
            </a:ln>
          </spPr>
        </majorGridlines>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
      </valAx>
    </plotArea>
    <legend>
      <legendPos val="b"/>
      <overlay val="0"/>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legend>
    <plotVisOnly val="1"/>
    <dispBlanksAs val="gap"/>
  </chart>
  <spPr>
    <a:ln xmlns:a="http://schemas.openxmlformats.org/drawingml/2006/main">
      <a:noFill/>
      <a:prstDash val="solid"/>
    </a:ln>
  </spPr>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Notizie delle ultime 4 settimane per categoria, per intensita'</a:t>
            </a:r>
          </a:p>
        </rich>
      </tx>
      <overlay val="0"/>
    </title>
    <plotArea>
      <barChart>
        <barDir val="bar"/>
        <grouping val="stacked"/>
        <ser>
          <idx val="0"/>
          <order val="0"/>
          <tx>
            <strRef>
              <f>'Notizie'!G4</f>
            </strRef>
          </tx>
          <spPr>
            <a:solidFill xmlns:a="http://schemas.openxmlformats.org/drawingml/2006/main">
              <a:srgbClr val="FCE4D6"/>
            </a:solidFill>
            <a:ln xmlns:a="http://schemas.openxmlformats.org/drawingml/2006/main">
              <a:solidFill>
                <a:srgbClr val="7F7F7F"/>
              </a:solidFill>
              <a:prstDash val="solid"/>
            </a:ln>
          </spPr>
          <cat>
            <numRef>
              <f>'Notizie'!$J$5:$J$13</f>
            </numRef>
          </cat>
          <val>
            <numRef>
              <f>'Notizie'!$G$5:$G$13</f>
            </numRef>
          </val>
        </ser>
        <ser>
          <idx val="1"/>
          <order val="1"/>
          <tx>
            <strRef>
              <f>'Notizie'!H4</f>
            </strRef>
          </tx>
          <spPr>
            <a:solidFill xmlns:a="http://schemas.openxmlformats.org/drawingml/2006/main">
              <a:srgbClr val="F4B183"/>
            </a:solidFill>
            <a:ln xmlns:a="http://schemas.openxmlformats.org/drawingml/2006/main">
              <a:solidFill>
                <a:srgbClr val="7F7F7F"/>
              </a:solidFill>
              <a:prstDash val="solid"/>
            </a:ln>
          </spPr>
          <cat>
            <numRef>
              <f>'Notizie'!$J$5:$J$13</f>
            </numRef>
          </cat>
          <val>
            <numRef>
              <f>'Notizie'!$H$5:$H$13</f>
            </numRef>
          </val>
        </ser>
        <ser>
          <idx val="2"/>
          <order val="2"/>
          <tx>
            <strRef>
              <f>'Notizie'!I4</f>
            </strRef>
          </tx>
          <spPr>
            <a:solidFill xmlns:a="http://schemas.openxmlformats.org/drawingml/2006/main">
              <a:srgbClr val="C55A11"/>
            </a:solidFill>
            <a:ln xmlns:a="http://schemas.openxmlformats.org/drawingml/2006/main">
              <a:solidFill>
                <a:srgbClr val="7F7F7F"/>
              </a:solidFill>
              <a:prstDash val="solid"/>
            </a:ln>
          </spPr>
          <cat>
            <numRef>
              <f>'Notizie'!$J$5:$J$13</f>
            </numRef>
          </cat>
          <val>
            <numRef>
              <f>'Notizie'!$I$5:$I$13</f>
            </numRef>
          </val>
        </ser>
        <gapWidth val="150"/>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0"/>
        <lblOffset val="100"/>
      </catAx>
      <valAx>
        <axId val="100"/>
        <scaling>
          <orientation val="minMax"/>
          <min val="0"/>
        </scaling>
        <delete val="0"/>
        <axPos val="l"/>
        <majorGridlines>
          <spPr>
            <a:ln xmlns:a="http://schemas.openxmlformats.org/drawingml/2006/main">
              <a:solidFill>
                <a:srgbClr val="EDEDED"/>
              </a:solidFill>
              <a:prstDash val="solid"/>
            </a:ln>
          </spPr>
        </majorGridlines>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
        <majorUnit val="1"/>
      </valAx>
    </plotArea>
    <legend>
      <legendPos val="b"/>
      <overlay val="0"/>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legend>
    <plotVisOnly val="1"/>
    <dispBlanksAs val="gap"/>
  </chart>
  <spPr>
    <a:ln xmlns:a="http://schemas.openxmlformats.org/drawingml/2006/main">
      <a:noFill/>
      <a:prstDash val="solid"/>
    </a:ln>
  </spPr>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Segnali per settimana</a:t>
            </a:r>
          </a:p>
        </rich>
      </tx>
      <overlay val="0"/>
    </title>
    <plotArea>
      <barChart>
        <barDir val="col"/>
        <grouping val="clustered"/>
        <ser>
          <idx val="0"/>
          <order val="0"/>
          <tx>
            <strRef>
              <f>'Notizie'!C18</f>
            </strRef>
          </tx>
          <spPr>
            <a:solidFill xmlns:a="http://schemas.openxmlformats.org/drawingml/2006/main">
              <a:srgbClr val="C00000"/>
            </a:solidFill>
            <a:ln xmlns:a="http://schemas.openxmlformats.org/drawingml/2006/main">
              <a:prstDash val="solid"/>
            </a:ln>
          </spPr>
          <cat>
            <numRef>
              <f>'Notizie'!$A$19:$A$30</f>
            </numRef>
          </cat>
          <val>
            <numRef>
              <f>'Notizie'!$C$19:$C$30</f>
            </numRef>
          </val>
        </ser>
        <ser>
          <idx val="1"/>
          <order val="1"/>
          <tx>
            <strRef>
              <f>'Notizie'!D18</f>
            </strRef>
          </tx>
          <spPr>
            <a:solidFill xmlns:a="http://schemas.openxmlformats.org/drawingml/2006/main">
              <a:srgbClr val="2E75B6"/>
            </a:solidFill>
            <a:ln xmlns:a="http://schemas.openxmlformats.org/drawingml/2006/main">
              <a:prstDash val="solid"/>
            </a:ln>
          </spPr>
          <cat>
            <numRef>
              <f>'Notizie'!$A$19:$A$30</f>
            </numRef>
          </cat>
          <val>
            <numRef>
              <f>'Notizie'!$D$19:$D$30</f>
            </numRef>
          </val>
        </ser>
        <gapWidth val="150"/>
        <axId val="10"/>
        <axId val="100"/>
      </barChart>
      <catAx>
        <axId val="10"/>
        <scaling>
          <orientation val="minMax"/>
        </scaling>
        <delete val="0"/>
        <axPos val="l"/>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0"/>
        <lblOffset val="100"/>
      </catAx>
      <valAx>
        <axId val="100"/>
        <scaling>
          <orientation val="minMax"/>
        </scaling>
        <delete val="0"/>
        <axPos val="l"/>
        <majorGridlines>
          <spPr>
            <a:ln xmlns:a="http://schemas.openxmlformats.org/drawingml/2006/main">
              <a:solidFill>
                <a:srgbClr val="EDEDED"/>
              </a:solidFill>
              <a:prstDash val="solid"/>
            </a:ln>
          </spPr>
        </majorGridlines>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
      </valAx>
    </plotArea>
    <legend>
      <legendPos val="b"/>
      <overlay val="0"/>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legend>
    <plotVisOnly val="1"/>
    <dispBlanksAs val="gap"/>
  </chart>
  <spPr>
    <a:ln xmlns:a="http://schemas.openxmlformats.org/drawingml/2006/main">
      <a:no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s>
</file>

<file path=xl/drawings/_rels/drawing3.xml.rels><Relationships xmlns="http://schemas.openxmlformats.org/package/2006/relationships"><Relationship Type="http://schemas.openxmlformats.org/officeDocument/2006/relationships/chart" Target="/xl/charts/chart4.xml" Id="rId1"/></Relationships>
</file>

<file path=xl/drawings/_rels/drawing4.xml.rels><Relationships xmlns="http://schemas.openxmlformats.org/package/2006/relationships"><Relationship Type="http://schemas.openxmlformats.org/officeDocument/2006/relationships/chart" Target="/xl/charts/chart5.xml" Id="rId1"/></Relationships>
</file>

<file path=xl/drawings/_rels/drawing5.xml.rels><Relationships xmlns="http://schemas.openxmlformats.org/package/2006/relationships"><Relationship Type="http://schemas.openxmlformats.org/officeDocument/2006/relationships/chart" Target="/xl/charts/chart6.xml" Id="rId1"/></Relationships>
</file>

<file path=xl/drawings/_rels/drawing6.xml.rels><Relationships xmlns="http://schemas.openxmlformats.org/package/2006/relationships"><Relationship Type="http://schemas.openxmlformats.org/officeDocument/2006/relationships/chart" Target="/xl/charts/chart7.xml" Id="rId1"/></Relationships>
</file>

<file path=xl/drawings/_rels/drawing7.xml.rels><Relationships xmlns="http://schemas.openxmlformats.org/package/2006/relationships"><Relationship Type="http://schemas.openxmlformats.org/officeDocument/2006/relationships/chart" Target="/xl/charts/chart8.xml" Id="rId1"/><Relationship Type="http://schemas.openxmlformats.org/officeDocument/2006/relationships/chart" Target="/xl/charts/chart9.xml" Id="rId2"/></Relationships>
</file>

<file path=xl/drawings/drawing1.xml><?xml version="1.0" encoding="utf-8"?>
<wsDr xmlns="http://schemas.openxmlformats.org/drawingml/2006/spreadsheetDrawing">
  <oneCellAnchor>
    <from>
      <col>1</col>
      <colOff>0</colOff>
      <row>17</row>
      <rowOff>0</rowOff>
    </from>
    <ext cx="306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26</row>
      <rowOff>0</rowOff>
    </from>
    <ext cx="5580000" cy="45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26</row>
      <rowOff>0</rowOff>
    </from>
    <ext cx="5580000" cy="45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3.xml><?xml version="1.0" encoding="utf-8"?>
<wsDr xmlns="http://schemas.openxmlformats.org/drawingml/2006/spreadsheetDrawing">
  <oneCellAnchor>
    <from>
      <col>0</col>
      <colOff>0</colOff>
      <row>26</row>
      <rowOff>0</rowOff>
    </from>
    <ext cx="6120000" cy="7247368"/>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0</col>
      <colOff>0</colOff>
      <row>3</row>
      <rowOff>0</rowOff>
    </from>
    <ext cx="5220000" cy="41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0</col>
      <colOff>0</colOff>
      <row>26</row>
      <rowOff>0</rowOff>
    </from>
    <ext cx="792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12</col>
      <colOff>0</colOff>
      <row>21</row>
      <rowOff>0</rowOff>
    </from>
    <ext cx="72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7.xml><?xml version="1.0" encoding="utf-8"?>
<wsDr xmlns="http://schemas.openxmlformats.org/drawingml/2006/spreadsheetDrawing">
  <oneCellAnchor>
    <from>
      <col>0</col>
      <colOff>0</colOff>
      <row>32</row>
      <rowOff>0</rowOff>
    </from>
    <ext cx="792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53</row>
      <rowOff>0</rowOff>
    </from>
    <ext cx="792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ables/table1.xml><?xml version="1.0" encoding="utf-8"?>
<table xmlns="http://schemas.openxmlformats.org/spreadsheetml/2006/main" id="1" name="tblRegister" displayName="tblRegister" ref="A5:AF43" headerRowCount="1">
  <autoFilter ref="A5:AF43"/>
  <tableColumns count="32">
    <tableColumn id="1" name="Ciclo"/>
    <tableColumn id="2" name="Data_Riferimento"/>
    <tableColumn id="3" name="ID_Rischio"/>
    <tableColumn id="4" name="Nome"/>
    <tableColumn id="5" name="Event_Type"/>
    <tableColumn id="6" name="Driver"/>
    <tableColumn id="7" name="Impatto"/>
    <tableColumn id="8" name="Velocity"/>
    <tableColumn id="9" name="Prossimita"/>
    <tableColumn id="10" name="Score_Composito"/>
    <tableColumn id="11" name="Probabilita"/>
    <tableColumn id="12" name="Anni_Adeguamento"/>
    <tableColumn id="13" name="Esito"/>
    <tableColumn id="14" name="Descrizione"/>
    <tableColumn id="15" name="Razionale"/>
    <tableColumn id="16" name="Variazioni"/>
    <tableColumn id="17" name="Fonti"/>
    <tableColumn id="18" name="Rilievi"/>
    <tableColumn id="19" name="Owner"/>
    <tableColumn id="20" name="Chiave"/>
    <tableColumn id="21" name="Data_Scrittura"/>
    <tableColumn id="22" name="Approvato_Da"/>
    <tableColumn id="23" name="Validazione"/>
    <tableColumn id="24" name="Data_Validazione"/>
    <tableColumn id="25" name="Periodo_Valutazione"/>
    <tableColumn id="26" name="Stato"/>
    <tableColumn id="27" name="Motivo_Stato"/>
    <tableColumn id="28" name="Movimento"/>
    <tableColumn id="29" name="Decisione_Stato"/>
    <tableColumn id="30" name="Orizzonte_Anni"/>
    <tableColumn id="31" name="Segnale_Avvicinamento"/>
    <tableColumn id="32" name="Ordine_Osservazione"/>
  </tableColumns>
  <tableStyleInfo name="TableStyleMedium2" showRowStripes="1"/>
</table>
</file>

<file path=xl/tables/table2.xml><?xml version="1.0" encoding="utf-8"?>
<table xmlns="http://schemas.openxmlformats.org/spreadsheetml/2006/main" id="2" name="tblAzioni" displayName="tblAzioni" ref="A5:L17" headerRowCount="1">
  <autoFilter ref="A5:L17"/>
  <tableColumns count="12">
    <tableColumn id="1" name="Ciclo"/>
    <tableColumn id="2" name="ID_Rischio"/>
    <tableColumn id="3" name="ID_Azione"/>
    <tableColumn id="4" name="Descrizione"/>
    <tableColumn id="5" name="Owner"/>
    <tableColumn id="6" name="Orizzonte"/>
    <tableColumn id="7" name="Mesi_Orizzonte"/>
    <tableColumn id="8" name="Razionale"/>
    <tableColumn id="9" name="Stato"/>
    <tableColumn id="10" name="Data_Decisione"/>
    <tableColumn id="11" name="Decisa_Da"/>
    <tableColumn id="12" name="Validazione"/>
  </tableColumns>
  <tableStyleInfo name="TableStyleMedium2" showRowStripes="1"/>
</table>
</file>

<file path=xl/tables/table3.xml><?xml version="1.0" encoding="utf-8"?>
<table xmlns="http://schemas.openxmlformats.org/spreadsheetml/2006/main" id="3" name="tblKRI" displayName="tblKRI" ref="A5:T71" headerRowCount="1">
  <autoFilter ref="A5:T71"/>
  <tableColumns count="20">
    <tableColumn id="1" name="Ciclo"/>
    <tableColumn id="2" name="KRI_ID"/>
    <tableColumn id="3" name="ID_Rischio"/>
    <tableColumn id="4" name="Nome"/>
    <tableColumn id="5" name="Tipo"/>
    <tableColumn id="6" name="Unita"/>
    <tableColumn id="7" name="Fonte_Dati"/>
    <tableColumn id="8" name="Soglia_Attenzione"/>
    <tableColumn id="9" name="Soglia_Allerta"/>
    <tableColumn id="10" name="Valore_Corrente"/>
    <tableColumn id="11" name="Data_Rilevazione"/>
    <tableColumn id="12" name="Fonte_Rilevazione"/>
    <tableColumn id="13" name="Nota_Rilevazione"/>
    <tableColumn id="14" name="Stato"/>
    <tableColumn id="15" name="In_Vigore"/>
    <tableColumn id="16" name="Ciclo_Definizione"/>
    <tableColumn id="17" name="Ciclo_Aggiornamento"/>
    <tableColumn id="18" name="Razionale"/>
    <tableColumn id="19" name="Chiave"/>
    <tableColumn id="20" name="Validazione"/>
  </tableColumns>
  <tableStyleInfo name="TableStyleMedium2" showRowStripes="1"/>
</table>
</file>

<file path=xl/tables/table4.xml><?xml version="1.0" encoding="utf-8"?>
<table xmlns="http://schemas.openxmlformats.org/spreadsheetml/2006/main" id="4" name="tblNews" displayName="tblNews" ref="A5:S15" headerRowCount="1">
  <autoFilter ref="A5:S15"/>
  <tableColumns count="19">
    <tableColumn id="1" name="Data"/>
    <tableColumn id="2" name="Settimana"/>
    <tableColumn id="3" name="ID_Notizia"/>
    <tableColumn id="4" name="Titolo"/>
    <tableColumn id="5" name="Fonte"/>
    <tableColumn id="6" name="Codice_Fonte"/>
    <tableColumn id="7" name="Rischio_ID"/>
    <tableColumn id="8" name="Segnale"/>
    <tableColumn id="9" name="Imp_9_1"/>
    <tableColumn id="10" name="Imp_9_4"/>
    <tableColumn id="11" name="Imp_9_5"/>
    <tableColumn id="12" name="Imp_9_6"/>
    <tableColumn id="13" name="Imp_9_7"/>
    <tableColumn id="14" name="Imp_9_8"/>
    <tableColumn id="15" name="Imp_9_9"/>
    <tableColumn id="16" name="Imp_9_11"/>
    <tableColumn id="17" name="Imp_9_13"/>
    <tableColumn id="18" name="Sintesi"/>
    <tableColumn id="19" name="Validazione"/>
  </tableColumns>
  <tableStyleInfo name="TableStyleMedium2" showRowStripes="1"/>
</table>
</file>

<file path=xl/tables/table5.xml><?xml version="1.0" encoding="utf-8"?>
<table xmlns="http://schemas.openxmlformats.org/spreadsheetml/2006/main" id="5" name="tblSintesi" displayName="tblSintesi" ref="A5:J8" headerRowCount="1">
  <autoFilter ref="A5:J8"/>
  <tableColumns count="10">
    <tableColumn id="1" name="Ciclo"/>
    <tableColumn id="2" name="Data_Riferimento"/>
    <tableColumn id="3" name="Sintesi_A1"/>
    <tableColumn id="4" name="Sintesi_A5"/>
    <tableColumn id="5" name="Osservazioni_Controlli"/>
    <tableColumn id="6" name="Rilievi_Ciclo"/>
    <tableColumn id="7" name="Rilievi_Superati"/>
    <tableColumn id="8" name="Note_Analista"/>
    <tableColumn id="9" name="Data_Scrittura"/>
    <tableColumn id="10" name="Straordinario"/>
  </tableColumns>
  <tableStyleInfo name="TableStyleMedium2" showRowStripes="1"/>
</table>
</file>

<file path=xl/tables/table6.xml><?xml version="1.0" encoding="utf-8"?>
<table xmlns="http://schemas.openxmlformats.org/spreadsheetml/2006/main" id="6" name="tblSettimane" displayName="tblSettimane" ref="A5:F8" headerRowCount="1">
  <autoFilter ref="A5:F8"/>
  <tableColumns count="6">
    <tableColumn id="1" name="Settimana"/>
    <tableColumn id="2" name="Notizie"/>
    <tableColumn id="3" name="Sintesi_A3"/>
    <tableColumn id="4" name="Proposta_Straordinario"/>
    <tableColumn id="5" name="Flag_Proposti"/>
    <tableColumn id="6" name="Data_Scrittura"/>
  </tableColumns>
  <tableStyleInfo name="TableStyleMedium2" showRowStripes="1"/>
</table>
</file>

<file path=xl/tables/table7.xml><?xml version="1.0" encoding="utf-8"?>
<table xmlns="http://schemas.openxmlformats.org/spreadsheetml/2006/main" id="7" name="tblValidazione" displayName="tblValidazione" ref="A5:L205" headerRowCount="1">
  <autoFilter ref="A5:L205"/>
  <tableColumns count="12">
    <tableColumn id="1" name="Periodo"/>
    <tableColumn id="2" name="Oggetto"/>
    <tableColumn id="3" name="ID"/>
    <tableColumn id="4" name="Nome"/>
    <tableColumn id="5" name="Campo"/>
    <tableColumn id="6" name="Proposta_Agente"/>
    <tableColumn id="7" name="Decisione"/>
    <tableColumn id="8" name="Valore_Validato"/>
    <tableColumn id="9" name="Motivazione"/>
    <tableColumn id="10" name="Validato_Da"/>
    <tableColumn id="11" name="Data_Validazione"/>
    <tableColumn id="12" name="Stato"/>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s>
</file>

<file path=xl/worksheets/_rels/sheet10.xml.rels><Relationships xmlns="http://schemas.openxmlformats.org/package/2006/relationships"><Relationship Type="http://schemas.openxmlformats.org/officeDocument/2006/relationships/drawing" Target="/xl/drawings/drawing5.xml" Id="rId1"/></Relationships>
</file>

<file path=xl/worksheets/_rels/sheet11.xml.rels><Relationships xmlns="http://schemas.openxmlformats.org/package/2006/relationships"><Relationship Type="http://schemas.openxmlformats.org/officeDocument/2006/relationships/drawing" Target="/xl/drawings/drawing6.xml" Id="rId1"/></Relationships>
</file>

<file path=xl/worksheets/_rels/sheet12.xml.rels><Relationships xmlns="http://schemas.openxmlformats.org/package/2006/relationships"><Relationship Type="http://schemas.openxmlformats.org/officeDocument/2006/relationships/drawing" Target="/xl/drawings/drawing7.xml" Id="rId1"/></Relationships>
</file>

<file path=xl/worksheets/_rels/sheet18.xml.rels><Relationships xmlns="http://schemas.openxmlformats.org/package/2006/relationships"><Relationship Type="http://schemas.openxmlformats.org/officeDocument/2006/relationships/table" Target="/xl/tables/table1.xml" Id="rId1"/></Relationships>
</file>

<file path=xl/worksheets/_rels/sheet19.xml.rels><Relationships xmlns="http://schemas.openxmlformats.org/package/2006/relationships"><Relationship Type="http://schemas.openxmlformats.org/officeDocument/2006/relationships/table" Target="/xl/tables/table2.xml" Id="rId1"/></Relationships>
</file>

<file path=xl/worksheets/_rels/sheet20.xml.rels><Relationships xmlns="http://schemas.openxmlformats.org/package/2006/relationships"><Relationship Type="http://schemas.openxmlformats.org/officeDocument/2006/relationships/table" Target="/xl/tables/table3.xml" Id="rId1"/></Relationships>
</file>

<file path=xl/worksheets/_rels/sheet21.xml.rels><Relationships xmlns="http://schemas.openxmlformats.org/package/2006/relationships"><Relationship Type="http://schemas.openxmlformats.org/officeDocument/2006/relationships/table" Target="/xl/tables/table4.xml" Id="rId1"/></Relationships>
</file>

<file path=xl/worksheets/_rels/sheet22.xml.rels><Relationships xmlns="http://schemas.openxmlformats.org/package/2006/relationships"><Relationship Type="http://schemas.openxmlformats.org/officeDocument/2006/relationships/table" Target="/xl/tables/table5.xml" Id="rId1"/></Relationships>
</file>

<file path=xl/worksheets/_rels/sheet23.xml.rels><Relationships xmlns="http://schemas.openxmlformats.org/package/2006/relationships"><Relationship Type="http://schemas.openxmlformats.org/officeDocument/2006/relationships/table" Target="/xl/tables/table6.xml" Id="rId1"/></Relationships>
</file>

<file path=xl/worksheets/_rels/sheet24.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tabColor rgb="00BF8F00"/>
    <outlinePr summaryBelow="1" summaryRight="1"/>
    <pageSetUpPr/>
  </sheetPr>
  <dimension ref="A1:E61"/>
  <sheetViews>
    <sheetView showGridLines="0" workbookViewId="0">
      <selection activeCell="A1" sqref="A1"/>
    </sheetView>
  </sheetViews>
  <sheetFormatPr baseColWidth="8" defaultRowHeight="15"/>
  <cols>
    <col width="30" customWidth="1" min="1" max="1"/>
    <col width="28" customWidth="1" min="2" max="2"/>
    <col width="34" customWidth="1" min="3" max="3"/>
    <col width="34" customWidth="1" min="4" max="4"/>
    <col width="40" customWidth="1" min="5" max="5"/>
  </cols>
  <sheetData>
    <row r="1" ht="28" customHeight="1">
      <c r="A1" s="1">
        <f>"Horizon Scan NFR — Guida: come si usa questo workbook   ·   "&amp;etichettaCiclo</f>
        <v/>
      </c>
      <c r="B1" s="2" t="n"/>
      <c r="C1" s="2" t="n"/>
      <c r="D1" s="2" t="n"/>
      <c r="E1" s="2" t="n"/>
    </row>
    <row r="3">
      <c r="A3" s="3" t="inlineStr">
        <is>
          <t>A COSA SERVE</t>
        </is>
      </c>
    </row>
    <row r="4" ht="32" customHeight="1">
      <c r="A4" s="4" t="inlineStr">
        <is>
          <t>Horizon Scan NFR: registro dei rischi non finanziari emergenti della Banca. Ogni trimestre gli agenti valutano i rischi, lo script controlla e scrive qui, il validatore decide; i fogli da Quadro a Metodologia sono il report al comitato, le schede dei rischi un file a parte. Ogni foglio ha in testa (riga 2) chi lo aggiorna, cosa contiene e come si legge; il foglio Dizionario spiega ogni dato.</t>
        </is>
      </c>
    </row>
    <row r="6">
      <c r="A6" s="3" t="inlineStr">
        <is>
          <t>CHI AGGIORNA COSA E QUANDO</t>
        </is>
      </c>
    </row>
    <row r="7">
      <c r="A7" s="3" t="inlineStr">
        <is>
          <t>Foglio</t>
        </is>
      </c>
      <c r="B7" s="5" t="inlineStr">
        <is>
          <t>Settimanale · lunedi', A3</t>
        </is>
      </c>
      <c r="C7" s="6" t="inlineStr">
        <is>
          <t>Trimestrale · A1, poi A5</t>
        </is>
      </c>
      <c r="D7" s="7" t="inlineStr">
        <is>
          <t>Validatore · dopo il trimestre</t>
        </is>
      </c>
      <c r="E7" s="3" t="inlineStr">
        <is>
          <t>A che cosa serve</t>
        </is>
      </c>
    </row>
    <row r="8">
      <c r="A8" s="8" t="inlineStr">
        <is>
          <t>REPORT AL COMITATO</t>
        </is>
      </c>
    </row>
    <row r="9">
      <c r="A9" s="9" t="inlineStr">
        <is>
          <t>Quadro</t>
        </is>
      </c>
      <c r="B9" s="4" t="inlineStr"/>
      <c r="C9" s="10" t="inlineStr">
        <is>
          <t>commento di A1, sintesi di A5, segnalazioni da motivare, numeri</t>
        </is>
      </c>
      <c r="D9" s="11" t="inlineStr">
        <is>
          <t>stato della validazione; avviso rettifiche</t>
        </is>
      </c>
      <c r="E9" s="4" t="inlineStr">
        <is>
          <t>prima pagina: il quadro e il perche'</t>
        </is>
      </c>
    </row>
    <row r="10">
      <c r="A10" s="9" t="inlineStr">
        <is>
          <t>Classifica</t>
        </is>
      </c>
      <c r="B10" s="4" t="inlineStr"/>
      <c r="C10" s="10" t="inlineStr">
        <is>
          <t>score e urgenza</t>
        </is>
      </c>
      <c r="D10" s="11" t="inlineStr">
        <is>
          <t>valori validati</t>
        </is>
      </c>
      <c r="E10" s="4" t="inlineStr">
        <is>
          <t>rischi per score; lente di Mosca</t>
        </is>
      </c>
    </row>
    <row r="11">
      <c r="A11" s="9" t="inlineStr">
        <is>
          <t>Radar_Mosca</t>
        </is>
      </c>
      <c r="B11" s="12" t="inlineStr">
        <is>
          <t>segnali netti (livello)</t>
        </is>
      </c>
      <c r="C11" s="10" t="inlineStr">
        <is>
          <t>score, azioni (Y), KRI</t>
        </is>
      </c>
      <c r="D11" s="11" t="inlineStr">
        <is>
          <t>anni di adeguamento, presidio, attenzione del supervisore</t>
        </is>
      </c>
      <c r="E11" s="4" t="inlineStr">
        <is>
          <t>quanto presto agire, quanto e' grande, livello di allerta</t>
        </is>
      </c>
    </row>
    <row r="12">
      <c r="A12" s="9" t="inlineStr">
        <is>
          <t>Matrice</t>
        </is>
      </c>
      <c r="B12" s="4" t="inlineStr"/>
      <c r="C12" s="10" t="inlineStr">
        <is>
          <t>Probabilita e Impatto</t>
        </is>
      </c>
      <c r="D12" s="11" t="inlineStr">
        <is>
          <t>valori validati</t>
        </is>
      </c>
      <c r="E12" s="4" t="inlineStr">
        <is>
          <t>gravita' dei rischi</t>
        </is>
      </c>
    </row>
    <row r="13">
      <c r="A13" s="9" t="inlineStr">
        <is>
          <t>Delta</t>
        </is>
      </c>
      <c r="B13" s="4" t="inlineStr"/>
      <c r="C13" s="10" t="inlineStr">
        <is>
          <t>confronto con il ciclo prima</t>
        </is>
      </c>
      <c r="D13" s="4" t="inlineStr"/>
      <c r="E13" s="4" t="inlineStr">
        <is>
          <t>che cosa e' cambiato e perche'</t>
        </is>
      </c>
    </row>
    <row r="14">
      <c r="A14" s="9" t="inlineStr">
        <is>
          <t>Fenomeni</t>
        </is>
      </c>
      <c r="B14" s="4" t="inlineStr"/>
      <c r="C14" s="10" t="inlineStr">
        <is>
          <t>rischi in osservazione, entrati e usciti</t>
        </is>
      </c>
      <c r="D14" s="11" t="inlineStr">
        <is>
          <t>valori e decisioni sullo stato</t>
        </is>
      </c>
      <c r="E14" s="4" t="inlineStr">
        <is>
          <t>rischi fuori dal radar, perche', con il segnale</t>
        </is>
      </c>
    </row>
    <row r="15">
      <c r="A15" s="9" t="inlineStr">
        <is>
          <t>Metodologia</t>
        </is>
      </c>
      <c r="B15" s="4" t="inlineStr"/>
      <c r="C15" s="4" t="inlineStr"/>
      <c r="D15" s="11" t="inlineStr">
        <is>
          <t>pesi e parametri (Parametri)</t>
        </is>
      </c>
      <c r="E15" s="4" t="inlineStr">
        <is>
          <t>come si leggono i numeri</t>
        </is>
      </c>
    </row>
    <row r="16">
      <c r="A16" s="8" t="inlineStr">
        <is>
          <t>LAVORO</t>
        </is>
      </c>
    </row>
    <row r="17">
      <c r="A17" s="9" t="inlineStr">
        <is>
          <t>Registro</t>
        </is>
      </c>
      <c r="B17" s="12" t="inlineStr">
        <is>
          <t>segnali netti (colonna Q)</t>
        </is>
      </c>
      <c r="C17" s="10" t="inlineStr">
        <is>
          <t>dimensioni, score, urgenza, KRI, rilievi</t>
        </is>
      </c>
      <c r="D17" s="11" t="inlineStr">
        <is>
          <t>righe 4-5; presidio (anagrafica)</t>
        </is>
      </c>
      <c r="E17" s="4" t="inlineStr">
        <is>
          <t>il ciclo corrente, un rischio per riga</t>
        </is>
      </c>
    </row>
    <row r="18">
      <c r="A18" s="9" t="inlineStr">
        <is>
          <t>Storico, Indicatori</t>
        </is>
      </c>
      <c r="B18" s="4" t="inlineStr"/>
      <c r="C18" s="10" t="inlineStr">
        <is>
          <t>si aggiornano</t>
        </is>
      </c>
      <c r="D18" s="4" t="inlineStr"/>
      <c r="E18" s="4" t="inlineStr">
        <is>
          <t>score negli ultimi cicli; KRI del ciclo e storia di uno</t>
        </is>
      </c>
    </row>
    <row r="19">
      <c r="A19" s="9" t="inlineStr">
        <is>
          <t>Notizie</t>
        </is>
      </c>
      <c r="B19" s="12" t="inlineStr">
        <is>
          <t>si aggiorna; sintesi e flag di A3</t>
        </is>
      </c>
      <c r="C19" s="4" t="inlineStr"/>
      <c r="D19" s="4" t="inlineStr"/>
      <c r="E19" s="4" t="inlineStr">
        <is>
          <t>pressione delle notizie, aree non presidiate, sintesi della settimana</t>
        </is>
      </c>
    </row>
    <row r="20">
      <c r="A20" s="9" t="inlineStr">
        <is>
          <t>Piano_azioni</t>
        </is>
      </c>
      <c r="B20" s="4" t="inlineStr"/>
      <c r="C20" s="10" t="inlineStr">
        <is>
          <t>azioni proposte da A1</t>
        </is>
      </c>
      <c r="D20" s="11" t="inlineStr">
        <is>
          <t>decisione; Stato In corso/Completata (foglio Azioni)</t>
        </is>
      </c>
      <c r="E20" s="4" t="inlineStr">
        <is>
          <t>tutte le azioni e la loro scadenza</t>
        </is>
      </c>
    </row>
    <row r="21">
      <c r="A21" s="9" t="inlineStr">
        <is>
          <t>Osservazione</t>
        </is>
      </c>
      <c r="B21" s="4" t="inlineStr"/>
      <c r="C21" s="10" t="inlineStr">
        <is>
          <t>si aggiorna</t>
        </is>
      </c>
      <c r="D21" s="4" t="inlineStr"/>
      <c r="E21" s="4" t="inlineStr">
        <is>
          <t>rischi in osservazione e dove si concentrano (driver x categoria)</t>
        </is>
      </c>
    </row>
    <row r="22">
      <c r="A22" s="9" t="inlineStr">
        <is>
          <t>Validazione</t>
        </is>
      </c>
      <c r="B22" s="12" t="inlineStr">
        <is>
          <t>righe delle notizie</t>
        </is>
      </c>
      <c r="C22" s="10" t="inlineStr">
        <is>
          <t>righe di rischi, KRI, azioni; stato dei rischi</t>
        </is>
      </c>
      <c r="D22" s="11" t="inlineStr">
        <is>
          <t>valori gialli, decisione sullo stato, Motivazione, Respingi (a mano)</t>
        </is>
      </c>
      <c r="E22" s="4" t="inlineStr">
        <is>
          <t>unico foglio da compilare: una riga per oggetto</t>
        </is>
      </c>
    </row>
    <row r="23">
      <c r="A23" s="9" t="inlineStr">
        <is>
          <t>Parametri</t>
        </is>
      </c>
      <c r="B23" s="12" t="inlineStr">
        <is>
          <t>settimana corrente</t>
        </is>
      </c>
      <c r="C23" s="10" t="inlineStr">
        <is>
          <t>ciclo corrente; anagrafica H-K (= il radar)</t>
        </is>
      </c>
      <c r="D23" s="11" t="inlineStr">
        <is>
          <t>celle gialle</t>
        </is>
      </c>
      <c r="E23" s="4" t="inlineStr">
        <is>
          <t>pesi, soglie, urgenza, regola del radar, anagrafica</t>
        </is>
      </c>
    </row>
    <row r="24">
      <c r="A24" s="9" t="inlineStr">
        <is>
          <t>Dizionario</t>
        </is>
      </c>
      <c r="B24" s="4" t="inlineStr"/>
      <c r="C24" s="4" t="inlineStr"/>
      <c r="D24" s="4" t="inlineStr"/>
      <c r="E24" s="4" t="inlineStr">
        <is>
          <t>ogni dato: chi lo scrive, come si calcola</t>
        </is>
      </c>
    </row>
    <row r="25">
      <c r="A25" s="8" t="inlineStr">
        <is>
          <t>DATI (solo lo script)</t>
        </is>
      </c>
    </row>
    <row r="26">
      <c r="A26" s="9" t="inlineStr">
        <is>
          <t>RiskRegister</t>
        </is>
      </c>
      <c r="B26" s="4" t="inlineStr"/>
      <c r="C26" s="10" t="inlineStr">
        <is>
          <t>valutazioni di A1; stato nel registro unico</t>
        </is>
      </c>
      <c r="D26" s="11" t="inlineStr">
        <is>
          <t>valori validati, decisione sullo stato</t>
        </is>
      </c>
      <c r="E26" s="4" t="inlineStr">
        <is>
          <t>una riga per rischio per ciclo, radar e osservazione</t>
        </is>
      </c>
    </row>
    <row r="27">
      <c r="A27" s="9" t="inlineStr">
        <is>
          <t>Azioni</t>
        </is>
      </c>
      <c r="B27" s="4" t="inlineStr"/>
      <c r="C27" s="10" t="inlineStr">
        <is>
          <t>azioni proposte da A1</t>
        </is>
      </c>
      <c r="D27" s="11" t="inlineStr">
        <is>
          <t>delibera; Stato In corso/Completata a mano</t>
        </is>
      </c>
      <c r="E27" s="4" t="inlineStr">
        <is>
          <t>una riga per azione</t>
        </is>
      </c>
    </row>
    <row r="28">
      <c r="A28" s="9" t="inlineStr">
        <is>
          <t>KRI</t>
        </is>
      </c>
      <c r="B28" s="4" t="inlineStr"/>
      <c r="C28" s="10" t="inlineStr">
        <is>
          <t>KRI e valori riletti da A1</t>
        </is>
      </c>
      <c r="D28" s="11" t="inlineStr">
        <is>
          <t>rettifiche, KRI respinti</t>
        </is>
      </c>
      <c r="E28" s="4" t="inlineStr">
        <is>
          <t>storico, una riga per KRI per ciclo</t>
        </is>
      </c>
    </row>
    <row r="29">
      <c r="A29" s="9" t="inlineStr">
        <is>
          <t>NewsLog</t>
        </is>
      </c>
      <c r="B29" s="12" t="inlineStr">
        <is>
          <t>notizie valutate da A3</t>
        </is>
      </c>
      <c r="C29" s="4" t="inlineStr"/>
      <c r="D29" s="11" t="inlineStr">
        <is>
          <t>rettifiche (facoltative)</t>
        </is>
      </c>
      <c r="E29" s="4" t="inlineStr">
        <is>
          <t>una riga per notizia</t>
        </is>
      </c>
    </row>
    <row r="30">
      <c r="A30" s="9" t="inlineStr">
        <is>
          <t>Sintesi_Cicli</t>
        </is>
      </c>
      <c r="B30" s="4" t="inlineStr"/>
      <c r="C30" s="10" t="inlineStr">
        <is>
          <t>commento di A1 e di A5</t>
        </is>
      </c>
      <c r="D30" s="4" t="inlineStr"/>
      <c r="E30" s="4" t="inlineStr">
        <is>
          <t>una riga per ciclo</t>
        </is>
      </c>
    </row>
    <row r="31">
      <c r="A31" s="9" t="inlineStr">
        <is>
          <t>Sintesi_Settimane</t>
        </is>
      </c>
      <c r="B31" s="12" t="inlineStr">
        <is>
          <t>sintesi di A3 e flag proposti</t>
        </is>
      </c>
      <c r="C31" s="4" t="inlineStr"/>
      <c r="D31" s="4" t="inlineStr"/>
      <c r="E31" s="4" t="inlineStr">
        <is>
          <t>una riga per settimana</t>
        </is>
      </c>
    </row>
    <row r="32">
      <c r="A32" s="9" t="inlineStr">
        <is>
          <t>Storico_Validazioni</t>
        </is>
      </c>
      <c r="B32" s="12" t="inlineStr">
        <is>
          <t>proposte delle notizie</t>
        </is>
      </c>
      <c r="C32" s="10" t="inlineStr">
        <is>
          <t>proposte di rischi, KRI, azioni</t>
        </is>
      </c>
      <c r="D32" s="11" t="inlineStr">
        <is>
          <t>decisioni (comando valida)</t>
        </is>
      </c>
      <c r="E32" s="4" t="inlineStr">
        <is>
          <t>una riga per oggetto e campo: proposta, valore deciso, motivo</t>
        </is>
      </c>
    </row>
    <row r="33">
      <c r="A33" s="8" t="inlineStr">
        <is>
          <t>FILE A PARTE</t>
        </is>
      </c>
    </row>
    <row r="34">
      <c r="A34" s="9" t="inlineStr">
        <is>
          <t>Schede_&lt;ciclo&gt;.xlsx</t>
        </is>
      </c>
      <c r="B34" s="4" t="inlineStr"/>
      <c r="C34" s="10" t="inlineStr">
        <is>
          <t>testi di A6 dopo la validazione</t>
        </is>
      </c>
      <c r="D34" s="11" t="inlineStr">
        <is>
          <t>dati validati</t>
        </is>
      </c>
      <c r="E34" s="4" t="inlineStr">
        <is>
          <t>una scheda per rischio (comando schede)</t>
        </is>
      </c>
    </row>
    <row r="35" ht="32" customHeight="1">
      <c r="A35" s="4" t="inlineStr">
        <is>
          <t>Giornaliero: la raccolta delle notizie riempie la cartella News_Inbox, non questo file. A4 (pareri su richiesta, in qualsiasi momento) non scrive qui: se un parere suggerisce di rivedere un rischio, la via e' il ciclo trimestrale successivo.</t>
        </is>
      </c>
    </row>
    <row r="37">
      <c r="A37" s="6" t="inlineStr">
        <is>
          <t>QUANDO SI LANCIANO A5 E A6</t>
        </is>
      </c>
    </row>
    <row r="38" ht="47" customHeight="1">
      <c r="A38" s="4" t="inlineStr">
        <is>
          <t>A5 (challenger), facoltativo (D-71): se lo si usa, dopo A1 e prima del comando trimestrale, allegando SOLO l'output di A1 e Baseline_corrente.json, e di nuovo ogni volta che A1 viene rifatto (vale solo per l'output esaminato). I suoi rilievi non fermano il ciclo: vanno nella colonna Segnalazioni del foglio Validazione, e un suo Bloccante rende obbligatoria la Motivazione del rischio. Lo script ferma solo i difetti di integrita' del registro. Non si lancia per le settimane, per A4 ne' dopo la validazione.</t>
        </is>
      </c>
    </row>
    <row r="39" ht="32" customHeight="1">
      <c r="A39" s="4" t="inlineStr">
        <is>
          <t>A6 (schede): dopo la validazione del trimestre. Il comando schede-input prepara i dati validati; A6 scrive i testi; il comando schede li controlla e produce Schede_&lt;ciclo&gt;.xlsx. Senza A6 il comando schede produce comunque le schede con i testi del registro.</t>
        </is>
      </c>
    </row>
    <row r="41">
      <c r="A41" s="7" t="inlineStr">
        <is>
          <t>DOVE SI SCRIVE A MANO (solo qui)</t>
        </is>
      </c>
    </row>
    <row r="42">
      <c r="A42" s="4" t="inlineStr">
        <is>
          <t>Validazione: una riga per rischio, KRI, azione e notizia; si cambiano solo le celle gialle, la Motivazione e Respingi (istruzioni e criteri in testa al foglio), poi il comando valida.</t>
        </is>
      </c>
    </row>
    <row r="43" ht="32" customHeight="1">
      <c r="A43" s="4" t="inlineStr">
        <is>
          <t>Parametri, celle gialle: pesi, soglie, urgenza (decisione della funzione di rischio); nell'anagrafica Owner, anni di adeguamento, attenzione del supervisore e presidio dei controlli (decisi dal validatore, restano da un ciclo all'altro).</t>
        </is>
      </c>
    </row>
    <row r="44">
      <c r="A44" s="4" t="inlineStr">
        <is>
          <t>Azioni, colonna Stato: avanzamento di un'azione approvata (In corso, Completata); il Piano_azioni si aggiorna da solo.</t>
        </is>
      </c>
    </row>
    <row r="45">
      <c r="A45" s="4" t="inlineStr">
        <is>
          <t>Indicatori, cella N4: il KRI di cui guardare la storia.</t>
        </is>
      </c>
    </row>
    <row r="46" ht="47" customHeight="1">
      <c r="A46" s="4" t="inlineStr">
        <is>
          <t>Testi delle tabelle dati, per correggerne la forma (D-76): RiskRegister Descrizione e Razionale (lasciando le etichette RISCHIO:, IMPATTO:...); KRI Nome, Unita, Fonte_Dati, Razionale, Nota_Rilevazione; Azioni Descrizione e Razionale; RiskRegister Segnale_Avvicinamento dei rischi in osservazione. Mai ID, numeri, date, Validazione o righe intere. Non resta traccia automatica: dopo, salvare, chiudere e lanciare  python esegui_ciclo_locale.py baseline  (riallinea baseline e knowledge di A7).</t>
        </is>
      </c>
    </row>
    <row r="47" ht="32" customHeight="1">
      <c r="A47" s="4" t="inlineStr">
        <is>
          <t>Valori di un ciclo gia' validato (punteggi, decisione sullo stato, KRI, owner e orizzonte delle azioni): non qui, ma con  python esegui_ciclo_locale.py riapri, poi la griglia del foglio Validazione e valida, quante volte serve.</t>
        </is>
      </c>
    </row>
    <row r="48">
      <c r="A48" s="4" t="inlineStr">
        <is>
          <t>Tutto il resto lo scrive lo script o e' una formula: non modificarlo.</t>
        </is>
      </c>
    </row>
    <row r="50">
      <c r="A50" s="3" t="inlineStr">
        <is>
          <t>REGOLE</t>
        </is>
      </c>
    </row>
    <row r="51">
      <c r="A51" s="4" t="inlineStr">
        <is>
          <t>1. Score composito, urgenza e stato dei KRI li calcola il foglio. Nessun agente li fornisce.</t>
        </is>
      </c>
    </row>
    <row r="52" ht="32" customHeight="1">
      <c r="A52" s="4" t="inlineStr">
        <is>
          <t>2. Solo un ciclo (trimestrale o straordinario) cambia uno score, al massimo di un punto per dimensione e con un'evidenza datata; fuori dai cicli solo la funzione di rischio, riaprendo la validazione (riapri, con la motivazione, D-76).</t>
        </is>
      </c>
    </row>
    <row r="53">
      <c r="A53" s="4" t="inlineStr">
        <is>
          <t>3. Prima di leggere i numeri guardare Registro righe 4 e 5: ciclo non validato o incompleto = numeri non definitivi.</t>
        </is>
      </c>
    </row>
    <row r="54">
      <c r="A54" s="4" t="inlineStr">
        <is>
          <t>4. Il trimestre dopo non parte finche' quello prima non e' validato (lo script si ferma e lo dice).</t>
        </is>
      </c>
    </row>
    <row r="55">
      <c r="A55" s="4" t="inlineStr">
        <is>
          <t>5. I grafici hanno scala fissa: cicli diversi si confrontano a colpo d'occhio.</t>
        </is>
      </c>
    </row>
    <row r="56">
      <c r="A56" s="4" t="inlineStr">
        <is>
          <t>6. Un rischio si toglie solo con il comando dismetti, mai svuotando righe dell'anagrafica.</t>
        </is>
      </c>
    </row>
    <row r="58">
      <c r="A58" s="3" t="inlineStr">
        <is>
          <t>PRIMO USO REALE</t>
        </is>
      </c>
    </row>
    <row r="59" ht="32" customHeight="1">
      <c r="A59" s="4" t="inlineStr">
        <is>
          <t>Le righe su fondo grigio sono dati di ESEMPIO. Il registro vero lo crea il comando  python esegui_ciclo_locale.py inizializza --ciclo-precedente &lt;trimestre prima del primo da valutare&gt; --settimana &lt;lunedi'&gt;  che copia il template, toglie gli esempi e imposta ciclo e settimana. La guida completa e' 00_GUIDA_PASSO_PASSO.md.</t>
        </is>
      </c>
    </row>
    <row r="61">
      <c r="A61" s="4" t="inlineStr">
        <is>
          <t>Generato da 03_Excel/genera_dashboard.py (versione della struttura 2026-10-09). Per rifarlo a mano: 03_Excel/costruzione_manuale_template.md.</t>
        </is>
      </c>
    </row>
  </sheetData>
  <mergeCells count="26">
    <mergeCell ref="A39:E39"/>
    <mergeCell ref="A59:E59"/>
    <mergeCell ref="A48:E48"/>
    <mergeCell ref="A51:E51"/>
    <mergeCell ref="A1:E1"/>
    <mergeCell ref="A45:E45"/>
    <mergeCell ref="A61:E61"/>
    <mergeCell ref="A6:E6"/>
    <mergeCell ref="A54:E54"/>
    <mergeCell ref="A41:E41"/>
    <mergeCell ref="A37:E37"/>
    <mergeCell ref="A46:E46"/>
    <mergeCell ref="A56:E56"/>
    <mergeCell ref="A3:E3"/>
    <mergeCell ref="A55:E55"/>
    <mergeCell ref="A50:E50"/>
    <mergeCell ref="A42:E42"/>
    <mergeCell ref="A47:E47"/>
    <mergeCell ref="A53:E53"/>
    <mergeCell ref="A35:E35"/>
    <mergeCell ref="A4:E4"/>
    <mergeCell ref="A43:E43"/>
    <mergeCell ref="A38:E38"/>
    <mergeCell ref="A52:E52"/>
    <mergeCell ref="A44:E44"/>
    <mergeCell ref="A58:E58"/>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fitToPage="0"/>
  </sheetPr>
  <dimension ref="A1:DT77"/>
  <sheetViews>
    <sheetView showGridLines="0" workbookViewId="0">
      <selection activeCell="A1" sqref="A1"/>
    </sheetView>
  </sheetViews>
  <sheetFormatPr baseColWidth="8" defaultRowHeight="15"/>
  <cols>
    <col width="10.5" customWidth="1" min="1" max="1"/>
    <col width="10.5" customWidth="1" min="2" max="2"/>
    <col width="10.5" customWidth="1" min="3" max="3"/>
    <col width="10.5" customWidth="1" min="4" max="4"/>
    <col width="10.5" customWidth="1" min="5" max="5"/>
    <col width="10.5" customWidth="1" min="6" max="6"/>
    <col width="10.5" customWidth="1" min="7" max="7"/>
    <col width="10.5" customWidth="1" min="8" max="8"/>
    <col width="3" customWidth="1" min="9" max="9"/>
    <col width="10.5" customWidth="1" min="10" max="10"/>
    <col width="10.5" customWidth="1" min="11" max="11"/>
    <col width="10.5" customWidth="1" min="12" max="12"/>
    <col width="10.5" customWidth="1" min="13" max="13"/>
    <col width="10.5" customWidth="1" min="14" max="14"/>
    <col width="10.5" customWidth="1" min="15" max="15"/>
    <col hidden="1" width="13" customWidth="1" min="20" max="20"/>
    <col hidden="1" width="13" customWidth="1" min="21" max="21"/>
    <col hidden="1" width="13" customWidth="1" min="22" max="22"/>
    <col hidden="1" width="13" customWidth="1" min="23" max="23"/>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 hidden="1" width="13" customWidth="1" min="89" max="89"/>
    <col hidden="1" width="13" customWidth="1" min="90" max="90"/>
    <col hidden="1" width="13" customWidth="1" min="91" max="91"/>
    <col hidden="1" width="13" customWidth="1" min="92" max="92"/>
    <col hidden="1" width="13" customWidth="1" min="93" max="93"/>
    <col hidden="1" width="13" customWidth="1" min="94" max="94"/>
    <col hidden="1" width="13" customWidth="1" min="95" max="95"/>
    <col hidden="1" width="13" customWidth="1" min="96" max="96"/>
    <col hidden="1" width="13" customWidth="1" min="97" max="97"/>
    <col hidden="1" width="13" customWidth="1" min="98" max="98"/>
    <col hidden="1" width="13" customWidth="1" min="99" max="99"/>
    <col hidden="1" width="13" customWidth="1" min="100" max="100"/>
    <col hidden="1" width="13" customWidth="1" min="101" max="101"/>
    <col hidden="1" width="13" customWidth="1" min="102" max="102"/>
    <col hidden="1" width="13" customWidth="1" min="103" max="103"/>
    <col hidden="1" width="13" customWidth="1" min="104" max="104"/>
    <col hidden="1" width="13" customWidth="1" min="105" max="105"/>
    <col hidden="1" width="13" customWidth="1" min="106" max="106"/>
    <col hidden="1" width="13" customWidth="1" min="107" max="107"/>
    <col hidden="1" width="13" customWidth="1" min="108" max="108"/>
    <col hidden="1" width="13" customWidth="1" min="109" max="109"/>
    <col hidden="1" width="13" customWidth="1" min="110" max="110"/>
    <col hidden="1" width="13" customWidth="1" min="111" max="111"/>
    <col hidden="1" width="13" customWidth="1" min="112" max="112"/>
    <col hidden="1" width="13" customWidth="1" min="113" max="113"/>
    <col hidden="1" width="13" customWidth="1" min="114" max="114"/>
    <col hidden="1" width="13" customWidth="1" min="115" max="115"/>
    <col hidden="1" width="13" customWidth="1" min="116" max="116"/>
    <col hidden="1" width="13" customWidth="1" min="117" max="117"/>
    <col hidden="1" width="13" customWidth="1" min="118" max="118"/>
    <col hidden="1" width="13" customWidth="1" min="119" max="119"/>
    <col hidden="1" width="13" customWidth="1" min="120" max="120"/>
    <col hidden="1" width="13" customWidth="1" min="121" max="121"/>
    <col hidden="1" width="13" customWidth="1" min="122" max="122"/>
    <col hidden="1" width="13" customWidth="1" min="123" max="123"/>
    <col hidden="1" width="13" customWidth="1" min="124" max="124"/>
  </cols>
  <sheetData>
    <row r="1" ht="28" customHeight="1">
      <c r="A1" s="1">
        <f>"Horizon Scan NFR — Quadro d'insieme   ·   "&amp;etichettaCiclo</f>
        <v/>
      </c>
      <c r="B1" s="2" t="n"/>
      <c r="C1" s="2" t="n"/>
      <c r="D1" s="2" t="n"/>
      <c r="E1" s="2" t="n"/>
      <c r="F1" s="2" t="n"/>
      <c r="G1" s="2" t="n"/>
      <c r="H1" s="2" t="n"/>
      <c r="I1" s="2" t="n"/>
      <c r="J1" s="2" t="n"/>
      <c r="K1" s="2" t="n"/>
      <c r="L1" s="2" t="n"/>
      <c r="M1" s="2" t="n"/>
      <c r="N1" s="2" t="n"/>
      <c r="O1" s="2" t="n"/>
    </row>
    <row r="2" ht="72.5" customHeight="1">
      <c r="A2" s="13" t="inlineStr">
        <is>
          <r>
            <rPr>
              <rFont val="Calibri"/>
              <b val="1"/>
              <color rgb="001F4E79"/>
              <sz val="10"/>
            </rPr>
            <t>CICLO TRIMESTRALE — A1 valuta i rischi, lo script la controlla (e A5, se usato), il validatore la conferma o la rettifica.</t>
          </r>
          <r>
            <rPr>
              <rFont val="Calibri"/>
              <color rgb="00262626"/>
              <sz val="10"/>
            </rPr>
            <t xml:space="preserve">
Come si legge: i cinque riquadri in alto dicono se il ciclo e' completo e validato; poi le priorita' per score, la gravita' (matrice) e l'urgenza (radar). A pagina 2 il commento di A1 (scritto prima della validazione: se dopo ci sono state rettifiche lo dice la riga "Dopo il commento" e valgono i numeri validati), le segnalazioni portate in validazione e i rischi segnalati, con il perche' calcolato dal foglio. Metodo e scale: Metodologia; ogni dato: Dizionario. Note dell'analista (cella gialla in prima pagina): testo libero scritto a mano, per esempio la sintesi delle spiegazioni chieste ad A7; a un ciclo nuovo passa nel foglio Sintesi_Cicli.</t>
          </r>
        </is>
      </c>
    </row>
    <row r="3">
      <c r="BH3" t="inlineStr">
        <is>
          <t>Appoggio del grafico: non modificare</t>
        </is>
      </c>
      <c r="BY3" t="inlineStr">
        <is>
          <t>Attivazione</t>
        </is>
      </c>
      <c r="BZ3" t="inlineStr">
        <is>
          <t>Attivazione</t>
        </is>
      </c>
      <c r="CA3" t="inlineStr">
        <is>
          <t>Attivazione</t>
        </is>
      </c>
      <c r="CB3" t="inlineStr">
        <is>
          <t>Attivazione</t>
        </is>
      </c>
      <c r="CC3" t="inlineStr">
        <is>
          <t>Attivazione</t>
        </is>
      </c>
      <c r="CD3" t="inlineStr">
        <is>
          <t>Attivazione</t>
        </is>
      </c>
      <c r="CE3" t="inlineStr">
        <is>
          <t>Attivazione</t>
        </is>
      </c>
      <c r="CF3" t="inlineStr">
        <is>
          <t>Attivazione</t>
        </is>
      </c>
      <c r="CG3" t="inlineStr">
        <is>
          <t>Attivazione</t>
        </is>
      </c>
      <c r="CH3" t="inlineStr">
        <is>
          <t>Attivazione</t>
        </is>
      </c>
      <c r="CI3" t="inlineStr">
        <is>
          <t>Attivazione</t>
        </is>
      </c>
      <c r="CJ3" t="inlineStr">
        <is>
          <t>Attivazione</t>
        </is>
      </c>
      <c r="CK3" t="inlineStr">
        <is>
          <t>Attivazione</t>
        </is>
      </c>
      <c r="CL3" t="inlineStr">
        <is>
          <t>Attivazione</t>
        </is>
      </c>
      <c r="CM3" t="inlineStr">
        <is>
          <t>Attenzione</t>
        </is>
      </c>
      <c r="CN3" t="inlineStr">
        <is>
          <t>Attenzione</t>
        </is>
      </c>
      <c r="CO3" t="inlineStr">
        <is>
          <t>Attenzione</t>
        </is>
      </c>
      <c r="CP3" t="inlineStr">
        <is>
          <t>Attenzione</t>
        </is>
      </c>
      <c r="CQ3" t="inlineStr">
        <is>
          <t>Attenzione</t>
        </is>
      </c>
      <c r="CR3" t="inlineStr">
        <is>
          <t>Attenzione</t>
        </is>
      </c>
      <c r="CS3" t="inlineStr">
        <is>
          <t>Attenzione</t>
        </is>
      </c>
      <c r="CT3" t="inlineStr">
        <is>
          <t>Attenzione</t>
        </is>
      </c>
      <c r="CU3" t="inlineStr">
        <is>
          <t>Attenzione</t>
        </is>
      </c>
      <c r="CV3" t="inlineStr">
        <is>
          <t>Attenzione</t>
        </is>
      </c>
      <c r="CW3" t="inlineStr">
        <is>
          <t>Attenzione</t>
        </is>
      </c>
      <c r="CX3" t="inlineStr">
        <is>
          <t>Attenzione</t>
        </is>
      </c>
      <c r="CY3" t="inlineStr">
        <is>
          <t>Attenzione</t>
        </is>
      </c>
      <c r="CZ3" t="inlineStr">
        <is>
          <t>Attenzione</t>
        </is>
      </c>
      <c r="DA3" t="inlineStr">
        <is>
          <t>Monitoraggio</t>
        </is>
      </c>
      <c r="DB3" t="inlineStr">
        <is>
          <t>Monitoraggio</t>
        </is>
      </c>
      <c r="DC3" t="inlineStr">
        <is>
          <t>Monitoraggio</t>
        </is>
      </c>
      <c r="DD3" t="inlineStr">
        <is>
          <t>Monitoraggio</t>
        </is>
      </c>
      <c r="DE3" t="inlineStr">
        <is>
          <t>Monitoraggio</t>
        </is>
      </c>
      <c r="DF3" t="inlineStr">
        <is>
          <t>Monitoraggio</t>
        </is>
      </c>
      <c r="DG3" t="inlineStr">
        <is>
          <t>Monitoraggio</t>
        </is>
      </c>
      <c r="DH3" t="inlineStr">
        <is>
          <t>Monitoraggio</t>
        </is>
      </c>
      <c r="DI3" t="inlineStr">
        <is>
          <t>Monitoraggio</t>
        </is>
      </c>
      <c r="DJ3" t="inlineStr">
        <is>
          <t>Monitoraggio</t>
        </is>
      </c>
      <c r="DK3" t="inlineStr">
        <is>
          <t>Monitoraggio</t>
        </is>
      </c>
      <c r="DL3" t="inlineStr">
        <is>
          <t>Monitoraggio</t>
        </is>
      </c>
      <c r="DM3" t="inlineStr">
        <is>
          <t>Monitoraggio</t>
        </is>
      </c>
      <c r="DN3" t="inlineStr">
        <is>
          <t>Monitoraggio</t>
        </is>
      </c>
    </row>
    <row r="4">
      <c r="A4" s="14" t="inlineStr">
        <is>
          <t>Rischi valutati</t>
        </is>
      </c>
      <c r="B4" s="15" t="n"/>
      <c r="C4" s="16" t="n"/>
      <c r="D4" s="17" t="inlineStr">
        <is>
          <t>Livello di allerta: attivazione · attenzione</t>
        </is>
      </c>
      <c r="E4" s="18" t="n"/>
      <c r="F4" s="19" t="n"/>
      <c r="G4" s="14" t="inlineStr">
        <is>
          <t>Variati · nuovi (radar)</t>
        </is>
      </c>
      <c r="H4" s="15" t="n"/>
      <c r="I4" s="16" t="n"/>
      <c r="J4" s="17" t="inlineStr">
        <is>
          <t>KRI in rosso</t>
        </is>
      </c>
      <c r="K4" s="18" t="n"/>
      <c r="L4" s="19" t="n"/>
      <c r="M4" s="20" t="inlineStr">
        <is>
          <t>Validazione</t>
        </is>
      </c>
      <c r="N4" s="21" t="n"/>
      <c r="O4" s="22" t="n"/>
      <c r="T4">
        <f>COUNTIF(Radar_Mosca!$AA$5:$AA$24,"Attivazione")</f>
        <v/>
      </c>
      <c r="BY4" t="n">
        <v>1</v>
      </c>
      <c r="BZ4" t="n">
        <v>2</v>
      </c>
      <c r="CA4" t="n">
        <v>3</v>
      </c>
      <c r="CB4" t="n">
        <v>4</v>
      </c>
      <c r="CC4" t="n">
        <v>5</v>
      </c>
      <c r="CD4" t="n">
        <v>6</v>
      </c>
      <c r="CE4" t="n">
        <v>8</v>
      </c>
      <c r="CF4" t="n">
        <v>9</v>
      </c>
      <c r="CG4" t="n">
        <v>10</v>
      </c>
      <c r="CH4" t="n">
        <v>12</v>
      </c>
      <c r="CI4" t="n">
        <v>15</v>
      </c>
      <c r="CJ4" t="n">
        <v>16</v>
      </c>
      <c r="CK4" t="n">
        <v>20</v>
      </c>
      <c r="CL4" t="n">
        <v>25</v>
      </c>
      <c r="CM4" t="n">
        <v>1</v>
      </c>
      <c r="CN4" t="n">
        <v>2</v>
      </c>
      <c r="CO4" t="n">
        <v>3</v>
      </c>
      <c r="CP4" t="n">
        <v>4</v>
      </c>
      <c r="CQ4" t="n">
        <v>5</v>
      </c>
      <c r="CR4" t="n">
        <v>6</v>
      </c>
      <c r="CS4" t="n">
        <v>8</v>
      </c>
      <c r="CT4" t="n">
        <v>9</v>
      </c>
      <c r="CU4" t="n">
        <v>10</v>
      </c>
      <c r="CV4" t="n">
        <v>12</v>
      </c>
      <c r="CW4" t="n">
        <v>15</v>
      </c>
      <c r="CX4" t="n">
        <v>16</v>
      </c>
      <c r="CY4" t="n">
        <v>20</v>
      </c>
      <c r="CZ4" t="n">
        <v>25</v>
      </c>
      <c r="DA4" t="n">
        <v>1</v>
      </c>
      <c r="DB4" t="n">
        <v>2</v>
      </c>
      <c r="DC4" t="n">
        <v>3</v>
      </c>
      <c r="DD4" t="n">
        <v>4</v>
      </c>
      <c r="DE4" t="n">
        <v>5</v>
      </c>
      <c r="DF4" t="n">
        <v>6</v>
      </c>
      <c r="DG4" t="n">
        <v>8</v>
      </c>
      <c r="DH4" t="n">
        <v>9</v>
      </c>
      <c r="DI4" t="n">
        <v>10</v>
      </c>
      <c r="DJ4" t="n">
        <v>12</v>
      </c>
      <c r="DK4" t="n">
        <v>15</v>
      </c>
      <c r="DL4" t="n">
        <v>16</v>
      </c>
      <c r="DM4" t="n">
        <v>20</v>
      </c>
      <c r="DN4" t="n">
        <v>25</v>
      </c>
    </row>
    <row r="5" ht="36" customHeight="1">
      <c r="A5" s="23">
        <f>coperturaValutati</f>
        <v/>
      </c>
      <c r="B5" s="15" t="n"/>
      <c r="C5" s="16" t="n"/>
      <c r="D5" s="24">
        <f>$T$4&amp;" · "&amp;COUNTIF(Radar_Mosca!$AA$5:$AA$24,"Attenzione")</f>
        <v/>
      </c>
      <c r="E5" s="18" t="n"/>
      <c r="F5" s="19" t="n"/>
      <c r="G5" s="23">
        <f>COUNTIFS(RR_Ciclo,cicloCorrente,RR_Stato,"Radar*",RR_Esito,"Variato")&amp;" · "&amp;COUNTIFS(RR_Ciclo,cicloCorrente,RR_Stato,"Radar*",RR_Esito,"Nuovo")</f>
        <v/>
      </c>
      <c r="H5" s="15" t="n"/>
      <c r="I5" s="16" t="n"/>
      <c r="J5" s="24">
        <f>COUNTIFS(KRI_Ciclo,cicloCorrente,KRI_In_Vigore,"Sì",KRI_Stato,"Rosso")</f>
        <v/>
      </c>
      <c r="K5" s="18" t="n"/>
      <c r="L5" s="19" t="n"/>
      <c r="M5" s="25">
        <f>IF(decisioniDaPrendere&gt;0,decisioniDaPrendere,"✓")</f>
        <v/>
      </c>
      <c r="N5" s="21" t="n"/>
      <c r="O5" s="22" t="n"/>
      <c r="T5">
        <f>IF(Radar_Mosca!$AA$5="Attivazione",Radar_Mosca!$A$5,"")</f>
        <v/>
      </c>
      <c r="BH5">
        <f>2*PI()*0/72</f>
        <v/>
      </c>
      <c r="BI5">
        <f>2*SIN($BH5)</f>
        <v/>
      </c>
      <c r="BJ5">
        <f>2*COS($BH5)</f>
        <v/>
      </c>
      <c r="BK5">
        <f>3*SIN($BH5)</f>
        <v/>
      </c>
      <c r="BL5">
        <f>3*COS($BH5)</f>
        <v/>
      </c>
      <c r="BM5">
        <f>4*SIN($BH5)</f>
        <v/>
      </c>
      <c r="BN5">
        <f>4*COS($BH5)</f>
        <v/>
      </c>
      <c r="BO5">
        <f>5*SIN($BH5)</f>
        <v/>
      </c>
      <c r="BP5">
        <f>5*COS($BH5)</f>
        <v/>
      </c>
      <c r="BR5" t="n">
        <v>0</v>
      </c>
      <c r="BS5" t="n">
        <v>0</v>
      </c>
      <c r="BU5" t="inlineStr">
        <is>
          <t>9.1
Condotta</t>
        </is>
      </c>
      <c r="BV5">
        <f>6.95*SIN(2*PI()*(0+0.5)/ROWS(codiciL1))</f>
        <v/>
      </c>
      <c r="BW5">
        <f>6.95*COS(2*PI()*(0+0.5)/ROWS(codiciL1))</f>
        <v/>
      </c>
      <c r="BY5">
        <f>IF(AND(ISNUMBER(Radar_Mosca!$F5),ISNUMBER(Radar_Mosca!$S5)),IF(AND(Radar_Mosca!$F5=BY$4,Radar_Mosca!$AA5=BY$3),Radar_Mosca!$S5,NA()),NA())</f>
        <v/>
      </c>
      <c r="BZ5">
        <f>IF(AND(ISNUMBER(Radar_Mosca!$F5),ISNUMBER(Radar_Mosca!$S5)),IF(AND(Radar_Mosca!$F5=BZ$4,Radar_Mosca!$AA5=BZ$3),Radar_Mosca!$S5,NA()),NA())</f>
        <v/>
      </c>
      <c r="CA5">
        <f>IF(AND(ISNUMBER(Radar_Mosca!$F5),ISNUMBER(Radar_Mosca!$S5)),IF(AND(Radar_Mosca!$F5=CA$4,Radar_Mosca!$AA5=CA$3),Radar_Mosca!$S5,NA()),NA())</f>
        <v/>
      </c>
      <c r="CB5">
        <f>IF(AND(ISNUMBER(Radar_Mosca!$F5),ISNUMBER(Radar_Mosca!$S5)),IF(AND(Radar_Mosca!$F5=CB$4,Radar_Mosca!$AA5=CB$3),Radar_Mosca!$S5,NA()),NA())</f>
        <v/>
      </c>
      <c r="CC5">
        <f>IF(AND(ISNUMBER(Radar_Mosca!$F5),ISNUMBER(Radar_Mosca!$S5)),IF(AND(Radar_Mosca!$F5=CC$4,Radar_Mosca!$AA5=CC$3),Radar_Mosca!$S5,NA()),NA())</f>
        <v/>
      </c>
      <c r="CD5">
        <f>IF(AND(ISNUMBER(Radar_Mosca!$F5),ISNUMBER(Radar_Mosca!$S5)),IF(AND(Radar_Mosca!$F5=CD$4,Radar_Mosca!$AA5=CD$3),Radar_Mosca!$S5,NA()),NA())</f>
        <v/>
      </c>
      <c r="CE5">
        <f>IF(AND(ISNUMBER(Radar_Mosca!$F5),ISNUMBER(Radar_Mosca!$S5)),IF(AND(Radar_Mosca!$F5=CE$4,Radar_Mosca!$AA5=CE$3),Radar_Mosca!$S5,NA()),NA())</f>
        <v/>
      </c>
      <c r="CF5">
        <f>IF(AND(ISNUMBER(Radar_Mosca!$F5),ISNUMBER(Radar_Mosca!$S5)),IF(AND(Radar_Mosca!$F5=CF$4,Radar_Mosca!$AA5=CF$3),Radar_Mosca!$S5,NA()),NA())</f>
        <v/>
      </c>
      <c r="CG5">
        <f>IF(AND(ISNUMBER(Radar_Mosca!$F5),ISNUMBER(Radar_Mosca!$S5)),IF(AND(Radar_Mosca!$F5=CG$4,Radar_Mosca!$AA5=CG$3),Radar_Mosca!$S5,NA()),NA())</f>
        <v/>
      </c>
      <c r="CH5">
        <f>IF(AND(ISNUMBER(Radar_Mosca!$F5),ISNUMBER(Radar_Mosca!$S5)),IF(AND(Radar_Mosca!$F5=CH$4,Radar_Mosca!$AA5=CH$3),Radar_Mosca!$S5,NA()),NA())</f>
        <v/>
      </c>
      <c r="CI5">
        <f>IF(AND(ISNUMBER(Radar_Mosca!$F5),ISNUMBER(Radar_Mosca!$S5)),IF(AND(Radar_Mosca!$F5=CI$4,Radar_Mosca!$AA5=CI$3),Radar_Mosca!$S5,NA()),NA())</f>
        <v/>
      </c>
      <c r="CJ5">
        <f>IF(AND(ISNUMBER(Radar_Mosca!$F5),ISNUMBER(Radar_Mosca!$S5)),IF(AND(Radar_Mosca!$F5=CJ$4,Radar_Mosca!$AA5=CJ$3),Radar_Mosca!$S5,NA()),NA())</f>
        <v/>
      </c>
      <c r="CK5">
        <f>IF(AND(ISNUMBER(Radar_Mosca!$F5),ISNUMBER(Radar_Mosca!$S5)),IF(AND(Radar_Mosca!$F5=CK$4,Radar_Mosca!$AA5=CK$3),Radar_Mosca!$S5,NA()),NA())</f>
        <v/>
      </c>
      <c r="CL5">
        <f>IF(AND(ISNUMBER(Radar_Mosca!$F5),ISNUMBER(Radar_Mosca!$S5)),IF(AND(Radar_Mosca!$F5=CL$4,Radar_Mosca!$AA5=CL$3),Radar_Mosca!$S5,NA()),NA())</f>
        <v/>
      </c>
      <c r="CM5">
        <f>IF(AND(ISNUMBER(Radar_Mosca!$F5),ISNUMBER(Radar_Mosca!$S5)),IF(AND(Radar_Mosca!$F5=CM$4,Radar_Mosca!$AA5=CM$3),Radar_Mosca!$S5,NA()),NA())</f>
        <v/>
      </c>
      <c r="CN5">
        <f>IF(AND(ISNUMBER(Radar_Mosca!$F5),ISNUMBER(Radar_Mosca!$S5)),IF(AND(Radar_Mosca!$F5=CN$4,Radar_Mosca!$AA5=CN$3),Radar_Mosca!$S5,NA()),NA())</f>
        <v/>
      </c>
      <c r="CO5">
        <f>IF(AND(ISNUMBER(Radar_Mosca!$F5),ISNUMBER(Radar_Mosca!$S5)),IF(AND(Radar_Mosca!$F5=CO$4,Radar_Mosca!$AA5=CO$3),Radar_Mosca!$S5,NA()),NA())</f>
        <v/>
      </c>
      <c r="CP5">
        <f>IF(AND(ISNUMBER(Radar_Mosca!$F5),ISNUMBER(Radar_Mosca!$S5)),IF(AND(Radar_Mosca!$F5=CP$4,Radar_Mosca!$AA5=CP$3),Radar_Mosca!$S5,NA()),NA())</f>
        <v/>
      </c>
      <c r="CQ5">
        <f>IF(AND(ISNUMBER(Radar_Mosca!$F5),ISNUMBER(Radar_Mosca!$S5)),IF(AND(Radar_Mosca!$F5=CQ$4,Radar_Mosca!$AA5=CQ$3),Radar_Mosca!$S5,NA()),NA())</f>
        <v/>
      </c>
      <c r="CR5">
        <f>IF(AND(ISNUMBER(Radar_Mosca!$F5),ISNUMBER(Radar_Mosca!$S5)),IF(AND(Radar_Mosca!$F5=CR$4,Radar_Mosca!$AA5=CR$3),Radar_Mosca!$S5,NA()),NA())</f>
        <v/>
      </c>
      <c r="CS5">
        <f>IF(AND(ISNUMBER(Radar_Mosca!$F5),ISNUMBER(Radar_Mosca!$S5)),IF(AND(Radar_Mosca!$F5=CS$4,Radar_Mosca!$AA5=CS$3),Radar_Mosca!$S5,NA()),NA())</f>
        <v/>
      </c>
      <c r="CT5">
        <f>IF(AND(ISNUMBER(Radar_Mosca!$F5),ISNUMBER(Radar_Mosca!$S5)),IF(AND(Radar_Mosca!$F5=CT$4,Radar_Mosca!$AA5=CT$3),Radar_Mosca!$S5,NA()),NA())</f>
        <v/>
      </c>
      <c r="CU5">
        <f>IF(AND(ISNUMBER(Radar_Mosca!$F5),ISNUMBER(Radar_Mosca!$S5)),IF(AND(Radar_Mosca!$F5=CU$4,Radar_Mosca!$AA5=CU$3),Radar_Mosca!$S5,NA()),NA())</f>
        <v/>
      </c>
      <c r="CV5">
        <f>IF(AND(ISNUMBER(Radar_Mosca!$F5),ISNUMBER(Radar_Mosca!$S5)),IF(AND(Radar_Mosca!$F5=CV$4,Radar_Mosca!$AA5=CV$3),Radar_Mosca!$S5,NA()),NA())</f>
        <v/>
      </c>
      <c r="CW5">
        <f>IF(AND(ISNUMBER(Radar_Mosca!$F5),ISNUMBER(Radar_Mosca!$S5)),IF(AND(Radar_Mosca!$F5=CW$4,Radar_Mosca!$AA5=CW$3),Radar_Mosca!$S5,NA()),NA())</f>
        <v/>
      </c>
      <c r="CX5">
        <f>IF(AND(ISNUMBER(Radar_Mosca!$F5),ISNUMBER(Radar_Mosca!$S5)),IF(AND(Radar_Mosca!$F5=CX$4,Radar_Mosca!$AA5=CX$3),Radar_Mosca!$S5,NA()),NA())</f>
        <v/>
      </c>
      <c r="CY5">
        <f>IF(AND(ISNUMBER(Radar_Mosca!$F5),ISNUMBER(Radar_Mosca!$S5)),IF(AND(Radar_Mosca!$F5=CY$4,Radar_Mosca!$AA5=CY$3),Radar_Mosca!$S5,NA()),NA())</f>
        <v/>
      </c>
      <c r="CZ5">
        <f>IF(AND(ISNUMBER(Radar_Mosca!$F5),ISNUMBER(Radar_Mosca!$S5)),IF(AND(Radar_Mosca!$F5=CZ$4,Radar_Mosca!$AA5=CZ$3),Radar_Mosca!$S5,NA()),NA())</f>
        <v/>
      </c>
      <c r="DA5">
        <f>IF(AND(ISNUMBER(Radar_Mosca!$F5),ISNUMBER(Radar_Mosca!$S5)),IF(AND(Radar_Mosca!$F5=DA$4,Radar_Mosca!$AA5=DA$3),Radar_Mosca!$S5,NA()),NA())</f>
        <v/>
      </c>
      <c r="DB5">
        <f>IF(AND(ISNUMBER(Radar_Mosca!$F5),ISNUMBER(Radar_Mosca!$S5)),IF(AND(Radar_Mosca!$F5=DB$4,Radar_Mosca!$AA5=DB$3),Radar_Mosca!$S5,NA()),NA())</f>
        <v/>
      </c>
      <c r="DC5">
        <f>IF(AND(ISNUMBER(Radar_Mosca!$F5),ISNUMBER(Radar_Mosca!$S5)),IF(AND(Radar_Mosca!$F5=DC$4,Radar_Mosca!$AA5=DC$3),Radar_Mosca!$S5,NA()),NA())</f>
        <v/>
      </c>
      <c r="DD5">
        <f>IF(AND(ISNUMBER(Radar_Mosca!$F5),ISNUMBER(Radar_Mosca!$S5)),IF(AND(Radar_Mosca!$F5=DD$4,Radar_Mosca!$AA5=DD$3),Radar_Mosca!$S5,NA()),NA())</f>
        <v/>
      </c>
      <c r="DE5">
        <f>IF(AND(ISNUMBER(Radar_Mosca!$F5),ISNUMBER(Radar_Mosca!$S5)),IF(AND(Radar_Mosca!$F5=DE$4,Radar_Mosca!$AA5=DE$3),Radar_Mosca!$S5,NA()),NA())</f>
        <v/>
      </c>
      <c r="DF5">
        <f>IF(AND(ISNUMBER(Radar_Mosca!$F5),ISNUMBER(Radar_Mosca!$S5)),IF(AND(Radar_Mosca!$F5=DF$4,Radar_Mosca!$AA5=DF$3),Radar_Mosca!$S5,NA()),NA())</f>
        <v/>
      </c>
      <c r="DG5">
        <f>IF(AND(ISNUMBER(Radar_Mosca!$F5),ISNUMBER(Radar_Mosca!$S5)),IF(AND(Radar_Mosca!$F5=DG$4,Radar_Mosca!$AA5=DG$3),Radar_Mosca!$S5,NA()),NA())</f>
        <v/>
      </c>
      <c r="DH5">
        <f>IF(AND(ISNUMBER(Radar_Mosca!$F5),ISNUMBER(Radar_Mosca!$S5)),IF(AND(Radar_Mosca!$F5=DH$4,Radar_Mosca!$AA5=DH$3),Radar_Mosca!$S5,NA()),NA())</f>
        <v/>
      </c>
      <c r="DI5">
        <f>IF(AND(ISNUMBER(Radar_Mosca!$F5),ISNUMBER(Radar_Mosca!$S5)),IF(AND(Radar_Mosca!$F5=DI$4,Radar_Mosca!$AA5=DI$3),Radar_Mosca!$S5,NA()),NA())</f>
        <v/>
      </c>
      <c r="DJ5">
        <f>IF(AND(ISNUMBER(Radar_Mosca!$F5),ISNUMBER(Radar_Mosca!$S5)),IF(AND(Radar_Mosca!$F5=DJ$4,Radar_Mosca!$AA5=DJ$3),Radar_Mosca!$S5,NA()),NA())</f>
        <v/>
      </c>
      <c r="DK5">
        <f>IF(AND(ISNUMBER(Radar_Mosca!$F5),ISNUMBER(Radar_Mosca!$S5)),IF(AND(Radar_Mosca!$F5=DK$4,Radar_Mosca!$AA5=DK$3),Radar_Mosca!$S5,NA()),NA())</f>
        <v/>
      </c>
      <c r="DL5">
        <f>IF(AND(ISNUMBER(Radar_Mosca!$F5),ISNUMBER(Radar_Mosca!$S5)),IF(AND(Radar_Mosca!$F5=DL$4,Radar_Mosca!$AA5=DL$3),Radar_Mosca!$S5,NA()),NA())</f>
        <v/>
      </c>
      <c r="DM5">
        <f>IF(AND(ISNUMBER(Radar_Mosca!$F5),ISNUMBER(Radar_Mosca!$S5)),IF(AND(Radar_Mosca!$F5=DM$4,Radar_Mosca!$AA5=DM$3),Radar_Mosca!$S5,NA()),NA())</f>
        <v/>
      </c>
      <c r="DN5">
        <f>IF(AND(ISNUMBER(Radar_Mosca!$F5),ISNUMBER(Radar_Mosca!$S5)),IF(AND(Radar_Mosca!$F5=DN$4,Radar_Mosca!$AA5=DN$3),Radar_Mosca!$S5,NA()),NA())</f>
        <v/>
      </c>
      <c r="DO5">
        <f>IF(ISNUMBER(Radar_Mosca!$R5),Radar_Mosca!$R5,NA())</f>
        <v/>
      </c>
      <c r="DP5">
        <f>IF(Radar_Mosca!$A5="","",MID(Radar_Mosca!$A5,5,3)&amp;IF(Radar_Mosca!$T5="Sì"," ◆",""))</f>
        <v/>
      </c>
      <c r="DQ5">
        <f>IF(ISNUMBER(Radar_Mosca!$S5),Radar_Mosca!$S5,NA())</f>
        <v/>
      </c>
      <c r="DR5" t="inlineStr">
        <is>
          <t>Attivazione</t>
        </is>
      </c>
      <c r="DS5" t="n">
        <v>-7</v>
      </c>
      <c r="DT5" t="n">
        <v>-8.049999999999999</v>
      </c>
    </row>
    <row r="6" ht="34" customHeight="1">
      <c r="A6" s="26">
        <f>"su "&amp;coperturaAnagrafica&amp;" in anagrafica · "&amp;IF(coperturaValutati=coperturaAnagrafica,"completo","INCOMPLETO")</f>
        <v/>
      </c>
      <c r="B6" s="15" t="n"/>
      <c r="C6" s="16" t="n"/>
      <c r="D6" s="27">
        <f>IF($T$4=0,"nessun rischio in attivazione","in attivazione: "&amp;_xlfn.TEXTJOIN(", ",TRUE,$T$5:$T$24))&amp;" · in monitoraggio "&amp;COUNTIF(Radar_Mosca!$AA$5:$AA$24,"Monitoraggio")</f>
        <v/>
      </c>
      <c r="E6" s="18" t="n"/>
      <c r="F6" s="19" t="n"/>
      <c r="G6" s="26">
        <f>"rispetto al "&amp;cicloPrecedente&amp;" · entrati nel radar "&amp;COUNTIFS(RR_Ciclo,cicloCorrente,RR_Movimento,"Entrato")&amp;", usciti "&amp;COUNTIFS(RR_Ciclo,cicloCorrente,RR_Movimento,"Uscito")&amp;" · in osservazione "&amp;COUNTIFS(RR_Ciclo,cicloCorrente,RR_Stato,"Osservazione")</f>
        <v/>
      </c>
      <c r="H6" s="15" t="n"/>
      <c r="I6" s="16" t="n"/>
      <c r="J6" s="27">
        <f>"su "&amp;COUNTIFS(KRI_Ciclo,cicloCorrente,KRI_In_Vigore,"Sì")&amp;" in vigore"</f>
        <v/>
      </c>
      <c r="K6" s="18" t="n"/>
      <c r="L6" s="19" t="n"/>
      <c r="M6" s="28">
        <f>IF(decisioniDaPrendere&gt;0,"righe da validare: ciclo non validato","ciclo validato")</f>
        <v/>
      </c>
      <c r="N6" s="21" t="n"/>
      <c r="O6" s="22" t="n"/>
      <c r="T6">
        <f>IF(Radar_Mosca!$AA$6="Attivazione",Radar_Mosca!$A$6,"")</f>
        <v/>
      </c>
      <c r="BH6">
        <f>2*PI()*1/72</f>
        <v/>
      </c>
      <c r="BI6">
        <f>2*SIN($BH6)</f>
        <v/>
      </c>
      <c r="BJ6">
        <f>2*COS($BH6)</f>
        <v/>
      </c>
      <c r="BK6">
        <f>3*SIN($BH6)</f>
        <v/>
      </c>
      <c r="BL6">
        <f>3*COS($BH6)</f>
        <v/>
      </c>
      <c r="BM6">
        <f>4*SIN($BH6)</f>
        <v/>
      </c>
      <c r="BN6">
        <f>4*COS($BH6)</f>
        <v/>
      </c>
      <c r="BO6">
        <f>5*SIN($BH6)</f>
        <v/>
      </c>
      <c r="BP6">
        <f>5*COS($BH6)</f>
        <v/>
      </c>
      <c r="BR6">
        <f>6.3*SIN(2*PI()*0/ROWS(codiciL1))</f>
        <v/>
      </c>
      <c r="BS6">
        <f>6.3*COS(2*PI()*0/ROWS(codiciL1))</f>
        <v/>
      </c>
      <c r="BU6" t="inlineStr">
        <is>
          <t>9.4
Legale</t>
        </is>
      </c>
      <c r="BV6">
        <f>6.95*SIN(2*PI()*(1+0.5)/ROWS(codiciL1))</f>
        <v/>
      </c>
      <c r="BW6">
        <f>6.95*COS(2*PI()*(1+0.5)/ROWS(codiciL1))</f>
        <v/>
      </c>
      <c r="BY6">
        <f>IF(AND(ISNUMBER(Radar_Mosca!$F6),ISNUMBER(Radar_Mosca!$S6)),IF(AND(Radar_Mosca!$F6=BY$4,Radar_Mosca!$AA6=BY$3),Radar_Mosca!$S6,NA()),NA())</f>
        <v/>
      </c>
      <c r="BZ6">
        <f>IF(AND(ISNUMBER(Radar_Mosca!$F6),ISNUMBER(Radar_Mosca!$S6)),IF(AND(Radar_Mosca!$F6=BZ$4,Radar_Mosca!$AA6=BZ$3),Radar_Mosca!$S6,NA()),NA())</f>
        <v/>
      </c>
      <c r="CA6">
        <f>IF(AND(ISNUMBER(Radar_Mosca!$F6),ISNUMBER(Radar_Mosca!$S6)),IF(AND(Radar_Mosca!$F6=CA$4,Radar_Mosca!$AA6=CA$3),Radar_Mosca!$S6,NA()),NA())</f>
        <v/>
      </c>
      <c r="CB6">
        <f>IF(AND(ISNUMBER(Radar_Mosca!$F6),ISNUMBER(Radar_Mosca!$S6)),IF(AND(Radar_Mosca!$F6=CB$4,Radar_Mosca!$AA6=CB$3),Radar_Mosca!$S6,NA()),NA())</f>
        <v/>
      </c>
      <c r="CC6">
        <f>IF(AND(ISNUMBER(Radar_Mosca!$F6),ISNUMBER(Radar_Mosca!$S6)),IF(AND(Radar_Mosca!$F6=CC$4,Radar_Mosca!$AA6=CC$3),Radar_Mosca!$S6,NA()),NA())</f>
        <v/>
      </c>
      <c r="CD6">
        <f>IF(AND(ISNUMBER(Radar_Mosca!$F6),ISNUMBER(Radar_Mosca!$S6)),IF(AND(Radar_Mosca!$F6=CD$4,Radar_Mosca!$AA6=CD$3),Radar_Mosca!$S6,NA()),NA())</f>
        <v/>
      </c>
      <c r="CE6">
        <f>IF(AND(ISNUMBER(Radar_Mosca!$F6),ISNUMBER(Radar_Mosca!$S6)),IF(AND(Radar_Mosca!$F6=CE$4,Radar_Mosca!$AA6=CE$3),Radar_Mosca!$S6,NA()),NA())</f>
        <v/>
      </c>
      <c r="CF6">
        <f>IF(AND(ISNUMBER(Radar_Mosca!$F6),ISNUMBER(Radar_Mosca!$S6)),IF(AND(Radar_Mosca!$F6=CF$4,Radar_Mosca!$AA6=CF$3),Radar_Mosca!$S6,NA()),NA())</f>
        <v/>
      </c>
      <c r="CG6">
        <f>IF(AND(ISNUMBER(Radar_Mosca!$F6),ISNUMBER(Radar_Mosca!$S6)),IF(AND(Radar_Mosca!$F6=CG$4,Radar_Mosca!$AA6=CG$3),Radar_Mosca!$S6,NA()),NA())</f>
        <v/>
      </c>
      <c r="CH6">
        <f>IF(AND(ISNUMBER(Radar_Mosca!$F6),ISNUMBER(Radar_Mosca!$S6)),IF(AND(Radar_Mosca!$F6=CH$4,Radar_Mosca!$AA6=CH$3),Radar_Mosca!$S6,NA()),NA())</f>
        <v/>
      </c>
      <c r="CI6">
        <f>IF(AND(ISNUMBER(Radar_Mosca!$F6),ISNUMBER(Radar_Mosca!$S6)),IF(AND(Radar_Mosca!$F6=CI$4,Radar_Mosca!$AA6=CI$3),Radar_Mosca!$S6,NA()),NA())</f>
        <v/>
      </c>
      <c r="CJ6">
        <f>IF(AND(ISNUMBER(Radar_Mosca!$F6),ISNUMBER(Radar_Mosca!$S6)),IF(AND(Radar_Mosca!$F6=CJ$4,Radar_Mosca!$AA6=CJ$3),Radar_Mosca!$S6,NA()),NA())</f>
        <v/>
      </c>
      <c r="CK6">
        <f>IF(AND(ISNUMBER(Radar_Mosca!$F6),ISNUMBER(Radar_Mosca!$S6)),IF(AND(Radar_Mosca!$F6=CK$4,Radar_Mosca!$AA6=CK$3),Radar_Mosca!$S6,NA()),NA())</f>
        <v/>
      </c>
      <c r="CL6">
        <f>IF(AND(ISNUMBER(Radar_Mosca!$F6),ISNUMBER(Radar_Mosca!$S6)),IF(AND(Radar_Mosca!$F6=CL$4,Radar_Mosca!$AA6=CL$3),Radar_Mosca!$S6,NA()),NA())</f>
        <v/>
      </c>
      <c r="CM6">
        <f>IF(AND(ISNUMBER(Radar_Mosca!$F6),ISNUMBER(Radar_Mosca!$S6)),IF(AND(Radar_Mosca!$F6=CM$4,Radar_Mosca!$AA6=CM$3),Radar_Mosca!$S6,NA()),NA())</f>
        <v/>
      </c>
      <c r="CN6">
        <f>IF(AND(ISNUMBER(Radar_Mosca!$F6),ISNUMBER(Radar_Mosca!$S6)),IF(AND(Radar_Mosca!$F6=CN$4,Radar_Mosca!$AA6=CN$3),Radar_Mosca!$S6,NA()),NA())</f>
        <v/>
      </c>
      <c r="CO6">
        <f>IF(AND(ISNUMBER(Radar_Mosca!$F6),ISNUMBER(Radar_Mosca!$S6)),IF(AND(Radar_Mosca!$F6=CO$4,Radar_Mosca!$AA6=CO$3),Radar_Mosca!$S6,NA()),NA())</f>
        <v/>
      </c>
      <c r="CP6">
        <f>IF(AND(ISNUMBER(Radar_Mosca!$F6),ISNUMBER(Radar_Mosca!$S6)),IF(AND(Radar_Mosca!$F6=CP$4,Radar_Mosca!$AA6=CP$3),Radar_Mosca!$S6,NA()),NA())</f>
        <v/>
      </c>
      <c r="CQ6">
        <f>IF(AND(ISNUMBER(Radar_Mosca!$F6),ISNUMBER(Radar_Mosca!$S6)),IF(AND(Radar_Mosca!$F6=CQ$4,Radar_Mosca!$AA6=CQ$3),Radar_Mosca!$S6,NA()),NA())</f>
        <v/>
      </c>
      <c r="CR6">
        <f>IF(AND(ISNUMBER(Radar_Mosca!$F6),ISNUMBER(Radar_Mosca!$S6)),IF(AND(Radar_Mosca!$F6=CR$4,Radar_Mosca!$AA6=CR$3),Radar_Mosca!$S6,NA()),NA())</f>
        <v/>
      </c>
      <c r="CS6">
        <f>IF(AND(ISNUMBER(Radar_Mosca!$F6),ISNUMBER(Radar_Mosca!$S6)),IF(AND(Radar_Mosca!$F6=CS$4,Radar_Mosca!$AA6=CS$3),Radar_Mosca!$S6,NA()),NA())</f>
        <v/>
      </c>
      <c r="CT6">
        <f>IF(AND(ISNUMBER(Radar_Mosca!$F6),ISNUMBER(Radar_Mosca!$S6)),IF(AND(Radar_Mosca!$F6=CT$4,Radar_Mosca!$AA6=CT$3),Radar_Mosca!$S6,NA()),NA())</f>
        <v/>
      </c>
      <c r="CU6">
        <f>IF(AND(ISNUMBER(Radar_Mosca!$F6),ISNUMBER(Radar_Mosca!$S6)),IF(AND(Radar_Mosca!$F6=CU$4,Radar_Mosca!$AA6=CU$3),Radar_Mosca!$S6,NA()),NA())</f>
        <v/>
      </c>
      <c r="CV6">
        <f>IF(AND(ISNUMBER(Radar_Mosca!$F6),ISNUMBER(Radar_Mosca!$S6)),IF(AND(Radar_Mosca!$F6=CV$4,Radar_Mosca!$AA6=CV$3),Radar_Mosca!$S6,NA()),NA())</f>
        <v/>
      </c>
      <c r="CW6">
        <f>IF(AND(ISNUMBER(Radar_Mosca!$F6),ISNUMBER(Radar_Mosca!$S6)),IF(AND(Radar_Mosca!$F6=CW$4,Radar_Mosca!$AA6=CW$3),Radar_Mosca!$S6,NA()),NA())</f>
        <v/>
      </c>
      <c r="CX6">
        <f>IF(AND(ISNUMBER(Radar_Mosca!$F6),ISNUMBER(Radar_Mosca!$S6)),IF(AND(Radar_Mosca!$F6=CX$4,Radar_Mosca!$AA6=CX$3),Radar_Mosca!$S6,NA()),NA())</f>
        <v/>
      </c>
      <c r="CY6">
        <f>IF(AND(ISNUMBER(Radar_Mosca!$F6),ISNUMBER(Radar_Mosca!$S6)),IF(AND(Radar_Mosca!$F6=CY$4,Radar_Mosca!$AA6=CY$3),Radar_Mosca!$S6,NA()),NA())</f>
        <v/>
      </c>
      <c r="CZ6">
        <f>IF(AND(ISNUMBER(Radar_Mosca!$F6),ISNUMBER(Radar_Mosca!$S6)),IF(AND(Radar_Mosca!$F6=CZ$4,Radar_Mosca!$AA6=CZ$3),Radar_Mosca!$S6,NA()),NA())</f>
        <v/>
      </c>
      <c r="DA6">
        <f>IF(AND(ISNUMBER(Radar_Mosca!$F6),ISNUMBER(Radar_Mosca!$S6)),IF(AND(Radar_Mosca!$F6=DA$4,Radar_Mosca!$AA6=DA$3),Radar_Mosca!$S6,NA()),NA())</f>
        <v/>
      </c>
      <c r="DB6">
        <f>IF(AND(ISNUMBER(Radar_Mosca!$F6),ISNUMBER(Radar_Mosca!$S6)),IF(AND(Radar_Mosca!$F6=DB$4,Radar_Mosca!$AA6=DB$3),Radar_Mosca!$S6,NA()),NA())</f>
        <v/>
      </c>
      <c r="DC6">
        <f>IF(AND(ISNUMBER(Radar_Mosca!$F6),ISNUMBER(Radar_Mosca!$S6)),IF(AND(Radar_Mosca!$F6=DC$4,Radar_Mosca!$AA6=DC$3),Radar_Mosca!$S6,NA()),NA())</f>
        <v/>
      </c>
      <c r="DD6">
        <f>IF(AND(ISNUMBER(Radar_Mosca!$F6),ISNUMBER(Radar_Mosca!$S6)),IF(AND(Radar_Mosca!$F6=DD$4,Radar_Mosca!$AA6=DD$3),Radar_Mosca!$S6,NA()),NA())</f>
        <v/>
      </c>
      <c r="DE6">
        <f>IF(AND(ISNUMBER(Radar_Mosca!$F6),ISNUMBER(Radar_Mosca!$S6)),IF(AND(Radar_Mosca!$F6=DE$4,Radar_Mosca!$AA6=DE$3),Radar_Mosca!$S6,NA()),NA())</f>
        <v/>
      </c>
      <c r="DF6">
        <f>IF(AND(ISNUMBER(Radar_Mosca!$F6),ISNUMBER(Radar_Mosca!$S6)),IF(AND(Radar_Mosca!$F6=DF$4,Radar_Mosca!$AA6=DF$3),Radar_Mosca!$S6,NA()),NA())</f>
        <v/>
      </c>
      <c r="DG6">
        <f>IF(AND(ISNUMBER(Radar_Mosca!$F6),ISNUMBER(Radar_Mosca!$S6)),IF(AND(Radar_Mosca!$F6=DG$4,Radar_Mosca!$AA6=DG$3),Radar_Mosca!$S6,NA()),NA())</f>
        <v/>
      </c>
      <c r="DH6">
        <f>IF(AND(ISNUMBER(Radar_Mosca!$F6),ISNUMBER(Radar_Mosca!$S6)),IF(AND(Radar_Mosca!$F6=DH$4,Radar_Mosca!$AA6=DH$3),Radar_Mosca!$S6,NA()),NA())</f>
        <v/>
      </c>
      <c r="DI6">
        <f>IF(AND(ISNUMBER(Radar_Mosca!$F6),ISNUMBER(Radar_Mosca!$S6)),IF(AND(Radar_Mosca!$F6=DI$4,Radar_Mosca!$AA6=DI$3),Radar_Mosca!$S6,NA()),NA())</f>
        <v/>
      </c>
      <c r="DJ6">
        <f>IF(AND(ISNUMBER(Radar_Mosca!$F6),ISNUMBER(Radar_Mosca!$S6)),IF(AND(Radar_Mosca!$F6=DJ$4,Radar_Mosca!$AA6=DJ$3),Radar_Mosca!$S6,NA()),NA())</f>
        <v/>
      </c>
      <c r="DK6">
        <f>IF(AND(ISNUMBER(Radar_Mosca!$F6),ISNUMBER(Radar_Mosca!$S6)),IF(AND(Radar_Mosca!$F6=DK$4,Radar_Mosca!$AA6=DK$3),Radar_Mosca!$S6,NA()),NA())</f>
        <v/>
      </c>
      <c r="DL6">
        <f>IF(AND(ISNUMBER(Radar_Mosca!$F6),ISNUMBER(Radar_Mosca!$S6)),IF(AND(Radar_Mosca!$F6=DL$4,Radar_Mosca!$AA6=DL$3),Radar_Mosca!$S6,NA()),NA())</f>
        <v/>
      </c>
      <c r="DM6">
        <f>IF(AND(ISNUMBER(Radar_Mosca!$F6),ISNUMBER(Radar_Mosca!$S6)),IF(AND(Radar_Mosca!$F6=DM$4,Radar_Mosca!$AA6=DM$3),Radar_Mosca!$S6,NA()),NA())</f>
        <v/>
      </c>
      <c r="DN6">
        <f>IF(AND(ISNUMBER(Radar_Mosca!$F6),ISNUMBER(Radar_Mosca!$S6)),IF(AND(Radar_Mosca!$F6=DN$4,Radar_Mosca!$AA6=DN$3),Radar_Mosca!$S6,NA()),NA())</f>
        <v/>
      </c>
      <c r="DO6">
        <f>IF(ISNUMBER(Radar_Mosca!$R6),Radar_Mosca!$R6,NA())</f>
        <v/>
      </c>
      <c r="DP6">
        <f>IF(Radar_Mosca!$A6="","",MID(Radar_Mosca!$A6,5,3)&amp;IF(Radar_Mosca!$T6="Sì"," ◆",""))</f>
        <v/>
      </c>
      <c r="DQ6">
        <f>IF(ISNUMBER(Radar_Mosca!$S6),Radar_Mosca!$S6,NA())</f>
        <v/>
      </c>
      <c r="DR6" t="inlineStr">
        <is>
          <t>Attenzione</t>
        </is>
      </c>
      <c r="DS6" t="n">
        <v>0.3</v>
      </c>
      <c r="DT6" t="n">
        <v>-8.049999999999999</v>
      </c>
    </row>
    <row r="7">
      <c r="T7">
        <f>IF(Radar_Mosca!$AA$7="Attivazione",Radar_Mosca!$A$7,"")</f>
        <v/>
      </c>
      <c r="BH7">
        <f>2*PI()*2/72</f>
        <v/>
      </c>
      <c r="BI7">
        <f>2*SIN($BH7)</f>
        <v/>
      </c>
      <c r="BJ7">
        <f>2*COS($BH7)</f>
        <v/>
      </c>
      <c r="BK7">
        <f>3*SIN($BH7)</f>
        <v/>
      </c>
      <c r="BL7">
        <f>3*COS($BH7)</f>
        <v/>
      </c>
      <c r="BM7">
        <f>4*SIN($BH7)</f>
        <v/>
      </c>
      <c r="BN7">
        <f>4*COS($BH7)</f>
        <v/>
      </c>
      <c r="BO7">
        <f>5*SIN($BH7)</f>
        <v/>
      </c>
      <c r="BP7">
        <f>5*COS($BH7)</f>
        <v/>
      </c>
      <c r="BR7" t="n">
        <v>0</v>
      </c>
      <c r="BS7" t="n">
        <v>0</v>
      </c>
      <c r="BU7" t="inlineStr">
        <is>
          <t>9.5
Fiscale</t>
        </is>
      </c>
      <c r="BV7">
        <f>6.95*SIN(2*PI()*(2+0.5)/ROWS(codiciL1))</f>
        <v/>
      </c>
      <c r="BW7">
        <f>6.95*COS(2*PI()*(2+0.5)/ROWS(codiciL1))</f>
        <v/>
      </c>
      <c r="BY7">
        <f>IF(AND(ISNUMBER(Radar_Mosca!$F7),ISNUMBER(Radar_Mosca!$S7)),IF(AND(Radar_Mosca!$F7=BY$4,Radar_Mosca!$AA7=BY$3),Radar_Mosca!$S7,NA()),NA())</f>
        <v/>
      </c>
      <c r="BZ7">
        <f>IF(AND(ISNUMBER(Radar_Mosca!$F7),ISNUMBER(Radar_Mosca!$S7)),IF(AND(Radar_Mosca!$F7=BZ$4,Radar_Mosca!$AA7=BZ$3),Radar_Mosca!$S7,NA()),NA())</f>
        <v/>
      </c>
      <c r="CA7">
        <f>IF(AND(ISNUMBER(Radar_Mosca!$F7),ISNUMBER(Radar_Mosca!$S7)),IF(AND(Radar_Mosca!$F7=CA$4,Radar_Mosca!$AA7=CA$3),Radar_Mosca!$S7,NA()),NA())</f>
        <v/>
      </c>
      <c r="CB7">
        <f>IF(AND(ISNUMBER(Radar_Mosca!$F7),ISNUMBER(Radar_Mosca!$S7)),IF(AND(Radar_Mosca!$F7=CB$4,Radar_Mosca!$AA7=CB$3),Radar_Mosca!$S7,NA()),NA())</f>
        <v/>
      </c>
      <c r="CC7">
        <f>IF(AND(ISNUMBER(Radar_Mosca!$F7),ISNUMBER(Radar_Mosca!$S7)),IF(AND(Radar_Mosca!$F7=CC$4,Radar_Mosca!$AA7=CC$3),Radar_Mosca!$S7,NA()),NA())</f>
        <v/>
      </c>
      <c r="CD7">
        <f>IF(AND(ISNUMBER(Radar_Mosca!$F7),ISNUMBER(Radar_Mosca!$S7)),IF(AND(Radar_Mosca!$F7=CD$4,Radar_Mosca!$AA7=CD$3),Radar_Mosca!$S7,NA()),NA())</f>
        <v/>
      </c>
      <c r="CE7">
        <f>IF(AND(ISNUMBER(Radar_Mosca!$F7),ISNUMBER(Radar_Mosca!$S7)),IF(AND(Radar_Mosca!$F7=CE$4,Radar_Mosca!$AA7=CE$3),Radar_Mosca!$S7,NA()),NA())</f>
        <v/>
      </c>
      <c r="CF7">
        <f>IF(AND(ISNUMBER(Radar_Mosca!$F7),ISNUMBER(Radar_Mosca!$S7)),IF(AND(Radar_Mosca!$F7=CF$4,Radar_Mosca!$AA7=CF$3),Radar_Mosca!$S7,NA()),NA())</f>
        <v/>
      </c>
      <c r="CG7">
        <f>IF(AND(ISNUMBER(Radar_Mosca!$F7),ISNUMBER(Radar_Mosca!$S7)),IF(AND(Radar_Mosca!$F7=CG$4,Radar_Mosca!$AA7=CG$3),Radar_Mosca!$S7,NA()),NA())</f>
        <v/>
      </c>
      <c r="CH7">
        <f>IF(AND(ISNUMBER(Radar_Mosca!$F7),ISNUMBER(Radar_Mosca!$S7)),IF(AND(Radar_Mosca!$F7=CH$4,Radar_Mosca!$AA7=CH$3),Radar_Mosca!$S7,NA()),NA())</f>
        <v/>
      </c>
      <c r="CI7">
        <f>IF(AND(ISNUMBER(Radar_Mosca!$F7),ISNUMBER(Radar_Mosca!$S7)),IF(AND(Radar_Mosca!$F7=CI$4,Radar_Mosca!$AA7=CI$3),Radar_Mosca!$S7,NA()),NA())</f>
        <v/>
      </c>
      <c r="CJ7">
        <f>IF(AND(ISNUMBER(Radar_Mosca!$F7),ISNUMBER(Radar_Mosca!$S7)),IF(AND(Radar_Mosca!$F7=CJ$4,Radar_Mosca!$AA7=CJ$3),Radar_Mosca!$S7,NA()),NA())</f>
        <v/>
      </c>
      <c r="CK7">
        <f>IF(AND(ISNUMBER(Radar_Mosca!$F7),ISNUMBER(Radar_Mosca!$S7)),IF(AND(Radar_Mosca!$F7=CK$4,Radar_Mosca!$AA7=CK$3),Radar_Mosca!$S7,NA()),NA())</f>
        <v/>
      </c>
      <c r="CL7">
        <f>IF(AND(ISNUMBER(Radar_Mosca!$F7),ISNUMBER(Radar_Mosca!$S7)),IF(AND(Radar_Mosca!$F7=CL$4,Radar_Mosca!$AA7=CL$3),Radar_Mosca!$S7,NA()),NA())</f>
        <v/>
      </c>
      <c r="CM7">
        <f>IF(AND(ISNUMBER(Radar_Mosca!$F7),ISNUMBER(Radar_Mosca!$S7)),IF(AND(Radar_Mosca!$F7=CM$4,Radar_Mosca!$AA7=CM$3),Radar_Mosca!$S7,NA()),NA())</f>
        <v/>
      </c>
      <c r="CN7">
        <f>IF(AND(ISNUMBER(Radar_Mosca!$F7),ISNUMBER(Radar_Mosca!$S7)),IF(AND(Radar_Mosca!$F7=CN$4,Radar_Mosca!$AA7=CN$3),Radar_Mosca!$S7,NA()),NA())</f>
        <v/>
      </c>
      <c r="CO7">
        <f>IF(AND(ISNUMBER(Radar_Mosca!$F7),ISNUMBER(Radar_Mosca!$S7)),IF(AND(Radar_Mosca!$F7=CO$4,Radar_Mosca!$AA7=CO$3),Radar_Mosca!$S7,NA()),NA())</f>
        <v/>
      </c>
      <c r="CP7">
        <f>IF(AND(ISNUMBER(Radar_Mosca!$F7),ISNUMBER(Radar_Mosca!$S7)),IF(AND(Radar_Mosca!$F7=CP$4,Radar_Mosca!$AA7=CP$3),Radar_Mosca!$S7,NA()),NA())</f>
        <v/>
      </c>
      <c r="CQ7">
        <f>IF(AND(ISNUMBER(Radar_Mosca!$F7),ISNUMBER(Radar_Mosca!$S7)),IF(AND(Radar_Mosca!$F7=CQ$4,Radar_Mosca!$AA7=CQ$3),Radar_Mosca!$S7,NA()),NA())</f>
        <v/>
      </c>
      <c r="CR7">
        <f>IF(AND(ISNUMBER(Radar_Mosca!$F7),ISNUMBER(Radar_Mosca!$S7)),IF(AND(Radar_Mosca!$F7=CR$4,Radar_Mosca!$AA7=CR$3),Radar_Mosca!$S7,NA()),NA())</f>
        <v/>
      </c>
      <c r="CS7">
        <f>IF(AND(ISNUMBER(Radar_Mosca!$F7),ISNUMBER(Radar_Mosca!$S7)),IF(AND(Radar_Mosca!$F7=CS$4,Radar_Mosca!$AA7=CS$3),Radar_Mosca!$S7,NA()),NA())</f>
        <v/>
      </c>
      <c r="CT7">
        <f>IF(AND(ISNUMBER(Radar_Mosca!$F7),ISNUMBER(Radar_Mosca!$S7)),IF(AND(Radar_Mosca!$F7=CT$4,Radar_Mosca!$AA7=CT$3),Radar_Mosca!$S7,NA()),NA())</f>
        <v/>
      </c>
      <c r="CU7">
        <f>IF(AND(ISNUMBER(Radar_Mosca!$F7),ISNUMBER(Radar_Mosca!$S7)),IF(AND(Radar_Mosca!$F7=CU$4,Radar_Mosca!$AA7=CU$3),Radar_Mosca!$S7,NA()),NA())</f>
        <v/>
      </c>
      <c r="CV7">
        <f>IF(AND(ISNUMBER(Radar_Mosca!$F7),ISNUMBER(Radar_Mosca!$S7)),IF(AND(Radar_Mosca!$F7=CV$4,Radar_Mosca!$AA7=CV$3),Radar_Mosca!$S7,NA()),NA())</f>
        <v/>
      </c>
      <c r="CW7">
        <f>IF(AND(ISNUMBER(Radar_Mosca!$F7),ISNUMBER(Radar_Mosca!$S7)),IF(AND(Radar_Mosca!$F7=CW$4,Radar_Mosca!$AA7=CW$3),Radar_Mosca!$S7,NA()),NA())</f>
        <v/>
      </c>
      <c r="CX7">
        <f>IF(AND(ISNUMBER(Radar_Mosca!$F7),ISNUMBER(Radar_Mosca!$S7)),IF(AND(Radar_Mosca!$F7=CX$4,Radar_Mosca!$AA7=CX$3),Radar_Mosca!$S7,NA()),NA())</f>
        <v/>
      </c>
      <c r="CY7">
        <f>IF(AND(ISNUMBER(Radar_Mosca!$F7),ISNUMBER(Radar_Mosca!$S7)),IF(AND(Radar_Mosca!$F7=CY$4,Radar_Mosca!$AA7=CY$3),Radar_Mosca!$S7,NA()),NA())</f>
        <v/>
      </c>
      <c r="CZ7">
        <f>IF(AND(ISNUMBER(Radar_Mosca!$F7),ISNUMBER(Radar_Mosca!$S7)),IF(AND(Radar_Mosca!$F7=CZ$4,Radar_Mosca!$AA7=CZ$3),Radar_Mosca!$S7,NA()),NA())</f>
        <v/>
      </c>
      <c r="DA7">
        <f>IF(AND(ISNUMBER(Radar_Mosca!$F7),ISNUMBER(Radar_Mosca!$S7)),IF(AND(Radar_Mosca!$F7=DA$4,Radar_Mosca!$AA7=DA$3),Radar_Mosca!$S7,NA()),NA())</f>
        <v/>
      </c>
      <c r="DB7">
        <f>IF(AND(ISNUMBER(Radar_Mosca!$F7),ISNUMBER(Radar_Mosca!$S7)),IF(AND(Radar_Mosca!$F7=DB$4,Radar_Mosca!$AA7=DB$3),Radar_Mosca!$S7,NA()),NA())</f>
        <v/>
      </c>
      <c r="DC7">
        <f>IF(AND(ISNUMBER(Radar_Mosca!$F7),ISNUMBER(Radar_Mosca!$S7)),IF(AND(Radar_Mosca!$F7=DC$4,Radar_Mosca!$AA7=DC$3),Radar_Mosca!$S7,NA()),NA())</f>
        <v/>
      </c>
      <c r="DD7">
        <f>IF(AND(ISNUMBER(Radar_Mosca!$F7),ISNUMBER(Radar_Mosca!$S7)),IF(AND(Radar_Mosca!$F7=DD$4,Radar_Mosca!$AA7=DD$3),Radar_Mosca!$S7,NA()),NA())</f>
        <v/>
      </c>
      <c r="DE7">
        <f>IF(AND(ISNUMBER(Radar_Mosca!$F7),ISNUMBER(Radar_Mosca!$S7)),IF(AND(Radar_Mosca!$F7=DE$4,Radar_Mosca!$AA7=DE$3),Radar_Mosca!$S7,NA()),NA())</f>
        <v/>
      </c>
      <c r="DF7">
        <f>IF(AND(ISNUMBER(Radar_Mosca!$F7),ISNUMBER(Radar_Mosca!$S7)),IF(AND(Radar_Mosca!$F7=DF$4,Radar_Mosca!$AA7=DF$3),Radar_Mosca!$S7,NA()),NA())</f>
        <v/>
      </c>
      <c r="DG7">
        <f>IF(AND(ISNUMBER(Radar_Mosca!$F7),ISNUMBER(Radar_Mosca!$S7)),IF(AND(Radar_Mosca!$F7=DG$4,Radar_Mosca!$AA7=DG$3),Radar_Mosca!$S7,NA()),NA())</f>
        <v/>
      </c>
      <c r="DH7">
        <f>IF(AND(ISNUMBER(Radar_Mosca!$F7),ISNUMBER(Radar_Mosca!$S7)),IF(AND(Radar_Mosca!$F7=DH$4,Radar_Mosca!$AA7=DH$3),Radar_Mosca!$S7,NA()),NA())</f>
        <v/>
      </c>
      <c r="DI7">
        <f>IF(AND(ISNUMBER(Radar_Mosca!$F7),ISNUMBER(Radar_Mosca!$S7)),IF(AND(Radar_Mosca!$F7=DI$4,Radar_Mosca!$AA7=DI$3),Radar_Mosca!$S7,NA()),NA())</f>
        <v/>
      </c>
      <c r="DJ7">
        <f>IF(AND(ISNUMBER(Radar_Mosca!$F7),ISNUMBER(Radar_Mosca!$S7)),IF(AND(Radar_Mosca!$F7=DJ$4,Radar_Mosca!$AA7=DJ$3),Radar_Mosca!$S7,NA()),NA())</f>
        <v/>
      </c>
      <c r="DK7">
        <f>IF(AND(ISNUMBER(Radar_Mosca!$F7),ISNUMBER(Radar_Mosca!$S7)),IF(AND(Radar_Mosca!$F7=DK$4,Radar_Mosca!$AA7=DK$3),Radar_Mosca!$S7,NA()),NA())</f>
        <v/>
      </c>
      <c r="DL7">
        <f>IF(AND(ISNUMBER(Radar_Mosca!$F7),ISNUMBER(Radar_Mosca!$S7)),IF(AND(Radar_Mosca!$F7=DL$4,Radar_Mosca!$AA7=DL$3),Radar_Mosca!$S7,NA()),NA())</f>
        <v/>
      </c>
      <c r="DM7">
        <f>IF(AND(ISNUMBER(Radar_Mosca!$F7),ISNUMBER(Radar_Mosca!$S7)),IF(AND(Radar_Mosca!$F7=DM$4,Radar_Mosca!$AA7=DM$3),Radar_Mosca!$S7,NA()),NA())</f>
        <v/>
      </c>
      <c r="DN7">
        <f>IF(AND(ISNUMBER(Radar_Mosca!$F7),ISNUMBER(Radar_Mosca!$S7)),IF(AND(Radar_Mosca!$F7=DN$4,Radar_Mosca!$AA7=DN$3),Radar_Mosca!$S7,NA()),NA())</f>
        <v/>
      </c>
      <c r="DO7">
        <f>IF(ISNUMBER(Radar_Mosca!$R7),Radar_Mosca!$R7,NA())</f>
        <v/>
      </c>
      <c r="DP7">
        <f>IF(Radar_Mosca!$A7="","",MID(Radar_Mosca!$A7,5,3)&amp;IF(Radar_Mosca!$T7="Sì"," ◆",""))</f>
        <v/>
      </c>
      <c r="DQ7">
        <f>IF(ISNUMBER(Radar_Mosca!$S7),Radar_Mosca!$S7,NA())</f>
        <v/>
      </c>
      <c r="DR7" t="inlineStr">
        <is>
          <t>Monitoraggio</t>
        </is>
      </c>
      <c r="DS7" t="n">
        <v>-7</v>
      </c>
      <c r="DT7" t="n">
        <v>-9.399999999999999</v>
      </c>
    </row>
    <row r="8">
      <c r="A8" s="29" t="inlineStr">
        <is>
          <t>Priorita' — primi cinque per score composito</t>
        </is>
      </c>
      <c r="B8" s="30" t="n"/>
      <c r="C8" s="30" t="n"/>
      <c r="D8" s="30" t="n"/>
      <c r="E8" s="30" t="n"/>
      <c r="F8" s="30" t="n"/>
      <c r="G8" s="30" t="n"/>
      <c r="H8" s="30" t="n"/>
      <c r="J8" s="29" t="inlineStr">
        <is>
          <t>Gravita': Probabilita x Impatto</t>
        </is>
      </c>
      <c r="K8" s="30" t="n"/>
      <c r="L8" s="30" t="n"/>
      <c r="M8" s="30" t="n"/>
      <c r="N8" s="30" t="n"/>
      <c r="O8" s="30" t="n"/>
      <c r="T8">
        <f>IF(Radar_Mosca!$AA$8="Attivazione",Radar_Mosca!$A$8,"")</f>
        <v/>
      </c>
      <c r="BH8">
        <f>2*PI()*3/72</f>
        <v/>
      </c>
      <c r="BI8">
        <f>2*SIN($BH8)</f>
        <v/>
      </c>
      <c r="BJ8">
        <f>2*COS($BH8)</f>
        <v/>
      </c>
      <c r="BK8">
        <f>3*SIN($BH8)</f>
        <v/>
      </c>
      <c r="BL8">
        <f>3*COS($BH8)</f>
        <v/>
      </c>
      <c r="BM8">
        <f>4*SIN($BH8)</f>
        <v/>
      </c>
      <c r="BN8">
        <f>4*COS($BH8)</f>
        <v/>
      </c>
      <c r="BO8">
        <f>5*SIN($BH8)</f>
        <v/>
      </c>
      <c r="BP8">
        <f>5*COS($BH8)</f>
        <v/>
      </c>
      <c r="BR8">
        <f>6.3*SIN(2*PI()*1/ROWS(codiciL1))</f>
        <v/>
      </c>
      <c r="BS8">
        <f>6.3*COS(2*PI()*1/ROWS(codiciL1))</f>
        <v/>
      </c>
      <c r="BU8" t="inlineStr">
        <is>
          <t>9.6
Tecnologico</t>
        </is>
      </c>
      <c r="BV8">
        <f>6.95*SIN(2*PI()*(3+0.5)/ROWS(codiciL1))</f>
        <v/>
      </c>
      <c r="BW8">
        <f>6.95*COS(2*PI()*(3+0.5)/ROWS(codiciL1))</f>
        <v/>
      </c>
      <c r="BY8">
        <f>IF(AND(ISNUMBER(Radar_Mosca!$F8),ISNUMBER(Radar_Mosca!$S8)),IF(AND(Radar_Mosca!$F8=BY$4,Radar_Mosca!$AA8=BY$3),Radar_Mosca!$S8,NA()),NA())</f>
        <v/>
      </c>
      <c r="BZ8">
        <f>IF(AND(ISNUMBER(Radar_Mosca!$F8),ISNUMBER(Radar_Mosca!$S8)),IF(AND(Radar_Mosca!$F8=BZ$4,Radar_Mosca!$AA8=BZ$3),Radar_Mosca!$S8,NA()),NA())</f>
        <v/>
      </c>
      <c r="CA8">
        <f>IF(AND(ISNUMBER(Radar_Mosca!$F8),ISNUMBER(Radar_Mosca!$S8)),IF(AND(Radar_Mosca!$F8=CA$4,Radar_Mosca!$AA8=CA$3),Radar_Mosca!$S8,NA()),NA())</f>
        <v/>
      </c>
      <c r="CB8">
        <f>IF(AND(ISNUMBER(Radar_Mosca!$F8),ISNUMBER(Radar_Mosca!$S8)),IF(AND(Radar_Mosca!$F8=CB$4,Radar_Mosca!$AA8=CB$3),Radar_Mosca!$S8,NA()),NA())</f>
        <v/>
      </c>
      <c r="CC8">
        <f>IF(AND(ISNUMBER(Radar_Mosca!$F8),ISNUMBER(Radar_Mosca!$S8)),IF(AND(Radar_Mosca!$F8=CC$4,Radar_Mosca!$AA8=CC$3),Radar_Mosca!$S8,NA()),NA())</f>
        <v/>
      </c>
      <c r="CD8">
        <f>IF(AND(ISNUMBER(Radar_Mosca!$F8),ISNUMBER(Radar_Mosca!$S8)),IF(AND(Radar_Mosca!$F8=CD$4,Radar_Mosca!$AA8=CD$3),Radar_Mosca!$S8,NA()),NA())</f>
        <v/>
      </c>
      <c r="CE8">
        <f>IF(AND(ISNUMBER(Radar_Mosca!$F8),ISNUMBER(Radar_Mosca!$S8)),IF(AND(Radar_Mosca!$F8=CE$4,Radar_Mosca!$AA8=CE$3),Radar_Mosca!$S8,NA()),NA())</f>
        <v/>
      </c>
      <c r="CF8">
        <f>IF(AND(ISNUMBER(Radar_Mosca!$F8),ISNUMBER(Radar_Mosca!$S8)),IF(AND(Radar_Mosca!$F8=CF$4,Radar_Mosca!$AA8=CF$3),Radar_Mosca!$S8,NA()),NA())</f>
        <v/>
      </c>
      <c r="CG8">
        <f>IF(AND(ISNUMBER(Radar_Mosca!$F8),ISNUMBER(Radar_Mosca!$S8)),IF(AND(Radar_Mosca!$F8=CG$4,Radar_Mosca!$AA8=CG$3),Radar_Mosca!$S8,NA()),NA())</f>
        <v/>
      </c>
      <c r="CH8">
        <f>IF(AND(ISNUMBER(Radar_Mosca!$F8),ISNUMBER(Radar_Mosca!$S8)),IF(AND(Radar_Mosca!$F8=CH$4,Radar_Mosca!$AA8=CH$3),Radar_Mosca!$S8,NA()),NA())</f>
        <v/>
      </c>
      <c r="CI8">
        <f>IF(AND(ISNUMBER(Radar_Mosca!$F8),ISNUMBER(Radar_Mosca!$S8)),IF(AND(Radar_Mosca!$F8=CI$4,Radar_Mosca!$AA8=CI$3),Radar_Mosca!$S8,NA()),NA())</f>
        <v/>
      </c>
      <c r="CJ8">
        <f>IF(AND(ISNUMBER(Radar_Mosca!$F8),ISNUMBER(Radar_Mosca!$S8)),IF(AND(Radar_Mosca!$F8=CJ$4,Radar_Mosca!$AA8=CJ$3),Radar_Mosca!$S8,NA()),NA())</f>
        <v/>
      </c>
      <c r="CK8">
        <f>IF(AND(ISNUMBER(Radar_Mosca!$F8),ISNUMBER(Radar_Mosca!$S8)),IF(AND(Radar_Mosca!$F8=CK$4,Radar_Mosca!$AA8=CK$3),Radar_Mosca!$S8,NA()),NA())</f>
        <v/>
      </c>
      <c r="CL8">
        <f>IF(AND(ISNUMBER(Radar_Mosca!$F8),ISNUMBER(Radar_Mosca!$S8)),IF(AND(Radar_Mosca!$F8=CL$4,Radar_Mosca!$AA8=CL$3),Radar_Mosca!$S8,NA()),NA())</f>
        <v/>
      </c>
      <c r="CM8">
        <f>IF(AND(ISNUMBER(Radar_Mosca!$F8),ISNUMBER(Radar_Mosca!$S8)),IF(AND(Radar_Mosca!$F8=CM$4,Radar_Mosca!$AA8=CM$3),Radar_Mosca!$S8,NA()),NA())</f>
        <v/>
      </c>
      <c r="CN8">
        <f>IF(AND(ISNUMBER(Radar_Mosca!$F8),ISNUMBER(Radar_Mosca!$S8)),IF(AND(Radar_Mosca!$F8=CN$4,Radar_Mosca!$AA8=CN$3),Radar_Mosca!$S8,NA()),NA())</f>
        <v/>
      </c>
      <c r="CO8">
        <f>IF(AND(ISNUMBER(Radar_Mosca!$F8),ISNUMBER(Radar_Mosca!$S8)),IF(AND(Radar_Mosca!$F8=CO$4,Radar_Mosca!$AA8=CO$3),Radar_Mosca!$S8,NA()),NA())</f>
        <v/>
      </c>
      <c r="CP8">
        <f>IF(AND(ISNUMBER(Radar_Mosca!$F8),ISNUMBER(Radar_Mosca!$S8)),IF(AND(Radar_Mosca!$F8=CP$4,Radar_Mosca!$AA8=CP$3),Radar_Mosca!$S8,NA()),NA())</f>
        <v/>
      </c>
      <c r="CQ8">
        <f>IF(AND(ISNUMBER(Radar_Mosca!$F8),ISNUMBER(Radar_Mosca!$S8)),IF(AND(Radar_Mosca!$F8=CQ$4,Radar_Mosca!$AA8=CQ$3),Radar_Mosca!$S8,NA()),NA())</f>
        <v/>
      </c>
      <c r="CR8">
        <f>IF(AND(ISNUMBER(Radar_Mosca!$F8),ISNUMBER(Radar_Mosca!$S8)),IF(AND(Radar_Mosca!$F8=CR$4,Radar_Mosca!$AA8=CR$3),Radar_Mosca!$S8,NA()),NA())</f>
        <v/>
      </c>
      <c r="CS8">
        <f>IF(AND(ISNUMBER(Radar_Mosca!$F8),ISNUMBER(Radar_Mosca!$S8)),IF(AND(Radar_Mosca!$F8=CS$4,Radar_Mosca!$AA8=CS$3),Radar_Mosca!$S8,NA()),NA())</f>
        <v/>
      </c>
      <c r="CT8">
        <f>IF(AND(ISNUMBER(Radar_Mosca!$F8),ISNUMBER(Radar_Mosca!$S8)),IF(AND(Radar_Mosca!$F8=CT$4,Radar_Mosca!$AA8=CT$3),Radar_Mosca!$S8,NA()),NA())</f>
        <v/>
      </c>
      <c r="CU8">
        <f>IF(AND(ISNUMBER(Radar_Mosca!$F8),ISNUMBER(Radar_Mosca!$S8)),IF(AND(Radar_Mosca!$F8=CU$4,Radar_Mosca!$AA8=CU$3),Radar_Mosca!$S8,NA()),NA())</f>
        <v/>
      </c>
      <c r="CV8">
        <f>IF(AND(ISNUMBER(Radar_Mosca!$F8),ISNUMBER(Radar_Mosca!$S8)),IF(AND(Radar_Mosca!$F8=CV$4,Radar_Mosca!$AA8=CV$3),Radar_Mosca!$S8,NA()),NA())</f>
        <v/>
      </c>
      <c r="CW8">
        <f>IF(AND(ISNUMBER(Radar_Mosca!$F8),ISNUMBER(Radar_Mosca!$S8)),IF(AND(Radar_Mosca!$F8=CW$4,Radar_Mosca!$AA8=CW$3),Radar_Mosca!$S8,NA()),NA())</f>
        <v/>
      </c>
      <c r="CX8">
        <f>IF(AND(ISNUMBER(Radar_Mosca!$F8),ISNUMBER(Radar_Mosca!$S8)),IF(AND(Radar_Mosca!$F8=CX$4,Radar_Mosca!$AA8=CX$3),Radar_Mosca!$S8,NA()),NA())</f>
        <v/>
      </c>
      <c r="CY8">
        <f>IF(AND(ISNUMBER(Radar_Mosca!$F8),ISNUMBER(Radar_Mosca!$S8)),IF(AND(Radar_Mosca!$F8=CY$4,Radar_Mosca!$AA8=CY$3),Radar_Mosca!$S8,NA()),NA())</f>
        <v/>
      </c>
      <c r="CZ8">
        <f>IF(AND(ISNUMBER(Radar_Mosca!$F8),ISNUMBER(Radar_Mosca!$S8)),IF(AND(Radar_Mosca!$F8=CZ$4,Radar_Mosca!$AA8=CZ$3),Radar_Mosca!$S8,NA()),NA())</f>
        <v/>
      </c>
      <c r="DA8">
        <f>IF(AND(ISNUMBER(Radar_Mosca!$F8),ISNUMBER(Radar_Mosca!$S8)),IF(AND(Radar_Mosca!$F8=DA$4,Radar_Mosca!$AA8=DA$3),Radar_Mosca!$S8,NA()),NA())</f>
        <v/>
      </c>
      <c r="DB8">
        <f>IF(AND(ISNUMBER(Radar_Mosca!$F8),ISNUMBER(Radar_Mosca!$S8)),IF(AND(Radar_Mosca!$F8=DB$4,Radar_Mosca!$AA8=DB$3),Radar_Mosca!$S8,NA()),NA())</f>
        <v/>
      </c>
      <c r="DC8">
        <f>IF(AND(ISNUMBER(Radar_Mosca!$F8),ISNUMBER(Radar_Mosca!$S8)),IF(AND(Radar_Mosca!$F8=DC$4,Radar_Mosca!$AA8=DC$3),Radar_Mosca!$S8,NA()),NA())</f>
        <v/>
      </c>
      <c r="DD8">
        <f>IF(AND(ISNUMBER(Radar_Mosca!$F8),ISNUMBER(Radar_Mosca!$S8)),IF(AND(Radar_Mosca!$F8=DD$4,Radar_Mosca!$AA8=DD$3),Radar_Mosca!$S8,NA()),NA())</f>
        <v/>
      </c>
      <c r="DE8">
        <f>IF(AND(ISNUMBER(Radar_Mosca!$F8),ISNUMBER(Radar_Mosca!$S8)),IF(AND(Radar_Mosca!$F8=DE$4,Radar_Mosca!$AA8=DE$3),Radar_Mosca!$S8,NA()),NA())</f>
        <v/>
      </c>
      <c r="DF8">
        <f>IF(AND(ISNUMBER(Radar_Mosca!$F8),ISNUMBER(Radar_Mosca!$S8)),IF(AND(Radar_Mosca!$F8=DF$4,Radar_Mosca!$AA8=DF$3),Radar_Mosca!$S8,NA()),NA())</f>
        <v/>
      </c>
      <c r="DG8">
        <f>IF(AND(ISNUMBER(Radar_Mosca!$F8),ISNUMBER(Radar_Mosca!$S8)),IF(AND(Radar_Mosca!$F8=DG$4,Radar_Mosca!$AA8=DG$3),Radar_Mosca!$S8,NA()),NA())</f>
        <v/>
      </c>
      <c r="DH8">
        <f>IF(AND(ISNUMBER(Radar_Mosca!$F8),ISNUMBER(Radar_Mosca!$S8)),IF(AND(Radar_Mosca!$F8=DH$4,Radar_Mosca!$AA8=DH$3),Radar_Mosca!$S8,NA()),NA())</f>
        <v/>
      </c>
      <c r="DI8">
        <f>IF(AND(ISNUMBER(Radar_Mosca!$F8),ISNUMBER(Radar_Mosca!$S8)),IF(AND(Radar_Mosca!$F8=DI$4,Radar_Mosca!$AA8=DI$3),Radar_Mosca!$S8,NA()),NA())</f>
        <v/>
      </c>
      <c r="DJ8">
        <f>IF(AND(ISNUMBER(Radar_Mosca!$F8),ISNUMBER(Radar_Mosca!$S8)),IF(AND(Radar_Mosca!$F8=DJ$4,Radar_Mosca!$AA8=DJ$3),Radar_Mosca!$S8,NA()),NA())</f>
        <v/>
      </c>
      <c r="DK8">
        <f>IF(AND(ISNUMBER(Radar_Mosca!$F8),ISNUMBER(Radar_Mosca!$S8)),IF(AND(Radar_Mosca!$F8=DK$4,Radar_Mosca!$AA8=DK$3),Radar_Mosca!$S8,NA()),NA())</f>
        <v/>
      </c>
      <c r="DL8">
        <f>IF(AND(ISNUMBER(Radar_Mosca!$F8),ISNUMBER(Radar_Mosca!$S8)),IF(AND(Radar_Mosca!$F8=DL$4,Radar_Mosca!$AA8=DL$3),Radar_Mosca!$S8,NA()),NA())</f>
        <v/>
      </c>
      <c r="DM8">
        <f>IF(AND(ISNUMBER(Radar_Mosca!$F8),ISNUMBER(Radar_Mosca!$S8)),IF(AND(Radar_Mosca!$F8=DM$4,Radar_Mosca!$AA8=DM$3),Radar_Mosca!$S8,NA()),NA())</f>
        <v/>
      </c>
      <c r="DN8">
        <f>IF(AND(ISNUMBER(Radar_Mosca!$F8),ISNUMBER(Radar_Mosca!$S8)),IF(AND(Radar_Mosca!$F8=DN$4,Radar_Mosca!$AA8=DN$3),Radar_Mosca!$S8,NA()),NA())</f>
        <v/>
      </c>
      <c r="DO8">
        <f>IF(ISNUMBER(Radar_Mosca!$R8),Radar_Mosca!$R8,NA())</f>
        <v/>
      </c>
      <c r="DP8">
        <f>IF(Radar_Mosca!$A8="","",MID(Radar_Mosca!$A8,5,3)&amp;IF(Radar_Mosca!$T8="Sì"," ◆",""))</f>
        <v/>
      </c>
      <c r="DQ8">
        <f>IF(ISNUMBER(Radar_Mosca!$S8),Radar_Mosca!$S8,NA())</f>
        <v/>
      </c>
      <c r="DR8" t="inlineStr">
        <is>
          <t>AGIRE ORA (X+Y&gt;Z)</t>
        </is>
      </c>
      <c r="DS8" t="n">
        <v>-0.15</v>
      </c>
      <c r="DT8" t="n">
        <v>-9.399999999999999</v>
      </c>
    </row>
    <row r="9">
      <c r="A9" s="31" t="inlineStr">
        <is>
          <t>#</t>
        </is>
      </c>
      <c r="B9" s="31" t="inlineStr">
        <is>
          <t>Rischio</t>
        </is>
      </c>
      <c r="F9" s="31" t="inlineStr">
        <is>
          <t>Score</t>
        </is>
      </c>
      <c r="G9" s="31" t="inlineStr">
        <is>
          <t>Variazione</t>
        </is>
      </c>
      <c r="H9" s="31" t="inlineStr">
        <is>
          <t>Urgenza</t>
        </is>
      </c>
      <c r="J9" s="32" t="inlineStr">
        <is>
          <t>P \ S</t>
        </is>
      </c>
      <c r="K9" s="33" t="n">
        <v>1</v>
      </c>
      <c r="L9" s="33" t="n">
        <v>2</v>
      </c>
      <c r="M9" s="33" t="n">
        <v>3</v>
      </c>
      <c r="N9" s="33" t="n">
        <v>4</v>
      </c>
      <c r="O9" s="33" t="n">
        <v>5</v>
      </c>
      <c r="T9">
        <f>IF(Radar_Mosca!$AA$9="Attivazione",Radar_Mosca!$A$9,"")</f>
        <v/>
      </c>
      <c r="BH9">
        <f>2*PI()*4/72</f>
        <v/>
      </c>
      <c r="BI9">
        <f>2*SIN($BH9)</f>
        <v/>
      </c>
      <c r="BJ9">
        <f>2*COS($BH9)</f>
        <v/>
      </c>
      <c r="BK9">
        <f>3*SIN($BH9)</f>
        <v/>
      </c>
      <c r="BL9">
        <f>3*COS($BH9)</f>
        <v/>
      </c>
      <c r="BM9">
        <f>4*SIN($BH9)</f>
        <v/>
      </c>
      <c r="BN9">
        <f>4*COS($BH9)</f>
        <v/>
      </c>
      <c r="BO9">
        <f>5*SIN($BH9)</f>
        <v/>
      </c>
      <c r="BP9">
        <f>5*COS($BH9)</f>
        <v/>
      </c>
      <c r="BR9" t="n">
        <v>0</v>
      </c>
      <c r="BS9" t="n">
        <v>0</v>
      </c>
      <c r="BU9" t="inlineStr">
        <is>
          <t>9.7
Sicurezza informatica</t>
        </is>
      </c>
      <c r="BV9">
        <f>6.95*SIN(2*PI()*(4+0.5)/ROWS(codiciL1))</f>
        <v/>
      </c>
      <c r="BW9">
        <f>6.95*COS(2*PI()*(4+0.5)/ROWS(codiciL1))</f>
        <v/>
      </c>
      <c r="BY9">
        <f>IF(AND(ISNUMBER(Radar_Mosca!$F9),ISNUMBER(Radar_Mosca!$S9)),IF(AND(Radar_Mosca!$F9=BY$4,Radar_Mosca!$AA9=BY$3),Radar_Mosca!$S9,NA()),NA())</f>
        <v/>
      </c>
      <c r="BZ9">
        <f>IF(AND(ISNUMBER(Radar_Mosca!$F9),ISNUMBER(Radar_Mosca!$S9)),IF(AND(Radar_Mosca!$F9=BZ$4,Radar_Mosca!$AA9=BZ$3),Radar_Mosca!$S9,NA()),NA())</f>
        <v/>
      </c>
      <c r="CA9">
        <f>IF(AND(ISNUMBER(Radar_Mosca!$F9),ISNUMBER(Radar_Mosca!$S9)),IF(AND(Radar_Mosca!$F9=CA$4,Radar_Mosca!$AA9=CA$3),Radar_Mosca!$S9,NA()),NA())</f>
        <v/>
      </c>
      <c r="CB9">
        <f>IF(AND(ISNUMBER(Radar_Mosca!$F9),ISNUMBER(Radar_Mosca!$S9)),IF(AND(Radar_Mosca!$F9=CB$4,Radar_Mosca!$AA9=CB$3),Radar_Mosca!$S9,NA()),NA())</f>
        <v/>
      </c>
      <c r="CC9">
        <f>IF(AND(ISNUMBER(Radar_Mosca!$F9),ISNUMBER(Radar_Mosca!$S9)),IF(AND(Radar_Mosca!$F9=CC$4,Radar_Mosca!$AA9=CC$3),Radar_Mosca!$S9,NA()),NA())</f>
        <v/>
      </c>
      <c r="CD9">
        <f>IF(AND(ISNUMBER(Radar_Mosca!$F9),ISNUMBER(Radar_Mosca!$S9)),IF(AND(Radar_Mosca!$F9=CD$4,Radar_Mosca!$AA9=CD$3),Radar_Mosca!$S9,NA()),NA())</f>
        <v/>
      </c>
      <c r="CE9">
        <f>IF(AND(ISNUMBER(Radar_Mosca!$F9),ISNUMBER(Radar_Mosca!$S9)),IF(AND(Radar_Mosca!$F9=CE$4,Radar_Mosca!$AA9=CE$3),Radar_Mosca!$S9,NA()),NA())</f>
        <v/>
      </c>
      <c r="CF9">
        <f>IF(AND(ISNUMBER(Radar_Mosca!$F9),ISNUMBER(Radar_Mosca!$S9)),IF(AND(Radar_Mosca!$F9=CF$4,Radar_Mosca!$AA9=CF$3),Radar_Mosca!$S9,NA()),NA())</f>
        <v/>
      </c>
      <c r="CG9">
        <f>IF(AND(ISNUMBER(Radar_Mosca!$F9),ISNUMBER(Radar_Mosca!$S9)),IF(AND(Radar_Mosca!$F9=CG$4,Radar_Mosca!$AA9=CG$3),Radar_Mosca!$S9,NA()),NA())</f>
        <v/>
      </c>
      <c r="CH9">
        <f>IF(AND(ISNUMBER(Radar_Mosca!$F9),ISNUMBER(Radar_Mosca!$S9)),IF(AND(Radar_Mosca!$F9=CH$4,Radar_Mosca!$AA9=CH$3),Radar_Mosca!$S9,NA()),NA())</f>
        <v/>
      </c>
      <c r="CI9">
        <f>IF(AND(ISNUMBER(Radar_Mosca!$F9),ISNUMBER(Radar_Mosca!$S9)),IF(AND(Radar_Mosca!$F9=CI$4,Radar_Mosca!$AA9=CI$3),Radar_Mosca!$S9,NA()),NA())</f>
        <v/>
      </c>
      <c r="CJ9">
        <f>IF(AND(ISNUMBER(Radar_Mosca!$F9),ISNUMBER(Radar_Mosca!$S9)),IF(AND(Radar_Mosca!$F9=CJ$4,Radar_Mosca!$AA9=CJ$3),Radar_Mosca!$S9,NA()),NA())</f>
        <v/>
      </c>
      <c r="CK9">
        <f>IF(AND(ISNUMBER(Radar_Mosca!$F9),ISNUMBER(Radar_Mosca!$S9)),IF(AND(Radar_Mosca!$F9=CK$4,Radar_Mosca!$AA9=CK$3),Radar_Mosca!$S9,NA()),NA())</f>
        <v/>
      </c>
      <c r="CL9">
        <f>IF(AND(ISNUMBER(Radar_Mosca!$F9),ISNUMBER(Radar_Mosca!$S9)),IF(AND(Radar_Mosca!$F9=CL$4,Radar_Mosca!$AA9=CL$3),Radar_Mosca!$S9,NA()),NA())</f>
        <v/>
      </c>
      <c r="CM9">
        <f>IF(AND(ISNUMBER(Radar_Mosca!$F9),ISNUMBER(Radar_Mosca!$S9)),IF(AND(Radar_Mosca!$F9=CM$4,Radar_Mosca!$AA9=CM$3),Radar_Mosca!$S9,NA()),NA())</f>
        <v/>
      </c>
      <c r="CN9">
        <f>IF(AND(ISNUMBER(Radar_Mosca!$F9),ISNUMBER(Radar_Mosca!$S9)),IF(AND(Radar_Mosca!$F9=CN$4,Radar_Mosca!$AA9=CN$3),Radar_Mosca!$S9,NA()),NA())</f>
        <v/>
      </c>
      <c r="CO9">
        <f>IF(AND(ISNUMBER(Radar_Mosca!$F9),ISNUMBER(Radar_Mosca!$S9)),IF(AND(Radar_Mosca!$F9=CO$4,Radar_Mosca!$AA9=CO$3),Radar_Mosca!$S9,NA()),NA())</f>
        <v/>
      </c>
      <c r="CP9">
        <f>IF(AND(ISNUMBER(Radar_Mosca!$F9),ISNUMBER(Radar_Mosca!$S9)),IF(AND(Radar_Mosca!$F9=CP$4,Radar_Mosca!$AA9=CP$3),Radar_Mosca!$S9,NA()),NA())</f>
        <v/>
      </c>
      <c r="CQ9">
        <f>IF(AND(ISNUMBER(Radar_Mosca!$F9),ISNUMBER(Radar_Mosca!$S9)),IF(AND(Radar_Mosca!$F9=CQ$4,Radar_Mosca!$AA9=CQ$3),Radar_Mosca!$S9,NA()),NA())</f>
        <v/>
      </c>
      <c r="CR9">
        <f>IF(AND(ISNUMBER(Radar_Mosca!$F9),ISNUMBER(Radar_Mosca!$S9)),IF(AND(Radar_Mosca!$F9=CR$4,Radar_Mosca!$AA9=CR$3),Radar_Mosca!$S9,NA()),NA())</f>
        <v/>
      </c>
      <c r="CS9">
        <f>IF(AND(ISNUMBER(Radar_Mosca!$F9),ISNUMBER(Radar_Mosca!$S9)),IF(AND(Radar_Mosca!$F9=CS$4,Radar_Mosca!$AA9=CS$3),Radar_Mosca!$S9,NA()),NA())</f>
        <v/>
      </c>
      <c r="CT9">
        <f>IF(AND(ISNUMBER(Radar_Mosca!$F9),ISNUMBER(Radar_Mosca!$S9)),IF(AND(Radar_Mosca!$F9=CT$4,Radar_Mosca!$AA9=CT$3),Radar_Mosca!$S9,NA()),NA())</f>
        <v/>
      </c>
      <c r="CU9">
        <f>IF(AND(ISNUMBER(Radar_Mosca!$F9),ISNUMBER(Radar_Mosca!$S9)),IF(AND(Radar_Mosca!$F9=CU$4,Radar_Mosca!$AA9=CU$3),Radar_Mosca!$S9,NA()),NA())</f>
        <v/>
      </c>
      <c r="CV9">
        <f>IF(AND(ISNUMBER(Radar_Mosca!$F9),ISNUMBER(Radar_Mosca!$S9)),IF(AND(Radar_Mosca!$F9=CV$4,Radar_Mosca!$AA9=CV$3),Radar_Mosca!$S9,NA()),NA())</f>
        <v/>
      </c>
      <c r="CW9">
        <f>IF(AND(ISNUMBER(Radar_Mosca!$F9),ISNUMBER(Radar_Mosca!$S9)),IF(AND(Radar_Mosca!$F9=CW$4,Radar_Mosca!$AA9=CW$3),Radar_Mosca!$S9,NA()),NA())</f>
        <v/>
      </c>
      <c r="CX9">
        <f>IF(AND(ISNUMBER(Radar_Mosca!$F9),ISNUMBER(Radar_Mosca!$S9)),IF(AND(Radar_Mosca!$F9=CX$4,Radar_Mosca!$AA9=CX$3),Radar_Mosca!$S9,NA()),NA())</f>
        <v/>
      </c>
      <c r="CY9">
        <f>IF(AND(ISNUMBER(Radar_Mosca!$F9),ISNUMBER(Radar_Mosca!$S9)),IF(AND(Radar_Mosca!$F9=CY$4,Radar_Mosca!$AA9=CY$3),Radar_Mosca!$S9,NA()),NA())</f>
        <v/>
      </c>
      <c r="CZ9">
        <f>IF(AND(ISNUMBER(Radar_Mosca!$F9),ISNUMBER(Radar_Mosca!$S9)),IF(AND(Radar_Mosca!$F9=CZ$4,Radar_Mosca!$AA9=CZ$3),Radar_Mosca!$S9,NA()),NA())</f>
        <v/>
      </c>
      <c r="DA9">
        <f>IF(AND(ISNUMBER(Radar_Mosca!$F9),ISNUMBER(Radar_Mosca!$S9)),IF(AND(Radar_Mosca!$F9=DA$4,Radar_Mosca!$AA9=DA$3),Radar_Mosca!$S9,NA()),NA())</f>
        <v/>
      </c>
      <c r="DB9">
        <f>IF(AND(ISNUMBER(Radar_Mosca!$F9),ISNUMBER(Radar_Mosca!$S9)),IF(AND(Radar_Mosca!$F9=DB$4,Radar_Mosca!$AA9=DB$3),Radar_Mosca!$S9,NA()),NA())</f>
        <v/>
      </c>
      <c r="DC9">
        <f>IF(AND(ISNUMBER(Radar_Mosca!$F9),ISNUMBER(Radar_Mosca!$S9)),IF(AND(Radar_Mosca!$F9=DC$4,Radar_Mosca!$AA9=DC$3),Radar_Mosca!$S9,NA()),NA())</f>
        <v/>
      </c>
      <c r="DD9">
        <f>IF(AND(ISNUMBER(Radar_Mosca!$F9),ISNUMBER(Radar_Mosca!$S9)),IF(AND(Radar_Mosca!$F9=DD$4,Radar_Mosca!$AA9=DD$3),Radar_Mosca!$S9,NA()),NA())</f>
        <v/>
      </c>
      <c r="DE9">
        <f>IF(AND(ISNUMBER(Radar_Mosca!$F9),ISNUMBER(Radar_Mosca!$S9)),IF(AND(Radar_Mosca!$F9=DE$4,Radar_Mosca!$AA9=DE$3),Radar_Mosca!$S9,NA()),NA())</f>
        <v/>
      </c>
      <c r="DF9">
        <f>IF(AND(ISNUMBER(Radar_Mosca!$F9),ISNUMBER(Radar_Mosca!$S9)),IF(AND(Radar_Mosca!$F9=DF$4,Radar_Mosca!$AA9=DF$3),Radar_Mosca!$S9,NA()),NA())</f>
        <v/>
      </c>
      <c r="DG9">
        <f>IF(AND(ISNUMBER(Radar_Mosca!$F9),ISNUMBER(Radar_Mosca!$S9)),IF(AND(Radar_Mosca!$F9=DG$4,Radar_Mosca!$AA9=DG$3),Radar_Mosca!$S9,NA()),NA())</f>
        <v/>
      </c>
      <c r="DH9">
        <f>IF(AND(ISNUMBER(Radar_Mosca!$F9),ISNUMBER(Radar_Mosca!$S9)),IF(AND(Radar_Mosca!$F9=DH$4,Radar_Mosca!$AA9=DH$3),Radar_Mosca!$S9,NA()),NA())</f>
        <v/>
      </c>
      <c r="DI9">
        <f>IF(AND(ISNUMBER(Radar_Mosca!$F9),ISNUMBER(Radar_Mosca!$S9)),IF(AND(Radar_Mosca!$F9=DI$4,Radar_Mosca!$AA9=DI$3),Radar_Mosca!$S9,NA()),NA())</f>
        <v/>
      </c>
      <c r="DJ9">
        <f>IF(AND(ISNUMBER(Radar_Mosca!$F9),ISNUMBER(Radar_Mosca!$S9)),IF(AND(Radar_Mosca!$F9=DJ$4,Radar_Mosca!$AA9=DJ$3),Radar_Mosca!$S9,NA()),NA())</f>
        <v/>
      </c>
      <c r="DK9">
        <f>IF(AND(ISNUMBER(Radar_Mosca!$F9),ISNUMBER(Radar_Mosca!$S9)),IF(AND(Radar_Mosca!$F9=DK$4,Radar_Mosca!$AA9=DK$3),Radar_Mosca!$S9,NA()),NA())</f>
        <v/>
      </c>
      <c r="DL9">
        <f>IF(AND(ISNUMBER(Radar_Mosca!$F9),ISNUMBER(Radar_Mosca!$S9)),IF(AND(Radar_Mosca!$F9=DL$4,Radar_Mosca!$AA9=DL$3),Radar_Mosca!$S9,NA()),NA())</f>
        <v/>
      </c>
      <c r="DM9">
        <f>IF(AND(ISNUMBER(Radar_Mosca!$F9),ISNUMBER(Radar_Mosca!$S9)),IF(AND(Radar_Mosca!$F9=DM$4,Radar_Mosca!$AA9=DM$3),Radar_Mosca!$S9,NA()),NA())</f>
        <v/>
      </c>
      <c r="DN9">
        <f>IF(AND(ISNUMBER(Radar_Mosca!$F9),ISNUMBER(Radar_Mosca!$S9)),IF(AND(Radar_Mosca!$F9=DN$4,Radar_Mosca!$AA9=DN$3),Radar_Mosca!$S9,NA()),NA())</f>
        <v/>
      </c>
      <c r="DO9">
        <f>IF(ISNUMBER(Radar_Mosca!$R9),Radar_Mosca!$R9,NA())</f>
        <v/>
      </c>
      <c r="DP9">
        <f>IF(Radar_Mosca!$A9="","",MID(Radar_Mosca!$A9,5,3)&amp;IF(Radar_Mosca!$T9="Sì"," ◆",""))</f>
        <v/>
      </c>
      <c r="DQ9">
        <f>IF(ISNUMBER(Radar_Mosca!$S9),Radar_Mosca!$S9,NA())</f>
        <v/>
      </c>
      <c r="DR9" t="inlineStr"/>
      <c r="DS9" t="n">
        <v>0.75</v>
      </c>
      <c r="DT9" t="n">
        <v>-9.399999999999999</v>
      </c>
    </row>
    <row r="10" ht="25" customHeight="1">
      <c r="A10" s="34">
        <f>Classifica!$A$5</f>
        <v/>
      </c>
      <c r="B10" s="35">
        <f>IF(Classifica!$B$5="","",Classifica!$B$5&amp;"  "&amp;Classifica!$C$5&amp;IFERROR(IF(INDEX(ANA_Attenzione_Supervisore,Classifica!$U$5)="Sì","  ◆",""),""))</f>
        <v/>
      </c>
      <c r="C10" s="36" t="n"/>
      <c r="D10" s="36" t="n"/>
      <c r="E10" s="36" t="n"/>
      <c r="F10" s="37">
        <f>IF(Classifica!$B$5="","",Classifica!$D$5)</f>
        <v/>
      </c>
      <c r="G10" s="38">
        <f>IF(Classifica!$B$5="","",IF(ISNUMBER(Classifica!$F$5),Classifica!$F$5,"nuovo"))</f>
        <v/>
      </c>
      <c r="H10" s="39">
        <f>IF(Classifica!$B$5="","",IF(LEFT(Classifica!$H$5,9)="AGIRE ORA","AGIRE ORA",IF(LEFT(Classifica!$H$5,11)="Agire entro","Entro l'anno",Classifica!$H$5)))</f>
        <v/>
      </c>
      <c r="J10" s="40" t="n">
        <v>5</v>
      </c>
      <c r="K10" s="41">
        <f>SUBSTITUTE(SUBSTITUTE(Matrice!C5," ◆",""),"NFR-","")</f>
        <v/>
      </c>
      <c r="L10" s="42">
        <f>SUBSTITUTE(SUBSTITUTE(Matrice!D5," ◆",""),"NFR-","")</f>
        <v/>
      </c>
      <c r="M10" s="43">
        <f>SUBSTITUTE(SUBSTITUTE(Matrice!E5," ◆",""),"NFR-","")</f>
        <v/>
      </c>
      <c r="N10" s="43">
        <f>SUBSTITUTE(SUBSTITUTE(Matrice!F5," ◆",""),"NFR-","")</f>
        <v/>
      </c>
      <c r="O10" s="43">
        <f>SUBSTITUTE(SUBSTITUTE(Matrice!G5," ◆",""),"NFR-","")</f>
        <v/>
      </c>
      <c r="T10">
        <f>IF(Radar_Mosca!$AA$10="Attivazione",Radar_Mosca!$A$10,"")</f>
        <v/>
      </c>
      <c r="BH10">
        <f>2*PI()*5/72</f>
        <v/>
      </c>
      <c r="BI10">
        <f>2*SIN($BH10)</f>
        <v/>
      </c>
      <c r="BJ10">
        <f>2*COS($BH10)</f>
        <v/>
      </c>
      <c r="BK10">
        <f>3*SIN($BH10)</f>
        <v/>
      </c>
      <c r="BL10">
        <f>3*COS($BH10)</f>
        <v/>
      </c>
      <c r="BM10">
        <f>4*SIN($BH10)</f>
        <v/>
      </c>
      <c r="BN10">
        <f>4*COS($BH10)</f>
        <v/>
      </c>
      <c r="BO10">
        <f>5*SIN($BH10)</f>
        <v/>
      </c>
      <c r="BP10">
        <f>5*COS($BH10)</f>
        <v/>
      </c>
      <c r="BR10">
        <f>6.3*SIN(2*PI()*2/ROWS(codiciL1))</f>
        <v/>
      </c>
      <c r="BS10">
        <f>6.3*COS(2*PI()*2/ROWS(codiciL1))</f>
        <v/>
      </c>
      <c r="BU10" t="inlineStr">
        <is>
          <t>9.8
Sicurezza fisica</t>
        </is>
      </c>
      <c r="BV10">
        <f>6.95*SIN(2*PI()*(5+0.5)/ROWS(codiciL1))</f>
        <v/>
      </c>
      <c r="BW10">
        <f>6.95*COS(2*PI()*(5+0.5)/ROWS(codiciL1))</f>
        <v/>
      </c>
      <c r="BY10">
        <f>IF(AND(ISNUMBER(Radar_Mosca!$F10),ISNUMBER(Radar_Mosca!$S10)),IF(AND(Radar_Mosca!$F10=BY$4,Radar_Mosca!$AA10=BY$3),Radar_Mosca!$S10,NA()),NA())</f>
        <v/>
      </c>
      <c r="BZ10">
        <f>IF(AND(ISNUMBER(Radar_Mosca!$F10),ISNUMBER(Radar_Mosca!$S10)),IF(AND(Radar_Mosca!$F10=BZ$4,Radar_Mosca!$AA10=BZ$3),Radar_Mosca!$S10,NA()),NA())</f>
        <v/>
      </c>
      <c r="CA10">
        <f>IF(AND(ISNUMBER(Radar_Mosca!$F10),ISNUMBER(Radar_Mosca!$S10)),IF(AND(Radar_Mosca!$F10=CA$4,Radar_Mosca!$AA10=CA$3),Radar_Mosca!$S10,NA()),NA())</f>
        <v/>
      </c>
      <c r="CB10">
        <f>IF(AND(ISNUMBER(Radar_Mosca!$F10),ISNUMBER(Radar_Mosca!$S10)),IF(AND(Radar_Mosca!$F10=CB$4,Radar_Mosca!$AA10=CB$3),Radar_Mosca!$S10,NA()),NA())</f>
        <v/>
      </c>
      <c r="CC10">
        <f>IF(AND(ISNUMBER(Radar_Mosca!$F10),ISNUMBER(Radar_Mosca!$S10)),IF(AND(Radar_Mosca!$F10=CC$4,Radar_Mosca!$AA10=CC$3),Radar_Mosca!$S10,NA()),NA())</f>
        <v/>
      </c>
      <c r="CD10">
        <f>IF(AND(ISNUMBER(Radar_Mosca!$F10),ISNUMBER(Radar_Mosca!$S10)),IF(AND(Radar_Mosca!$F10=CD$4,Radar_Mosca!$AA10=CD$3),Radar_Mosca!$S10,NA()),NA())</f>
        <v/>
      </c>
      <c r="CE10">
        <f>IF(AND(ISNUMBER(Radar_Mosca!$F10),ISNUMBER(Radar_Mosca!$S10)),IF(AND(Radar_Mosca!$F10=CE$4,Radar_Mosca!$AA10=CE$3),Radar_Mosca!$S10,NA()),NA())</f>
        <v/>
      </c>
      <c r="CF10">
        <f>IF(AND(ISNUMBER(Radar_Mosca!$F10),ISNUMBER(Radar_Mosca!$S10)),IF(AND(Radar_Mosca!$F10=CF$4,Radar_Mosca!$AA10=CF$3),Radar_Mosca!$S10,NA()),NA())</f>
        <v/>
      </c>
      <c r="CG10">
        <f>IF(AND(ISNUMBER(Radar_Mosca!$F10),ISNUMBER(Radar_Mosca!$S10)),IF(AND(Radar_Mosca!$F10=CG$4,Radar_Mosca!$AA10=CG$3),Radar_Mosca!$S10,NA()),NA())</f>
        <v/>
      </c>
      <c r="CH10">
        <f>IF(AND(ISNUMBER(Radar_Mosca!$F10),ISNUMBER(Radar_Mosca!$S10)),IF(AND(Radar_Mosca!$F10=CH$4,Radar_Mosca!$AA10=CH$3),Radar_Mosca!$S10,NA()),NA())</f>
        <v/>
      </c>
      <c r="CI10">
        <f>IF(AND(ISNUMBER(Radar_Mosca!$F10),ISNUMBER(Radar_Mosca!$S10)),IF(AND(Radar_Mosca!$F10=CI$4,Radar_Mosca!$AA10=CI$3),Radar_Mosca!$S10,NA()),NA())</f>
        <v/>
      </c>
      <c r="CJ10">
        <f>IF(AND(ISNUMBER(Radar_Mosca!$F10),ISNUMBER(Radar_Mosca!$S10)),IF(AND(Radar_Mosca!$F10=CJ$4,Radar_Mosca!$AA10=CJ$3),Radar_Mosca!$S10,NA()),NA())</f>
        <v/>
      </c>
      <c r="CK10">
        <f>IF(AND(ISNUMBER(Radar_Mosca!$F10),ISNUMBER(Radar_Mosca!$S10)),IF(AND(Radar_Mosca!$F10=CK$4,Radar_Mosca!$AA10=CK$3),Radar_Mosca!$S10,NA()),NA())</f>
        <v/>
      </c>
      <c r="CL10">
        <f>IF(AND(ISNUMBER(Radar_Mosca!$F10),ISNUMBER(Radar_Mosca!$S10)),IF(AND(Radar_Mosca!$F10=CL$4,Radar_Mosca!$AA10=CL$3),Radar_Mosca!$S10,NA()),NA())</f>
        <v/>
      </c>
      <c r="CM10">
        <f>IF(AND(ISNUMBER(Radar_Mosca!$F10),ISNUMBER(Radar_Mosca!$S10)),IF(AND(Radar_Mosca!$F10=CM$4,Radar_Mosca!$AA10=CM$3),Radar_Mosca!$S10,NA()),NA())</f>
        <v/>
      </c>
      <c r="CN10">
        <f>IF(AND(ISNUMBER(Radar_Mosca!$F10),ISNUMBER(Radar_Mosca!$S10)),IF(AND(Radar_Mosca!$F10=CN$4,Radar_Mosca!$AA10=CN$3),Radar_Mosca!$S10,NA()),NA())</f>
        <v/>
      </c>
      <c r="CO10">
        <f>IF(AND(ISNUMBER(Radar_Mosca!$F10),ISNUMBER(Radar_Mosca!$S10)),IF(AND(Radar_Mosca!$F10=CO$4,Radar_Mosca!$AA10=CO$3),Radar_Mosca!$S10,NA()),NA())</f>
        <v/>
      </c>
      <c r="CP10">
        <f>IF(AND(ISNUMBER(Radar_Mosca!$F10),ISNUMBER(Radar_Mosca!$S10)),IF(AND(Radar_Mosca!$F10=CP$4,Radar_Mosca!$AA10=CP$3),Radar_Mosca!$S10,NA()),NA())</f>
        <v/>
      </c>
      <c r="CQ10">
        <f>IF(AND(ISNUMBER(Radar_Mosca!$F10),ISNUMBER(Radar_Mosca!$S10)),IF(AND(Radar_Mosca!$F10=CQ$4,Radar_Mosca!$AA10=CQ$3),Radar_Mosca!$S10,NA()),NA())</f>
        <v/>
      </c>
      <c r="CR10">
        <f>IF(AND(ISNUMBER(Radar_Mosca!$F10),ISNUMBER(Radar_Mosca!$S10)),IF(AND(Radar_Mosca!$F10=CR$4,Radar_Mosca!$AA10=CR$3),Radar_Mosca!$S10,NA()),NA())</f>
        <v/>
      </c>
      <c r="CS10">
        <f>IF(AND(ISNUMBER(Radar_Mosca!$F10),ISNUMBER(Radar_Mosca!$S10)),IF(AND(Radar_Mosca!$F10=CS$4,Radar_Mosca!$AA10=CS$3),Radar_Mosca!$S10,NA()),NA())</f>
        <v/>
      </c>
      <c r="CT10">
        <f>IF(AND(ISNUMBER(Radar_Mosca!$F10),ISNUMBER(Radar_Mosca!$S10)),IF(AND(Radar_Mosca!$F10=CT$4,Radar_Mosca!$AA10=CT$3),Radar_Mosca!$S10,NA()),NA())</f>
        <v/>
      </c>
      <c r="CU10">
        <f>IF(AND(ISNUMBER(Radar_Mosca!$F10),ISNUMBER(Radar_Mosca!$S10)),IF(AND(Radar_Mosca!$F10=CU$4,Radar_Mosca!$AA10=CU$3),Radar_Mosca!$S10,NA()),NA())</f>
        <v/>
      </c>
      <c r="CV10">
        <f>IF(AND(ISNUMBER(Radar_Mosca!$F10),ISNUMBER(Radar_Mosca!$S10)),IF(AND(Radar_Mosca!$F10=CV$4,Radar_Mosca!$AA10=CV$3),Radar_Mosca!$S10,NA()),NA())</f>
        <v/>
      </c>
      <c r="CW10">
        <f>IF(AND(ISNUMBER(Radar_Mosca!$F10),ISNUMBER(Radar_Mosca!$S10)),IF(AND(Radar_Mosca!$F10=CW$4,Radar_Mosca!$AA10=CW$3),Radar_Mosca!$S10,NA()),NA())</f>
        <v/>
      </c>
      <c r="CX10">
        <f>IF(AND(ISNUMBER(Radar_Mosca!$F10),ISNUMBER(Radar_Mosca!$S10)),IF(AND(Radar_Mosca!$F10=CX$4,Radar_Mosca!$AA10=CX$3),Radar_Mosca!$S10,NA()),NA())</f>
        <v/>
      </c>
      <c r="CY10">
        <f>IF(AND(ISNUMBER(Radar_Mosca!$F10),ISNUMBER(Radar_Mosca!$S10)),IF(AND(Radar_Mosca!$F10=CY$4,Radar_Mosca!$AA10=CY$3),Radar_Mosca!$S10,NA()),NA())</f>
        <v/>
      </c>
      <c r="CZ10">
        <f>IF(AND(ISNUMBER(Radar_Mosca!$F10),ISNUMBER(Radar_Mosca!$S10)),IF(AND(Radar_Mosca!$F10=CZ$4,Radar_Mosca!$AA10=CZ$3),Radar_Mosca!$S10,NA()),NA())</f>
        <v/>
      </c>
      <c r="DA10">
        <f>IF(AND(ISNUMBER(Radar_Mosca!$F10),ISNUMBER(Radar_Mosca!$S10)),IF(AND(Radar_Mosca!$F10=DA$4,Radar_Mosca!$AA10=DA$3),Radar_Mosca!$S10,NA()),NA())</f>
        <v/>
      </c>
      <c r="DB10">
        <f>IF(AND(ISNUMBER(Radar_Mosca!$F10),ISNUMBER(Radar_Mosca!$S10)),IF(AND(Radar_Mosca!$F10=DB$4,Radar_Mosca!$AA10=DB$3),Radar_Mosca!$S10,NA()),NA())</f>
        <v/>
      </c>
      <c r="DC10">
        <f>IF(AND(ISNUMBER(Radar_Mosca!$F10),ISNUMBER(Radar_Mosca!$S10)),IF(AND(Radar_Mosca!$F10=DC$4,Radar_Mosca!$AA10=DC$3),Radar_Mosca!$S10,NA()),NA())</f>
        <v/>
      </c>
      <c r="DD10">
        <f>IF(AND(ISNUMBER(Radar_Mosca!$F10),ISNUMBER(Radar_Mosca!$S10)),IF(AND(Radar_Mosca!$F10=DD$4,Radar_Mosca!$AA10=DD$3),Radar_Mosca!$S10,NA()),NA())</f>
        <v/>
      </c>
      <c r="DE10">
        <f>IF(AND(ISNUMBER(Radar_Mosca!$F10),ISNUMBER(Radar_Mosca!$S10)),IF(AND(Radar_Mosca!$F10=DE$4,Radar_Mosca!$AA10=DE$3),Radar_Mosca!$S10,NA()),NA())</f>
        <v/>
      </c>
      <c r="DF10">
        <f>IF(AND(ISNUMBER(Radar_Mosca!$F10),ISNUMBER(Radar_Mosca!$S10)),IF(AND(Radar_Mosca!$F10=DF$4,Radar_Mosca!$AA10=DF$3),Radar_Mosca!$S10,NA()),NA())</f>
        <v/>
      </c>
      <c r="DG10">
        <f>IF(AND(ISNUMBER(Radar_Mosca!$F10),ISNUMBER(Radar_Mosca!$S10)),IF(AND(Radar_Mosca!$F10=DG$4,Radar_Mosca!$AA10=DG$3),Radar_Mosca!$S10,NA()),NA())</f>
        <v/>
      </c>
      <c r="DH10">
        <f>IF(AND(ISNUMBER(Radar_Mosca!$F10),ISNUMBER(Radar_Mosca!$S10)),IF(AND(Radar_Mosca!$F10=DH$4,Radar_Mosca!$AA10=DH$3),Radar_Mosca!$S10,NA()),NA())</f>
        <v/>
      </c>
      <c r="DI10">
        <f>IF(AND(ISNUMBER(Radar_Mosca!$F10),ISNUMBER(Radar_Mosca!$S10)),IF(AND(Radar_Mosca!$F10=DI$4,Radar_Mosca!$AA10=DI$3),Radar_Mosca!$S10,NA()),NA())</f>
        <v/>
      </c>
      <c r="DJ10">
        <f>IF(AND(ISNUMBER(Radar_Mosca!$F10),ISNUMBER(Radar_Mosca!$S10)),IF(AND(Radar_Mosca!$F10=DJ$4,Radar_Mosca!$AA10=DJ$3),Radar_Mosca!$S10,NA()),NA())</f>
        <v/>
      </c>
      <c r="DK10">
        <f>IF(AND(ISNUMBER(Radar_Mosca!$F10),ISNUMBER(Radar_Mosca!$S10)),IF(AND(Radar_Mosca!$F10=DK$4,Radar_Mosca!$AA10=DK$3),Radar_Mosca!$S10,NA()),NA())</f>
        <v/>
      </c>
      <c r="DL10">
        <f>IF(AND(ISNUMBER(Radar_Mosca!$F10),ISNUMBER(Radar_Mosca!$S10)),IF(AND(Radar_Mosca!$F10=DL$4,Radar_Mosca!$AA10=DL$3),Radar_Mosca!$S10,NA()),NA())</f>
        <v/>
      </c>
      <c r="DM10">
        <f>IF(AND(ISNUMBER(Radar_Mosca!$F10),ISNUMBER(Radar_Mosca!$S10)),IF(AND(Radar_Mosca!$F10=DM$4,Radar_Mosca!$AA10=DM$3),Radar_Mosca!$S10,NA()),NA())</f>
        <v/>
      </c>
      <c r="DN10">
        <f>IF(AND(ISNUMBER(Radar_Mosca!$F10),ISNUMBER(Radar_Mosca!$S10)),IF(AND(Radar_Mosca!$F10=DN$4,Radar_Mosca!$AA10=DN$3),Radar_Mosca!$S10,NA()),NA())</f>
        <v/>
      </c>
      <c r="DO10">
        <f>IF(ISNUMBER(Radar_Mosca!$R10),Radar_Mosca!$R10,NA())</f>
        <v/>
      </c>
      <c r="DP10">
        <f>IF(Radar_Mosca!$A10="","",MID(Radar_Mosca!$A10,5,3)&amp;IF(Radar_Mosca!$T10="Sì"," ◆",""))</f>
        <v/>
      </c>
      <c r="DQ10">
        <f>IF(ISNUMBER(Radar_Mosca!$S10),Radar_Mosca!$S10,NA())</f>
        <v/>
      </c>
      <c r="DR10" t="inlineStr">
        <is>
          <t>Area del cerchio = P x I</t>
        </is>
      </c>
      <c r="DS10" t="n">
        <v>4.4</v>
      </c>
      <c r="DT10" t="n">
        <v>-8.049999999999999</v>
      </c>
    </row>
    <row r="11" ht="25" customHeight="1">
      <c r="A11" s="34">
        <f>Classifica!$A$6</f>
        <v/>
      </c>
      <c r="B11" s="35">
        <f>IF(Classifica!$B$6="","",Classifica!$B$6&amp;"  "&amp;Classifica!$C$6&amp;IFERROR(IF(INDEX(ANA_Attenzione_Supervisore,Classifica!$U$6)="Sì","  ◆",""),""))</f>
        <v/>
      </c>
      <c r="C11" s="36" t="n"/>
      <c r="D11" s="36" t="n"/>
      <c r="E11" s="36" t="n"/>
      <c r="F11" s="37">
        <f>IF(Classifica!$B$6="","",Classifica!$D$6)</f>
        <v/>
      </c>
      <c r="G11" s="38">
        <f>IF(Classifica!$B$6="","",IF(ISNUMBER(Classifica!$F$6),Classifica!$F$6,"nuovo"))</f>
        <v/>
      </c>
      <c r="H11" s="39">
        <f>IF(Classifica!$B$6="","",IF(LEFT(Classifica!$H$6,9)="AGIRE ORA","AGIRE ORA",IF(LEFT(Classifica!$H$6,11)="Agire entro","Entro l'anno",Classifica!$H$6)))</f>
        <v/>
      </c>
      <c r="J11" s="40" t="n">
        <v>4</v>
      </c>
      <c r="K11" s="41">
        <f>SUBSTITUTE(SUBSTITUTE(Matrice!C6," ◆",""),"NFR-","")</f>
        <v/>
      </c>
      <c r="L11" s="42">
        <f>SUBSTITUTE(SUBSTITUTE(Matrice!D6," ◆",""),"NFR-","")</f>
        <v/>
      </c>
      <c r="M11" s="42">
        <f>SUBSTITUTE(SUBSTITUTE(Matrice!E6," ◆",""),"NFR-","")</f>
        <v/>
      </c>
      <c r="N11" s="43">
        <f>SUBSTITUTE(SUBSTITUTE(Matrice!F6," ◆",""),"NFR-","")</f>
        <v/>
      </c>
      <c r="O11" s="43">
        <f>SUBSTITUTE(SUBSTITUTE(Matrice!G6," ◆",""),"NFR-","")</f>
        <v/>
      </c>
      <c r="T11">
        <f>IF(Radar_Mosca!$AA$11="Attivazione",Radar_Mosca!$A$11,"")</f>
        <v/>
      </c>
      <c r="BH11">
        <f>2*PI()*6/72</f>
        <v/>
      </c>
      <c r="BI11">
        <f>2*SIN($BH11)</f>
        <v/>
      </c>
      <c r="BJ11">
        <f>2*COS($BH11)</f>
        <v/>
      </c>
      <c r="BK11">
        <f>3*SIN($BH11)</f>
        <v/>
      </c>
      <c r="BL11">
        <f>3*COS($BH11)</f>
        <v/>
      </c>
      <c r="BM11">
        <f>4*SIN($BH11)</f>
        <v/>
      </c>
      <c r="BN11">
        <f>4*COS($BH11)</f>
        <v/>
      </c>
      <c r="BO11">
        <f>5*SIN($BH11)</f>
        <v/>
      </c>
      <c r="BP11">
        <f>5*COS($BH11)</f>
        <v/>
      </c>
      <c r="BR11" t="n">
        <v>0</v>
      </c>
      <c r="BS11" t="n">
        <v>0</v>
      </c>
      <c r="BU11" t="inlineStr">
        <is>
          <t>9.9
Terze parti</t>
        </is>
      </c>
      <c r="BV11">
        <f>6.95*SIN(2*PI()*(6+0.5)/ROWS(codiciL1))</f>
        <v/>
      </c>
      <c r="BW11">
        <f>6.95*COS(2*PI()*(6+0.5)/ROWS(codiciL1))</f>
        <v/>
      </c>
      <c r="BY11">
        <f>IF(AND(ISNUMBER(Radar_Mosca!$F11),ISNUMBER(Radar_Mosca!$S11)),IF(AND(Radar_Mosca!$F11=BY$4,Radar_Mosca!$AA11=BY$3),Radar_Mosca!$S11,NA()),NA())</f>
        <v/>
      </c>
      <c r="BZ11">
        <f>IF(AND(ISNUMBER(Radar_Mosca!$F11),ISNUMBER(Radar_Mosca!$S11)),IF(AND(Radar_Mosca!$F11=BZ$4,Radar_Mosca!$AA11=BZ$3),Radar_Mosca!$S11,NA()),NA())</f>
        <v/>
      </c>
      <c r="CA11">
        <f>IF(AND(ISNUMBER(Radar_Mosca!$F11),ISNUMBER(Radar_Mosca!$S11)),IF(AND(Radar_Mosca!$F11=CA$4,Radar_Mosca!$AA11=CA$3),Radar_Mosca!$S11,NA()),NA())</f>
        <v/>
      </c>
      <c r="CB11">
        <f>IF(AND(ISNUMBER(Radar_Mosca!$F11),ISNUMBER(Radar_Mosca!$S11)),IF(AND(Radar_Mosca!$F11=CB$4,Radar_Mosca!$AA11=CB$3),Radar_Mosca!$S11,NA()),NA())</f>
        <v/>
      </c>
      <c r="CC11">
        <f>IF(AND(ISNUMBER(Radar_Mosca!$F11),ISNUMBER(Radar_Mosca!$S11)),IF(AND(Radar_Mosca!$F11=CC$4,Radar_Mosca!$AA11=CC$3),Radar_Mosca!$S11,NA()),NA())</f>
        <v/>
      </c>
      <c r="CD11">
        <f>IF(AND(ISNUMBER(Radar_Mosca!$F11),ISNUMBER(Radar_Mosca!$S11)),IF(AND(Radar_Mosca!$F11=CD$4,Radar_Mosca!$AA11=CD$3),Radar_Mosca!$S11,NA()),NA())</f>
        <v/>
      </c>
      <c r="CE11">
        <f>IF(AND(ISNUMBER(Radar_Mosca!$F11),ISNUMBER(Radar_Mosca!$S11)),IF(AND(Radar_Mosca!$F11=CE$4,Radar_Mosca!$AA11=CE$3),Radar_Mosca!$S11,NA()),NA())</f>
        <v/>
      </c>
      <c r="CF11">
        <f>IF(AND(ISNUMBER(Radar_Mosca!$F11),ISNUMBER(Radar_Mosca!$S11)),IF(AND(Radar_Mosca!$F11=CF$4,Radar_Mosca!$AA11=CF$3),Radar_Mosca!$S11,NA()),NA())</f>
        <v/>
      </c>
      <c r="CG11">
        <f>IF(AND(ISNUMBER(Radar_Mosca!$F11),ISNUMBER(Radar_Mosca!$S11)),IF(AND(Radar_Mosca!$F11=CG$4,Radar_Mosca!$AA11=CG$3),Radar_Mosca!$S11,NA()),NA())</f>
        <v/>
      </c>
      <c r="CH11">
        <f>IF(AND(ISNUMBER(Radar_Mosca!$F11),ISNUMBER(Radar_Mosca!$S11)),IF(AND(Radar_Mosca!$F11=CH$4,Radar_Mosca!$AA11=CH$3),Radar_Mosca!$S11,NA()),NA())</f>
        <v/>
      </c>
      <c r="CI11">
        <f>IF(AND(ISNUMBER(Radar_Mosca!$F11),ISNUMBER(Radar_Mosca!$S11)),IF(AND(Radar_Mosca!$F11=CI$4,Radar_Mosca!$AA11=CI$3),Radar_Mosca!$S11,NA()),NA())</f>
        <v/>
      </c>
      <c r="CJ11">
        <f>IF(AND(ISNUMBER(Radar_Mosca!$F11),ISNUMBER(Radar_Mosca!$S11)),IF(AND(Radar_Mosca!$F11=CJ$4,Radar_Mosca!$AA11=CJ$3),Radar_Mosca!$S11,NA()),NA())</f>
        <v/>
      </c>
      <c r="CK11">
        <f>IF(AND(ISNUMBER(Radar_Mosca!$F11),ISNUMBER(Radar_Mosca!$S11)),IF(AND(Radar_Mosca!$F11=CK$4,Radar_Mosca!$AA11=CK$3),Radar_Mosca!$S11,NA()),NA())</f>
        <v/>
      </c>
      <c r="CL11">
        <f>IF(AND(ISNUMBER(Radar_Mosca!$F11),ISNUMBER(Radar_Mosca!$S11)),IF(AND(Radar_Mosca!$F11=CL$4,Radar_Mosca!$AA11=CL$3),Radar_Mosca!$S11,NA()),NA())</f>
        <v/>
      </c>
      <c r="CM11">
        <f>IF(AND(ISNUMBER(Radar_Mosca!$F11),ISNUMBER(Radar_Mosca!$S11)),IF(AND(Radar_Mosca!$F11=CM$4,Radar_Mosca!$AA11=CM$3),Radar_Mosca!$S11,NA()),NA())</f>
        <v/>
      </c>
      <c r="CN11">
        <f>IF(AND(ISNUMBER(Radar_Mosca!$F11),ISNUMBER(Radar_Mosca!$S11)),IF(AND(Radar_Mosca!$F11=CN$4,Radar_Mosca!$AA11=CN$3),Radar_Mosca!$S11,NA()),NA())</f>
        <v/>
      </c>
      <c r="CO11">
        <f>IF(AND(ISNUMBER(Radar_Mosca!$F11),ISNUMBER(Radar_Mosca!$S11)),IF(AND(Radar_Mosca!$F11=CO$4,Radar_Mosca!$AA11=CO$3),Radar_Mosca!$S11,NA()),NA())</f>
        <v/>
      </c>
      <c r="CP11">
        <f>IF(AND(ISNUMBER(Radar_Mosca!$F11),ISNUMBER(Radar_Mosca!$S11)),IF(AND(Radar_Mosca!$F11=CP$4,Radar_Mosca!$AA11=CP$3),Radar_Mosca!$S11,NA()),NA())</f>
        <v/>
      </c>
      <c r="CQ11">
        <f>IF(AND(ISNUMBER(Radar_Mosca!$F11),ISNUMBER(Radar_Mosca!$S11)),IF(AND(Radar_Mosca!$F11=CQ$4,Radar_Mosca!$AA11=CQ$3),Radar_Mosca!$S11,NA()),NA())</f>
        <v/>
      </c>
      <c r="CR11">
        <f>IF(AND(ISNUMBER(Radar_Mosca!$F11),ISNUMBER(Radar_Mosca!$S11)),IF(AND(Radar_Mosca!$F11=CR$4,Radar_Mosca!$AA11=CR$3),Radar_Mosca!$S11,NA()),NA())</f>
        <v/>
      </c>
      <c r="CS11">
        <f>IF(AND(ISNUMBER(Radar_Mosca!$F11),ISNUMBER(Radar_Mosca!$S11)),IF(AND(Radar_Mosca!$F11=CS$4,Radar_Mosca!$AA11=CS$3),Radar_Mosca!$S11,NA()),NA())</f>
        <v/>
      </c>
      <c r="CT11">
        <f>IF(AND(ISNUMBER(Radar_Mosca!$F11),ISNUMBER(Radar_Mosca!$S11)),IF(AND(Radar_Mosca!$F11=CT$4,Radar_Mosca!$AA11=CT$3),Radar_Mosca!$S11,NA()),NA())</f>
        <v/>
      </c>
      <c r="CU11">
        <f>IF(AND(ISNUMBER(Radar_Mosca!$F11),ISNUMBER(Radar_Mosca!$S11)),IF(AND(Radar_Mosca!$F11=CU$4,Radar_Mosca!$AA11=CU$3),Radar_Mosca!$S11,NA()),NA())</f>
        <v/>
      </c>
      <c r="CV11">
        <f>IF(AND(ISNUMBER(Radar_Mosca!$F11),ISNUMBER(Radar_Mosca!$S11)),IF(AND(Radar_Mosca!$F11=CV$4,Radar_Mosca!$AA11=CV$3),Radar_Mosca!$S11,NA()),NA())</f>
        <v/>
      </c>
      <c r="CW11">
        <f>IF(AND(ISNUMBER(Radar_Mosca!$F11),ISNUMBER(Radar_Mosca!$S11)),IF(AND(Radar_Mosca!$F11=CW$4,Radar_Mosca!$AA11=CW$3),Radar_Mosca!$S11,NA()),NA())</f>
        <v/>
      </c>
      <c r="CX11">
        <f>IF(AND(ISNUMBER(Radar_Mosca!$F11),ISNUMBER(Radar_Mosca!$S11)),IF(AND(Radar_Mosca!$F11=CX$4,Radar_Mosca!$AA11=CX$3),Radar_Mosca!$S11,NA()),NA())</f>
        <v/>
      </c>
      <c r="CY11">
        <f>IF(AND(ISNUMBER(Radar_Mosca!$F11),ISNUMBER(Radar_Mosca!$S11)),IF(AND(Radar_Mosca!$F11=CY$4,Radar_Mosca!$AA11=CY$3),Radar_Mosca!$S11,NA()),NA())</f>
        <v/>
      </c>
      <c r="CZ11">
        <f>IF(AND(ISNUMBER(Radar_Mosca!$F11),ISNUMBER(Radar_Mosca!$S11)),IF(AND(Radar_Mosca!$F11=CZ$4,Radar_Mosca!$AA11=CZ$3),Radar_Mosca!$S11,NA()),NA())</f>
        <v/>
      </c>
      <c r="DA11">
        <f>IF(AND(ISNUMBER(Radar_Mosca!$F11),ISNUMBER(Radar_Mosca!$S11)),IF(AND(Radar_Mosca!$F11=DA$4,Radar_Mosca!$AA11=DA$3),Radar_Mosca!$S11,NA()),NA())</f>
        <v/>
      </c>
      <c r="DB11">
        <f>IF(AND(ISNUMBER(Radar_Mosca!$F11),ISNUMBER(Radar_Mosca!$S11)),IF(AND(Radar_Mosca!$F11=DB$4,Radar_Mosca!$AA11=DB$3),Radar_Mosca!$S11,NA()),NA())</f>
        <v/>
      </c>
      <c r="DC11">
        <f>IF(AND(ISNUMBER(Radar_Mosca!$F11),ISNUMBER(Radar_Mosca!$S11)),IF(AND(Radar_Mosca!$F11=DC$4,Radar_Mosca!$AA11=DC$3),Radar_Mosca!$S11,NA()),NA())</f>
        <v/>
      </c>
      <c r="DD11">
        <f>IF(AND(ISNUMBER(Radar_Mosca!$F11),ISNUMBER(Radar_Mosca!$S11)),IF(AND(Radar_Mosca!$F11=DD$4,Radar_Mosca!$AA11=DD$3),Radar_Mosca!$S11,NA()),NA())</f>
        <v/>
      </c>
      <c r="DE11">
        <f>IF(AND(ISNUMBER(Radar_Mosca!$F11),ISNUMBER(Radar_Mosca!$S11)),IF(AND(Radar_Mosca!$F11=DE$4,Radar_Mosca!$AA11=DE$3),Radar_Mosca!$S11,NA()),NA())</f>
        <v/>
      </c>
      <c r="DF11">
        <f>IF(AND(ISNUMBER(Radar_Mosca!$F11),ISNUMBER(Radar_Mosca!$S11)),IF(AND(Radar_Mosca!$F11=DF$4,Radar_Mosca!$AA11=DF$3),Radar_Mosca!$S11,NA()),NA())</f>
        <v/>
      </c>
      <c r="DG11">
        <f>IF(AND(ISNUMBER(Radar_Mosca!$F11),ISNUMBER(Radar_Mosca!$S11)),IF(AND(Radar_Mosca!$F11=DG$4,Radar_Mosca!$AA11=DG$3),Radar_Mosca!$S11,NA()),NA())</f>
        <v/>
      </c>
      <c r="DH11">
        <f>IF(AND(ISNUMBER(Radar_Mosca!$F11),ISNUMBER(Radar_Mosca!$S11)),IF(AND(Radar_Mosca!$F11=DH$4,Radar_Mosca!$AA11=DH$3),Radar_Mosca!$S11,NA()),NA())</f>
        <v/>
      </c>
      <c r="DI11">
        <f>IF(AND(ISNUMBER(Radar_Mosca!$F11),ISNUMBER(Radar_Mosca!$S11)),IF(AND(Radar_Mosca!$F11=DI$4,Radar_Mosca!$AA11=DI$3),Radar_Mosca!$S11,NA()),NA())</f>
        <v/>
      </c>
      <c r="DJ11">
        <f>IF(AND(ISNUMBER(Radar_Mosca!$F11),ISNUMBER(Radar_Mosca!$S11)),IF(AND(Radar_Mosca!$F11=DJ$4,Radar_Mosca!$AA11=DJ$3),Radar_Mosca!$S11,NA()),NA())</f>
        <v/>
      </c>
      <c r="DK11">
        <f>IF(AND(ISNUMBER(Radar_Mosca!$F11),ISNUMBER(Radar_Mosca!$S11)),IF(AND(Radar_Mosca!$F11=DK$4,Radar_Mosca!$AA11=DK$3),Radar_Mosca!$S11,NA()),NA())</f>
        <v/>
      </c>
      <c r="DL11">
        <f>IF(AND(ISNUMBER(Radar_Mosca!$F11),ISNUMBER(Radar_Mosca!$S11)),IF(AND(Radar_Mosca!$F11=DL$4,Radar_Mosca!$AA11=DL$3),Radar_Mosca!$S11,NA()),NA())</f>
        <v/>
      </c>
      <c r="DM11">
        <f>IF(AND(ISNUMBER(Radar_Mosca!$F11),ISNUMBER(Radar_Mosca!$S11)),IF(AND(Radar_Mosca!$F11=DM$4,Radar_Mosca!$AA11=DM$3),Radar_Mosca!$S11,NA()),NA())</f>
        <v/>
      </c>
      <c r="DN11">
        <f>IF(AND(ISNUMBER(Radar_Mosca!$F11),ISNUMBER(Radar_Mosca!$S11)),IF(AND(Radar_Mosca!$F11=DN$4,Radar_Mosca!$AA11=DN$3),Radar_Mosca!$S11,NA()),NA())</f>
        <v/>
      </c>
      <c r="DO11">
        <f>IF(ISNUMBER(Radar_Mosca!$R11),Radar_Mosca!$R11,NA())</f>
        <v/>
      </c>
      <c r="DP11">
        <f>IF(Radar_Mosca!$A11="","",MID(Radar_Mosca!$A11,5,3)&amp;IF(Radar_Mosca!$T11="Sì"," ◆",""))</f>
        <v/>
      </c>
      <c r="DQ11">
        <f>IF(ISNUMBER(Radar_Mosca!$S11),Radar_Mosca!$S11,NA())</f>
        <v/>
      </c>
      <c r="DR11" t="inlineStr">
        <is>
          <t>4</t>
        </is>
      </c>
      <c r="DS11" t="n">
        <v>3.5</v>
      </c>
      <c r="DT11" t="n">
        <v>-9.1</v>
      </c>
    </row>
    <row r="12" ht="25" customHeight="1">
      <c r="A12" s="34">
        <f>Classifica!$A$7</f>
        <v/>
      </c>
      <c r="B12" s="35">
        <f>IF(Classifica!$B$7="","",Classifica!$B$7&amp;"  "&amp;Classifica!$C$7&amp;IFERROR(IF(INDEX(ANA_Attenzione_Supervisore,Classifica!$U$7)="Sì","  ◆",""),""))</f>
        <v/>
      </c>
      <c r="C12" s="36" t="n"/>
      <c r="D12" s="36" t="n"/>
      <c r="E12" s="36" t="n"/>
      <c r="F12" s="37">
        <f>IF(Classifica!$B$7="","",Classifica!$D$7)</f>
        <v/>
      </c>
      <c r="G12" s="38">
        <f>IF(Classifica!$B$7="","",IF(ISNUMBER(Classifica!$F$7),Classifica!$F$7,"nuovo"))</f>
        <v/>
      </c>
      <c r="H12" s="39">
        <f>IF(Classifica!$B$7="","",IF(LEFT(Classifica!$H$7,9)="AGIRE ORA","AGIRE ORA",IF(LEFT(Classifica!$H$7,11)="Agire entro","Entro l'anno",Classifica!$H$7)))</f>
        <v/>
      </c>
      <c r="J12" s="40" t="n">
        <v>3</v>
      </c>
      <c r="K12" s="41">
        <f>SUBSTITUTE(SUBSTITUTE(Matrice!C7," ◆",""),"NFR-","")</f>
        <v/>
      </c>
      <c r="L12" s="41">
        <f>SUBSTITUTE(SUBSTITUTE(Matrice!D7," ◆",""),"NFR-","")</f>
        <v/>
      </c>
      <c r="M12" s="42">
        <f>SUBSTITUTE(SUBSTITUTE(Matrice!E7," ◆",""),"NFR-","")</f>
        <v/>
      </c>
      <c r="N12" s="42">
        <f>SUBSTITUTE(SUBSTITUTE(Matrice!F7," ◆",""),"NFR-","")</f>
        <v/>
      </c>
      <c r="O12" s="43">
        <f>SUBSTITUTE(SUBSTITUTE(Matrice!G7," ◆",""),"NFR-","")</f>
        <v/>
      </c>
      <c r="T12">
        <f>IF(Radar_Mosca!$AA$12="Attivazione",Radar_Mosca!$A$12,"")</f>
        <v/>
      </c>
      <c r="BH12">
        <f>2*PI()*7/72</f>
        <v/>
      </c>
      <c r="BI12">
        <f>2*SIN($BH12)</f>
        <v/>
      </c>
      <c r="BJ12">
        <f>2*COS($BH12)</f>
        <v/>
      </c>
      <c r="BK12">
        <f>3*SIN($BH12)</f>
        <v/>
      </c>
      <c r="BL12">
        <f>3*COS($BH12)</f>
        <v/>
      </c>
      <c r="BM12">
        <f>4*SIN($BH12)</f>
        <v/>
      </c>
      <c r="BN12">
        <f>4*COS($BH12)</f>
        <v/>
      </c>
      <c r="BO12">
        <f>5*SIN($BH12)</f>
        <v/>
      </c>
      <c r="BP12">
        <f>5*COS($BH12)</f>
        <v/>
      </c>
      <c r="BR12">
        <f>6.3*SIN(2*PI()*3/ROWS(codiciL1))</f>
        <v/>
      </c>
      <c r="BS12">
        <f>6.3*COS(2*PI()*3/ROWS(codiciL1))</f>
        <v/>
      </c>
      <c r="BU12" t="inlineStr">
        <is>
          <t>9.11
Employer</t>
        </is>
      </c>
      <c r="BV12">
        <f>6.95*SIN(2*PI()*(7+0.5)/ROWS(codiciL1))</f>
        <v/>
      </c>
      <c r="BW12">
        <f>6.95*COS(2*PI()*(7+0.5)/ROWS(codiciL1))</f>
        <v/>
      </c>
      <c r="BY12">
        <f>IF(AND(ISNUMBER(Radar_Mosca!$F12),ISNUMBER(Radar_Mosca!$S12)),IF(AND(Radar_Mosca!$F12=BY$4,Radar_Mosca!$AA12=BY$3),Radar_Mosca!$S12,NA()),NA())</f>
        <v/>
      </c>
      <c r="BZ12">
        <f>IF(AND(ISNUMBER(Radar_Mosca!$F12),ISNUMBER(Radar_Mosca!$S12)),IF(AND(Radar_Mosca!$F12=BZ$4,Radar_Mosca!$AA12=BZ$3),Radar_Mosca!$S12,NA()),NA())</f>
        <v/>
      </c>
      <c r="CA12">
        <f>IF(AND(ISNUMBER(Radar_Mosca!$F12),ISNUMBER(Radar_Mosca!$S12)),IF(AND(Radar_Mosca!$F12=CA$4,Radar_Mosca!$AA12=CA$3),Radar_Mosca!$S12,NA()),NA())</f>
        <v/>
      </c>
      <c r="CB12">
        <f>IF(AND(ISNUMBER(Radar_Mosca!$F12),ISNUMBER(Radar_Mosca!$S12)),IF(AND(Radar_Mosca!$F12=CB$4,Radar_Mosca!$AA12=CB$3),Radar_Mosca!$S12,NA()),NA())</f>
        <v/>
      </c>
      <c r="CC12">
        <f>IF(AND(ISNUMBER(Radar_Mosca!$F12),ISNUMBER(Radar_Mosca!$S12)),IF(AND(Radar_Mosca!$F12=CC$4,Radar_Mosca!$AA12=CC$3),Radar_Mosca!$S12,NA()),NA())</f>
        <v/>
      </c>
      <c r="CD12">
        <f>IF(AND(ISNUMBER(Radar_Mosca!$F12),ISNUMBER(Radar_Mosca!$S12)),IF(AND(Radar_Mosca!$F12=CD$4,Radar_Mosca!$AA12=CD$3),Radar_Mosca!$S12,NA()),NA())</f>
        <v/>
      </c>
      <c r="CE12">
        <f>IF(AND(ISNUMBER(Radar_Mosca!$F12),ISNUMBER(Radar_Mosca!$S12)),IF(AND(Radar_Mosca!$F12=CE$4,Radar_Mosca!$AA12=CE$3),Radar_Mosca!$S12,NA()),NA())</f>
        <v/>
      </c>
      <c r="CF12">
        <f>IF(AND(ISNUMBER(Radar_Mosca!$F12),ISNUMBER(Radar_Mosca!$S12)),IF(AND(Radar_Mosca!$F12=CF$4,Radar_Mosca!$AA12=CF$3),Radar_Mosca!$S12,NA()),NA())</f>
        <v/>
      </c>
      <c r="CG12">
        <f>IF(AND(ISNUMBER(Radar_Mosca!$F12),ISNUMBER(Radar_Mosca!$S12)),IF(AND(Radar_Mosca!$F12=CG$4,Radar_Mosca!$AA12=CG$3),Radar_Mosca!$S12,NA()),NA())</f>
        <v/>
      </c>
      <c r="CH12">
        <f>IF(AND(ISNUMBER(Radar_Mosca!$F12),ISNUMBER(Radar_Mosca!$S12)),IF(AND(Radar_Mosca!$F12=CH$4,Radar_Mosca!$AA12=CH$3),Radar_Mosca!$S12,NA()),NA())</f>
        <v/>
      </c>
      <c r="CI12">
        <f>IF(AND(ISNUMBER(Radar_Mosca!$F12),ISNUMBER(Radar_Mosca!$S12)),IF(AND(Radar_Mosca!$F12=CI$4,Radar_Mosca!$AA12=CI$3),Radar_Mosca!$S12,NA()),NA())</f>
        <v/>
      </c>
      <c r="CJ12">
        <f>IF(AND(ISNUMBER(Radar_Mosca!$F12),ISNUMBER(Radar_Mosca!$S12)),IF(AND(Radar_Mosca!$F12=CJ$4,Radar_Mosca!$AA12=CJ$3),Radar_Mosca!$S12,NA()),NA())</f>
        <v/>
      </c>
      <c r="CK12">
        <f>IF(AND(ISNUMBER(Radar_Mosca!$F12),ISNUMBER(Radar_Mosca!$S12)),IF(AND(Radar_Mosca!$F12=CK$4,Radar_Mosca!$AA12=CK$3),Radar_Mosca!$S12,NA()),NA())</f>
        <v/>
      </c>
      <c r="CL12">
        <f>IF(AND(ISNUMBER(Radar_Mosca!$F12),ISNUMBER(Radar_Mosca!$S12)),IF(AND(Radar_Mosca!$F12=CL$4,Radar_Mosca!$AA12=CL$3),Radar_Mosca!$S12,NA()),NA())</f>
        <v/>
      </c>
      <c r="CM12">
        <f>IF(AND(ISNUMBER(Radar_Mosca!$F12),ISNUMBER(Radar_Mosca!$S12)),IF(AND(Radar_Mosca!$F12=CM$4,Radar_Mosca!$AA12=CM$3),Radar_Mosca!$S12,NA()),NA())</f>
        <v/>
      </c>
      <c r="CN12">
        <f>IF(AND(ISNUMBER(Radar_Mosca!$F12),ISNUMBER(Radar_Mosca!$S12)),IF(AND(Radar_Mosca!$F12=CN$4,Radar_Mosca!$AA12=CN$3),Radar_Mosca!$S12,NA()),NA())</f>
        <v/>
      </c>
      <c r="CO12">
        <f>IF(AND(ISNUMBER(Radar_Mosca!$F12),ISNUMBER(Radar_Mosca!$S12)),IF(AND(Radar_Mosca!$F12=CO$4,Radar_Mosca!$AA12=CO$3),Radar_Mosca!$S12,NA()),NA())</f>
        <v/>
      </c>
      <c r="CP12">
        <f>IF(AND(ISNUMBER(Radar_Mosca!$F12),ISNUMBER(Radar_Mosca!$S12)),IF(AND(Radar_Mosca!$F12=CP$4,Radar_Mosca!$AA12=CP$3),Radar_Mosca!$S12,NA()),NA())</f>
        <v/>
      </c>
      <c r="CQ12">
        <f>IF(AND(ISNUMBER(Radar_Mosca!$F12),ISNUMBER(Radar_Mosca!$S12)),IF(AND(Radar_Mosca!$F12=CQ$4,Radar_Mosca!$AA12=CQ$3),Radar_Mosca!$S12,NA()),NA())</f>
        <v/>
      </c>
      <c r="CR12">
        <f>IF(AND(ISNUMBER(Radar_Mosca!$F12),ISNUMBER(Radar_Mosca!$S12)),IF(AND(Radar_Mosca!$F12=CR$4,Radar_Mosca!$AA12=CR$3),Radar_Mosca!$S12,NA()),NA())</f>
        <v/>
      </c>
      <c r="CS12">
        <f>IF(AND(ISNUMBER(Radar_Mosca!$F12),ISNUMBER(Radar_Mosca!$S12)),IF(AND(Radar_Mosca!$F12=CS$4,Radar_Mosca!$AA12=CS$3),Radar_Mosca!$S12,NA()),NA())</f>
        <v/>
      </c>
      <c r="CT12">
        <f>IF(AND(ISNUMBER(Radar_Mosca!$F12),ISNUMBER(Radar_Mosca!$S12)),IF(AND(Radar_Mosca!$F12=CT$4,Radar_Mosca!$AA12=CT$3),Radar_Mosca!$S12,NA()),NA())</f>
        <v/>
      </c>
      <c r="CU12">
        <f>IF(AND(ISNUMBER(Radar_Mosca!$F12),ISNUMBER(Radar_Mosca!$S12)),IF(AND(Radar_Mosca!$F12=CU$4,Radar_Mosca!$AA12=CU$3),Radar_Mosca!$S12,NA()),NA())</f>
        <v/>
      </c>
      <c r="CV12">
        <f>IF(AND(ISNUMBER(Radar_Mosca!$F12),ISNUMBER(Radar_Mosca!$S12)),IF(AND(Radar_Mosca!$F12=CV$4,Radar_Mosca!$AA12=CV$3),Radar_Mosca!$S12,NA()),NA())</f>
        <v/>
      </c>
      <c r="CW12">
        <f>IF(AND(ISNUMBER(Radar_Mosca!$F12),ISNUMBER(Radar_Mosca!$S12)),IF(AND(Radar_Mosca!$F12=CW$4,Radar_Mosca!$AA12=CW$3),Radar_Mosca!$S12,NA()),NA())</f>
        <v/>
      </c>
      <c r="CX12">
        <f>IF(AND(ISNUMBER(Radar_Mosca!$F12),ISNUMBER(Radar_Mosca!$S12)),IF(AND(Radar_Mosca!$F12=CX$4,Radar_Mosca!$AA12=CX$3),Radar_Mosca!$S12,NA()),NA())</f>
        <v/>
      </c>
      <c r="CY12">
        <f>IF(AND(ISNUMBER(Radar_Mosca!$F12),ISNUMBER(Radar_Mosca!$S12)),IF(AND(Radar_Mosca!$F12=CY$4,Radar_Mosca!$AA12=CY$3),Radar_Mosca!$S12,NA()),NA())</f>
        <v/>
      </c>
      <c r="CZ12">
        <f>IF(AND(ISNUMBER(Radar_Mosca!$F12),ISNUMBER(Radar_Mosca!$S12)),IF(AND(Radar_Mosca!$F12=CZ$4,Radar_Mosca!$AA12=CZ$3),Radar_Mosca!$S12,NA()),NA())</f>
        <v/>
      </c>
      <c r="DA12">
        <f>IF(AND(ISNUMBER(Radar_Mosca!$F12),ISNUMBER(Radar_Mosca!$S12)),IF(AND(Radar_Mosca!$F12=DA$4,Radar_Mosca!$AA12=DA$3),Radar_Mosca!$S12,NA()),NA())</f>
        <v/>
      </c>
      <c r="DB12">
        <f>IF(AND(ISNUMBER(Radar_Mosca!$F12),ISNUMBER(Radar_Mosca!$S12)),IF(AND(Radar_Mosca!$F12=DB$4,Radar_Mosca!$AA12=DB$3),Radar_Mosca!$S12,NA()),NA())</f>
        <v/>
      </c>
      <c r="DC12">
        <f>IF(AND(ISNUMBER(Radar_Mosca!$F12),ISNUMBER(Radar_Mosca!$S12)),IF(AND(Radar_Mosca!$F12=DC$4,Radar_Mosca!$AA12=DC$3),Radar_Mosca!$S12,NA()),NA())</f>
        <v/>
      </c>
      <c r="DD12">
        <f>IF(AND(ISNUMBER(Radar_Mosca!$F12),ISNUMBER(Radar_Mosca!$S12)),IF(AND(Radar_Mosca!$F12=DD$4,Radar_Mosca!$AA12=DD$3),Radar_Mosca!$S12,NA()),NA())</f>
        <v/>
      </c>
      <c r="DE12">
        <f>IF(AND(ISNUMBER(Radar_Mosca!$F12),ISNUMBER(Radar_Mosca!$S12)),IF(AND(Radar_Mosca!$F12=DE$4,Radar_Mosca!$AA12=DE$3),Radar_Mosca!$S12,NA()),NA())</f>
        <v/>
      </c>
      <c r="DF12">
        <f>IF(AND(ISNUMBER(Radar_Mosca!$F12),ISNUMBER(Radar_Mosca!$S12)),IF(AND(Radar_Mosca!$F12=DF$4,Radar_Mosca!$AA12=DF$3),Radar_Mosca!$S12,NA()),NA())</f>
        <v/>
      </c>
      <c r="DG12">
        <f>IF(AND(ISNUMBER(Radar_Mosca!$F12),ISNUMBER(Radar_Mosca!$S12)),IF(AND(Radar_Mosca!$F12=DG$4,Radar_Mosca!$AA12=DG$3),Radar_Mosca!$S12,NA()),NA())</f>
        <v/>
      </c>
      <c r="DH12">
        <f>IF(AND(ISNUMBER(Radar_Mosca!$F12),ISNUMBER(Radar_Mosca!$S12)),IF(AND(Radar_Mosca!$F12=DH$4,Radar_Mosca!$AA12=DH$3),Radar_Mosca!$S12,NA()),NA())</f>
        <v/>
      </c>
      <c r="DI12">
        <f>IF(AND(ISNUMBER(Radar_Mosca!$F12),ISNUMBER(Radar_Mosca!$S12)),IF(AND(Radar_Mosca!$F12=DI$4,Radar_Mosca!$AA12=DI$3),Radar_Mosca!$S12,NA()),NA())</f>
        <v/>
      </c>
      <c r="DJ12">
        <f>IF(AND(ISNUMBER(Radar_Mosca!$F12),ISNUMBER(Radar_Mosca!$S12)),IF(AND(Radar_Mosca!$F12=DJ$4,Radar_Mosca!$AA12=DJ$3),Radar_Mosca!$S12,NA()),NA())</f>
        <v/>
      </c>
      <c r="DK12">
        <f>IF(AND(ISNUMBER(Radar_Mosca!$F12),ISNUMBER(Radar_Mosca!$S12)),IF(AND(Radar_Mosca!$F12=DK$4,Radar_Mosca!$AA12=DK$3),Radar_Mosca!$S12,NA()),NA())</f>
        <v/>
      </c>
      <c r="DL12">
        <f>IF(AND(ISNUMBER(Radar_Mosca!$F12),ISNUMBER(Radar_Mosca!$S12)),IF(AND(Radar_Mosca!$F12=DL$4,Radar_Mosca!$AA12=DL$3),Radar_Mosca!$S12,NA()),NA())</f>
        <v/>
      </c>
      <c r="DM12">
        <f>IF(AND(ISNUMBER(Radar_Mosca!$F12),ISNUMBER(Radar_Mosca!$S12)),IF(AND(Radar_Mosca!$F12=DM$4,Radar_Mosca!$AA12=DM$3),Radar_Mosca!$S12,NA()),NA())</f>
        <v/>
      </c>
      <c r="DN12">
        <f>IF(AND(ISNUMBER(Radar_Mosca!$F12),ISNUMBER(Radar_Mosca!$S12)),IF(AND(Radar_Mosca!$F12=DN$4,Radar_Mosca!$AA12=DN$3),Radar_Mosca!$S12,NA()),NA())</f>
        <v/>
      </c>
      <c r="DO12">
        <f>IF(ISNUMBER(Radar_Mosca!$R12),Radar_Mosca!$R12,NA())</f>
        <v/>
      </c>
      <c r="DP12">
        <f>IF(Radar_Mosca!$A12="","",MID(Radar_Mosca!$A12,5,3)&amp;IF(Radar_Mosca!$T12="Sì"," ◆",""))</f>
        <v/>
      </c>
      <c r="DQ12">
        <f>IF(ISNUMBER(Radar_Mosca!$S12),Radar_Mosca!$S12,NA())</f>
        <v/>
      </c>
      <c r="DR12" t="inlineStr">
        <is>
          <t>12</t>
        </is>
      </c>
      <c r="DS12" t="n">
        <v>4.8</v>
      </c>
      <c r="DT12" t="n">
        <v>-9.1</v>
      </c>
    </row>
    <row r="13" ht="25" customHeight="1">
      <c r="A13" s="34">
        <f>Classifica!$A$8</f>
        <v/>
      </c>
      <c r="B13" s="35">
        <f>IF(Classifica!$B$8="","",Classifica!$B$8&amp;"  "&amp;Classifica!$C$8&amp;IFERROR(IF(INDEX(ANA_Attenzione_Supervisore,Classifica!$U$8)="Sì","  ◆",""),""))</f>
        <v/>
      </c>
      <c r="C13" s="36" t="n"/>
      <c r="D13" s="36" t="n"/>
      <c r="E13" s="36" t="n"/>
      <c r="F13" s="37">
        <f>IF(Classifica!$B$8="","",Classifica!$D$8)</f>
        <v/>
      </c>
      <c r="G13" s="38">
        <f>IF(Classifica!$B$8="","",IF(ISNUMBER(Classifica!$F$8),Classifica!$F$8,"nuovo"))</f>
        <v/>
      </c>
      <c r="H13" s="39">
        <f>IF(Classifica!$B$8="","",IF(LEFT(Classifica!$H$8,9)="AGIRE ORA","AGIRE ORA",IF(LEFT(Classifica!$H$8,11)="Agire entro","Entro l'anno",Classifica!$H$8)))</f>
        <v/>
      </c>
      <c r="J13" s="40" t="n">
        <v>2</v>
      </c>
      <c r="K13" s="41">
        <f>SUBSTITUTE(SUBSTITUTE(Matrice!C8," ◆",""),"NFR-","")</f>
        <v/>
      </c>
      <c r="L13" s="41">
        <f>SUBSTITUTE(SUBSTITUTE(Matrice!D8," ◆",""),"NFR-","")</f>
        <v/>
      </c>
      <c r="M13" s="41">
        <f>SUBSTITUTE(SUBSTITUTE(Matrice!E8," ◆",""),"NFR-","")</f>
        <v/>
      </c>
      <c r="N13" s="42">
        <f>SUBSTITUTE(SUBSTITUTE(Matrice!F8," ◆",""),"NFR-","")</f>
        <v/>
      </c>
      <c r="O13" s="42">
        <f>SUBSTITUTE(SUBSTITUTE(Matrice!G8," ◆",""),"NFR-","")</f>
        <v/>
      </c>
      <c r="T13">
        <f>IF(Radar_Mosca!$AA$13="Attivazione",Radar_Mosca!$A$13,"")</f>
        <v/>
      </c>
      <c r="BH13">
        <f>2*PI()*8/72</f>
        <v/>
      </c>
      <c r="BI13">
        <f>2*SIN($BH13)</f>
        <v/>
      </c>
      <c r="BJ13">
        <f>2*COS($BH13)</f>
        <v/>
      </c>
      <c r="BK13">
        <f>3*SIN($BH13)</f>
        <v/>
      </c>
      <c r="BL13">
        <f>3*COS($BH13)</f>
        <v/>
      </c>
      <c r="BM13">
        <f>4*SIN($BH13)</f>
        <v/>
      </c>
      <c r="BN13">
        <f>4*COS($BH13)</f>
        <v/>
      </c>
      <c r="BO13">
        <f>5*SIN($BH13)</f>
        <v/>
      </c>
      <c r="BP13">
        <f>5*COS($BH13)</f>
        <v/>
      </c>
      <c r="BR13" t="n">
        <v>0</v>
      </c>
      <c r="BS13" t="n">
        <v>0</v>
      </c>
      <c r="BU13" t="inlineStr">
        <is>
          <t>9.13
Processo</t>
        </is>
      </c>
      <c r="BV13">
        <f>6.95*SIN(2*PI()*(8+0.5)/ROWS(codiciL1))</f>
        <v/>
      </c>
      <c r="BW13">
        <f>6.95*COS(2*PI()*(8+0.5)/ROWS(codiciL1))</f>
        <v/>
      </c>
      <c r="BY13">
        <f>IF(AND(ISNUMBER(Radar_Mosca!$F13),ISNUMBER(Radar_Mosca!$S13)),IF(AND(Radar_Mosca!$F13=BY$4,Radar_Mosca!$AA13=BY$3),Radar_Mosca!$S13,NA()),NA())</f>
        <v/>
      </c>
      <c r="BZ13">
        <f>IF(AND(ISNUMBER(Radar_Mosca!$F13),ISNUMBER(Radar_Mosca!$S13)),IF(AND(Radar_Mosca!$F13=BZ$4,Radar_Mosca!$AA13=BZ$3),Radar_Mosca!$S13,NA()),NA())</f>
        <v/>
      </c>
      <c r="CA13">
        <f>IF(AND(ISNUMBER(Radar_Mosca!$F13),ISNUMBER(Radar_Mosca!$S13)),IF(AND(Radar_Mosca!$F13=CA$4,Radar_Mosca!$AA13=CA$3),Radar_Mosca!$S13,NA()),NA())</f>
        <v/>
      </c>
      <c r="CB13">
        <f>IF(AND(ISNUMBER(Radar_Mosca!$F13),ISNUMBER(Radar_Mosca!$S13)),IF(AND(Radar_Mosca!$F13=CB$4,Radar_Mosca!$AA13=CB$3),Radar_Mosca!$S13,NA()),NA())</f>
        <v/>
      </c>
      <c r="CC13">
        <f>IF(AND(ISNUMBER(Radar_Mosca!$F13),ISNUMBER(Radar_Mosca!$S13)),IF(AND(Radar_Mosca!$F13=CC$4,Radar_Mosca!$AA13=CC$3),Radar_Mosca!$S13,NA()),NA())</f>
        <v/>
      </c>
      <c r="CD13">
        <f>IF(AND(ISNUMBER(Radar_Mosca!$F13),ISNUMBER(Radar_Mosca!$S13)),IF(AND(Radar_Mosca!$F13=CD$4,Radar_Mosca!$AA13=CD$3),Radar_Mosca!$S13,NA()),NA())</f>
        <v/>
      </c>
      <c r="CE13">
        <f>IF(AND(ISNUMBER(Radar_Mosca!$F13),ISNUMBER(Radar_Mosca!$S13)),IF(AND(Radar_Mosca!$F13=CE$4,Radar_Mosca!$AA13=CE$3),Radar_Mosca!$S13,NA()),NA())</f>
        <v/>
      </c>
      <c r="CF13">
        <f>IF(AND(ISNUMBER(Radar_Mosca!$F13),ISNUMBER(Radar_Mosca!$S13)),IF(AND(Radar_Mosca!$F13=CF$4,Radar_Mosca!$AA13=CF$3),Radar_Mosca!$S13,NA()),NA())</f>
        <v/>
      </c>
      <c r="CG13">
        <f>IF(AND(ISNUMBER(Radar_Mosca!$F13),ISNUMBER(Radar_Mosca!$S13)),IF(AND(Radar_Mosca!$F13=CG$4,Radar_Mosca!$AA13=CG$3),Radar_Mosca!$S13,NA()),NA())</f>
        <v/>
      </c>
      <c r="CH13">
        <f>IF(AND(ISNUMBER(Radar_Mosca!$F13),ISNUMBER(Radar_Mosca!$S13)),IF(AND(Radar_Mosca!$F13=CH$4,Radar_Mosca!$AA13=CH$3),Radar_Mosca!$S13,NA()),NA())</f>
        <v/>
      </c>
      <c r="CI13">
        <f>IF(AND(ISNUMBER(Radar_Mosca!$F13),ISNUMBER(Radar_Mosca!$S13)),IF(AND(Radar_Mosca!$F13=CI$4,Radar_Mosca!$AA13=CI$3),Radar_Mosca!$S13,NA()),NA())</f>
        <v/>
      </c>
      <c r="CJ13">
        <f>IF(AND(ISNUMBER(Radar_Mosca!$F13),ISNUMBER(Radar_Mosca!$S13)),IF(AND(Radar_Mosca!$F13=CJ$4,Radar_Mosca!$AA13=CJ$3),Radar_Mosca!$S13,NA()),NA())</f>
        <v/>
      </c>
      <c r="CK13">
        <f>IF(AND(ISNUMBER(Radar_Mosca!$F13),ISNUMBER(Radar_Mosca!$S13)),IF(AND(Radar_Mosca!$F13=CK$4,Radar_Mosca!$AA13=CK$3),Radar_Mosca!$S13,NA()),NA())</f>
        <v/>
      </c>
      <c r="CL13">
        <f>IF(AND(ISNUMBER(Radar_Mosca!$F13),ISNUMBER(Radar_Mosca!$S13)),IF(AND(Radar_Mosca!$F13=CL$4,Radar_Mosca!$AA13=CL$3),Radar_Mosca!$S13,NA()),NA())</f>
        <v/>
      </c>
      <c r="CM13">
        <f>IF(AND(ISNUMBER(Radar_Mosca!$F13),ISNUMBER(Radar_Mosca!$S13)),IF(AND(Radar_Mosca!$F13=CM$4,Radar_Mosca!$AA13=CM$3),Radar_Mosca!$S13,NA()),NA())</f>
        <v/>
      </c>
      <c r="CN13">
        <f>IF(AND(ISNUMBER(Radar_Mosca!$F13),ISNUMBER(Radar_Mosca!$S13)),IF(AND(Radar_Mosca!$F13=CN$4,Radar_Mosca!$AA13=CN$3),Radar_Mosca!$S13,NA()),NA())</f>
        <v/>
      </c>
      <c r="CO13">
        <f>IF(AND(ISNUMBER(Radar_Mosca!$F13),ISNUMBER(Radar_Mosca!$S13)),IF(AND(Radar_Mosca!$F13=CO$4,Radar_Mosca!$AA13=CO$3),Radar_Mosca!$S13,NA()),NA())</f>
        <v/>
      </c>
      <c r="CP13">
        <f>IF(AND(ISNUMBER(Radar_Mosca!$F13),ISNUMBER(Radar_Mosca!$S13)),IF(AND(Radar_Mosca!$F13=CP$4,Radar_Mosca!$AA13=CP$3),Radar_Mosca!$S13,NA()),NA())</f>
        <v/>
      </c>
      <c r="CQ13">
        <f>IF(AND(ISNUMBER(Radar_Mosca!$F13),ISNUMBER(Radar_Mosca!$S13)),IF(AND(Radar_Mosca!$F13=CQ$4,Radar_Mosca!$AA13=CQ$3),Radar_Mosca!$S13,NA()),NA())</f>
        <v/>
      </c>
      <c r="CR13">
        <f>IF(AND(ISNUMBER(Radar_Mosca!$F13),ISNUMBER(Radar_Mosca!$S13)),IF(AND(Radar_Mosca!$F13=CR$4,Radar_Mosca!$AA13=CR$3),Radar_Mosca!$S13,NA()),NA())</f>
        <v/>
      </c>
      <c r="CS13">
        <f>IF(AND(ISNUMBER(Radar_Mosca!$F13),ISNUMBER(Radar_Mosca!$S13)),IF(AND(Radar_Mosca!$F13=CS$4,Radar_Mosca!$AA13=CS$3),Radar_Mosca!$S13,NA()),NA())</f>
        <v/>
      </c>
      <c r="CT13">
        <f>IF(AND(ISNUMBER(Radar_Mosca!$F13),ISNUMBER(Radar_Mosca!$S13)),IF(AND(Radar_Mosca!$F13=CT$4,Radar_Mosca!$AA13=CT$3),Radar_Mosca!$S13,NA()),NA())</f>
        <v/>
      </c>
      <c r="CU13">
        <f>IF(AND(ISNUMBER(Radar_Mosca!$F13),ISNUMBER(Radar_Mosca!$S13)),IF(AND(Radar_Mosca!$F13=CU$4,Radar_Mosca!$AA13=CU$3),Radar_Mosca!$S13,NA()),NA())</f>
        <v/>
      </c>
      <c r="CV13">
        <f>IF(AND(ISNUMBER(Radar_Mosca!$F13),ISNUMBER(Radar_Mosca!$S13)),IF(AND(Radar_Mosca!$F13=CV$4,Radar_Mosca!$AA13=CV$3),Radar_Mosca!$S13,NA()),NA())</f>
        <v/>
      </c>
      <c r="CW13">
        <f>IF(AND(ISNUMBER(Radar_Mosca!$F13),ISNUMBER(Radar_Mosca!$S13)),IF(AND(Radar_Mosca!$F13=CW$4,Radar_Mosca!$AA13=CW$3),Radar_Mosca!$S13,NA()),NA())</f>
        <v/>
      </c>
      <c r="CX13">
        <f>IF(AND(ISNUMBER(Radar_Mosca!$F13),ISNUMBER(Radar_Mosca!$S13)),IF(AND(Radar_Mosca!$F13=CX$4,Radar_Mosca!$AA13=CX$3),Radar_Mosca!$S13,NA()),NA())</f>
        <v/>
      </c>
      <c r="CY13">
        <f>IF(AND(ISNUMBER(Radar_Mosca!$F13),ISNUMBER(Radar_Mosca!$S13)),IF(AND(Radar_Mosca!$F13=CY$4,Radar_Mosca!$AA13=CY$3),Radar_Mosca!$S13,NA()),NA())</f>
        <v/>
      </c>
      <c r="CZ13">
        <f>IF(AND(ISNUMBER(Radar_Mosca!$F13),ISNUMBER(Radar_Mosca!$S13)),IF(AND(Radar_Mosca!$F13=CZ$4,Radar_Mosca!$AA13=CZ$3),Radar_Mosca!$S13,NA()),NA())</f>
        <v/>
      </c>
      <c r="DA13">
        <f>IF(AND(ISNUMBER(Radar_Mosca!$F13),ISNUMBER(Radar_Mosca!$S13)),IF(AND(Radar_Mosca!$F13=DA$4,Radar_Mosca!$AA13=DA$3),Radar_Mosca!$S13,NA()),NA())</f>
        <v/>
      </c>
      <c r="DB13">
        <f>IF(AND(ISNUMBER(Radar_Mosca!$F13),ISNUMBER(Radar_Mosca!$S13)),IF(AND(Radar_Mosca!$F13=DB$4,Radar_Mosca!$AA13=DB$3),Radar_Mosca!$S13,NA()),NA())</f>
        <v/>
      </c>
      <c r="DC13">
        <f>IF(AND(ISNUMBER(Radar_Mosca!$F13),ISNUMBER(Radar_Mosca!$S13)),IF(AND(Radar_Mosca!$F13=DC$4,Radar_Mosca!$AA13=DC$3),Radar_Mosca!$S13,NA()),NA())</f>
        <v/>
      </c>
      <c r="DD13">
        <f>IF(AND(ISNUMBER(Radar_Mosca!$F13),ISNUMBER(Radar_Mosca!$S13)),IF(AND(Radar_Mosca!$F13=DD$4,Radar_Mosca!$AA13=DD$3),Radar_Mosca!$S13,NA()),NA())</f>
        <v/>
      </c>
      <c r="DE13">
        <f>IF(AND(ISNUMBER(Radar_Mosca!$F13),ISNUMBER(Radar_Mosca!$S13)),IF(AND(Radar_Mosca!$F13=DE$4,Radar_Mosca!$AA13=DE$3),Radar_Mosca!$S13,NA()),NA())</f>
        <v/>
      </c>
      <c r="DF13">
        <f>IF(AND(ISNUMBER(Radar_Mosca!$F13),ISNUMBER(Radar_Mosca!$S13)),IF(AND(Radar_Mosca!$F13=DF$4,Radar_Mosca!$AA13=DF$3),Radar_Mosca!$S13,NA()),NA())</f>
        <v/>
      </c>
      <c r="DG13">
        <f>IF(AND(ISNUMBER(Radar_Mosca!$F13),ISNUMBER(Radar_Mosca!$S13)),IF(AND(Radar_Mosca!$F13=DG$4,Radar_Mosca!$AA13=DG$3),Radar_Mosca!$S13,NA()),NA())</f>
        <v/>
      </c>
      <c r="DH13">
        <f>IF(AND(ISNUMBER(Radar_Mosca!$F13),ISNUMBER(Radar_Mosca!$S13)),IF(AND(Radar_Mosca!$F13=DH$4,Radar_Mosca!$AA13=DH$3),Radar_Mosca!$S13,NA()),NA())</f>
        <v/>
      </c>
      <c r="DI13">
        <f>IF(AND(ISNUMBER(Radar_Mosca!$F13),ISNUMBER(Radar_Mosca!$S13)),IF(AND(Radar_Mosca!$F13=DI$4,Radar_Mosca!$AA13=DI$3),Radar_Mosca!$S13,NA()),NA())</f>
        <v/>
      </c>
      <c r="DJ13">
        <f>IF(AND(ISNUMBER(Radar_Mosca!$F13),ISNUMBER(Radar_Mosca!$S13)),IF(AND(Radar_Mosca!$F13=DJ$4,Radar_Mosca!$AA13=DJ$3),Radar_Mosca!$S13,NA()),NA())</f>
        <v/>
      </c>
      <c r="DK13">
        <f>IF(AND(ISNUMBER(Radar_Mosca!$F13),ISNUMBER(Radar_Mosca!$S13)),IF(AND(Radar_Mosca!$F13=DK$4,Radar_Mosca!$AA13=DK$3),Radar_Mosca!$S13,NA()),NA())</f>
        <v/>
      </c>
      <c r="DL13">
        <f>IF(AND(ISNUMBER(Radar_Mosca!$F13),ISNUMBER(Radar_Mosca!$S13)),IF(AND(Radar_Mosca!$F13=DL$4,Radar_Mosca!$AA13=DL$3),Radar_Mosca!$S13,NA()),NA())</f>
        <v/>
      </c>
      <c r="DM13">
        <f>IF(AND(ISNUMBER(Radar_Mosca!$F13),ISNUMBER(Radar_Mosca!$S13)),IF(AND(Radar_Mosca!$F13=DM$4,Radar_Mosca!$AA13=DM$3),Radar_Mosca!$S13,NA()),NA())</f>
        <v/>
      </c>
      <c r="DN13">
        <f>IF(AND(ISNUMBER(Radar_Mosca!$F13),ISNUMBER(Radar_Mosca!$S13)),IF(AND(Radar_Mosca!$F13=DN$4,Radar_Mosca!$AA13=DN$3),Radar_Mosca!$S13,NA()),NA())</f>
        <v/>
      </c>
      <c r="DO13">
        <f>IF(ISNUMBER(Radar_Mosca!$R13),Radar_Mosca!$R13,NA())</f>
        <v/>
      </c>
      <c r="DP13">
        <f>IF(Radar_Mosca!$A13="","",MID(Radar_Mosca!$A13,5,3)&amp;IF(Radar_Mosca!$T13="Sì"," ◆",""))</f>
        <v/>
      </c>
      <c r="DQ13">
        <f>IF(ISNUMBER(Radar_Mosca!$S13),Radar_Mosca!$S13,NA())</f>
        <v/>
      </c>
      <c r="DR13" t="inlineStr">
        <is>
          <t>25</t>
        </is>
      </c>
      <c r="DS13" t="n">
        <v>6.5</v>
      </c>
      <c r="DT13" t="n">
        <v>-9.1</v>
      </c>
    </row>
    <row r="14" ht="25" customHeight="1">
      <c r="A14" s="34">
        <f>Classifica!$A$9</f>
        <v/>
      </c>
      <c r="B14" s="35">
        <f>IF(Classifica!$B$9="","",Classifica!$B$9&amp;"  "&amp;Classifica!$C$9&amp;IFERROR(IF(INDEX(ANA_Attenzione_Supervisore,Classifica!$U$9)="Sì","  ◆",""),""))</f>
        <v/>
      </c>
      <c r="C14" s="36" t="n"/>
      <c r="D14" s="36" t="n"/>
      <c r="E14" s="36" t="n"/>
      <c r="F14" s="37">
        <f>IF(Classifica!$B$9="","",Classifica!$D$9)</f>
        <v/>
      </c>
      <c r="G14" s="38">
        <f>IF(Classifica!$B$9="","",IF(ISNUMBER(Classifica!$F$9),Classifica!$F$9,"nuovo"))</f>
        <v/>
      </c>
      <c r="H14" s="39">
        <f>IF(Classifica!$B$9="","",IF(LEFT(Classifica!$H$9,9)="AGIRE ORA","AGIRE ORA",IF(LEFT(Classifica!$H$9,11)="Agire entro","Entro l'anno",Classifica!$H$9)))</f>
        <v/>
      </c>
      <c r="J14" s="40" t="n">
        <v>1</v>
      </c>
      <c r="K14" s="41">
        <f>SUBSTITUTE(SUBSTITUTE(Matrice!C9," ◆",""),"NFR-","")</f>
        <v/>
      </c>
      <c r="L14" s="41">
        <f>SUBSTITUTE(SUBSTITUTE(Matrice!D9," ◆",""),"NFR-","")</f>
        <v/>
      </c>
      <c r="M14" s="41">
        <f>SUBSTITUTE(SUBSTITUTE(Matrice!E9," ◆",""),"NFR-","")</f>
        <v/>
      </c>
      <c r="N14" s="41">
        <f>SUBSTITUTE(SUBSTITUTE(Matrice!F9," ◆",""),"NFR-","")</f>
        <v/>
      </c>
      <c r="O14" s="41">
        <f>SUBSTITUTE(SUBSTITUTE(Matrice!G9," ◆",""),"NFR-","")</f>
        <v/>
      </c>
      <c r="T14">
        <f>IF(Radar_Mosca!$AA$14="Attivazione",Radar_Mosca!$A$14,"")</f>
        <v/>
      </c>
      <c r="BH14">
        <f>2*PI()*9/72</f>
        <v/>
      </c>
      <c r="BI14">
        <f>2*SIN($BH14)</f>
        <v/>
      </c>
      <c r="BJ14">
        <f>2*COS($BH14)</f>
        <v/>
      </c>
      <c r="BK14">
        <f>3*SIN($BH14)</f>
        <v/>
      </c>
      <c r="BL14">
        <f>3*COS($BH14)</f>
        <v/>
      </c>
      <c r="BM14">
        <f>4*SIN($BH14)</f>
        <v/>
      </c>
      <c r="BN14">
        <f>4*COS($BH14)</f>
        <v/>
      </c>
      <c r="BO14">
        <f>5*SIN($BH14)</f>
        <v/>
      </c>
      <c r="BP14">
        <f>5*COS($BH14)</f>
        <v/>
      </c>
      <c r="BR14">
        <f>6.3*SIN(2*PI()*4/ROWS(codiciL1))</f>
        <v/>
      </c>
      <c r="BS14">
        <f>6.3*COS(2*PI()*4/ROWS(codiciL1))</f>
        <v/>
      </c>
      <c r="BY14">
        <f>IF(AND(ISNUMBER(Radar_Mosca!$F14),ISNUMBER(Radar_Mosca!$S14)),IF(AND(Radar_Mosca!$F14=BY$4,Radar_Mosca!$AA14=BY$3),Radar_Mosca!$S14,NA()),NA())</f>
        <v/>
      </c>
      <c r="BZ14">
        <f>IF(AND(ISNUMBER(Radar_Mosca!$F14),ISNUMBER(Radar_Mosca!$S14)),IF(AND(Radar_Mosca!$F14=BZ$4,Radar_Mosca!$AA14=BZ$3),Radar_Mosca!$S14,NA()),NA())</f>
        <v/>
      </c>
      <c r="CA14">
        <f>IF(AND(ISNUMBER(Radar_Mosca!$F14),ISNUMBER(Radar_Mosca!$S14)),IF(AND(Radar_Mosca!$F14=CA$4,Radar_Mosca!$AA14=CA$3),Radar_Mosca!$S14,NA()),NA())</f>
        <v/>
      </c>
      <c r="CB14">
        <f>IF(AND(ISNUMBER(Radar_Mosca!$F14),ISNUMBER(Radar_Mosca!$S14)),IF(AND(Radar_Mosca!$F14=CB$4,Radar_Mosca!$AA14=CB$3),Radar_Mosca!$S14,NA()),NA())</f>
        <v/>
      </c>
      <c r="CC14">
        <f>IF(AND(ISNUMBER(Radar_Mosca!$F14),ISNUMBER(Radar_Mosca!$S14)),IF(AND(Radar_Mosca!$F14=CC$4,Radar_Mosca!$AA14=CC$3),Radar_Mosca!$S14,NA()),NA())</f>
        <v/>
      </c>
      <c r="CD14">
        <f>IF(AND(ISNUMBER(Radar_Mosca!$F14),ISNUMBER(Radar_Mosca!$S14)),IF(AND(Radar_Mosca!$F14=CD$4,Radar_Mosca!$AA14=CD$3),Radar_Mosca!$S14,NA()),NA())</f>
        <v/>
      </c>
      <c r="CE14">
        <f>IF(AND(ISNUMBER(Radar_Mosca!$F14),ISNUMBER(Radar_Mosca!$S14)),IF(AND(Radar_Mosca!$F14=CE$4,Radar_Mosca!$AA14=CE$3),Radar_Mosca!$S14,NA()),NA())</f>
        <v/>
      </c>
      <c r="CF14">
        <f>IF(AND(ISNUMBER(Radar_Mosca!$F14),ISNUMBER(Radar_Mosca!$S14)),IF(AND(Radar_Mosca!$F14=CF$4,Radar_Mosca!$AA14=CF$3),Radar_Mosca!$S14,NA()),NA())</f>
        <v/>
      </c>
      <c r="CG14">
        <f>IF(AND(ISNUMBER(Radar_Mosca!$F14),ISNUMBER(Radar_Mosca!$S14)),IF(AND(Radar_Mosca!$F14=CG$4,Radar_Mosca!$AA14=CG$3),Radar_Mosca!$S14,NA()),NA())</f>
        <v/>
      </c>
      <c r="CH14">
        <f>IF(AND(ISNUMBER(Radar_Mosca!$F14),ISNUMBER(Radar_Mosca!$S14)),IF(AND(Radar_Mosca!$F14=CH$4,Radar_Mosca!$AA14=CH$3),Radar_Mosca!$S14,NA()),NA())</f>
        <v/>
      </c>
      <c r="CI14">
        <f>IF(AND(ISNUMBER(Radar_Mosca!$F14),ISNUMBER(Radar_Mosca!$S14)),IF(AND(Radar_Mosca!$F14=CI$4,Radar_Mosca!$AA14=CI$3),Radar_Mosca!$S14,NA()),NA())</f>
        <v/>
      </c>
      <c r="CJ14">
        <f>IF(AND(ISNUMBER(Radar_Mosca!$F14),ISNUMBER(Radar_Mosca!$S14)),IF(AND(Radar_Mosca!$F14=CJ$4,Radar_Mosca!$AA14=CJ$3),Radar_Mosca!$S14,NA()),NA())</f>
        <v/>
      </c>
      <c r="CK14">
        <f>IF(AND(ISNUMBER(Radar_Mosca!$F14),ISNUMBER(Radar_Mosca!$S14)),IF(AND(Radar_Mosca!$F14=CK$4,Radar_Mosca!$AA14=CK$3),Radar_Mosca!$S14,NA()),NA())</f>
        <v/>
      </c>
      <c r="CL14">
        <f>IF(AND(ISNUMBER(Radar_Mosca!$F14),ISNUMBER(Radar_Mosca!$S14)),IF(AND(Radar_Mosca!$F14=CL$4,Radar_Mosca!$AA14=CL$3),Radar_Mosca!$S14,NA()),NA())</f>
        <v/>
      </c>
      <c r="CM14">
        <f>IF(AND(ISNUMBER(Radar_Mosca!$F14),ISNUMBER(Radar_Mosca!$S14)),IF(AND(Radar_Mosca!$F14=CM$4,Radar_Mosca!$AA14=CM$3),Radar_Mosca!$S14,NA()),NA())</f>
        <v/>
      </c>
      <c r="CN14">
        <f>IF(AND(ISNUMBER(Radar_Mosca!$F14),ISNUMBER(Radar_Mosca!$S14)),IF(AND(Radar_Mosca!$F14=CN$4,Radar_Mosca!$AA14=CN$3),Radar_Mosca!$S14,NA()),NA())</f>
        <v/>
      </c>
      <c r="CO14">
        <f>IF(AND(ISNUMBER(Radar_Mosca!$F14),ISNUMBER(Radar_Mosca!$S14)),IF(AND(Radar_Mosca!$F14=CO$4,Radar_Mosca!$AA14=CO$3),Radar_Mosca!$S14,NA()),NA())</f>
        <v/>
      </c>
      <c r="CP14">
        <f>IF(AND(ISNUMBER(Radar_Mosca!$F14),ISNUMBER(Radar_Mosca!$S14)),IF(AND(Radar_Mosca!$F14=CP$4,Radar_Mosca!$AA14=CP$3),Radar_Mosca!$S14,NA()),NA())</f>
        <v/>
      </c>
      <c r="CQ14">
        <f>IF(AND(ISNUMBER(Radar_Mosca!$F14),ISNUMBER(Radar_Mosca!$S14)),IF(AND(Radar_Mosca!$F14=CQ$4,Radar_Mosca!$AA14=CQ$3),Radar_Mosca!$S14,NA()),NA())</f>
        <v/>
      </c>
      <c r="CR14">
        <f>IF(AND(ISNUMBER(Radar_Mosca!$F14),ISNUMBER(Radar_Mosca!$S14)),IF(AND(Radar_Mosca!$F14=CR$4,Radar_Mosca!$AA14=CR$3),Radar_Mosca!$S14,NA()),NA())</f>
        <v/>
      </c>
      <c r="CS14">
        <f>IF(AND(ISNUMBER(Radar_Mosca!$F14),ISNUMBER(Radar_Mosca!$S14)),IF(AND(Radar_Mosca!$F14=CS$4,Radar_Mosca!$AA14=CS$3),Radar_Mosca!$S14,NA()),NA())</f>
        <v/>
      </c>
      <c r="CT14">
        <f>IF(AND(ISNUMBER(Radar_Mosca!$F14),ISNUMBER(Radar_Mosca!$S14)),IF(AND(Radar_Mosca!$F14=CT$4,Radar_Mosca!$AA14=CT$3),Radar_Mosca!$S14,NA()),NA())</f>
        <v/>
      </c>
      <c r="CU14">
        <f>IF(AND(ISNUMBER(Radar_Mosca!$F14),ISNUMBER(Radar_Mosca!$S14)),IF(AND(Radar_Mosca!$F14=CU$4,Radar_Mosca!$AA14=CU$3),Radar_Mosca!$S14,NA()),NA())</f>
        <v/>
      </c>
      <c r="CV14">
        <f>IF(AND(ISNUMBER(Radar_Mosca!$F14),ISNUMBER(Radar_Mosca!$S14)),IF(AND(Radar_Mosca!$F14=CV$4,Radar_Mosca!$AA14=CV$3),Radar_Mosca!$S14,NA()),NA())</f>
        <v/>
      </c>
      <c r="CW14">
        <f>IF(AND(ISNUMBER(Radar_Mosca!$F14),ISNUMBER(Radar_Mosca!$S14)),IF(AND(Radar_Mosca!$F14=CW$4,Radar_Mosca!$AA14=CW$3),Radar_Mosca!$S14,NA()),NA())</f>
        <v/>
      </c>
      <c r="CX14">
        <f>IF(AND(ISNUMBER(Radar_Mosca!$F14),ISNUMBER(Radar_Mosca!$S14)),IF(AND(Radar_Mosca!$F14=CX$4,Radar_Mosca!$AA14=CX$3),Radar_Mosca!$S14,NA()),NA())</f>
        <v/>
      </c>
      <c r="CY14">
        <f>IF(AND(ISNUMBER(Radar_Mosca!$F14),ISNUMBER(Radar_Mosca!$S14)),IF(AND(Radar_Mosca!$F14=CY$4,Radar_Mosca!$AA14=CY$3),Radar_Mosca!$S14,NA()),NA())</f>
        <v/>
      </c>
      <c r="CZ14">
        <f>IF(AND(ISNUMBER(Radar_Mosca!$F14),ISNUMBER(Radar_Mosca!$S14)),IF(AND(Radar_Mosca!$F14=CZ$4,Radar_Mosca!$AA14=CZ$3),Radar_Mosca!$S14,NA()),NA())</f>
        <v/>
      </c>
      <c r="DA14">
        <f>IF(AND(ISNUMBER(Radar_Mosca!$F14),ISNUMBER(Radar_Mosca!$S14)),IF(AND(Radar_Mosca!$F14=DA$4,Radar_Mosca!$AA14=DA$3),Radar_Mosca!$S14,NA()),NA())</f>
        <v/>
      </c>
      <c r="DB14">
        <f>IF(AND(ISNUMBER(Radar_Mosca!$F14),ISNUMBER(Radar_Mosca!$S14)),IF(AND(Radar_Mosca!$F14=DB$4,Radar_Mosca!$AA14=DB$3),Radar_Mosca!$S14,NA()),NA())</f>
        <v/>
      </c>
      <c r="DC14">
        <f>IF(AND(ISNUMBER(Radar_Mosca!$F14),ISNUMBER(Radar_Mosca!$S14)),IF(AND(Radar_Mosca!$F14=DC$4,Radar_Mosca!$AA14=DC$3),Radar_Mosca!$S14,NA()),NA())</f>
        <v/>
      </c>
      <c r="DD14">
        <f>IF(AND(ISNUMBER(Radar_Mosca!$F14),ISNUMBER(Radar_Mosca!$S14)),IF(AND(Radar_Mosca!$F14=DD$4,Radar_Mosca!$AA14=DD$3),Radar_Mosca!$S14,NA()),NA())</f>
        <v/>
      </c>
      <c r="DE14">
        <f>IF(AND(ISNUMBER(Radar_Mosca!$F14),ISNUMBER(Radar_Mosca!$S14)),IF(AND(Radar_Mosca!$F14=DE$4,Radar_Mosca!$AA14=DE$3),Radar_Mosca!$S14,NA()),NA())</f>
        <v/>
      </c>
      <c r="DF14">
        <f>IF(AND(ISNUMBER(Radar_Mosca!$F14),ISNUMBER(Radar_Mosca!$S14)),IF(AND(Radar_Mosca!$F14=DF$4,Radar_Mosca!$AA14=DF$3),Radar_Mosca!$S14,NA()),NA())</f>
        <v/>
      </c>
      <c r="DG14">
        <f>IF(AND(ISNUMBER(Radar_Mosca!$F14),ISNUMBER(Radar_Mosca!$S14)),IF(AND(Radar_Mosca!$F14=DG$4,Radar_Mosca!$AA14=DG$3),Radar_Mosca!$S14,NA()),NA())</f>
        <v/>
      </c>
      <c r="DH14">
        <f>IF(AND(ISNUMBER(Radar_Mosca!$F14),ISNUMBER(Radar_Mosca!$S14)),IF(AND(Radar_Mosca!$F14=DH$4,Radar_Mosca!$AA14=DH$3),Radar_Mosca!$S14,NA()),NA())</f>
        <v/>
      </c>
      <c r="DI14">
        <f>IF(AND(ISNUMBER(Radar_Mosca!$F14),ISNUMBER(Radar_Mosca!$S14)),IF(AND(Radar_Mosca!$F14=DI$4,Radar_Mosca!$AA14=DI$3),Radar_Mosca!$S14,NA()),NA())</f>
        <v/>
      </c>
      <c r="DJ14">
        <f>IF(AND(ISNUMBER(Radar_Mosca!$F14),ISNUMBER(Radar_Mosca!$S14)),IF(AND(Radar_Mosca!$F14=DJ$4,Radar_Mosca!$AA14=DJ$3),Radar_Mosca!$S14,NA()),NA())</f>
        <v/>
      </c>
      <c r="DK14">
        <f>IF(AND(ISNUMBER(Radar_Mosca!$F14),ISNUMBER(Radar_Mosca!$S14)),IF(AND(Radar_Mosca!$F14=DK$4,Radar_Mosca!$AA14=DK$3),Radar_Mosca!$S14,NA()),NA())</f>
        <v/>
      </c>
      <c r="DL14">
        <f>IF(AND(ISNUMBER(Radar_Mosca!$F14),ISNUMBER(Radar_Mosca!$S14)),IF(AND(Radar_Mosca!$F14=DL$4,Radar_Mosca!$AA14=DL$3),Radar_Mosca!$S14,NA()),NA())</f>
        <v/>
      </c>
      <c r="DM14">
        <f>IF(AND(ISNUMBER(Radar_Mosca!$F14),ISNUMBER(Radar_Mosca!$S14)),IF(AND(Radar_Mosca!$F14=DM$4,Radar_Mosca!$AA14=DM$3),Radar_Mosca!$S14,NA()),NA())</f>
        <v/>
      </c>
      <c r="DN14">
        <f>IF(AND(ISNUMBER(Radar_Mosca!$F14),ISNUMBER(Radar_Mosca!$S14)),IF(AND(Radar_Mosca!$F14=DN$4,Radar_Mosca!$AA14=DN$3),Radar_Mosca!$S14,NA()),NA())</f>
        <v/>
      </c>
      <c r="DO14">
        <f>IF(ISNUMBER(Radar_Mosca!$R14),Radar_Mosca!$R14,NA())</f>
        <v/>
      </c>
      <c r="DP14">
        <f>IF(Radar_Mosca!$A14="","",MID(Radar_Mosca!$A14,5,3)&amp;IF(Radar_Mosca!$T14="Sì"," ◆",""))</f>
        <v/>
      </c>
      <c r="DQ14">
        <f>IF(ISNUMBER(Radar_Mosca!$S14),Radar_Mosca!$S14,NA())</f>
        <v/>
      </c>
    </row>
    <row r="15">
      <c r="A15" s="44" t="inlineStr">
        <is>
          <t>Score 1-5, 5 = peggiore; barra su scala fissa 0-5. Variazione sul ciclo precedente.</t>
        </is>
      </c>
      <c r="J15" s="44" t="inlineStr">
        <is>
          <t>Numeri = NFR-nn. Verde P x I fino a 6, ambra 8-12, rosso da 15.</t>
        </is>
      </c>
      <c r="T15">
        <f>IF(Radar_Mosca!$AA$15="Attivazione",Radar_Mosca!$A$15,"")</f>
        <v/>
      </c>
      <c r="BH15">
        <f>2*PI()*10/72</f>
        <v/>
      </c>
      <c r="BI15">
        <f>2*SIN($BH15)</f>
        <v/>
      </c>
      <c r="BJ15">
        <f>2*COS($BH15)</f>
        <v/>
      </c>
      <c r="BK15">
        <f>3*SIN($BH15)</f>
        <v/>
      </c>
      <c r="BL15">
        <f>3*COS($BH15)</f>
        <v/>
      </c>
      <c r="BM15">
        <f>4*SIN($BH15)</f>
        <v/>
      </c>
      <c r="BN15">
        <f>4*COS($BH15)</f>
        <v/>
      </c>
      <c r="BO15">
        <f>5*SIN($BH15)</f>
        <v/>
      </c>
      <c r="BP15">
        <f>5*COS($BH15)</f>
        <v/>
      </c>
      <c r="BR15" t="n">
        <v>0</v>
      </c>
      <c r="BS15" t="n">
        <v>0</v>
      </c>
      <c r="BY15">
        <f>IF(AND(ISNUMBER(Radar_Mosca!$F15),ISNUMBER(Radar_Mosca!$S15)),IF(AND(Radar_Mosca!$F15=BY$4,Radar_Mosca!$AA15=BY$3),Radar_Mosca!$S15,NA()),NA())</f>
        <v/>
      </c>
      <c r="BZ15">
        <f>IF(AND(ISNUMBER(Radar_Mosca!$F15),ISNUMBER(Radar_Mosca!$S15)),IF(AND(Radar_Mosca!$F15=BZ$4,Radar_Mosca!$AA15=BZ$3),Radar_Mosca!$S15,NA()),NA())</f>
        <v/>
      </c>
      <c r="CA15">
        <f>IF(AND(ISNUMBER(Radar_Mosca!$F15),ISNUMBER(Radar_Mosca!$S15)),IF(AND(Radar_Mosca!$F15=CA$4,Radar_Mosca!$AA15=CA$3),Radar_Mosca!$S15,NA()),NA())</f>
        <v/>
      </c>
      <c r="CB15">
        <f>IF(AND(ISNUMBER(Radar_Mosca!$F15),ISNUMBER(Radar_Mosca!$S15)),IF(AND(Radar_Mosca!$F15=CB$4,Radar_Mosca!$AA15=CB$3),Radar_Mosca!$S15,NA()),NA())</f>
        <v/>
      </c>
      <c r="CC15">
        <f>IF(AND(ISNUMBER(Radar_Mosca!$F15),ISNUMBER(Radar_Mosca!$S15)),IF(AND(Radar_Mosca!$F15=CC$4,Radar_Mosca!$AA15=CC$3),Radar_Mosca!$S15,NA()),NA())</f>
        <v/>
      </c>
      <c r="CD15">
        <f>IF(AND(ISNUMBER(Radar_Mosca!$F15),ISNUMBER(Radar_Mosca!$S15)),IF(AND(Radar_Mosca!$F15=CD$4,Radar_Mosca!$AA15=CD$3),Radar_Mosca!$S15,NA()),NA())</f>
        <v/>
      </c>
      <c r="CE15">
        <f>IF(AND(ISNUMBER(Radar_Mosca!$F15),ISNUMBER(Radar_Mosca!$S15)),IF(AND(Radar_Mosca!$F15=CE$4,Radar_Mosca!$AA15=CE$3),Radar_Mosca!$S15,NA()),NA())</f>
        <v/>
      </c>
      <c r="CF15">
        <f>IF(AND(ISNUMBER(Radar_Mosca!$F15),ISNUMBER(Radar_Mosca!$S15)),IF(AND(Radar_Mosca!$F15=CF$4,Radar_Mosca!$AA15=CF$3),Radar_Mosca!$S15,NA()),NA())</f>
        <v/>
      </c>
      <c r="CG15">
        <f>IF(AND(ISNUMBER(Radar_Mosca!$F15),ISNUMBER(Radar_Mosca!$S15)),IF(AND(Radar_Mosca!$F15=CG$4,Radar_Mosca!$AA15=CG$3),Radar_Mosca!$S15,NA()),NA())</f>
        <v/>
      </c>
      <c r="CH15">
        <f>IF(AND(ISNUMBER(Radar_Mosca!$F15),ISNUMBER(Radar_Mosca!$S15)),IF(AND(Radar_Mosca!$F15=CH$4,Radar_Mosca!$AA15=CH$3),Radar_Mosca!$S15,NA()),NA())</f>
        <v/>
      </c>
      <c r="CI15">
        <f>IF(AND(ISNUMBER(Radar_Mosca!$F15),ISNUMBER(Radar_Mosca!$S15)),IF(AND(Radar_Mosca!$F15=CI$4,Radar_Mosca!$AA15=CI$3),Radar_Mosca!$S15,NA()),NA())</f>
        <v/>
      </c>
      <c r="CJ15">
        <f>IF(AND(ISNUMBER(Radar_Mosca!$F15),ISNUMBER(Radar_Mosca!$S15)),IF(AND(Radar_Mosca!$F15=CJ$4,Radar_Mosca!$AA15=CJ$3),Radar_Mosca!$S15,NA()),NA())</f>
        <v/>
      </c>
      <c r="CK15">
        <f>IF(AND(ISNUMBER(Radar_Mosca!$F15),ISNUMBER(Radar_Mosca!$S15)),IF(AND(Radar_Mosca!$F15=CK$4,Radar_Mosca!$AA15=CK$3),Radar_Mosca!$S15,NA()),NA())</f>
        <v/>
      </c>
      <c r="CL15">
        <f>IF(AND(ISNUMBER(Radar_Mosca!$F15),ISNUMBER(Radar_Mosca!$S15)),IF(AND(Radar_Mosca!$F15=CL$4,Radar_Mosca!$AA15=CL$3),Radar_Mosca!$S15,NA()),NA())</f>
        <v/>
      </c>
      <c r="CM15">
        <f>IF(AND(ISNUMBER(Radar_Mosca!$F15),ISNUMBER(Radar_Mosca!$S15)),IF(AND(Radar_Mosca!$F15=CM$4,Radar_Mosca!$AA15=CM$3),Radar_Mosca!$S15,NA()),NA())</f>
        <v/>
      </c>
      <c r="CN15">
        <f>IF(AND(ISNUMBER(Radar_Mosca!$F15),ISNUMBER(Radar_Mosca!$S15)),IF(AND(Radar_Mosca!$F15=CN$4,Radar_Mosca!$AA15=CN$3),Radar_Mosca!$S15,NA()),NA())</f>
        <v/>
      </c>
      <c r="CO15">
        <f>IF(AND(ISNUMBER(Radar_Mosca!$F15),ISNUMBER(Radar_Mosca!$S15)),IF(AND(Radar_Mosca!$F15=CO$4,Radar_Mosca!$AA15=CO$3),Radar_Mosca!$S15,NA()),NA())</f>
        <v/>
      </c>
      <c r="CP15">
        <f>IF(AND(ISNUMBER(Radar_Mosca!$F15),ISNUMBER(Radar_Mosca!$S15)),IF(AND(Radar_Mosca!$F15=CP$4,Radar_Mosca!$AA15=CP$3),Radar_Mosca!$S15,NA()),NA())</f>
        <v/>
      </c>
      <c r="CQ15">
        <f>IF(AND(ISNUMBER(Radar_Mosca!$F15),ISNUMBER(Radar_Mosca!$S15)),IF(AND(Radar_Mosca!$F15=CQ$4,Radar_Mosca!$AA15=CQ$3),Radar_Mosca!$S15,NA()),NA())</f>
        <v/>
      </c>
      <c r="CR15">
        <f>IF(AND(ISNUMBER(Radar_Mosca!$F15),ISNUMBER(Radar_Mosca!$S15)),IF(AND(Radar_Mosca!$F15=CR$4,Radar_Mosca!$AA15=CR$3),Radar_Mosca!$S15,NA()),NA())</f>
        <v/>
      </c>
      <c r="CS15">
        <f>IF(AND(ISNUMBER(Radar_Mosca!$F15),ISNUMBER(Radar_Mosca!$S15)),IF(AND(Radar_Mosca!$F15=CS$4,Radar_Mosca!$AA15=CS$3),Radar_Mosca!$S15,NA()),NA())</f>
        <v/>
      </c>
      <c r="CT15">
        <f>IF(AND(ISNUMBER(Radar_Mosca!$F15),ISNUMBER(Radar_Mosca!$S15)),IF(AND(Radar_Mosca!$F15=CT$4,Radar_Mosca!$AA15=CT$3),Radar_Mosca!$S15,NA()),NA())</f>
        <v/>
      </c>
      <c r="CU15">
        <f>IF(AND(ISNUMBER(Radar_Mosca!$F15),ISNUMBER(Radar_Mosca!$S15)),IF(AND(Radar_Mosca!$F15=CU$4,Radar_Mosca!$AA15=CU$3),Radar_Mosca!$S15,NA()),NA())</f>
        <v/>
      </c>
      <c r="CV15">
        <f>IF(AND(ISNUMBER(Radar_Mosca!$F15),ISNUMBER(Radar_Mosca!$S15)),IF(AND(Radar_Mosca!$F15=CV$4,Radar_Mosca!$AA15=CV$3),Radar_Mosca!$S15,NA()),NA())</f>
        <v/>
      </c>
      <c r="CW15">
        <f>IF(AND(ISNUMBER(Radar_Mosca!$F15),ISNUMBER(Radar_Mosca!$S15)),IF(AND(Radar_Mosca!$F15=CW$4,Radar_Mosca!$AA15=CW$3),Radar_Mosca!$S15,NA()),NA())</f>
        <v/>
      </c>
      <c r="CX15">
        <f>IF(AND(ISNUMBER(Radar_Mosca!$F15),ISNUMBER(Radar_Mosca!$S15)),IF(AND(Radar_Mosca!$F15=CX$4,Radar_Mosca!$AA15=CX$3),Radar_Mosca!$S15,NA()),NA())</f>
        <v/>
      </c>
      <c r="CY15">
        <f>IF(AND(ISNUMBER(Radar_Mosca!$F15),ISNUMBER(Radar_Mosca!$S15)),IF(AND(Radar_Mosca!$F15=CY$4,Radar_Mosca!$AA15=CY$3),Radar_Mosca!$S15,NA()),NA())</f>
        <v/>
      </c>
      <c r="CZ15">
        <f>IF(AND(ISNUMBER(Radar_Mosca!$F15),ISNUMBER(Radar_Mosca!$S15)),IF(AND(Radar_Mosca!$F15=CZ$4,Radar_Mosca!$AA15=CZ$3),Radar_Mosca!$S15,NA()),NA())</f>
        <v/>
      </c>
      <c r="DA15">
        <f>IF(AND(ISNUMBER(Radar_Mosca!$F15),ISNUMBER(Radar_Mosca!$S15)),IF(AND(Radar_Mosca!$F15=DA$4,Radar_Mosca!$AA15=DA$3),Radar_Mosca!$S15,NA()),NA())</f>
        <v/>
      </c>
      <c r="DB15">
        <f>IF(AND(ISNUMBER(Radar_Mosca!$F15),ISNUMBER(Radar_Mosca!$S15)),IF(AND(Radar_Mosca!$F15=DB$4,Radar_Mosca!$AA15=DB$3),Radar_Mosca!$S15,NA()),NA())</f>
        <v/>
      </c>
      <c r="DC15">
        <f>IF(AND(ISNUMBER(Radar_Mosca!$F15),ISNUMBER(Radar_Mosca!$S15)),IF(AND(Radar_Mosca!$F15=DC$4,Radar_Mosca!$AA15=DC$3),Radar_Mosca!$S15,NA()),NA())</f>
        <v/>
      </c>
      <c r="DD15">
        <f>IF(AND(ISNUMBER(Radar_Mosca!$F15),ISNUMBER(Radar_Mosca!$S15)),IF(AND(Radar_Mosca!$F15=DD$4,Radar_Mosca!$AA15=DD$3),Radar_Mosca!$S15,NA()),NA())</f>
        <v/>
      </c>
      <c r="DE15">
        <f>IF(AND(ISNUMBER(Radar_Mosca!$F15),ISNUMBER(Radar_Mosca!$S15)),IF(AND(Radar_Mosca!$F15=DE$4,Radar_Mosca!$AA15=DE$3),Radar_Mosca!$S15,NA()),NA())</f>
        <v/>
      </c>
      <c r="DF15">
        <f>IF(AND(ISNUMBER(Radar_Mosca!$F15),ISNUMBER(Radar_Mosca!$S15)),IF(AND(Radar_Mosca!$F15=DF$4,Radar_Mosca!$AA15=DF$3),Radar_Mosca!$S15,NA()),NA())</f>
        <v/>
      </c>
      <c r="DG15">
        <f>IF(AND(ISNUMBER(Radar_Mosca!$F15),ISNUMBER(Radar_Mosca!$S15)),IF(AND(Radar_Mosca!$F15=DG$4,Radar_Mosca!$AA15=DG$3),Radar_Mosca!$S15,NA()),NA())</f>
        <v/>
      </c>
      <c r="DH15">
        <f>IF(AND(ISNUMBER(Radar_Mosca!$F15),ISNUMBER(Radar_Mosca!$S15)),IF(AND(Radar_Mosca!$F15=DH$4,Radar_Mosca!$AA15=DH$3),Radar_Mosca!$S15,NA()),NA())</f>
        <v/>
      </c>
      <c r="DI15">
        <f>IF(AND(ISNUMBER(Radar_Mosca!$F15),ISNUMBER(Radar_Mosca!$S15)),IF(AND(Radar_Mosca!$F15=DI$4,Radar_Mosca!$AA15=DI$3),Radar_Mosca!$S15,NA()),NA())</f>
        <v/>
      </c>
      <c r="DJ15">
        <f>IF(AND(ISNUMBER(Radar_Mosca!$F15),ISNUMBER(Radar_Mosca!$S15)),IF(AND(Radar_Mosca!$F15=DJ$4,Radar_Mosca!$AA15=DJ$3),Radar_Mosca!$S15,NA()),NA())</f>
        <v/>
      </c>
      <c r="DK15">
        <f>IF(AND(ISNUMBER(Radar_Mosca!$F15),ISNUMBER(Radar_Mosca!$S15)),IF(AND(Radar_Mosca!$F15=DK$4,Radar_Mosca!$AA15=DK$3),Radar_Mosca!$S15,NA()),NA())</f>
        <v/>
      </c>
      <c r="DL15">
        <f>IF(AND(ISNUMBER(Radar_Mosca!$F15),ISNUMBER(Radar_Mosca!$S15)),IF(AND(Radar_Mosca!$F15=DL$4,Radar_Mosca!$AA15=DL$3),Radar_Mosca!$S15,NA()),NA())</f>
        <v/>
      </c>
      <c r="DM15">
        <f>IF(AND(ISNUMBER(Radar_Mosca!$F15),ISNUMBER(Radar_Mosca!$S15)),IF(AND(Radar_Mosca!$F15=DM$4,Radar_Mosca!$AA15=DM$3),Radar_Mosca!$S15,NA()),NA())</f>
        <v/>
      </c>
      <c r="DN15">
        <f>IF(AND(ISNUMBER(Radar_Mosca!$F15),ISNUMBER(Radar_Mosca!$S15)),IF(AND(Radar_Mosca!$F15=DN$4,Radar_Mosca!$AA15=DN$3),Radar_Mosca!$S15,NA()),NA())</f>
        <v/>
      </c>
      <c r="DO15">
        <f>IF(ISNUMBER(Radar_Mosca!$R15),Radar_Mosca!$R15,NA())</f>
        <v/>
      </c>
      <c r="DP15">
        <f>IF(Radar_Mosca!$A15="","",MID(Radar_Mosca!$A15,5,3)&amp;IF(Radar_Mosca!$T15="Sì"," ◆",""))</f>
        <v/>
      </c>
      <c r="DQ15">
        <f>IF(ISNUMBER(Radar_Mosca!$S15),Radar_Mosca!$S15,NA())</f>
        <v/>
      </c>
    </row>
    <row r="16" ht="34" customHeight="1">
      <c r="A16" s="45" t="inlineStr">
        <is>
          <t>Note dell'analista</t>
        </is>
      </c>
      <c r="C16" s="46" t="n"/>
      <c r="D16" s="47" t="n"/>
      <c r="E16" s="47" t="n"/>
      <c r="F16" s="47" t="n"/>
      <c r="G16" s="47" t="n"/>
      <c r="H16" s="47" t="n"/>
      <c r="I16" s="47" t="n"/>
      <c r="J16" s="47" t="n"/>
      <c r="K16" s="47" t="n"/>
      <c r="L16" s="47" t="n"/>
      <c r="M16" s="47" t="n"/>
      <c r="N16" s="47" t="n"/>
      <c r="O16" s="47" t="n"/>
      <c r="T16">
        <f>IF(Radar_Mosca!$AA$16="Attivazione",Radar_Mosca!$A$16,"")</f>
        <v/>
      </c>
      <c r="BH16">
        <f>2*PI()*11/72</f>
        <v/>
      </c>
      <c r="BI16">
        <f>2*SIN($BH16)</f>
        <v/>
      </c>
      <c r="BJ16">
        <f>2*COS($BH16)</f>
        <v/>
      </c>
      <c r="BK16">
        <f>3*SIN($BH16)</f>
        <v/>
      </c>
      <c r="BL16">
        <f>3*COS($BH16)</f>
        <v/>
      </c>
      <c r="BM16">
        <f>4*SIN($BH16)</f>
        <v/>
      </c>
      <c r="BN16">
        <f>4*COS($BH16)</f>
        <v/>
      </c>
      <c r="BO16">
        <f>5*SIN($BH16)</f>
        <v/>
      </c>
      <c r="BP16">
        <f>5*COS($BH16)</f>
        <v/>
      </c>
      <c r="BR16">
        <f>6.3*SIN(2*PI()*5/ROWS(codiciL1))</f>
        <v/>
      </c>
      <c r="BS16">
        <f>6.3*COS(2*PI()*5/ROWS(codiciL1))</f>
        <v/>
      </c>
      <c r="BY16">
        <f>IF(AND(ISNUMBER(Radar_Mosca!$F16),ISNUMBER(Radar_Mosca!$S16)),IF(AND(Radar_Mosca!$F16=BY$4,Radar_Mosca!$AA16=BY$3),Radar_Mosca!$S16,NA()),NA())</f>
        <v/>
      </c>
      <c r="BZ16">
        <f>IF(AND(ISNUMBER(Radar_Mosca!$F16),ISNUMBER(Radar_Mosca!$S16)),IF(AND(Radar_Mosca!$F16=BZ$4,Radar_Mosca!$AA16=BZ$3),Radar_Mosca!$S16,NA()),NA())</f>
        <v/>
      </c>
      <c r="CA16">
        <f>IF(AND(ISNUMBER(Radar_Mosca!$F16),ISNUMBER(Radar_Mosca!$S16)),IF(AND(Radar_Mosca!$F16=CA$4,Radar_Mosca!$AA16=CA$3),Radar_Mosca!$S16,NA()),NA())</f>
        <v/>
      </c>
      <c r="CB16">
        <f>IF(AND(ISNUMBER(Radar_Mosca!$F16),ISNUMBER(Radar_Mosca!$S16)),IF(AND(Radar_Mosca!$F16=CB$4,Radar_Mosca!$AA16=CB$3),Radar_Mosca!$S16,NA()),NA())</f>
        <v/>
      </c>
      <c r="CC16">
        <f>IF(AND(ISNUMBER(Radar_Mosca!$F16),ISNUMBER(Radar_Mosca!$S16)),IF(AND(Radar_Mosca!$F16=CC$4,Radar_Mosca!$AA16=CC$3),Radar_Mosca!$S16,NA()),NA())</f>
        <v/>
      </c>
      <c r="CD16">
        <f>IF(AND(ISNUMBER(Radar_Mosca!$F16),ISNUMBER(Radar_Mosca!$S16)),IF(AND(Radar_Mosca!$F16=CD$4,Radar_Mosca!$AA16=CD$3),Radar_Mosca!$S16,NA()),NA())</f>
        <v/>
      </c>
      <c r="CE16">
        <f>IF(AND(ISNUMBER(Radar_Mosca!$F16),ISNUMBER(Radar_Mosca!$S16)),IF(AND(Radar_Mosca!$F16=CE$4,Radar_Mosca!$AA16=CE$3),Radar_Mosca!$S16,NA()),NA())</f>
        <v/>
      </c>
      <c r="CF16">
        <f>IF(AND(ISNUMBER(Radar_Mosca!$F16),ISNUMBER(Radar_Mosca!$S16)),IF(AND(Radar_Mosca!$F16=CF$4,Radar_Mosca!$AA16=CF$3),Radar_Mosca!$S16,NA()),NA())</f>
        <v/>
      </c>
      <c r="CG16">
        <f>IF(AND(ISNUMBER(Radar_Mosca!$F16),ISNUMBER(Radar_Mosca!$S16)),IF(AND(Radar_Mosca!$F16=CG$4,Radar_Mosca!$AA16=CG$3),Radar_Mosca!$S16,NA()),NA())</f>
        <v/>
      </c>
      <c r="CH16">
        <f>IF(AND(ISNUMBER(Radar_Mosca!$F16),ISNUMBER(Radar_Mosca!$S16)),IF(AND(Radar_Mosca!$F16=CH$4,Radar_Mosca!$AA16=CH$3),Radar_Mosca!$S16,NA()),NA())</f>
        <v/>
      </c>
      <c r="CI16">
        <f>IF(AND(ISNUMBER(Radar_Mosca!$F16),ISNUMBER(Radar_Mosca!$S16)),IF(AND(Radar_Mosca!$F16=CI$4,Radar_Mosca!$AA16=CI$3),Radar_Mosca!$S16,NA()),NA())</f>
        <v/>
      </c>
      <c r="CJ16">
        <f>IF(AND(ISNUMBER(Radar_Mosca!$F16),ISNUMBER(Radar_Mosca!$S16)),IF(AND(Radar_Mosca!$F16=CJ$4,Radar_Mosca!$AA16=CJ$3),Radar_Mosca!$S16,NA()),NA())</f>
        <v/>
      </c>
      <c r="CK16">
        <f>IF(AND(ISNUMBER(Radar_Mosca!$F16),ISNUMBER(Radar_Mosca!$S16)),IF(AND(Radar_Mosca!$F16=CK$4,Radar_Mosca!$AA16=CK$3),Radar_Mosca!$S16,NA()),NA())</f>
        <v/>
      </c>
      <c r="CL16">
        <f>IF(AND(ISNUMBER(Radar_Mosca!$F16),ISNUMBER(Radar_Mosca!$S16)),IF(AND(Radar_Mosca!$F16=CL$4,Radar_Mosca!$AA16=CL$3),Radar_Mosca!$S16,NA()),NA())</f>
        <v/>
      </c>
      <c r="CM16">
        <f>IF(AND(ISNUMBER(Radar_Mosca!$F16),ISNUMBER(Radar_Mosca!$S16)),IF(AND(Radar_Mosca!$F16=CM$4,Radar_Mosca!$AA16=CM$3),Radar_Mosca!$S16,NA()),NA())</f>
        <v/>
      </c>
      <c r="CN16">
        <f>IF(AND(ISNUMBER(Radar_Mosca!$F16),ISNUMBER(Radar_Mosca!$S16)),IF(AND(Radar_Mosca!$F16=CN$4,Radar_Mosca!$AA16=CN$3),Radar_Mosca!$S16,NA()),NA())</f>
        <v/>
      </c>
      <c r="CO16">
        <f>IF(AND(ISNUMBER(Radar_Mosca!$F16),ISNUMBER(Radar_Mosca!$S16)),IF(AND(Radar_Mosca!$F16=CO$4,Radar_Mosca!$AA16=CO$3),Radar_Mosca!$S16,NA()),NA())</f>
        <v/>
      </c>
      <c r="CP16">
        <f>IF(AND(ISNUMBER(Radar_Mosca!$F16),ISNUMBER(Radar_Mosca!$S16)),IF(AND(Radar_Mosca!$F16=CP$4,Radar_Mosca!$AA16=CP$3),Radar_Mosca!$S16,NA()),NA())</f>
        <v/>
      </c>
      <c r="CQ16">
        <f>IF(AND(ISNUMBER(Radar_Mosca!$F16),ISNUMBER(Radar_Mosca!$S16)),IF(AND(Radar_Mosca!$F16=CQ$4,Radar_Mosca!$AA16=CQ$3),Radar_Mosca!$S16,NA()),NA())</f>
        <v/>
      </c>
      <c r="CR16">
        <f>IF(AND(ISNUMBER(Radar_Mosca!$F16),ISNUMBER(Radar_Mosca!$S16)),IF(AND(Radar_Mosca!$F16=CR$4,Radar_Mosca!$AA16=CR$3),Radar_Mosca!$S16,NA()),NA())</f>
        <v/>
      </c>
      <c r="CS16">
        <f>IF(AND(ISNUMBER(Radar_Mosca!$F16),ISNUMBER(Radar_Mosca!$S16)),IF(AND(Radar_Mosca!$F16=CS$4,Radar_Mosca!$AA16=CS$3),Radar_Mosca!$S16,NA()),NA())</f>
        <v/>
      </c>
      <c r="CT16">
        <f>IF(AND(ISNUMBER(Radar_Mosca!$F16),ISNUMBER(Radar_Mosca!$S16)),IF(AND(Radar_Mosca!$F16=CT$4,Radar_Mosca!$AA16=CT$3),Radar_Mosca!$S16,NA()),NA())</f>
        <v/>
      </c>
      <c r="CU16">
        <f>IF(AND(ISNUMBER(Radar_Mosca!$F16),ISNUMBER(Radar_Mosca!$S16)),IF(AND(Radar_Mosca!$F16=CU$4,Radar_Mosca!$AA16=CU$3),Radar_Mosca!$S16,NA()),NA())</f>
        <v/>
      </c>
      <c r="CV16">
        <f>IF(AND(ISNUMBER(Radar_Mosca!$F16),ISNUMBER(Radar_Mosca!$S16)),IF(AND(Radar_Mosca!$F16=CV$4,Radar_Mosca!$AA16=CV$3),Radar_Mosca!$S16,NA()),NA())</f>
        <v/>
      </c>
      <c r="CW16">
        <f>IF(AND(ISNUMBER(Radar_Mosca!$F16),ISNUMBER(Radar_Mosca!$S16)),IF(AND(Radar_Mosca!$F16=CW$4,Radar_Mosca!$AA16=CW$3),Radar_Mosca!$S16,NA()),NA())</f>
        <v/>
      </c>
      <c r="CX16">
        <f>IF(AND(ISNUMBER(Radar_Mosca!$F16),ISNUMBER(Radar_Mosca!$S16)),IF(AND(Radar_Mosca!$F16=CX$4,Radar_Mosca!$AA16=CX$3),Radar_Mosca!$S16,NA()),NA())</f>
        <v/>
      </c>
      <c r="CY16">
        <f>IF(AND(ISNUMBER(Radar_Mosca!$F16),ISNUMBER(Radar_Mosca!$S16)),IF(AND(Radar_Mosca!$F16=CY$4,Radar_Mosca!$AA16=CY$3),Radar_Mosca!$S16,NA()),NA())</f>
        <v/>
      </c>
      <c r="CZ16">
        <f>IF(AND(ISNUMBER(Radar_Mosca!$F16),ISNUMBER(Radar_Mosca!$S16)),IF(AND(Radar_Mosca!$F16=CZ$4,Radar_Mosca!$AA16=CZ$3),Radar_Mosca!$S16,NA()),NA())</f>
        <v/>
      </c>
      <c r="DA16">
        <f>IF(AND(ISNUMBER(Radar_Mosca!$F16),ISNUMBER(Radar_Mosca!$S16)),IF(AND(Radar_Mosca!$F16=DA$4,Radar_Mosca!$AA16=DA$3),Radar_Mosca!$S16,NA()),NA())</f>
        <v/>
      </c>
      <c r="DB16">
        <f>IF(AND(ISNUMBER(Radar_Mosca!$F16),ISNUMBER(Radar_Mosca!$S16)),IF(AND(Radar_Mosca!$F16=DB$4,Radar_Mosca!$AA16=DB$3),Radar_Mosca!$S16,NA()),NA())</f>
        <v/>
      </c>
      <c r="DC16">
        <f>IF(AND(ISNUMBER(Radar_Mosca!$F16),ISNUMBER(Radar_Mosca!$S16)),IF(AND(Radar_Mosca!$F16=DC$4,Radar_Mosca!$AA16=DC$3),Radar_Mosca!$S16,NA()),NA())</f>
        <v/>
      </c>
      <c r="DD16">
        <f>IF(AND(ISNUMBER(Radar_Mosca!$F16),ISNUMBER(Radar_Mosca!$S16)),IF(AND(Radar_Mosca!$F16=DD$4,Radar_Mosca!$AA16=DD$3),Radar_Mosca!$S16,NA()),NA())</f>
        <v/>
      </c>
      <c r="DE16">
        <f>IF(AND(ISNUMBER(Radar_Mosca!$F16),ISNUMBER(Radar_Mosca!$S16)),IF(AND(Radar_Mosca!$F16=DE$4,Radar_Mosca!$AA16=DE$3),Radar_Mosca!$S16,NA()),NA())</f>
        <v/>
      </c>
      <c r="DF16">
        <f>IF(AND(ISNUMBER(Radar_Mosca!$F16),ISNUMBER(Radar_Mosca!$S16)),IF(AND(Radar_Mosca!$F16=DF$4,Radar_Mosca!$AA16=DF$3),Radar_Mosca!$S16,NA()),NA())</f>
        <v/>
      </c>
      <c r="DG16">
        <f>IF(AND(ISNUMBER(Radar_Mosca!$F16),ISNUMBER(Radar_Mosca!$S16)),IF(AND(Radar_Mosca!$F16=DG$4,Radar_Mosca!$AA16=DG$3),Radar_Mosca!$S16,NA()),NA())</f>
        <v/>
      </c>
      <c r="DH16">
        <f>IF(AND(ISNUMBER(Radar_Mosca!$F16),ISNUMBER(Radar_Mosca!$S16)),IF(AND(Radar_Mosca!$F16=DH$4,Radar_Mosca!$AA16=DH$3),Radar_Mosca!$S16,NA()),NA())</f>
        <v/>
      </c>
      <c r="DI16">
        <f>IF(AND(ISNUMBER(Radar_Mosca!$F16),ISNUMBER(Radar_Mosca!$S16)),IF(AND(Radar_Mosca!$F16=DI$4,Radar_Mosca!$AA16=DI$3),Radar_Mosca!$S16,NA()),NA())</f>
        <v/>
      </c>
      <c r="DJ16">
        <f>IF(AND(ISNUMBER(Radar_Mosca!$F16),ISNUMBER(Radar_Mosca!$S16)),IF(AND(Radar_Mosca!$F16=DJ$4,Radar_Mosca!$AA16=DJ$3),Radar_Mosca!$S16,NA()),NA())</f>
        <v/>
      </c>
      <c r="DK16">
        <f>IF(AND(ISNUMBER(Radar_Mosca!$F16),ISNUMBER(Radar_Mosca!$S16)),IF(AND(Radar_Mosca!$F16=DK$4,Radar_Mosca!$AA16=DK$3),Radar_Mosca!$S16,NA()),NA())</f>
        <v/>
      </c>
      <c r="DL16">
        <f>IF(AND(ISNUMBER(Radar_Mosca!$F16),ISNUMBER(Radar_Mosca!$S16)),IF(AND(Radar_Mosca!$F16=DL$4,Radar_Mosca!$AA16=DL$3),Radar_Mosca!$S16,NA()),NA())</f>
        <v/>
      </c>
      <c r="DM16">
        <f>IF(AND(ISNUMBER(Radar_Mosca!$F16),ISNUMBER(Radar_Mosca!$S16)),IF(AND(Radar_Mosca!$F16=DM$4,Radar_Mosca!$AA16=DM$3),Radar_Mosca!$S16,NA()),NA())</f>
        <v/>
      </c>
      <c r="DN16">
        <f>IF(AND(ISNUMBER(Radar_Mosca!$F16),ISNUMBER(Radar_Mosca!$S16)),IF(AND(Radar_Mosca!$F16=DN$4,Radar_Mosca!$AA16=DN$3),Radar_Mosca!$S16,NA()),NA())</f>
        <v/>
      </c>
      <c r="DO16">
        <f>IF(ISNUMBER(Radar_Mosca!$R16),Radar_Mosca!$R16,NA())</f>
        <v/>
      </c>
      <c r="DP16">
        <f>IF(Radar_Mosca!$A16="","",MID(Radar_Mosca!$A16,5,3)&amp;IF(Radar_Mosca!$T16="Sì"," ◆",""))</f>
        <v/>
      </c>
      <c r="DQ16">
        <f>IF(ISNUMBER(Radar_Mosca!$S16),Radar_Mosca!$S16,NA())</f>
        <v/>
      </c>
    </row>
    <row r="17">
      <c r="A17" s="29" t="inlineStr">
        <is>
          <t>Urgenza: radar di Mosca</t>
        </is>
      </c>
      <c r="B17" s="30" t="n"/>
      <c r="C17" s="30" t="n"/>
      <c r="D17" s="30" t="n"/>
      <c r="E17" s="30" t="n"/>
      <c r="F17" s="30" t="n"/>
      <c r="G17" s="30" t="n"/>
      <c r="H17" s="30" t="n"/>
      <c r="J17" s="29" t="inlineStr">
        <is>
          <t>I rischi del ciclo</t>
        </is>
      </c>
      <c r="K17" s="30" t="n"/>
      <c r="L17" s="30" t="n"/>
      <c r="M17" s="30" t="n"/>
      <c r="N17" s="30" t="n"/>
      <c r="O17" s="30" t="n"/>
      <c r="T17">
        <f>IF(Radar_Mosca!$AA$17="Attivazione",Radar_Mosca!$A$17,"")</f>
        <v/>
      </c>
      <c r="BH17">
        <f>2*PI()*12/72</f>
        <v/>
      </c>
      <c r="BI17">
        <f>2*SIN($BH17)</f>
        <v/>
      </c>
      <c r="BJ17">
        <f>2*COS($BH17)</f>
        <v/>
      </c>
      <c r="BK17">
        <f>3*SIN($BH17)</f>
        <v/>
      </c>
      <c r="BL17">
        <f>3*COS($BH17)</f>
        <v/>
      </c>
      <c r="BM17">
        <f>4*SIN($BH17)</f>
        <v/>
      </c>
      <c r="BN17">
        <f>4*COS($BH17)</f>
        <v/>
      </c>
      <c r="BO17">
        <f>5*SIN($BH17)</f>
        <v/>
      </c>
      <c r="BP17">
        <f>5*COS($BH17)</f>
        <v/>
      </c>
      <c r="BR17" t="n">
        <v>0</v>
      </c>
      <c r="BS17" t="n">
        <v>0</v>
      </c>
      <c r="BY17">
        <f>IF(AND(ISNUMBER(Radar_Mosca!$F17),ISNUMBER(Radar_Mosca!$S17)),IF(AND(Radar_Mosca!$F17=BY$4,Radar_Mosca!$AA17=BY$3),Radar_Mosca!$S17,NA()),NA())</f>
        <v/>
      </c>
      <c r="BZ17">
        <f>IF(AND(ISNUMBER(Radar_Mosca!$F17),ISNUMBER(Radar_Mosca!$S17)),IF(AND(Radar_Mosca!$F17=BZ$4,Radar_Mosca!$AA17=BZ$3),Radar_Mosca!$S17,NA()),NA())</f>
        <v/>
      </c>
      <c r="CA17">
        <f>IF(AND(ISNUMBER(Radar_Mosca!$F17),ISNUMBER(Radar_Mosca!$S17)),IF(AND(Radar_Mosca!$F17=CA$4,Radar_Mosca!$AA17=CA$3),Radar_Mosca!$S17,NA()),NA())</f>
        <v/>
      </c>
      <c r="CB17">
        <f>IF(AND(ISNUMBER(Radar_Mosca!$F17),ISNUMBER(Radar_Mosca!$S17)),IF(AND(Radar_Mosca!$F17=CB$4,Radar_Mosca!$AA17=CB$3),Radar_Mosca!$S17,NA()),NA())</f>
        <v/>
      </c>
      <c r="CC17">
        <f>IF(AND(ISNUMBER(Radar_Mosca!$F17),ISNUMBER(Radar_Mosca!$S17)),IF(AND(Radar_Mosca!$F17=CC$4,Radar_Mosca!$AA17=CC$3),Radar_Mosca!$S17,NA()),NA())</f>
        <v/>
      </c>
      <c r="CD17">
        <f>IF(AND(ISNUMBER(Radar_Mosca!$F17),ISNUMBER(Radar_Mosca!$S17)),IF(AND(Radar_Mosca!$F17=CD$4,Radar_Mosca!$AA17=CD$3),Radar_Mosca!$S17,NA()),NA())</f>
        <v/>
      </c>
      <c r="CE17">
        <f>IF(AND(ISNUMBER(Radar_Mosca!$F17),ISNUMBER(Radar_Mosca!$S17)),IF(AND(Radar_Mosca!$F17=CE$4,Radar_Mosca!$AA17=CE$3),Radar_Mosca!$S17,NA()),NA())</f>
        <v/>
      </c>
      <c r="CF17">
        <f>IF(AND(ISNUMBER(Radar_Mosca!$F17),ISNUMBER(Radar_Mosca!$S17)),IF(AND(Radar_Mosca!$F17=CF$4,Radar_Mosca!$AA17=CF$3),Radar_Mosca!$S17,NA()),NA())</f>
        <v/>
      </c>
      <c r="CG17">
        <f>IF(AND(ISNUMBER(Radar_Mosca!$F17),ISNUMBER(Radar_Mosca!$S17)),IF(AND(Radar_Mosca!$F17=CG$4,Radar_Mosca!$AA17=CG$3),Radar_Mosca!$S17,NA()),NA())</f>
        <v/>
      </c>
      <c r="CH17">
        <f>IF(AND(ISNUMBER(Radar_Mosca!$F17),ISNUMBER(Radar_Mosca!$S17)),IF(AND(Radar_Mosca!$F17=CH$4,Radar_Mosca!$AA17=CH$3),Radar_Mosca!$S17,NA()),NA())</f>
        <v/>
      </c>
      <c r="CI17">
        <f>IF(AND(ISNUMBER(Radar_Mosca!$F17),ISNUMBER(Radar_Mosca!$S17)),IF(AND(Radar_Mosca!$F17=CI$4,Radar_Mosca!$AA17=CI$3),Radar_Mosca!$S17,NA()),NA())</f>
        <v/>
      </c>
      <c r="CJ17">
        <f>IF(AND(ISNUMBER(Radar_Mosca!$F17),ISNUMBER(Radar_Mosca!$S17)),IF(AND(Radar_Mosca!$F17=CJ$4,Radar_Mosca!$AA17=CJ$3),Radar_Mosca!$S17,NA()),NA())</f>
        <v/>
      </c>
      <c r="CK17">
        <f>IF(AND(ISNUMBER(Radar_Mosca!$F17),ISNUMBER(Radar_Mosca!$S17)),IF(AND(Radar_Mosca!$F17=CK$4,Radar_Mosca!$AA17=CK$3),Radar_Mosca!$S17,NA()),NA())</f>
        <v/>
      </c>
      <c r="CL17">
        <f>IF(AND(ISNUMBER(Radar_Mosca!$F17),ISNUMBER(Radar_Mosca!$S17)),IF(AND(Radar_Mosca!$F17=CL$4,Radar_Mosca!$AA17=CL$3),Radar_Mosca!$S17,NA()),NA())</f>
        <v/>
      </c>
      <c r="CM17">
        <f>IF(AND(ISNUMBER(Radar_Mosca!$F17),ISNUMBER(Radar_Mosca!$S17)),IF(AND(Radar_Mosca!$F17=CM$4,Radar_Mosca!$AA17=CM$3),Radar_Mosca!$S17,NA()),NA())</f>
        <v/>
      </c>
      <c r="CN17">
        <f>IF(AND(ISNUMBER(Radar_Mosca!$F17),ISNUMBER(Radar_Mosca!$S17)),IF(AND(Radar_Mosca!$F17=CN$4,Radar_Mosca!$AA17=CN$3),Radar_Mosca!$S17,NA()),NA())</f>
        <v/>
      </c>
      <c r="CO17">
        <f>IF(AND(ISNUMBER(Radar_Mosca!$F17),ISNUMBER(Radar_Mosca!$S17)),IF(AND(Radar_Mosca!$F17=CO$4,Radar_Mosca!$AA17=CO$3),Radar_Mosca!$S17,NA()),NA())</f>
        <v/>
      </c>
      <c r="CP17">
        <f>IF(AND(ISNUMBER(Radar_Mosca!$F17),ISNUMBER(Radar_Mosca!$S17)),IF(AND(Radar_Mosca!$F17=CP$4,Radar_Mosca!$AA17=CP$3),Radar_Mosca!$S17,NA()),NA())</f>
        <v/>
      </c>
      <c r="CQ17">
        <f>IF(AND(ISNUMBER(Radar_Mosca!$F17),ISNUMBER(Radar_Mosca!$S17)),IF(AND(Radar_Mosca!$F17=CQ$4,Radar_Mosca!$AA17=CQ$3),Radar_Mosca!$S17,NA()),NA())</f>
        <v/>
      </c>
      <c r="CR17">
        <f>IF(AND(ISNUMBER(Radar_Mosca!$F17),ISNUMBER(Radar_Mosca!$S17)),IF(AND(Radar_Mosca!$F17=CR$4,Radar_Mosca!$AA17=CR$3),Radar_Mosca!$S17,NA()),NA())</f>
        <v/>
      </c>
      <c r="CS17">
        <f>IF(AND(ISNUMBER(Radar_Mosca!$F17),ISNUMBER(Radar_Mosca!$S17)),IF(AND(Radar_Mosca!$F17=CS$4,Radar_Mosca!$AA17=CS$3),Radar_Mosca!$S17,NA()),NA())</f>
        <v/>
      </c>
      <c r="CT17">
        <f>IF(AND(ISNUMBER(Radar_Mosca!$F17),ISNUMBER(Radar_Mosca!$S17)),IF(AND(Radar_Mosca!$F17=CT$4,Radar_Mosca!$AA17=CT$3),Radar_Mosca!$S17,NA()),NA())</f>
        <v/>
      </c>
      <c r="CU17">
        <f>IF(AND(ISNUMBER(Radar_Mosca!$F17),ISNUMBER(Radar_Mosca!$S17)),IF(AND(Radar_Mosca!$F17=CU$4,Radar_Mosca!$AA17=CU$3),Radar_Mosca!$S17,NA()),NA())</f>
        <v/>
      </c>
      <c r="CV17">
        <f>IF(AND(ISNUMBER(Radar_Mosca!$F17),ISNUMBER(Radar_Mosca!$S17)),IF(AND(Radar_Mosca!$F17=CV$4,Radar_Mosca!$AA17=CV$3),Radar_Mosca!$S17,NA()),NA())</f>
        <v/>
      </c>
      <c r="CW17">
        <f>IF(AND(ISNUMBER(Radar_Mosca!$F17),ISNUMBER(Radar_Mosca!$S17)),IF(AND(Radar_Mosca!$F17=CW$4,Radar_Mosca!$AA17=CW$3),Radar_Mosca!$S17,NA()),NA())</f>
        <v/>
      </c>
      <c r="CX17">
        <f>IF(AND(ISNUMBER(Radar_Mosca!$F17),ISNUMBER(Radar_Mosca!$S17)),IF(AND(Radar_Mosca!$F17=CX$4,Radar_Mosca!$AA17=CX$3),Radar_Mosca!$S17,NA()),NA())</f>
        <v/>
      </c>
      <c r="CY17">
        <f>IF(AND(ISNUMBER(Radar_Mosca!$F17),ISNUMBER(Radar_Mosca!$S17)),IF(AND(Radar_Mosca!$F17=CY$4,Radar_Mosca!$AA17=CY$3),Radar_Mosca!$S17,NA()),NA())</f>
        <v/>
      </c>
      <c r="CZ17">
        <f>IF(AND(ISNUMBER(Radar_Mosca!$F17),ISNUMBER(Radar_Mosca!$S17)),IF(AND(Radar_Mosca!$F17=CZ$4,Radar_Mosca!$AA17=CZ$3),Radar_Mosca!$S17,NA()),NA())</f>
        <v/>
      </c>
      <c r="DA17">
        <f>IF(AND(ISNUMBER(Radar_Mosca!$F17),ISNUMBER(Radar_Mosca!$S17)),IF(AND(Radar_Mosca!$F17=DA$4,Radar_Mosca!$AA17=DA$3),Radar_Mosca!$S17,NA()),NA())</f>
        <v/>
      </c>
      <c r="DB17">
        <f>IF(AND(ISNUMBER(Radar_Mosca!$F17),ISNUMBER(Radar_Mosca!$S17)),IF(AND(Radar_Mosca!$F17=DB$4,Radar_Mosca!$AA17=DB$3),Radar_Mosca!$S17,NA()),NA())</f>
        <v/>
      </c>
      <c r="DC17">
        <f>IF(AND(ISNUMBER(Radar_Mosca!$F17),ISNUMBER(Radar_Mosca!$S17)),IF(AND(Radar_Mosca!$F17=DC$4,Radar_Mosca!$AA17=DC$3),Radar_Mosca!$S17,NA()),NA())</f>
        <v/>
      </c>
      <c r="DD17">
        <f>IF(AND(ISNUMBER(Radar_Mosca!$F17),ISNUMBER(Radar_Mosca!$S17)),IF(AND(Radar_Mosca!$F17=DD$4,Radar_Mosca!$AA17=DD$3),Radar_Mosca!$S17,NA()),NA())</f>
        <v/>
      </c>
      <c r="DE17">
        <f>IF(AND(ISNUMBER(Radar_Mosca!$F17),ISNUMBER(Radar_Mosca!$S17)),IF(AND(Radar_Mosca!$F17=DE$4,Radar_Mosca!$AA17=DE$3),Radar_Mosca!$S17,NA()),NA())</f>
        <v/>
      </c>
      <c r="DF17">
        <f>IF(AND(ISNUMBER(Radar_Mosca!$F17),ISNUMBER(Radar_Mosca!$S17)),IF(AND(Radar_Mosca!$F17=DF$4,Radar_Mosca!$AA17=DF$3),Radar_Mosca!$S17,NA()),NA())</f>
        <v/>
      </c>
      <c r="DG17">
        <f>IF(AND(ISNUMBER(Radar_Mosca!$F17),ISNUMBER(Radar_Mosca!$S17)),IF(AND(Radar_Mosca!$F17=DG$4,Radar_Mosca!$AA17=DG$3),Radar_Mosca!$S17,NA()),NA())</f>
        <v/>
      </c>
      <c r="DH17">
        <f>IF(AND(ISNUMBER(Radar_Mosca!$F17),ISNUMBER(Radar_Mosca!$S17)),IF(AND(Radar_Mosca!$F17=DH$4,Radar_Mosca!$AA17=DH$3),Radar_Mosca!$S17,NA()),NA())</f>
        <v/>
      </c>
      <c r="DI17">
        <f>IF(AND(ISNUMBER(Radar_Mosca!$F17),ISNUMBER(Radar_Mosca!$S17)),IF(AND(Radar_Mosca!$F17=DI$4,Radar_Mosca!$AA17=DI$3),Radar_Mosca!$S17,NA()),NA())</f>
        <v/>
      </c>
      <c r="DJ17">
        <f>IF(AND(ISNUMBER(Radar_Mosca!$F17),ISNUMBER(Radar_Mosca!$S17)),IF(AND(Radar_Mosca!$F17=DJ$4,Radar_Mosca!$AA17=DJ$3),Radar_Mosca!$S17,NA()),NA())</f>
        <v/>
      </c>
      <c r="DK17">
        <f>IF(AND(ISNUMBER(Radar_Mosca!$F17),ISNUMBER(Radar_Mosca!$S17)),IF(AND(Radar_Mosca!$F17=DK$4,Radar_Mosca!$AA17=DK$3),Radar_Mosca!$S17,NA()),NA())</f>
        <v/>
      </c>
      <c r="DL17">
        <f>IF(AND(ISNUMBER(Radar_Mosca!$F17),ISNUMBER(Radar_Mosca!$S17)),IF(AND(Radar_Mosca!$F17=DL$4,Radar_Mosca!$AA17=DL$3),Radar_Mosca!$S17,NA()),NA())</f>
        <v/>
      </c>
      <c r="DM17">
        <f>IF(AND(ISNUMBER(Radar_Mosca!$F17),ISNUMBER(Radar_Mosca!$S17)),IF(AND(Radar_Mosca!$F17=DM$4,Radar_Mosca!$AA17=DM$3),Radar_Mosca!$S17,NA()),NA())</f>
        <v/>
      </c>
      <c r="DN17">
        <f>IF(AND(ISNUMBER(Radar_Mosca!$F17),ISNUMBER(Radar_Mosca!$S17)),IF(AND(Radar_Mosca!$F17=DN$4,Radar_Mosca!$AA17=DN$3),Radar_Mosca!$S17,NA()),NA())</f>
        <v/>
      </c>
      <c r="DO17">
        <f>IF(ISNUMBER(Radar_Mosca!$R17),Radar_Mosca!$R17,NA())</f>
        <v/>
      </c>
      <c r="DP17">
        <f>IF(Radar_Mosca!$A17="","",MID(Radar_Mosca!$A17,5,3)&amp;IF(Radar_Mosca!$T17="Sì"," ◆",""))</f>
        <v/>
      </c>
      <c r="DQ17">
        <f>IF(ISNUMBER(Radar_Mosca!$S17),Radar_Mosca!$S17,NA())</f>
        <v/>
      </c>
    </row>
    <row r="18" ht="12" customHeight="1">
      <c r="J18" s="48">
        <f>INDEX(posID,1)&amp;""</f>
        <v/>
      </c>
      <c r="K18" s="49">
        <f>IF(J18="","",INDEX(posNome,1)&amp;IF(INDEX(ANA_Attenzione_Supervisore,1)="Sì","  ◆",""))</f>
        <v/>
      </c>
      <c r="T18">
        <f>IF(Radar_Mosca!$AA$18="Attivazione",Radar_Mosca!$A$18,"")</f>
        <v/>
      </c>
      <c r="BH18">
        <f>2*PI()*13/72</f>
        <v/>
      </c>
      <c r="BI18">
        <f>2*SIN($BH18)</f>
        <v/>
      </c>
      <c r="BJ18">
        <f>2*COS($BH18)</f>
        <v/>
      </c>
      <c r="BK18">
        <f>3*SIN($BH18)</f>
        <v/>
      </c>
      <c r="BL18">
        <f>3*COS($BH18)</f>
        <v/>
      </c>
      <c r="BM18">
        <f>4*SIN($BH18)</f>
        <v/>
      </c>
      <c r="BN18">
        <f>4*COS($BH18)</f>
        <v/>
      </c>
      <c r="BO18">
        <f>5*SIN($BH18)</f>
        <v/>
      </c>
      <c r="BP18">
        <f>5*COS($BH18)</f>
        <v/>
      </c>
      <c r="BR18">
        <f>6.3*SIN(2*PI()*6/ROWS(codiciL1))</f>
        <v/>
      </c>
      <c r="BS18">
        <f>6.3*COS(2*PI()*6/ROWS(codiciL1))</f>
        <v/>
      </c>
      <c r="BY18">
        <f>IF(AND(ISNUMBER(Radar_Mosca!$F18),ISNUMBER(Radar_Mosca!$S18)),IF(AND(Radar_Mosca!$F18=BY$4,Radar_Mosca!$AA18=BY$3),Radar_Mosca!$S18,NA()),NA())</f>
        <v/>
      </c>
      <c r="BZ18">
        <f>IF(AND(ISNUMBER(Radar_Mosca!$F18),ISNUMBER(Radar_Mosca!$S18)),IF(AND(Radar_Mosca!$F18=BZ$4,Radar_Mosca!$AA18=BZ$3),Radar_Mosca!$S18,NA()),NA())</f>
        <v/>
      </c>
      <c r="CA18">
        <f>IF(AND(ISNUMBER(Radar_Mosca!$F18),ISNUMBER(Radar_Mosca!$S18)),IF(AND(Radar_Mosca!$F18=CA$4,Radar_Mosca!$AA18=CA$3),Radar_Mosca!$S18,NA()),NA())</f>
        <v/>
      </c>
      <c r="CB18">
        <f>IF(AND(ISNUMBER(Radar_Mosca!$F18),ISNUMBER(Radar_Mosca!$S18)),IF(AND(Radar_Mosca!$F18=CB$4,Radar_Mosca!$AA18=CB$3),Radar_Mosca!$S18,NA()),NA())</f>
        <v/>
      </c>
      <c r="CC18">
        <f>IF(AND(ISNUMBER(Radar_Mosca!$F18),ISNUMBER(Radar_Mosca!$S18)),IF(AND(Radar_Mosca!$F18=CC$4,Radar_Mosca!$AA18=CC$3),Radar_Mosca!$S18,NA()),NA())</f>
        <v/>
      </c>
      <c r="CD18">
        <f>IF(AND(ISNUMBER(Radar_Mosca!$F18),ISNUMBER(Radar_Mosca!$S18)),IF(AND(Radar_Mosca!$F18=CD$4,Radar_Mosca!$AA18=CD$3),Radar_Mosca!$S18,NA()),NA())</f>
        <v/>
      </c>
      <c r="CE18">
        <f>IF(AND(ISNUMBER(Radar_Mosca!$F18),ISNUMBER(Radar_Mosca!$S18)),IF(AND(Radar_Mosca!$F18=CE$4,Radar_Mosca!$AA18=CE$3),Radar_Mosca!$S18,NA()),NA())</f>
        <v/>
      </c>
      <c r="CF18">
        <f>IF(AND(ISNUMBER(Radar_Mosca!$F18),ISNUMBER(Radar_Mosca!$S18)),IF(AND(Radar_Mosca!$F18=CF$4,Radar_Mosca!$AA18=CF$3),Radar_Mosca!$S18,NA()),NA())</f>
        <v/>
      </c>
      <c r="CG18">
        <f>IF(AND(ISNUMBER(Radar_Mosca!$F18),ISNUMBER(Radar_Mosca!$S18)),IF(AND(Radar_Mosca!$F18=CG$4,Radar_Mosca!$AA18=CG$3),Radar_Mosca!$S18,NA()),NA())</f>
        <v/>
      </c>
      <c r="CH18">
        <f>IF(AND(ISNUMBER(Radar_Mosca!$F18),ISNUMBER(Radar_Mosca!$S18)),IF(AND(Radar_Mosca!$F18=CH$4,Radar_Mosca!$AA18=CH$3),Radar_Mosca!$S18,NA()),NA())</f>
        <v/>
      </c>
      <c r="CI18">
        <f>IF(AND(ISNUMBER(Radar_Mosca!$F18),ISNUMBER(Radar_Mosca!$S18)),IF(AND(Radar_Mosca!$F18=CI$4,Radar_Mosca!$AA18=CI$3),Radar_Mosca!$S18,NA()),NA())</f>
        <v/>
      </c>
      <c r="CJ18">
        <f>IF(AND(ISNUMBER(Radar_Mosca!$F18),ISNUMBER(Radar_Mosca!$S18)),IF(AND(Radar_Mosca!$F18=CJ$4,Radar_Mosca!$AA18=CJ$3),Radar_Mosca!$S18,NA()),NA())</f>
        <v/>
      </c>
      <c r="CK18">
        <f>IF(AND(ISNUMBER(Radar_Mosca!$F18),ISNUMBER(Radar_Mosca!$S18)),IF(AND(Radar_Mosca!$F18=CK$4,Radar_Mosca!$AA18=CK$3),Radar_Mosca!$S18,NA()),NA())</f>
        <v/>
      </c>
      <c r="CL18">
        <f>IF(AND(ISNUMBER(Radar_Mosca!$F18),ISNUMBER(Radar_Mosca!$S18)),IF(AND(Radar_Mosca!$F18=CL$4,Radar_Mosca!$AA18=CL$3),Radar_Mosca!$S18,NA()),NA())</f>
        <v/>
      </c>
      <c r="CM18">
        <f>IF(AND(ISNUMBER(Radar_Mosca!$F18),ISNUMBER(Radar_Mosca!$S18)),IF(AND(Radar_Mosca!$F18=CM$4,Radar_Mosca!$AA18=CM$3),Radar_Mosca!$S18,NA()),NA())</f>
        <v/>
      </c>
      <c r="CN18">
        <f>IF(AND(ISNUMBER(Radar_Mosca!$F18),ISNUMBER(Radar_Mosca!$S18)),IF(AND(Radar_Mosca!$F18=CN$4,Radar_Mosca!$AA18=CN$3),Radar_Mosca!$S18,NA()),NA())</f>
        <v/>
      </c>
      <c r="CO18">
        <f>IF(AND(ISNUMBER(Radar_Mosca!$F18),ISNUMBER(Radar_Mosca!$S18)),IF(AND(Radar_Mosca!$F18=CO$4,Radar_Mosca!$AA18=CO$3),Radar_Mosca!$S18,NA()),NA())</f>
        <v/>
      </c>
      <c r="CP18">
        <f>IF(AND(ISNUMBER(Radar_Mosca!$F18),ISNUMBER(Radar_Mosca!$S18)),IF(AND(Radar_Mosca!$F18=CP$4,Radar_Mosca!$AA18=CP$3),Radar_Mosca!$S18,NA()),NA())</f>
        <v/>
      </c>
      <c r="CQ18">
        <f>IF(AND(ISNUMBER(Radar_Mosca!$F18),ISNUMBER(Radar_Mosca!$S18)),IF(AND(Radar_Mosca!$F18=CQ$4,Radar_Mosca!$AA18=CQ$3),Radar_Mosca!$S18,NA()),NA())</f>
        <v/>
      </c>
      <c r="CR18">
        <f>IF(AND(ISNUMBER(Radar_Mosca!$F18),ISNUMBER(Radar_Mosca!$S18)),IF(AND(Radar_Mosca!$F18=CR$4,Radar_Mosca!$AA18=CR$3),Radar_Mosca!$S18,NA()),NA())</f>
        <v/>
      </c>
      <c r="CS18">
        <f>IF(AND(ISNUMBER(Radar_Mosca!$F18),ISNUMBER(Radar_Mosca!$S18)),IF(AND(Radar_Mosca!$F18=CS$4,Radar_Mosca!$AA18=CS$3),Radar_Mosca!$S18,NA()),NA())</f>
        <v/>
      </c>
      <c r="CT18">
        <f>IF(AND(ISNUMBER(Radar_Mosca!$F18),ISNUMBER(Radar_Mosca!$S18)),IF(AND(Radar_Mosca!$F18=CT$4,Radar_Mosca!$AA18=CT$3),Radar_Mosca!$S18,NA()),NA())</f>
        <v/>
      </c>
      <c r="CU18">
        <f>IF(AND(ISNUMBER(Radar_Mosca!$F18),ISNUMBER(Radar_Mosca!$S18)),IF(AND(Radar_Mosca!$F18=CU$4,Radar_Mosca!$AA18=CU$3),Radar_Mosca!$S18,NA()),NA())</f>
        <v/>
      </c>
      <c r="CV18">
        <f>IF(AND(ISNUMBER(Radar_Mosca!$F18),ISNUMBER(Radar_Mosca!$S18)),IF(AND(Radar_Mosca!$F18=CV$4,Radar_Mosca!$AA18=CV$3),Radar_Mosca!$S18,NA()),NA())</f>
        <v/>
      </c>
      <c r="CW18">
        <f>IF(AND(ISNUMBER(Radar_Mosca!$F18),ISNUMBER(Radar_Mosca!$S18)),IF(AND(Radar_Mosca!$F18=CW$4,Radar_Mosca!$AA18=CW$3),Radar_Mosca!$S18,NA()),NA())</f>
        <v/>
      </c>
      <c r="CX18">
        <f>IF(AND(ISNUMBER(Radar_Mosca!$F18),ISNUMBER(Radar_Mosca!$S18)),IF(AND(Radar_Mosca!$F18=CX$4,Radar_Mosca!$AA18=CX$3),Radar_Mosca!$S18,NA()),NA())</f>
        <v/>
      </c>
      <c r="CY18">
        <f>IF(AND(ISNUMBER(Radar_Mosca!$F18),ISNUMBER(Radar_Mosca!$S18)),IF(AND(Radar_Mosca!$F18=CY$4,Radar_Mosca!$AA18=CY$3),Radar_Mosca!$S18,NA()),NA())</f>
        <v/>
      </c>
      <c r="CZ18">
        <f>IF(AND(ISNUMBER(Radar_Mosca!$F18),ISNUMBER(Radar_Mosca!$S18)),IF(AND(Radar_Mosca!$F18=CZ$4,Radar_Mosca!$AA18=CZ$3),Radar_Mosca!$S18,NA()),NA())</f>
        <v/>
      </c>
      <c r="DA18">
        <f>IF(AND(ISNUMBER(Radar_Mosca!$F18),ISNUMBER(Radar_Mosca!$S18)),IF(AND(Radar_Mosca!$F18=DA$4,Radar_Mosca!$AA18=DA$3),Radar_Mosca!$S18,NA()),NA())</f>
        <v/>
      </c>
      <c r="DB18">
        <f>IF(AND(ISNUMBER(Radar_Mosca!$F18),ISNUMBER(Radar_Mosca!$S18)),IF(AND(Radar_Mosca!$F18=DB$4,Radar_Mosca!$AA18=DB$3),Radar_Mosca!$S18,NA()),NA())</f>
        <v/>
      </c>
      <c r="DC18">
        <f>IF(AND(ISNUMBER(Radar_Mosca!$F18),ISNUMBER(Radar_Mosca!$S18)),IF(AND(Radar_Mosca!$F18=DC$4,Radar_Mosca!$AA18=DC$3),Radar_Mosca!$S18,NA()),NA())</f>
        <v/>
      </c>
      <c r="DD18">
        <f>IF(AND(ISNUMBER(Radar_Mosca!$F18),ISNUMBER(Radar_Mosca!$S18)),IF(AND(Radar_Mosca!$F18=DD$4,Radar_Mosca!$AA18=DD$3),Radar_Mosca!$S18,NA()),NA())</f>
        <v/>
      </c>
      <c r="DE18">
        <f>IF(AND(ISNUMBER(Radar_Mosca!$F18),ISNUMBER(Radar_Mosca!$S18)),IF(AND(Radar_Mosca!$F18=DE$4,Radar_Mosca!$AA18=DE$3),Radar_Mosca!$S18,NA()),NA())</f>
        <v/>
      </c>
      <c r="DF18">
        <f>IF(AND(ISNUMBER(Radar_Mosca!$F18),ISNUMBER(Radar_Mosca!$S18)),IF(AND(Radar_Mosca!$F18=DF$4,Radar_Mosca!$AA18=DF$3),Radar_Mosca!$S18,NA()),NA())</f>
        <v/>
      </c>
      <c r="DG18">
        <f>IF(AND(ISNUMBER(Radar_Mosca!$F18),ISNUMBER(Radar_Mosca!$S18)),IF(AND(Radar_Mosca!$F18=DG$4,Radar_Mosca!$AA18=DG$3),Radar_Mosca!$S18,NA()),NA())</f>
        <v/>
      </c>
      <c r="DH18">
        <f>IF(AND(ISNUMBER(Radar_Mosca!$F18),ISNUMBER(Radar_Mosca!$S18)),IF(AND(Radar_Mosca!$F18=DH$4,Radar_Mosca!$AA18=DH$3),Radar_Mosca!$S18,NA()),NA())</f>
        <v/>
      </c>
      <c r="DI18">
        <f>IF(AND(ISNUMBER(Radar_Mosca!$F18),ISNUMBER(Radar_Mosca!$S18)),IF(AND(Radar_Mosca!$F18=DI$4,Radar_Mosca!$AA18=DI$3),Radar_Mosca!$S18,NA()),NA())</f>
        <v/>
      </c>
      <c r="DJ18">
        <f>IF(AND(ISNUMBER(Radar_Mosca!$F18),ISNUMBER(Radar_Mosca!$S18)),IF(AND(Radar_Mosca!$F18=DJ$4,Radar_Mosca!$AA18=DJ$3),Radar_Mosca!$S18,NA()),NA())</f>
        <v/>
      </c>
      <c r="DK18">
        <f>IF(AND(ISNUMBER(Radar_Mosca!$F18),ISNUMBER(Radar_Mosca!$S18)),IF(AND(Radar_Mosca!$F18=DK$4,Radar_Mosca!$AA18=DK$3),Radar_Mosca!$S18,NA()),NA())</f>
        <v/>
      </c>
      <c r="DL18">
        <f>IF(AND(ISNUMBER(Radar_Mosca!$F18),ISNUMBER(Radar_Mosca!$S18)),IF(AND(Radar_Mosca!$F18=DL$4,Radar_Mosca!$AA18=DL$3),Radar_Mosca!$S18,NA()),NA())</f>
        <v/>
      </c>
      <c r="DM18">
        <f>IF(AND(ISNUMBER(Radar_Mosca!$F18),ISNUMBER(Radar_Mosca!$S18)),IF(AND(Radar_Mosca!$F18=DM$4,Radar_Mosca!$AA18=DM$3),Radar_Mosca!$S18,NA()),NA())</f>
        <v/>
      </c>
      <c r="DN18">
        <f>IF(AND(ISNUMBER(Radar_Mosca!$F18),ISNUMBER(Radar_Mosca!$S18)),IF(AND(Radar_Mosca!$F18=DN$4,Radar_Mosca!$AA18=DN$3),Radar_Mosca!$S18,NA()),NA())</f>
        <v/>
      </c>
      <c r="DO18">
        <f>IF(ISNUMBER(Radar_Mosca!$R18),Radar_Mosca!$R18,NA())</f>
        <v/>
      </c>
      <c r="DP18">
        <f>IF(Radar_Mosca!$A18="","",MID(Radar_Mosca!$A18,5,3)&amp;IF(Radar_Mosca!$T18="Sì"," ◆",""))</f>
        <v/>
      </c>
      <c r="DQ18">
        <f>IF(ISNUMBER(Radar_Mosca!$S18),Radar_Mosca!$S18,NA())</f>
        <v/>
      </c>
    </row>
    <row r="19" ht="12" customHeight="1">
      <c r="J19" s="48">
        <f>INDEX(posID,2)&amp;""</f>
        <v/>
      </c>
      <c r="K19" s="49">
        <f>IF(J19="","",INDEX(posNome,2)&amp;IF(INDEX(ANA_Attenzione_Supervisore,2)="Sì","  ◆",""))</f>
        <v/>
      </c>
      <c r="T19">
        <f>IF(Radar_Mosca!$AA$19="Attivazione",Radar_Mosca!$A$19,"")</f>
        <v/>
      </c>
      <c r="BH19">
        <f>2*PI()*14/72</f>
        <v/>
      </c>
      <c r="BI19">
        <f>2*SIN($BH19)</f>
        <v/>
      </c>
      <c r="BJ19">
        <f>2*COS($BH19)</f>
        <v/>
      </c>
      <c r="BK19">
        <f>3*SIN($BH19)</f>
        <v/>
      </c>
      <c r="BL19">
        <f>3*COS($BH19)</f>
        <v/>
      </c>
      <c r="BM19">
        <f>4*SIN($BH19)</f>
        <v/>
      </c>
      <c r="BN19">
        <f>4*COS($BH19)</f>
        <v/>
      </c>
      <c r="BO19">
        <f>5*SIN($BH19)</f>
        <v/>
      </c>
      <c r="BP19">
        <f>5*COS($BH19)</f>
        <v/>
      </c>
      <c r="BR19" t="n">
        <v>0</v>
      </c>
      <c r="BS19" t="n">
        <v>0</v>
      </c>
      <c r="BY19">
        <f>IF(AND(ISNUMBER(Radar_Mosca!$F19),ISNUMBER(Radar_Mosca!$S19)),IF(AND(Radar_Mosca!$F19=BY$4,Radar_Mosca!$AA19=BY$3),Radar_Mosca!$S19,NA()),NA())</f>
        <v/>
      </c>
      <c r="BZ19">
        <f>IF(AND(ISNUMBER(Radar_Mosca!$F19),ISNUMBER(Radar_Mosca!$S19)),IF(AND(Radar_Mosca!$F19=BZ$4,Radar_Mosca!$AA19=BZ$3),Radar_Mosca!$S19,NA()),NA())</f>
        <v/>
      </c>
      <c r="CA19">
        <f>IF(AND(ISNUMBER(Radar_Mosca!$F19),ISNUMBER(Radar_Mosca!$S19)),IF(AND(Radar_Mosca!$F19=CA$4,Radar_Mosca!$AA19=CA$3),Radar_Mosca!$S19,NA()),NA())</f>
        <v/>
      </c>
      <c r="CB19">
        <f>IF(AND(ISNUMBER(Radar_Mosca!$F19),ISNUMBER(Radar_Mosca!$S19)),IF(AND(Radar_Mosca!$F19=CB$4,Radar_Mosca!$AA19=CB$3),Radar_Mosca!$S19,NA()),NA())</f>
        <v/>
      </c>
      <c r="CC19">
        <f>IF(AND(ISNUMBER(Radar_Mosca!$F19),ISNUMBER(Radar_Mosca!$S19)),IF(AND(Radar_Mosca!$F19=CC$4,Radar_Mosca!$AA19=CC$3),Radar_Mosca!$S19,NA()),NA())</f>
        <v/>
      </c>
      <c r="CD19">
        <f>IF(AND(ISNUMBER(Radar_Mosca!$F19),ISNUMBER(Radar_Mosca!$S19)),IF(AND(Radar_Mosca!$F19=CD$4,Radar_Mosca!$AA19=CD$3),Radar_Mosca!$S19,NA()),NA())</f>
        <v/>
      </c>
      <c r="CE19">
        <f>IF(AND(ISNUMBER(Radar_Mosca!$F19),ISNUMBER(Radar_Mosca!$S19)),IF(AND(Radar_Mosca!$F19=CE$4,Radar_Mosca!$AA19=CE$3),Radar_Mosca!$S19,NA()),NA())</f>
        <v/>
      </c>
      <c r="CF19">
        <f>IF(AND(ISNUMBER(Radar_Mosca!$F19),ISNUMBER(Radar_Mosca!$S19)),IF(AND(Radar_Mosca!$F19=CF$4,Radar_Mosca!$AA19=CF$3),Radar_Mosca!$S19,NA()),NA())</f>
        <v/>
      </c>
      <c r="CG19">
        <f>IF(AND(ISNUMBER(Radar_Mosca!$F19),ISNUMBER(Radar_Mosca!$S19)),IF(AND(Radar_Mosca!$F19=CG$4,Radar_Mosca!$AA19=CG$3),Radar_Mosca!$S19,NA()),NA())</f>
        <v/>
      </c>
      <c r="CH19">
        <f>IF(AND(ISNUMBER(Radar_Mosca!$F19),ISNUMBER(Radar_Mosca!$S19)),IF(AND(Radar_Mosca!$F19=CH$4,Radar_Mosca!$AA19=CH$3),Radar_Mosca!$S19,NA()),NA())</f>
        <v/>
      </c>
      <c r="CI19">
        <f>IF(AND(ISNUMBER(Radar_Mosca!$F19),ISNUMBER(Radar_Mosca!$S19)),IF(AND(Radar_Mosca!$F19=CI$4,Radar_Mosca!$AA19=CI$3),Radar_Mosca!$S19,NA()),NA())</f>
        <v/>
      </c>
      <c r="CJ19">
        <f>IF(AND(ISNUMBER(Radar_Mosca!$F19),ISNUMBER(Radar_Mosca!$S19)),IF(AND(Radar_Mosca!$F19=CJ$4,Radar_Mosca!$AA19=CJ$3),Radar_Mosca!$S19,NA()),NA())</f>
        <v/>
      </c>
      <c r="CK19">
        <f>IF(AND(ISNUMBER(Radar_Mosca!$F19),ISNUMBER(Radar_Mosca!$S19)),IF(AND(Radar_Mosca!$F19=CK$4,Radar_Mosca!$AA19=CK$3),Radar_Mosca!$S19,NA()),NA())</f>
        <v/>
      </c>
      <c r="CL19">
        <f>IF(AND(ISNUMBER(Radar_Mosca!$F19),ISNUMBER(Radar_Mosca!$S19)),IF(AND(Radar_Mosca!$F19=CL$4,Radar_Mosca!$AA19=CL$3),Radar_Mosca!$S19,NA()),NA())</f>
        <v/>
      </c>
      <c r="CM19">
        <f>IF(AND(ISNUMBER(Radar_Mosca!$F19),ISNUMBER(Radar_Mosca!$S19)),IF(AND(Radar_Mosca!$F19=CM$4,Radar_Mosca!$AA19=CM$3),Radar_Mosca!$S19,NA()),NA())</f>
        <v/>
      </c>
      <c r="CN19">
        <f>IF(AND(ISNUMBER(Radar_Mosca!$F19),ISNUMBER(Radar_Mosca!$S19)),IF(AND(Radar_Mosca!$F19=CN$4,Radar_Mosca!$AA19=CN$3),Radar_Mosca!$S19,NA()),NA())</f>
        <v/>
      </c>
      <c r="CO19">
        <f>IF(AND(ISNUMBER(Radar_Mosca!$F19),ISNUMBER(Radar_Mosca!$S19)),IF(AND(Radar_Mosca!$F19=CO$4,Radar_Mosca!$AA19=CO$3),Radar_Mosca!$S19,NA()),NA())</f>
        <v/>
      </c>
      <c r="CP19">
        <f>IF(AND(ISNUMBER(Radar_Mosca!$F19),ISNUMBER(Radar_Mosca!$S19)),IF(AND(Radar_Mosca!$F19=CP$4,Radar_Mosca!$AA19=CP$3),Radar_Mosca!$S19,NA()),NA())</f>
        <v/>
      </c>
      <c r="CQ19">
        <f>IF(AND(ISNUMBER(Radar_Mosca!$F19),ISNUMBER(Radar_Mosca!$S19)),IF(AND(Radar_Mosca!$F19=CQ$4,Radar_Mosca!$AA19=CQ$3),Radar_Mosca!$S19,NA()),NA())</f>
        <v/>
      </c>
      <c r="CR19">
        <f>IF(AND(ISNUMBER(Radar_Mosca!$F19),ISNUMBER(Radar_Mosca!$S19)),IF(AND(Radar_Mosca!$F19=CR$4,Radar_Mosca!$AA19=CR$3),Radar_Mosca!$S19,NA()),NA())</f>
        <v/>
      </c>
      <c r="CS19">
        <f>IF(AND(ISNUMBER(Radar_Mosca!$F19),ISNUMBER(Radar_Mosca!$S19)),IF(AND(Radar_Mosca!$F19=CS$4,Radar_Mosca!$AA19=CS$3),Radar_Mosca!$S19,NA()),NA())</f>
        <v/>
      </c>
      <c r="CT19">
        <f>IF(AND(ISNUMBER(Radar_Mosca!$F19),ISNUMBER(Radar_Mosca!$S19)),IF(AND(Radar_Mosca!$F19=CT$4,Radar_Mosca!$AA19=CT$3),Radar_Mosca!$S19,NA()),NA())</f>
        <v/>
      </c>
      <c r="CU19">
        <f>IF(AND(ISNUMBER(Radar_Mosca!$F19),ISNUMBER(Radar_Mosca!$S19)),IF(AND(Radar_Mosca!$F19=CU$4,Radar_Mosca!$AA19=CU$3),Radar_Mosca!$S19,NA()),NA())</f>
        <v/>
      </c>
      <c r="CV19">
        <f>IF(AND(ISNUMBER(Radar_Mosca!$F19),ISNUMBER(Radar_Mosca!$S19)),IF(AND(Radar_Mosca!$F19=CV$4,Radar_Mosca!$AA19=CV$3),Radar_Mosca!$S19,NA()),NA())</f>
        <v/>
      </c>
      <c r="CW19">
        <f>IF(AND(ISNUMBER(Radar_Mosca!$F19),ISNUMBER(Radar_Mosca!$S19)),IF(AND(Radar_Mosca!$F19=CW$4,Radar_Mosca!$AA19=CW$3),Radar_Mosca!$S19,NA()),NA())</f>
        <v/>
      </c>
      <c r="CX19">
        <f>IF(AND(ISNUMBER(Radar_Mosca!$F19),ISNUMBER(Radar_Mosca!$S19)),IF(AND(Radar_Mosca!$F19=CX$4,Radar_Mosca!$AA19=CX$3),Radar_Mosca!$S19,NA()),NA())</f>
        <v/>
      </c>
      <c r="CY19">
        <f>IF(AND(ISNUMBER(Radar_Mosca!$F19),ISNUMBER(Radar_Mosca!$S19)),IF(AND(Radar_Mosca!$F19=CY$4,Radar_Mosca!$AA19=CY$3),Radar_Mosca!$S19,NA()),NA())</f>
        <v/>
      </c>
      <c r="CZ19">
        <f>IF(AND(ISNUMBER(Radar_Mosca!$F19),ISNUMBER(Radar_Mosca!$S19)),IF(AND(Radar_Mosca!$F19=CZ$4,Radar_Mosca!$AA19=CZ$3),Radar_Mosca!$S19,NA()),NA())</f>
        <v/>
      </c>
      <c r="DA19">
        <f>IF(AND(ISNUMBER(Radar_Mosca!$F19),ISNUMBER(Radar_Mosca!$S19)),IF(AND(Radar_Mosca!$F19=DA$4,Radar_Mosca!$AA19=DA$3),Radar_Mosca!$S19,NA()),NA())</f>
        <v/>
      </c>
      <c r="DB19">
        <f>IF(AND(ISNUMBER(Radar_Mosca!$F19),ISNUMBER(Radar_Mosca!$S19)),IF(AND(Radar_Mosca!$F19=DB$4,Radar_Mosca!$AA19=DB$3),Radar_Mosca!$S19,NA()),NA())</f>
        <v/>
      </c>
      <c r="DC19">
        <f>IF(AND(ISNUMBER(Radar_Mosca!$F19),ISNUMBER(Radar_Mosca!$S19)),IF(AND(Radar_Mosca!$F19=DC$4,Radar_Mosca!$AA19=DC$3),Radar_Mosca!$S19,NA()),NA())</f>
        <v/>
      </c>
      <c r="DD19">
        <f>IF(AND(ISNUMBER(Radar_Mosca!$F19),ISNUMBER(Radar_Mosca!$S19)),IF(AND(Radar_Mosca!$F19=DD$4,Radar_Mosca!$AA19=DD$3),Radar_Mosca!$S19,NA()),NA())</f>
        <v/>
      </c>
      <c r="DE19">
        <f>IF(AND(ISNUMBER(Radar_Mosca!$F19),ISNUMBER(Radar_Mosca!$S19)),IF(AND(Radar_Mosca!$F19=DE$4,Radar_Mosca!$AA19=DE$3),Radar_Mosca!$S19,NA()),NA())</f>
        <v/>
      </c>
      <c r="DF19">
        <f>IF(AND(ISNUMBER(Radar_Mosca!$F19),ISNUMBER(Radar_Mosca!$S19)),IF(AND(Radar_Mosca!$F19=DF$4,Radar_Mosca!$AA19=DF$3),Radar_Mosca!$S19,NA()),NA())</f>
        <v/>
      </c>
      <c r="DG19">
        <f>IF(AND(ISNUMBER(Radar_Mosca!$F19),ISNUMBER(Radar_Mosca!$S19)),IF(AND(Radar_Mosca!$F19=DG$4,Radar_Mosca!$AA19=DG$3),Radar_Mosca!$S19,NA()),NA())</f>
        <v/>
      </c>
      <c r="DH19">
        <f>IF(AND(ISNUMBER(Radar_Mosca!$F19),ISNUMBER(Radar_Mosca!$S19)),IF(AND(Radar_Mosca!$F19=DH$4,Radar_Mosca!$AA19=DH$3),Radar_Mosca!$S19,NA()),NA())</f>
        <v/>
      </c>
      <c r="DI19">
        <f>IF(AND(ISNUMBER(Radar_Mosca!$F19),ISNUMBER(Radar_Mosca!$S19)),IF(AND(Radar_Mosca!$F19=DI$4,Radar_Mosca!$AA19=DI$3),Radar_Mosca!$S19,NA()),NA())</f>
        <v/>
      </c>
      <c r="DJ19">
        <f>IF(AND(ISNUMBER(Radar_Mosca!$F19),ISNUMBER(Radar_Mosca!$S19)),IF(AND(Radar_Mosca!$F19=DJ$4,Radar_Mosca!$AA19=DJ$3),Radar_Mosca!$S19,NA()),NA())</f>
        <v/>
      </c>
      <c r="DK19">
        <f>IF(AND(ISNUMBER(Radar_Mosca!$F19),ISNUMBER(Radar_Mosca!$S19)),IF(AND(Radar_Mosca!$F19=DK$4,Radar_Mosca!$AA19=DK$3),Radar_Mosca!$S19,NA()),NA())</f>
        <v/>
      </c>
      <c r="DL19">
        <f>IF(AND(ISNUMBER(Radar_Mosca!$F19),ISNUMBER(Radar_Mosca!$S19)),IF(AND(Radar_Mosca!$F19=DL$4,Radar_Mosca!$AA19=DL$3),Radar_Mosca!$S19,NA()),NA())</f>
        <v/>
      </c>
      <c r="DM19">
        <f>IF(AND(ISNUMBER(Radar_Mosca!$F19),ISNUMBER(Radar_Mosca!$S19)),IF(AND(Radar_Mosca!$F19=DM$4,Radar_Mosca!$AA19=DM$3),Radar_Mosca!$S19,NA()),NA())</f>
        <v/>
      </c>
      <c r="DN19">
        <f>IF(AND(ISNUMBER(Radar_Mosca!$F19),ISNUMBER(Radar_Mosca!$S19)),IF(AND(Radar_Mosca!$F19=DN$4,Radar_Mosca!$AA19=DN$3),Radar_Mosca!$S19,NA()),NA())</f>
        <v/>
      </c>
      <c r="DO19">
        <f>IF(ISNUMBER(Radar_Mosca!$R19),Radar_Mosca!$R19,NA())</f>
        <v/>
      </c>
      <c r="DP19">
        <f>IF(Radar_Mosca!$A19="","",MID(Radar_Mosca!$A19,5,3)&amp;IF(Radar_Mosca!$T19="Sì"," ◆",""))</f>
        <v/>
      </c>
      <c r="DQ19">
        <f>IF(ISNUMBER(Radar_Mosca!$S19),Radar_Mosca!$S19,NA())</f>
        <v/>
      </c>
    </row>
    <row r="20" ht="12" customHeight="1">
      <c r="J20" s="48">
        <f>INDEX(posID,3)&amp;""</f>
        <v/>
      </c>
      <c r="K20" s="49">
        <f>IF(J20="","",INDEX(posNome,3)&amp;IF(INDEX(ANA_Attenzione_Supervisore,3)="Sì","  ◆",""))</f>
        <v/>
      </c>
      <c r="T20">
        <f>IF(Radar_Mosca!$AA$20="Attivazione",Radar_Mosca!$A$20,"")</f>
        <v/>
      </c>
      <c r="BH20">
        <f>2*PI()*15/72</f>
        <v/>
      </c>
      <c r="BI20">
        <f>2*SIN($BH20)</f>
        <v/>
      </c>
      <c r="BJ20">
        <f>2*COS($BH20)</f>
        <v/>
      </c>
      <c r="BK20">
        <f>3*SIN($BH20)</f>
        <v/>
      </c>
      <c r="BL20">
        <f>3*COS($BH20)</f>
        <v/>
      </c>
      <c r="BM20">
        <f>4*SIN($BH20)</f>
        <v/>
      </c>
      <c r="BN20">
        <f>4*COS($BH20)</f>
        <v/>
      </c>
      <c r="BO20">
        <f>5*SIN($BH20)</f>
        <v/>
      </c>
      <c r="BP20">
        <f>5*COS($BH20)</f>
        <v/>
      </c>
      <c r="BR20">
        <f>6.3*SIN(2*PI()*7/ROWS(codiciL1))</f>
        <v/>
      </c>
      <c r="BS20">
        <f>6.3*COS(2*PI()*7/ROWS(codiciL1))</f>
        <v/>
      </c>
      <c r="BY20">
        <f>IF(AND(ISNUMBER(Radar_Mosca!$F20),ISNUMBER(Radar_Mosca!$S20)),IF(AND(Radar_Mosca!$F20=BY$4,Radar_Mosca!$AA20=BY$3),Radar_Mosca!$S20,NA()),NA())</f>
        <v/>
      </c>
      <c r="BZ20">
        <f>IF(AND(ISNUMBER(Radar_Mosca!$F20),ISNUMBER(Radar_Mosca!$S20)),IF(AND(Radar_Mosca!$F20=BZ$4,Radar_Mosca!$AA20=BZ$3),Radar_Mosca!$S20,NA()),NA())</f>
        <v/>
      </c>
      <c r="CA20">
        <f>IF(AND(ISNUMBER(Radar_Mosca!$F20),ISNUMBER(Radar_Mosca!$S20)),IF(AND(Radar_Mosca!$F20=CA$4,Radar_Mosca!$AA20=CA$3),Radar_Mosca!$S20,NA()),NA())</f>
        <v/>
      </c>
      <c r="CB20">
        <f>IF(AND(ISNUMBER(Radar_Mosca!$F20),ISNUMBER(Radar_Mosca!$S20)),IF(AND(Radar_Mosca!$F20=CB$4,Radar_Mosca!$AA20=CB$3),Radar_Mosca!$S20,NA()),NA())</f>
        <v/>
      </c>
      <c r="CC20">
        <f>IF(AND(ISNUMBER(Radar_Mosca!$F20),ISNUMBER(Radar_Mosca!$S20)),IF(AND(Radar_Mosca!$F20=CC$4,Radar_Mosca!$AA20=CC$3),Radar_Mosca!$S20,NA()),NA())</f>
        <v/>
      </c>
      <c r="CD20">
        <f>IF(AND(ISNUMBER(Radar_Mosca!$F20),ISNUMBER(Radar_Mosca!$S20)),IF(AND(Radar_Mosca!$F20=CD$4,Radar_Mosca!$AA20=CD$3),Radar_Mosca!$S20,NA()),NA())</f>
        <v/>
      </c>
      <c r="CE20">
        <f>IF(AND(ISNUMBER(Radar_Mosca!$F20),ISNUMBER(Radar_Mosca!$S20)),IF(AND(Radar_Mosca!$F20=CE$4,Radar_Mosca!$AA20=CE$3),Radar_Mosca!$S20,NA()),NA())</f>
        <v/>
      </c>
      <c r="CF20">
        <f>IF(AND(ISNUMBER(Radar_Mosca!$F20),ISNUMBER(Radar_Mosca!$S20)),IF(AND(Radar_Mosca!$F20=CF$4,Radar_Mosca!$AA20=CF$3),Radar_Mosca!$S20,NA()),NA())</f>
        <v/>
      </c>
      <c r="CG20">
        <f>IF(AND(ISNUMBER(Radar_Mosca!$F20),ISNUMBER(Radar_Mosca!$S20)),IF(AND(Radar_Mosca!$F20=CG$4,Radar_Mosca!$AA20=CG$3),Radar_Mosca!$S20,NA()),NA())</f>
        <v/>
      </c>
      <c r="CH20">
        <f>IF(AND(ISNUMBER(Radar_Mosca!$F20),ISNUMBER(Radar_Mosca!$S20)),IF(AND(Radar_Mosca!$F20=CH$4,Radar_Mosca!$AA20=CH$3),Radar_Mosca!$S20,NA()),NA())</f>
        <v/>
      </c>
      <c r="CI20">
        <f>IF(AND(ISNUMBER(Radar_Mosca!$F20),ISNUMBER(Radar_Mosca!$S20)),IF(AND(Radar_Mosca!$F20=CI$4,Radar_Mosca!$AA20=CI$3),Radar_Mosca!$S20,NA()),NA())</f>
        <v/>
      </c>
      <c r="CJ20">
        <f>IF(AND(ISNUMBER(Radar_Mosca!$F20),ISNUMBER(Radar_Mosca!$S20)),IF(AND(Radar_Mosca!$F20=CJ$4,Radar_Mosca!$AA20=CJ$3),Radar_Mosca!$S20,NA()),NA())</f>
        <v/>
      </c>
      <c r="CK20">
        <f>IF(AND(ISNUMBER(Radar_Mosca!$F20),ISNUMBER(Radar_Mosca!$S20)),IF(AND(Radar_Mosca!$F20=CK$4,Radar_Mosca!$AA20=CK$3),Radar_Mosca!$S20,NA()),NA())</f>
        <v/>
      </c>
      <c r="CL20">
        <f>IF(AND(ISNUMBER(Radar_Mosca!$F20),ISNUMBER(Radar_Mosca!$S20)),IF(AND(Radar_Mosca!$F20=CL$4,Radar_Mosca!$AA20=CL$3),Radar_Mosca!$S20,NA()),NA())</f>
        <v/>
      </c>
      <c r="CM20">
        <f>IF(AND(ISNUMBER(Radar_Mosca!$F20),ISNUMBER(Radar_Mosca!$S20)),IF(AND(Radar_Mosca!$F20=CM$4,Radar_Mosca!$AA20=CM$3),Radar_Mosca!$S20,NA()),NA())</f>
        <v/>
      </c>
      <c r="CN20">
        <f>IF(AND(ISNUMBER(Radar_Mosca!$F20),ISNUMBER(Radar_Mosca!$S20)),IF(AND(Radar_Mosca!$F20=CN$4,Radar_Mosca!$AA20=CN$3),Radar_Mosca!$S20,NA()),NA())</f>
        <v/>
      </c>
      <c r="CO20">
        <f>IF(AND(ISNUMBER(Radar_Mosca!$F20),ISNUMBER(Radar_Mosca!$S20)),IF(AND(Radar_Mosca!$F20=CO$4,Radar_Mosca!$AA20=CO$3),Radar_Mosca!$S20,NA()),NA())</f>
        <v/>
      </c>
      <c r="CP20">
        <f>IF(AND(ISNUMBER(Radar_Mosca!$F20),ISNUMBER(Radar_Mosca!$S20)),IF(AND(Radar_Mosca!$F20=CP$4,Radar_Mosca!$AA20=CP$3),Radar_Mosca!$S20,NA()),NA())</f>
        <v/>
      </c>
      <c r="CQ20">
        <f>IF(AND(ISNUMBER(Radar_Mosca!$F20),ISNUMBER(Radar_Mosca!$S20)),IF(AND(Radar_Mosca!$F20=CQ$4,Radar_Mosca!$AA20=CQ$3),Radar_Mosca!$S20,NA()),NA())</f>
        <v/>
      </c>
      <c r="CR20">
        <f>IF(AND(ISNUMBER(Radar_Mosca!$F20),ISNUMBER(Radar_Mosca!$S20)),IF(AND(Radar_Mosca!$F20=CR$4,Radar_Mosca!$AA20=CR$3),Radar_Mosca!$S20,NA()),NA())</f>
        <v/>
      </c>
      <c r="CS20">
        <f>IF(AND(ISNUMBER(Radar_Mosca!$F20),ISNUMBER(Radar_Mosca!$S20)),IF(AND(Radar_Mosca!$F20=CS$4,Radar_Mosca!$AA20=CS$3),Radar_Mosca!$S20,NA()),NA())</f>
        <v/>
      </c>
      <c r="CT20">
        <f>IF(AND(ISNUMBER(Radar_Mosca!$F20),ISNUMBER(Radar_Mosca!$S20)),IF(AND(Radar_Mosca!$F20=CT$4,Radar_Mosca!$AA20=CT$3),Radar_Mosca!$S20,NA()),NA())</f>
        <v/>
      </c>
      <c r="CU20">
        <f>IF(AND(ISNUMBER(Radar_Mosca!$F20),ISNUMBER(Radar_Mosca!$S20)),IF(AND(Radar_Mosca!$F20=CU$4,Radar_Mosca!$AA20=CU$3),Radar_Mosca!$S20,NA()),NA())</f>
        <v/>
      </c>
      <c r="CV20">
        <f>IF(AND(ISNUMBER(Radar_Mosca!$F20),ISNUMBER(Radar_Mosca!$S20)),IF(AND(Radar_Mosca!$F20=CV$4,Radar_Mosca!$AA20=CV$3),Radar_Mosca!$S20,NA()),NA())</f>
        <v/>
      </c>
      <c r="CW20">
        <f>IF(AND(ISNUMBER(Radar_Mosca!$F20),ISNUMBER(Radar_Mosca!$S20)),IF(AND(Radar_Mosca!$F20=CW$4,Radar_Mosca!$AA20=CW$3),Radar_Mosca!$S20,NA()),NA())</f>
        <v/>
      </c>
      <c r="CX20">
        <f>IF(AND(ISNUMBER(Radar_Mosca!$F20),ISNUMBER(Radar_Mosca!$S20)),IF(AND(Radar_Mosca!$F20=CX$4,Radar_Mosca!$AA20=CX$3),Radar_Mosca!$S20,NA()),NA())</f>
        <v/>
      </c>
      <c r="CY20">
        <f>IF(AND(ISNUMBER(Radar_Mosca!$F20),ISNUMBER(Radar_Mosca!$S20)),IF(AND(Radar_Mosca!$F20=CY$4,Radar_Mosca!$AA20=CY$3),Radar_Mosca!$S20,NA()),NA())</f>
        <v/>
      </c>
      <c r="CZ20">
        <f>IF(AND(ISNUMBER(Radar_Mosca!$F20),ISNUMBER(Radar_Mosca!$S20)),IF(AND(Radar_Mosca!$F20=CZ$4,Radar_Mosca!$AA20=CZ$3),Radar_Mosca!$S20,NA()),NA())</f>
        <v/>
      </c>
      <c r="DA20">
        <f>IF(AND(ISNUMBER(Radar_Mosca!$F20),ISNUMBER(Radar_Mosca!$S20)),IF(AND(Radar_Mosca!$F20=DA$4,Radar_Mosca!$AA20=DA$3),Radar_Mosca!$S20,NA()),NA())</f>
        <v/>
      </c>
      <c r="DB20">
        <f>IF(AND(ISNUMBER(Radar_Mosca!$F20),ISNUMBER(Radar_Mosca!$S20)),IF(AND(Radar_Mosca!$F20=DB$4,Radar_Mosca!$AA20=DB$3),Radar_Mosca!$S20,NA()),NA())</f>
        <v/>
      </c>
      <c r="DC20">
        <f>IF(AND(ISNUMBER(Radar_Mosca!$F20),ISNUMBER(Radar_Mosca!$S20)),IF(AND(Radar_Mosca!$F20=DC$4,Radar_Mosca!$AA20=DC$3),Radar_Mosca!$S20,NA()),NA())</f>
        <v/>
      </c>
      <c r="DD20">
        <f>IF(AND(ISNUMBER(Radar_Mosca!$F20),ISNUMBER(Radar_Mosca!$S20)),IF(AND(Radar_Mosca!$F20=DD$4,Radar_Mosca!$AA20=DD$3),Radar_Mosca!$S20,NA()),NA())</f>
        <v/>
      </c>
      <c r="DE20">
        <f>IF(AND(ISNUMBER(Radar_Mosca!$F20),ISNUMBER(Radar_Mosca!$S20)),IF(AND(Radar_Mosca!$F20=DE$4,Radar_Mosca!$AA20=DE$3),Radar_Mosca!$S20,NA()),NA())</f>
        <v/>
      </c>
      <c r="DF20">
        <f>IF(AND(ISNUMBER(Radar_Mosca!$F20),ISNUMBER(Radar_Mosca!$S20)),IF(AND(Radar_Mosca!$F20=DF$4,Radar_Mosca!$AA20=DF$3),Radar_Mosca!$S20,NA()),NA())</f>
        <v/>
      </c>
      <c r="DG20">
        <f>IF(AND(ISNUMBER(Radar_Mosca!$F20),ISNUMBER(Radar_Mosca!$S20)),IF(AND(Radar_Mosca!$F20=DG$4,Radar_Mosca!$AA20=DG$3),Radar_Mosca!$S20,NA()),NA())</f>
        <v/>
      </c>
      <c r="DH20">
        <f>IF(AND(ISNUMBER(Radar_Mosca!$F20),ISNUMBER(Radar_Mosca!$S20)),IF(AND(Radar_Mosca!$F20=DH$4,Radar_Mosca!$AA20=DH$3),Radar_Mosca!$S20,NA()),NA())</f>
        <v/>
      </c>
      <c r="DI20">
        <f>IF(AND(ISNUMBER(Radar_Mosca!$F20),ISNUMBER(Radar_Mosca!$S20)),IF(AND(Radar_Mosca!$F20=DI$4,Radar_Mosca!$AA20=DI$3),Radar_Mosca!$S20,NA()),NA())</f>
        <v/>
      </c>
      <c r="DJ20">
        <f>IF(AND(ISNUMBER(Radar_Mosca!$F20),ISNUMBER(Radar_Mosca!$S20)),IF(AND(Radar_Mosca!$F20=DJ$4,Radar_Mosca!$AA20=DJ$3),Radar_Mosca!$S20,NA()),NA())</f>
        <v/>
      </c>
      <c r="DK20">
        <f>IF(AND(ISNUMBER(Radar_Mosca!$F20),ISNUMBER(Radar_Mosca!$S20)),IF(AND(Radar_Mosca!$F20=DK$4,Radar_Mosca!$AA20=DK$3),Radar_Mosca!$S20,NA()),NA())</f>
        <v/>
      </c>
      <c r="DL20">
        <f>IF(AND(ISNUMBER(Radar_Mosca!$F20),ISNUMBER(Radar_Mosca!$S20)),IF(AND(Radar_Mosca!$F20=DL$4,Radar_Mosca!$AA20=DL$3),Radar_Mosca!$S20,NA()),NA())</f>
        <v/>
      </c>
      <c r="DM20">
        <f>IF(AND(ISNUMBER(Radar_Mosca!$F20),ISNUMBER(Radar_Mosca!$S20)),IF(AND(Radar_Mosca!$F20=DM$4,Radar_Mosca!$AA20=DM$3),Radar_Mosca!$S20,NA()),NA())</f>
        <v/>
      </c>
      <c r="DN20">
        <f>IF(AND(ISNUMBER(Radar_Mosca!$F20),ISNUMBER(Radar_Mosca!$S20)),IF(AND(Radar_Mosca!$F20=DN$4,Radar_Mosca!$AA20=DN$3),Radar_Mosca!$S20,NA()),NA())</f>
        <v/>
      </c>
      <c r="DO20">
        <f>IF(ISNUMBER(Radar_Mosca!$R20),Radar_Mosca!$R20,NA())</f>
        <v/>
      </c>
      <c r="DP20">
        <f>IF(Radar_Mosca!$A20="","",MID(Radar_Mosca!$A20,5,3)&amp;IF(Radar_Mosca!$T20="Sì"," ◆",""))</f>
        <v/>
      </c>
      <c r="DQ20">
        <f>IF(ISNUMBER(Radar_Mosca!$S20),Radar_Mosca!$S20,NA())</f>
        <v/>
      </c>
    </row>
    <row r="21" ht="12" customHeight="1">
      <c r="J21" s="48">
        <f>INDEX(posID,4)&amp;""</f>
        <v/>
      </c>
      <c r="K21" s="49">
        <f>IF(J21="","",INDEX(posNome,4)&amp;IF(INDEX(ANA_Attenzione_Supervisore,4)="Sì","  ◆",""))</f>
        <v/>
      </c>
      <c r="T21">
        <f>IF(Radar_Mosca!$AA$21="Attivazione",Radar_Mosca!$A$21,"")</f>
        <v/>
      </c>
      <c r="BH21">
        <f>2*PI()*16/72</f>
        <v/>
      </c>
      <c r="BI21">
        <f>2*SIN($BH21)</f>
        <v/>
      </c>
      <c r="BJ21">
        <f>2*COS($BH21)</f>
        <v/>
      </c>
      <c r="BK21">
        <f>3*SIN($BH21)</f>
        <v/>
      </c>
      <c r="BL21">
        <f>3*COS($BH21)</f>
        <v/>
      </c>
      <c r="BM21">
        <f>4*SIN($BH21)</f>
        <v/>
      </c>
      <c r="BN21">
        <f>4*COS($BH21)</f>
        <v/>
      </c>
      <c r="BO21">
        <f>5*SIN($BH21)</f>
        <v/>
      </c>
      <c r="BP21">
        <f>5*COS($BH21)</f>
        <v/>
      </c>
      <c r="BR21" t="n">
        <v>0</v>
      </c>
      <c r="BS21" t="n">
        <v>0</v>
      </c>
      <c r="BY21">
        <f>IF(AND(ISNUMBER(Radar_Mosca!$F21),ISNUMBER(Radar_Mosca!$S21)),IF(AND(Radar_Mosca!$F21=BY$4,Radar_Mosca!$AA21=BY$3),Radar_Mosca!$S21,NA()),NA())</f>
        <v/>
      </c>
      <c r="BZ21">
        <f>IF(AND(ISNUMBER(Radar_Mosca!$F21),ISNUMBER(Radar_Mosca!$S21)),IF(AND(Radar_Mosca!$F21=BZ$4,Radar_Mosca!$AA21=BZ$3),Radar_Mosca!$S21,NA()),NA())</f>
        <v/>
      </c>
      <c r="CA21">
        <f>IF(AND(ISNUMBER(Radar_Mosca!$F21),ISNUMBER(Radar_Mosca!$S21)),IF(AND(Radar_Mosca!$F21=CA$4,Radar_Mosca!$AA21=CA$3),Radar_Mosca!$S21,NA()),NA())</f>
        <v/>
      </c>
      <c r="CB21">
        <f>IF(AND(ISNUMBER(Radar_Mosca!$F21),ISNUMBER(Radar_Mosca!$S21)),IF(AND(Radar_Mosca!$F21=CB$4,Radar_Mosca!$AA21=CB$3),Radar_Mosca!$S21,NA()),NA())</f>
        <v/>
      </c>
      <c r="CC21">
        <f>IF(AND(ISNUMBER(Radar_Mosca!$F21),ISNUMBER(Radar_Mosca!$S21)),IF(AND(Radar_Mosca!$F21=CC$4,Radar_Mosca!$AA21=CC$3),Radar_Mosca!$S21,NA()),NA())</f>
        <v/>
      </c>
      <c r="CD21">
        <f>IF(AND(ISNUMBER(Radar_Mosca!$F21),ISNUMBER(Radar_Mosca!$S21)),IF(AND(Radar_Mosca!$F21=CD$4,Radar_Mosca!$AA21=CD$3),Radar_Mosca!$S21,NA()),NA())</f>
        <v/>
      </c>
      <c r="CE21">
        <f>IF(AND(ISNUMBER(Radar_Mosca!$F21),ISNUMBER(Radar_Mosca!$S21)),IF(AND(Radar_Mosca!$F21=CE$4,Radar_Mosca!$AA21=CE$3),Radar_Mosca!$S21,NA()),NA())</f>
        <v/>
      </c>
      <c r="CF21">
        <f>IF(AND(ISNUMBER(Radar_Mosca!$F21),ISNUMBER(Radar_Mosca!$S21)),IF(AND(Radar_Mosca!$F21=CF$4,Radar_Mosca!$AA21=CF$3),Radar_Mosca!$S21,NA()),NA())</f>
        <v/>
      </c>
      <c r="CG21">
        <f>IF(AND(ISNUMBER(Radar_Mosca!$F21),ISNUMBER(Radar_Mosca!$S21)),IF(AND(Radar_Mosca!$F21=CG$4,Radar_Mosca!$AA21=CG$3),Radar_Mosca!$S21,NA()),NA())</f>
        <v/>
      </c>
      <c r="CH21">
        <f>IF(AND(ISNUMBER(Radar_Mosca!$F21),ISNUMBER(Radar_Mosca!$S21)),IF(AND(Radar_Mosca!$F21=CH$4,Radar_Mosca!$AA21=CH$3),Radar_Mosca!$S21,NA()),NA())</f>
        <v/>
      </c>
      <c r="CI21">
        <f>IF(AND(ISNUMBER(Radar_Mosca!$F21),ISNUMBER(Radar_Mosca!$S21)),IF(AND(Radar_Mosca!$F21=CI$4,Radar_Mosca!$AA21=CI$3),Radar_Mosca!$S21,NA()),NA())</f>
        <v/>
      </c>
      <c r="CJ21">
        <f>IF(AND(ISNUMBER(Radar_Mosca!$F21),ISNUMBER(Radar_Mosca!$S21)),IF(AND(Radar_Mosca!$F21=CJ$4,Radar_Mosca!$AA21=CJ$3),Radar_Mosca!$S21,NA()),NA())</f>
        <v/>
      </c>
      <c r="CK21">
        <f>IF(AND(ISNUMBER(Radar_Mosca!$F21),ISNUMBER(Radar_Mosca!$S21)),IF(AND(Radar_Mosca!$F21=CK$4,Radar_Mosca!$AA21=CK$3),Radar_Mosca!$S21,NA()),NA())</f>
        <v/>
      </c>
      <c r="CL21">
        <f>IF(AND(ISNUMBER(Radar_Mosca!$F21),ISNUMBER(Radar_Mosca!$S21)),IF(AND(Radar_Mosca!$F21=CL$4,Radar_Mosca!$AA21=CL$3),Radar_Mosca!$S21,NA()),NA())</f>
        <v/>
      </c>
      <c r="CM21">
        <f>IF(AND(ISNUMBER(Radar_Mosca!$F21),ISNUMBER(Radar_Mosca!$S21)),IF(AND(Radar_Mosca!$F21=CM$4,Radar_Mosca!$AA21=CM$3),Radar_Mosca!$S21,NA()),NA())</f>
        <v/>
      </c>
      <c r="CN21">
        <f>IF(AND(ISNUMBER(Radar_Mosca!$F21),ISNUMBER(Radar_Mosca!$S21)),IF(AND(Radar_Mosca!$F21=CN$4,Radar_Mosca!$AA21=CN$3),Radar_Mosca!$S21,NA()),NA())</f>
        <v/>
      </c>
      <c r="CO21">
        <f>IF(AND(ISNUMBER(Radar_Mosca!$F21),ISNUMBER(Radar_Mosca!$S21)),IF(AND(Radar_Mosca!$F21=CO$4,Radar_Mosca!$AA21=CO$3),Radar_Mosca!$S21,NA()),NA())</f>
        <v/>
      </c>
      <c r="CP21">
        <f>IF(AND(ISNUMBER(Radar_Mosca!$F21),ISNUMBER(Radar_Mosca!$S21)),IF(AND(Radar_Mosca!$F21=CP$4,Radar_Mosca!$AA21=CP$3),Radar_Mosca!$S21,NA()),NA())</f>
        <v/>
      </c>
      <c r="CQ21">
        <f>IF(AND(ISNUMBER(Radar_Mosca!$F21),ISNUMBER(Radar_Mosca!$S21)),IF(AND(Radar_Mosca!$F21=CQ$4,Radar_Mosca!$AA21=CQ$3),Radar_Mosca!$S21,NA()),NA())</f>
        <v/>
      </c>
      <c r="CR21">
        <f>IF(AND(ISNUMBER(Radar_Mosca!$F21),ISNUMBER(Radar_Mosca!$S21)),IF(AND(Radar_Mosca!$F21=CR$4,Radar_Mosca!$AA21=CR$3),Radar_Mosca!$S21,NA()),NA())</f>
        <v/>
      </c>
      <c r="CS21">
        <f>IF(AND(ISNUMBER(Radar_Mosca!$F21),ISNUMBER(Radar_Mosca!$S21)),IF(AND(Radar_Mosca!$F21=CS$4,Radar_Mosca!$AA21=CS$3),Radar_Mosca!$S21,NA()),NA())</f>
        <v/>
      </c>
      <c r="CT21">
        <f>IF(AND(ISNUMBER(Radar_Mosca!$F21),ISNUMBER(Radar_Mosca!$S21)),IF(AND(Radar_Mosca!$F21=CT$4,Radar_Mosca!$AA21=CT$3),Radar_Mosca!$S21,NA()),NA())</f>
        <v/>
      </c>
      <c r="CU21">
        <f>IF(AND(ISNUMBER(Radar_Mosca!$F21),ISNUMBER(Radar_Mosca!$S21)),IF(AND(Radar_Mosca!$F21=CU$4,Radar_Mosca!$AA21=CU$3),Radar_Mosca!$S21,NA()),NA())</f>
        <v/>
      </c>
      <c r="CV21">
        <f>IF(AND(ISNUMBER(Radar_Mosca!$F21),ISNUMBER(Radar_Mosca!$S21)),IF(AND(Radar_Mosca!$F21=CV$4,Radar_Mosca!$AA21=CV$3),Radar_Mosca!$S21,NA()),NA())</f>
        <v/>
      </c>
      <c r="CW21">
        <f>IF(AND(ISNUMBER(Radar_Mosca!$F21),ISNUMBER(Radar_Mosca!$S21)),IF(AND(Radar_Mosca!$F21=CW$4,Radar_Mosca!$AA21=CW$3),Radar_Mosca!$S21,NA()),NA())</f>
        <v/>
      </c>
      <c r="CX21">
        <f>IF(AND(ISNUMBER(Radar_Mosca!$F21),ISNUMBER(Radar_Mosca!$S21)),IF(AND(Radar_Mosca!$F21=CX$4,Radar_Mosca!$AA21=CX$3),Radar_Mosca!$S21,NA()),NA())</f>
        <v/>
      </c>
      <c r="CY21">
        <f>IF(AND(ISNUMBER(Radar_Mosca!$F21),ISNUMBER(Radar_Mosca!$S21)),IF(AND(Radar_Mosca!$F21=CY$4,Radar_Mosca!$AA21=CY$3),Radar_Mosca!$S21,NA()),NA())</f>
        <v/>
      </c>
      <c r="CZ21">
        <f>IF(AND(ISNUMBER(Radar_Mosca!$F21),ISNUMBER(Radar_Mosca!$S21)),IF(AND(Radar_Mosca!$F21=CZ$4,Radar_Mosca!$AA21=CZ$3),Radar_Mosca!$S21,NA()),NA())</f>
        <v/>
      </c>
      <c r="DA21">
        <f>IF(AND(ISNUMBER(Radar_Mosca!$F21),ISNUMBER(Radar_Mosca!$S21)),IF(AND(Radar_Mosca!$F21=DA$4,Radar_Mosca!$AA21=DA$3),Radar_Mosca!$S21,NA()),NA())</f>
        <v/>
      </c>
      <c r="DB21">
        <f>IF(AND(ISNUMBER(Radar_Mosca!$F21),ISNUMBER(Radar_Mosca!$S21)),IF(AND(Radar_Mosca!$F21=DB$4,Radar_Mosca!$AA21=DB$3),Radar_Mosca!$S21,NA()),NA())</f>
        <v/>
      </c>
      <c r="DC21">
        <f>IF(AND(ISNUMBER(Radar_Mosca!$F21),ISNUMBER(Radar_Mosca!$S21)),IF(AND(Radar_Mosca!$F21=DC$4,Radar_Mosca!$AA21=DC$3),Radar_Mosca!$S21,NA()),NA())</f>
        <v/>
      </c>
      <c r="DD21">
        <f>IF(AND(ISNUMBER(Radar_Mosca!$F21),ISNUMBER(Radar_Mosca!$S21)),IF(AND(Radar_Mosca!$F21=DD$4,Radar_Mosca!$AA21=DD$3),Radar_Mosca!$S21,NA()),NA())</f>
        <v/>
      </c>
      <c r="DE21">
        <f>IF(AND(ISNUMBER(Radar_Mosca!$F21),ISNUMBER(Radar_Mosca!$S21)),IF(AND(Radar_Mosca!$F21=DE$4,Radar_Mosca!$AA21=DE$3),Radar_Mosca!$S21,NA()),NA())</f>
        <v/>
      </c>
      <c r="DF21">
        <f>IF(AND(ISNUMBER(Radar_Mosca!$F21),ISNUMBER(Radar_Mosca!$S21)),IF(AND(Radar_Mosca!$F21=DF$4,Radar_Mosca!$AA21=DF$3),Radar_Mosca!$S21,NA()),NA())</f>
        <v/>
      </c>
      <c r="DG21">
        <f>IF(AND(ISNUMBER(Radar_Mosca!$F21),ISNUMBER(Radar_Mosca!$S21)),IF(AND(Radar_Mosca!$F21=DG$4,Radar_Mosca!$AA21=DG$3),Radar_Mosca!$S21,NA()),NA())</f>
        <v/>
      </c>
      <c r="DH21">
        <f>IF(AND(ISNUMBER(Radar_Mosca!$F21),ISNUMBER(Radar_Mosca!$S21)),IF(AND(Radar_Mosca!$F21=DH$4,Radar_Mosca!$AA21=DH$3),Radar_Mosca!$S21,NA()),NA())</f>
        <v/>
      </c>
      <c r="DI21">
        <f>IF(AND(ISNUMBER(Radar_Mosca!$F21),ISNUMBER(Radar_Mosca!$S21)),IF(AND(Radar_Mosca!$F21=DI$4,Radar_Mosca!$AA21=DI$3),Radar_Mosca!$S21,NA()),NA())</f>
        <v/>
      </c>
      <c r="DJ21">
        <f>IF(AND(ISNUMBER(Radar_Mosca!$F21),ISNUMBER(Radar_Mosca!$S21)),IF(AND(Radar_Mosca!$F21=DJ$4,Radar_Mosca!$AA21=DJ$3),Radar_Mosca!$S21,NA()),NA())</f>
        <v/>
      </c>
      <c r="DK21">
        <f>IF(AND(ISNUMBER(Radar_Mosca!$F21),ISNUMBER(Radar_Mosca!$S21)),IF(AND(Radar_Mosca!$F21=DK$4,Radar_Mosca!$AA21=DK$3),Radar_Mosca!$S21,NA()),NA())</f>
        <v/>
      </c>
      <c r="DL21">
        <f>IF(AND(ISNUMBER(Radar_Mosca!$F21),ISNUMBER(Radar_Mosca!$S21)),IF(AND(Radar_Mosca!$F21=DL$4,Radar_Mosca!$AA21=DL$3),Radar_Mosca!$S21,NA()),NA())</f>
        <v/>
      </c>
      <c r="DM21">
        <f>IF(AND(ISNUMBER(Radar_Mosca!$F21),ISNUMBER(Radar_Mosca!$S21)),IF(AND(Radar_Mosca!$F21=DM$4,Radar_Mosca!$AA21=DM$3),Radar_Mosca!$S21,NA()),NA())</f>
        <v/>
      </c>
      <c r="DN21">
        <f>IF(AND(ISNUMBER(Radar_Mosca!$F21),ISNUMBER(Radar_Mosca!$S21)),IF(AND(Radar_Mosca!$F21=DN$4,Radar_Mosca!$AA21=DN$3),Radar_Mosca!$S21,NA()),NA())</f>
        <v/>
      </c>
      <c r="DO21">
        <f>IF(ISNUMBER(Radar_Mosca!$R21),Radar_Mosca!$R21,NA())</f>
        <v/>
      </c>
      <c r="DP21">
        <f>IF(Radar_Mosca!$A21="","",MID(Radar_Mosca!$A21,5,3)&amp;IF(Radar_Mosca!$T21="Sì"," ◆",""))</f>
        <v/>
      </c>
      <c r="DQ21">
        <f>IF(ISNUMBER(Radar_Mosca!$S21),Radar_Mosca!$S21,NA())</f>
        <v/>
      </c>
    </row>
    <row r="22" ht="12" customHeight="1">
      <c r="J22" s="48">
        <f>INDEX(posID,5)&amp;""</f>
        <v/>
      </c>
      <c r="K22" s="49">
        <f>IF(J22="","",INDEX(posNome,5)&amp;IF(INDEX(ANA_Attenzione_Supervisore,5)="Sì","  ◆",""))</f>
        <v/>
      </c>
      <c r="T22">
        <f>IF(Radar_Mosca!$AA$22="Attivazione",Radar_Mosca!$A$22,"")</f>
        <v/>
      </c>
      <c r="BH22">
        <f>2*PI()*17/72</f>
        <v/>
      </c>
      <c r="BI22">
        <f>2*SIN($BH22)</f>
        <v/>
      </c>
      <c r="BJ22">
        <f>2*COS($BH22)</f>
        <v/>
      </c>
      <c r="BK22">
        <f>3*SIN($BH22)</f>
        <v/>
      </c>
      <c r="BL22">
        <f>3*COS($BH22)</f>
        <v/>
      </c>
      <c r="BM22">
        <f>4*SIN($BH22)</f>
        <v/>
      </c>
      <c r="BN22">
        <f>4*COS($BH22)</f>
        <v/>
      </c>
      <c r="BO22">
        <f>5*SIN($BH22)</f>
        <v/>
      </c>
      <c r="BP22">
        <f>5*COS($BH22)</f>
        <v/>
      </c>
      <c r="BR22">
        <f>6.3*SIN(2*PI()*8/ROWS(codiciL1))</f>
        <v/>
      </c>
      <c r="BS22">
        <f>6.3*COS(2*PI()*8/ROWS(codiciL1))</f>
        <v/>
      </c>
      <c r="BY22">
        <f>IF(AND(ISNUMBER(Radar_Mosca!$F22),ISNUMBER(Radar_Mosca!$S22)),IF(AND(Radar_Mosca!$F22=BY$4,Radar_Mosca!$AA22=BY$3),Radar_Mosca!$S22,NA()),NA())</f>
        <v/>
      </c>
      <c r="BZ22">
        <f>IF(AND(ISNUMBER(Radar_Mosca!$F22),ISNUMBER(Radar_Mosca!$S22)),IF(AND(Radar_Mosca!$F22=BZ$4,Radar_Mosca!$AA22=BZ$3),Radar_Mosca!$S22,NA()),NA())</f>
        <v/>
      </c>
      <c r="CA22">
        <f>IF(AND(ISNUMBER(Radar_Mosca!$F22),ISNUMBER(Radar_Mosca!$S22)),IF(AND(Radar_Mosca!$F22=CA$4,Radar_Mosca!$AA22=CA$3),Radar_Mosca!$S22,NA()),NA())</f>
        <v/>
      </c>
      <c r="CB22">
        <f>IF(AND(ISNUMBER(Radar_Mosca!$F22),ISNUMBER(Radar_Mosca!$S22)),IF(AND(Radar_Mosca!$F22=CB$4,Radar_Mosca!$AA22=CB$3),Radar_Mosca!$S22,NA()),NA())</f>
        <v/>
      </c>
      <c r="CC22">
        <f>IF(AND(ISNUMBER(Radar_Mosca!$F22),ISNUMBER(Radar_Mosca!$S22)),IF(AND(Radar_Mosca!$F22=CC$4,Radar_Mosca!$AA22=CC$3),Radar_Mosca!$S22,NA()),NA())</f>
        <v/>
      </c>
      <c r="CD22">
        <f>IF(AND(ISNUMBER(Radar_Mosca!$F22),ISNUMBER(Radar_Mosca!$S22)),IF(AND(Radar_Mosca!$F22=CD$4,Radar_Mosca!$AA22=CD$3),Radar_Mosca!$S22,NA()),NA())</f>
        <v/>
      </c>
      <c r="CE22">
        <f>IF(AND(ISNUMBER(Radar_Mosca!$F22),ISNUMBER(Radar_Mosca!$S22)),IF(AND(Radar_Mosca!$F22=CE$4,Radar_Mosca!$AA22=CE$3),Radar_Mosca!$S22,NA()),NA())</f>
        <v/>
      </c>
      <c r="CF22">
        <f>IF(AND(ISNUMBER(Radar_Mosca!$F22),ISNUMBER(Radar_Mosca!$S22)),IF(AND(Radar_Mosca!$F22=CF$4,Radar_Mosca!$AA22=CF$3),Radar_Mosca!$S22,NA()),NA())</f>
        <v/>
      </c>
      <c r="CG22">
        <f>IF(AND(ISNUMBER(Radar_Mosca!$F22),ISNUMBER(Radar_Mosca!$S22)),IF(AND(Radar_Mosca!$F22=CG$4,Radar_Mosca!$AA22=CG$3),Radar_Mosca!$S22,NA()),NA())</f>
        <v/>
      </c>
      <c r="CH22">
        <f>IF(AND(ISNUMBER(Radar_Mosca!$F22),ISNUMBER(Radar_Mosca!$S22)),IF(AND(Radar_Mosca!$F22=CH$4,Radar_Mosca!$AA22=CH$3),Radar_Mosca!$S22,NA()),NA())</f>
        <v/>
      </c>
      <c r="CI22">
        <f>IF(AND(ISNUMBER(Radar_Mosca!$F22),ISNUMBER(Radar_Mosca!$S22)),IF(AND(Radar_Mosca!$F22=CI$4,Radar_Mosca!$AA22=CI$3),Radar_Mosca!$S22,NA()),NA())</f>
        <v/>
      </c>
      <c r="CJ22">
        <f>IF(AND(ISNUMBER(Radar_Mosca!$F22),ISNUMBER(Radar_Mosca!$S22)),IF(AND(Radar_Mosca!$F22=CJ$4,Radar_Mosca!$AA22=CJ$3),Radar_Mosca!$S22,NA()),NA())</f>
        <v/>
      </c>
      <c r="CK22">
        <f>IF(AND(ISNUMBER(Radar_Mosca!$F22),ISNUMBER(Radar_Mosca!$S22)),IF(AND(Radar_Mosca!$F22=CK$4,Radar_Mosca!$AA22=CK$3),Radar_Mosca!$S22,NA()),NA())</f>
        <v/>
      </c>
      <c r="CL22">
        <f>IF(AND(ISNUMBER(Radar_Mosca!$F22),ISNUMBER(Radar_Mosca!$S22)),IF(AND(Radar_Mosca!$F22=CL$4,Radar_Mosca!$AA22=CL$3),Radar_Mosca!$S22,NA()),NA())</f>
        <v/>
      </c>
      <c r="CM22">
        <f>IF(AND(ISNUMBER(Radar_Mosca!$F22),ISNUMBER(Radar_Mosca!$S22)),IF(AND(Radar_Mosca!$F22=CM$4,Radar_Mosca!$AA22=CM$3),Radar_Mosca!$S22,NA()),NA())</f>
        <v/>
      </c>
      <c r="CN22">
        <f>IF(AND(ISNUMBER(Radar_Mosca!$F22),ISNUMBER(Radar_Mosca!$S22)),IF(AND(Radar_Mosca!$F22=CN$4,Radar_Mosca!$AA22=CN$3),Radar_Mosca!$S22,NA()),NA())</f>
        <v/>
      </c>
      <c r="CO22">
        <f>IF(AND(ISNUMBER(Radar_Mosca!$F22),ISNUMBER(Radar_Mosca!$S22)),IF(AND(Radar_Mosca!$F22=CO$4,Radar_Mosca!$AA22=CO$3),Radar_Mosca!$S22,NA()),NA())</f>
        <v/>
      </c>
      <c r="CP22">
        <f>IF(AND(ISNUMBER(Radar_Mosca!$F22),ISNUMBER(Radar_Mosca!$S22)),IF(AND(Radar_Mosca!$F22=CP$4,Radar_Mosca!$AA22=CP$3),Radar_Mosca!$S22,NA()),NA())</f>
        <v/>
      </c>
      <c r="CQ22">
        <f>IF(AND(ISNUMBER(Radar_Mosca!$F22),ISNUMBER(Radar_Mosca!$S22)),IF(AND(Radar_Mosca!$F22=CQ$4,Radar_Mosca!$AA22=CQ$3),Radar_Mosca!$S22,NA()),NA())</f>
        <v/>
      </c>
      <c r="CR22">
        <f>IF(AND(ISNUMBER(Radar_Mosca!$F22),ISNUMBER(Radar_Mosca!$S22)),IF(AND(Radar_Mosca!$F22=CR$4,Radar_Mosca!$AA22=CR$3),Radar_Mosca!$S22,NA()),NA())</f>
        <v/>
      </c>
      <c r="CS22">
        <f>IF(AND(ISNUMBER(Radar_Mosca!$F22),ISNUMBER(Radar_Mosca!$S22)),IF(AND(Radar_Mosca!$F22=CS$4,Radar_Mosca!$AA22=CS$3),Radar_Mosca!$S22,NA()),NA())</f>
        <v/>
      </c>
      <c r="CT22">
        <f>IF(AND(ISNUMBER(Radar_Mosca!$F22),ISNUMBER(Radar_Mosca!$S22)),IF(AND(Radar_Mosca!$F22=CT$4,Radar_Mosca!$AA22=CT$3),Radar_Mosca!$S22,NA()),NA())</f>
        <v/>
      </c>
      <c r="CU22">
        <f>IF(AND(ISNUMBER(Radar_Mosca!$F22),ISNUMBER(Radar_Mosca!$S22)),IF(AND(Radar_Mosca!$F22=CU$4,Radar_Mosca!$AA22=CU$3),Radar_Mosca!$S22,NA()),NA())</f>
        <v/>
      </c>
      <c r="CV22">
        <f>IF(AND(ISNUMBER(Radar_Mosca!$F22),ISNUMBER(Radar_Mosca!$S22)),IF(AND(Radar_Mosca!$F22=CV$4,Radar_Mosca!$AA22=CV$3),Radar_Mosca!$S22,NA()),NA())</f>
        <v/>
      </c>
      <c r="CW22">
        <f>IF(AND(ISNUMBER(Radar_Mosca!$F22),ISNUMBER(Radar_Mosca!$S22)),IF(AND(Radar_Mosca!$F22=CW$4,Radar_Mosca!$AA22=CW$3),Radar_Mosca!$S22,NA()),NA())</f>
        <v/>
      </c>
      <c r="CX22">
        <f>IF(AND(ISNUMBER(Radar_Mosca!$F22),ISNUMBER(Radar_Mosca!$S22)),IF(AND(Radar_Mosca!$F22=CX$4,Radar_Mosca!$AA22=CX$3),Radar_Mosca!$S22,NA()),NA())</f>
        <v/>
      </c>
      <c r="CY22">
        <f>IF(AND(ISNUMBER(Radar_Mosca!$F22),ISNUMBER(Radar_Mosca!$S22)),IF(AND(Radar_Mosca!$F22=CY$4,Radar_Mosca!$AA22=CY$3),Radar_Mosca!$S22,NA()),NA())</f>
        <v/>
      </c>
      <c r="CZ22">
        <f>IF(AND(ISNUMBER(Radar_Mosca!$F22),ISNUMBER(Radar_Mosca!$S22)),IF(AND(Radar_Mosca!$F22=CZ$4,Radar_Mosca!$AA22=CZ$3),Radar_Mosca!$S22,NA()),NA())</f>
        <v/>
      </c>
      <c r="DA22">
        <f>IF(AND(ISNUMBER(Radar_Mosca!$F22),ISNUMBER(Radar_Mosca!$S22)),IF(AND(Radar_Mosca!$F22=DA$4,Radar_Mosca!$AA22=DA$3),Radar_Mosca!$S22,NA()),NA())</f>
        <v/>
      </c>
      <c r="DB22">
        <f>IF(AND(ISNUMBER(Radar_Mosca!$F22),ISNUMBER(Radar_Mosca!$S22)),IF(AND(Radar_Mosca!$F22=DB$4,Radar_Mosca!$AA22=DB$3),Radar_Mosca!$S22,NA()),NA())</f>
        <v/>
      </c>
      <c r="DC22">
        <f>IF(AND(ISNUMBER(Radar_Mosca!$F22),ISNUMBER(Radar_Mosca!$S22)),IF(AND(Radar_Mosca!$F22=DC$4,Radar_Mosca!$AA22=DC$3),Radar_Mosca!$S22,NA()),NA())</f>
        <v/>
      </c>
      <c r="DD22">
        <f>IF(AND(ISNUMBER(Radar_Mosca!$F22),ISNUMBER(Radar_Mosca!$S22)),IF(AND(Radar_Mosca!$F22=DD$4,Radar_Mosca!$AA22=DD$3),Radar_Mosca!$S22,NA()),NA())</f>
        <v/>
      </c>
      <c r="DE22">
        <f>IF(AND(ISNUMBER(Radar_Mosca!$F22),ISNUMBER(Radar_Mosca!$S22)),IF(AND(Radar_Mosca!$F22=DE$4,Radar_Mosca!$AA22=DE$3),Radar_Mosca!$S22,NA()),NA())</f>
        <v/>
      </c>
      <c r="DF22">
        <f>IF(AND(ISNUMBER(Radar_Mosca!$F22),ISNUMBER(Radar_Mosca!$S22)),IF(AND(Radar_Mosca!$F22=DF$4,Radar_Mosca!$AA22=DF$3),Radar_Mosca!$S22,NA()),NA())</f>
        <v/>
      </c>
      <c r="DG22">
        <f>IF(AND(ISNUMBER(Radar_Mosca!$F22),ISNUMBER(Radar_Mosca!$S22)),IF(AND(Radar_Mosca!$F22=DG$4,Radar_Mosca!$AA22=DG$3),Radar_Mosca!$S22,NA()),NA())</f>
        <v/>
      </c>
      <c r="DH22">
        <f>IF(AND(ISNUMBER(Radar_Mosca!$F22),ISNUMBER(Radar_Mosca!$S22)),IF(AND(Radar_Mosca!$F22=DH$4,Radar_Mosca!$AA22=DH$3),Radar_Mosca!$S22,NA()),NA())</f>
        <v/>
      </c>
      <c r="DI22">
        <f>IF(AND(ISNUMBER(Radar_Mosca!$F22),ISNUMBER(Radar_Mosca!$S22)),IF(AND(Radar_Mosca!$F22=DI$4,Radar_Mosca!$AA22=DI$3),Radar_Mosca!$S22,NA()),NA())</f>
        <v/>
      </c>
      <c r="DJ22">
        <f>IF(AND(ISNUMBER(Radar_Mosca!$F22),ISNUMBER(Radar_Mosca!$S22)),IF(AND(Radar_Mosca!$F22=DJ$4,Radar_Mosca!$AA22=DJ$3),Radar_Mosca!$S22,NA()),NA())</f>
        <v/>
      </c>
      <c r="DK22">
        <f>IF(AND(ISNUMBER(Radar_Mosca!$F22),ISNUMBER(Radar_Mosca!$S22)),IF(AND(Radar_Mosca!$F22=DK$4,Radar_Mosca!$AA22=DK$3),Radar_Mosca!$S22,NA()),NA())</f>
        <v/>
      </c>
      <c r="DL22">
        <f>IF(AND(ISNUMBER(Radar_Mosca!$F22),ISNUMBER(Radar_Mosca!$S22)),IF(AND(Radar_Mosca!$F22=DL$4,Radar_Mosca!$AA22=DL$3),Radar_Mosca!$S22,NA()),NA())</f>
        <v/>
      </c>
      <c r="DM22">
        <f>IF(AND(ISNUMBER(Radar_Mosca!$F22),ISNUMBER(Radar_Mosca!$S22)),IF(AND(Radar_Mosca!$F22=DM$4,Radar_Mosca!$AA22=DM$3),Radar_Mosca!$S22,NA()),NA())</f>
        <v/>
      </c>
      <c r="DN22">
        <f>IF(AND(ISNUMBER(Radar_Mosca!$F22),ISNUMBER(Radar_Mosca!$S22)),IF(AND(Radar_Mosca!$F22=DN$4,Radar_Mosca!$AA22=DN$3),Radar_Mosca!$S22,NA()),NA())</f>
        <v/>
      </c>
      <c r="DO22">
        <f>IF(ISNUMBER(Radar_Mosca!$R22),Radar_Mosca!$R22,NA())</f>
        <v/>
      </c>
      <c r="DP22">
        <f>IF(Radar_Mosca!$A22="","",MID(Radar_Mosca!$A22,5,3)&amp;IF(Radar_Mosca!$T22="Sì"," ◆",""))</f>
        <v/>
      </c>
      <c r="DQ22">
        <f>IF(ISNUMBER(Radar_Mosca!$S22),Radar_Mosca!$S22,NA())</f>
        <v/>
      </c>
    </row>
    <row r="23" ht="12" customHeight="1">
      <c r="J23" s="48">
        <f>INDEX(posID,6)&amp;""</f>
        <v/>
      </c>
      <c r="K23" s="49">
        <f>IF(J23="","",INDEX(posNome,6)&amp;IF(INDEX(ANA_Attenzione_Supervisore,6)="Sì","  ◆",""))</f>
        <v/>
      </c>
      <c r="T23">
        <f>IF(Radar_Mosca!$AA$23="Attivazione",Radar_Mosca!$A$23,"")</f>
        <v/>
      </c>
      <c r="BH23">
        <f>2*PI()*18/72</f>
        <v/>
      </c>
      <c r="BI23">
        <f>2*SIN($BH23)</f>
        <v/>
      </c>
      <c r="BJ23">
        <f>2*COS($BH23)</f>
        <v/>
      </c>
      <c r="BK23">
        <f>3*SIN($BH23)</f>
        <v/>
      </c>
      <c r="BL23">
        <f>3*COS($BH23)</f>
        <v/>
      </c>
      <c r="BM23">
        <f>4*SIN($BH23)</f>
        <v/>
      </c>
      <c r="BN23">
        <f>4*COS($BH23)</f>
        <v/>
      </c>
      <c r="BO23">
        <f>5*SIN($BH23)</f>
        <v/>
      </c>
      <c r="BP23">
        <f>5*COS($BH23)</f>
        <v/>
      </c>
      <c r="BY23">
        <f>IF(AND(ISNUMBER(Radar_Mosca!$F23),ISNUMBER(Radar_Mosca!$S23)),IF(AND(Radar_Mosca!$F23=BY$4,Radar_Mosca!$AA23=BY$3),Radar_Mosca!$S23,NA()),NA())</f>
        <v/>
      </c>
      <c r="BZ23">
        <f>IF(AND(ISNUMBER(Radar_Mosca!$F23),ISNUMBER(Radar_Mosca!$S23)),IF(AND(Radar_Mosca!$F23=BZ$4,Radar_Mosca!$AA23=BZ$3),Radar_Mosca!$S23,NA()),NA())</f>
        <v/>
      </c>
      <c r="CA23">
        <f>IF(AND(ISNUMBER(Radar_Mosca!$F23),ISNUMBER(Radar_Mosca!$S23)),IF(AND(Radar_Mosca!$F23=CA$4,Radar_Mosca!$AA23=CA$3),Radar_Mosca!$S23,NA()),NA())</f>
        <v/>
      </c>
      <c r="CB23">
        <f>IF(AND(ISNUMBER(Radar_Mosca!$F23),ISNUMBER(Radar_Mosca!$S23)),IF(AND(Radar_Mosca!$F23=CB$4,Radar_Mosca!$AA23=CB$3),Radar_Mosca!$S23,NA()),NA())</f>
        <v/>
      </c>
      <c r="CC23">
        <f>IF(AND(ISNUMBER(Radar_Mosca!$F23),ISNUMBER(Radar_Mosca!$S23)),IF(AND(Radar_Mosca!$F23=CC$4,Radar_Mosca!$AA23=CC$3),Radar_Mosca!$S23,NA()),NA())</f>
        <v/>
      </c>
      <c r="CD23">
        <f>IF(AND(ISNUMBER(Radar_Mosca!$F23),ISNUMBER(Radar_Mosca!$S23)),IF(AND(Radar_Mosca!$F23=CD$4,Radar_Mosca!$AA23=CD$3),Radar_Mosca!$S23,NA()),NA())</f>
        <v/>
      </c>
      <c r="CE23">
        <f>IF(AND(ISNUMBER(Radar_Mosca!$F23),ISNUMBER(Radar_Mosca!$S23)),IF(AND(Radar_Mosca!$F23=CE$4,Radar_Mosca!$AA23=CE$3),Radar_Mosca!$S23,NA()),NA())</f>
        <v/>
      </c>
      <c r="CF23">
        <f>IF(AND(ISNUMBER(Radar_Mosca!$F23),ISNUMBER(Radar_Mosca!$S23)),IF(AND(Radar_Mosca!$F23=CF$4,Radar_Mosca!$AA23=CF$3),Radar_Mosca!$S23,NA()),NA())</f>
        <v/>
      </c>
      <c r="CG23">
        <f>IF(AND(ISNUMBER(Radar_Mosca!$F23),ISNUMBER(Radar_Mosca!$S23)),IF(AND(Radar_Mosca!$F23=CG$4,Radar_Mosca!$AA23=CG$3),Radar_Mosca!$S23,NA()),NA())</f>
        <v/>
      </c>
      <c r="CH23">
        <f>IF(AND(ISNUMBER(Radar_Mosca!$F23),ISNUMBER(Radar_Mosca!$S23)),IF(AND(Radar_Mosca!$F23=CH$4,Radar_Mosca!$AA23=CH$3),Radar_Mosca!$S23,NA()),NA())</f>
        <v/>
      </c>
      <c r="CI23">
        <f>IF(AND(ISNUMBER(Radar_Mosca!$F23),ISNUMBER(Radar_Mosca!$S23)),IF(AND(Radar_Mosca!$F23=CI$4,Radar_Mosca!$AA23=CI$3),Radar_Mosca!$S23,NA()),NA())</f>
        <v/>
      </c>
      <c r="CJ23">
        <f>IF(AND(ISNUMBER(Radar_Mosca!$F23),ISNUMBER(Radar_Mosca!$S23)),IF(AND(Radar_Mosca!$F23=CJ$4,Radar_Mosca!$AA23=CJ$3),Radar_Mosca!$S23,NA()),NA())</f>
        <v/>
      </c>
      <c r="CK23">
        <f>IF(AND(ISNUMBER(Radar_Mosca!$F23),ISNUMBER(Radar_Mosca!$S23)),IF(AND(Radar_Mosca!$F23=CK$4,Radar_Mosca!$AA23=CK$3),Radar_Mosca!$S23,NA()),NA())</f>
        <v/>
      </c>
      <c r="CL23">
        <f>IF(AND(ISNUMBER(Radar_Mosca!$F23),ISNUMBER(Radar_Mosca!$S23)),IF(AND(Radar_Mosca!$F23=CL$4,Radar_Mosca!$AA23=CL$3),Radar_Mosca!$S23,NA()),NA())</f>
        <v/>
      </c>
      <c r="CM23">
        <f>IF(AND(ISNUMBER(Radar_Mosca!$F23),ISNUMBER(Radar_Mosca!$S23)),IF(AND(Radar_Mosca!$F23=CM$4,Radar_Mosca!$AA23=CM$3),Radar_Mosca!$S23,NA()),NA())</f>
        <v/>
      </c>
      <c r="CN23">
        <f>IF(AND(ISNUMBER(Radar_Mosca!$F23),ISNUMBER(Radar_Mosca!$S23)),IF(AND(Radar_Mosca!$F23=CN$4,Radar_Mosca!$AA23=CN$3),Radar_Mosca!$S23,NA()),NA())</f>
        <v/>
      </c>
      <c r="CO23">
        <f>IF(AND(ISNUMBER(Radar_Mosca!$F23),ISNUMBER(Radar_Mosca!$S23)),IF(AND(Radar_Mosca!$F23=CO$4,Radar_Mosca!$AA23=CO$3),Radar_Mosca!$S23,NA()),NA())</f>
        <v/>
      </c>
      <c r="CP23">
        <f>IF(AND(ISNUMBER(Radar_Mosca!$F23),ISNUMBER(Radar_Mosca!$S23)),IF(AND(Radar_Mosca!$F23=CP$4,Radar_Mosca!$AA23=CP$3),Radar_Mosca!$S23,NA()),NA())</f>
        <v/>
      </c>
      <c r="CQ23">
        <f>IF(AND(ISNUMBER(Radar_Mosca!$F23),ISNUMBER(Radar_Mosca!$S23)),IF(AND(Radar_Mosca!$F23=CQ$4,Radar_Mosca!$AA23=CQ$3),Radar_Mosca!$S23,NA()),NA())</f>
        <v/>
      </c>
      <c r="CR23">
        <f>IF(AND(ISNUMBER(Radar_Mosca!$F23),ISNUMBER(Radar_Mosca!$S23)),IF(AND(Radar_Mosca!$F23=CR$4,Radar_Mosca!$AA23=CR$3),Radar_Mosca!$S23,NA()),NA())</f>
        <v/>
      </c>
      <c r="CS23">
        <f>IF(AND(ISNUMBER(Radar_Mosca!$F23),ISNUMBER(Radar_Mosca!$S23)),IF(AND(Radar_Mosca!$F23=CS$4,Radar_Mosca!$AA23=CS$3),Radar_Mosca!$S23,NA()),NA())</f>
        <v/>
      </c>
      <c r="CT23">
        <f>IF(AND(ISNUMBER(Radar_Mosca!$F23),ISNUMBER(Radar_Mosca!$S23)),IF(AND(Radar_Mosca!$F23=CT$4,Radar_Mosca!$AA23=CT$3),Radar_Mosca!$S23,NA()),NA())</f>
        <v/>
      </c>
      <c r="CU23">
        <f>IF(AND(ISNUMBER(Radar_Mosca!$F23),ISNUMBER(Radar_Mosca!$S23)),IF(AND(Radar_Mosca!$F23=CU$4,Radar_Mosca!$AA23=CU$3),Radar_Mosca!$S23,NA()),NA())</f>
        <v/>
      </c>
      <c r="CV23">
        <f>IF(AND(ISNUMBER(Radar_Mosca!$F23),ISNUMBER(Radar_Mosca!$S23)),IF(AND(Radar_Mosca!$F23=CV$4,Radar_Mosca!$AA23=CV$3),Radar_Mosca!$S23,NA()),NA())</f>
        <v/>
      </c>
      <c r="CW23">
        <f>IF(AND(ISNUMBER(Radar_Mosca!$F23),ISNUMBER(Radar_Mosca!$S23)),IF(AND(Radar_Mosca!$F23=CW$4,Radar_Mosca!$AA23=CW$3),Radar_Mosca!$S23,NA()),NA())</f>
        <v/>
      </c>
      <c r="CX23">
        <f>IF(AND(ISNUMBER(Radar_Mosca!$F23),ISNUMBER(Radar_Mosca!$S23)),IF(AND(Radar_Mosca!$F23=CX$4,Radar_Mosca!$AA23=CX$3),Radar_Mosca!$S23,NA()),NA())</f>
        <v/>
      </c>
      <c r="CY23">
        <f>IF(AND(ISNUMBER(Radar_Mosca!$F23),ISNUMBER(Radar_Mosca!$S23)),IF(AND(Radar_Mosca!$F23=CY$4,Radar_Mosca!$AA23=CY$3),Radar_Mosca!$S23,NA()),NA())</f>
        <v/>
      </c>
      <c r="CZ23">
        <f>IF(AND(ISNUMBER(Radar_Mosca!$F23),ISNUMBER(Radar_Mosca!$S23)),IF(AND(Radar_Mosca!$F23=CZ$4,Radar_Mosca!$AA23=CZ$3),Radar_Mosca!$S23,NA()),NA())</f>
        <v/>
      </c>
      <c r="DA23">
        <f>IF(AND(ISNUMBER(Radar_Mosca!$F23),ISNUMBER(Radar_Mosca!$S23)),IF(AND(Radar_Mosca!$F23=DA$4,Radar_Mosca!$AA23=DA$3),Radar_Mosca!$S23,NA()),NA())</f>
        <v/>
      </c>
      <c r="DB23">
        <f>IF(AND(ISNUMBER(Radar_Mosca!$F23),ISNUMBER(Radar_Mosca!$S23)),IF(AND(Radar_Mosca!$F23=DB$4,Radar_Mosca!$AA23=DB$3),Radar_Mosca!$S23,NA()),NA())</f>
        <v/>
      </c>
      <c r="DC23">
        <f>IF(AND(ISNUMBER(Radar_Mosca!$F23),ISNUMBER(Radar_Mosca!$S23)),IF(AND(Radar_Mosca!$F23=DC$4,Radar_Mosca!$AA23=DC$3),Radar_Mosca!$S23,NA()),NA())</f>
        <v/>
      </c>
      <c r="DD23">
        <f>IF(AND(ISNUMBER(Radar_Mosca!$F23),ISNUMBER(Radar_Mosca!$S23)),IF(AND(Radar_Mosca!$F23=DD$4,Radar_Mosca!$AA23=DD$3),Radar_Mosca!$S23,NA()),NA())</f>
        <v/>
      </c>
      <c r="DE23">
        <f>IF(AND(ISNUMBER(Radar_Mosca!$F23),ISNUMBER(Radar_Mosca!$S23)),IF(AND(Radar_Mosca!$F23=DE$4,Radar_Mosca!$AA23=DE$3),Radar_Mosca!$S23,NA()),NA())</f>
        <v/>
      </c>
      <c r="DF23">
        <f>IF(AND(ISNUMBER(Radar_Mosca!$F23),ISNUMBER(Radar_Mosca!$S23)),IF(AND(Radar_Mosca!$F23=DF$4,Radar_Mosca!$AA23=DF$3),Radar_Mosca!$S23,NA()),NA())</f>
        <v/>
      </c>
      <c r="DG23">
        <f>IF(AND(ISNUMBER(Radar_Mosca!$F23),ISNUMBER(Radar_Mosca!$S23)),IF(AND(Radar_Mosca!$F23=DG$4,Radar_Mosca!$AA23=DG$3),Radar_Mosca!$S23,NA()),NA())</f>
        <v/>
      </c>
      <c r="DH23">
        <f>IF(AND(ISNUMBER(Radar_Mosca!$F23),ISNUMBER(Radar_Mosca!$S23)),IF(AND(Radar_Mosca!$F23=DH$4,Radar_Mosca!$AA23=DH$3),Radar_Mosca!$S23,NA()),NA())</f>
        <v/>
      </c>
      <c r="DI23">
        <f>IF(AND(ISNUMBER(Radar_Mosca!$F23),ISNUMBER(Radar_Mosca!$S23)),IF(AND(Radar_Mosca!$F23=DI$4,Radar_Mosca!$AA23=DI$3),Radar_Mosca!$S23,NA()),NA())</f>
        <v/>
      </c>
      <c r="DJ23">
        <f>IF(AND(ISNUMBER(Radar_Mosca!$F23),ISNUMBER(Radar_Mosca!$S23)),IF(AND(Radar_Mosca!$F23=DJ$4,Radar_Mosca!$AA23=DJ$3),Radar_Mosca!$S23,NA()),NA())</f>
        <v/>
      </c>
      <c r="DK23">
        <f>IF(AND(ISNUMBER(Radar_Mosca!$F23),ISNUMBER(Radar_Mosca!$S23)),IF(AND(Radar_Mosca!$F23=DK$4,Radar_Mosca!$AA23=DK$3),Radar_Mosca!$S23,NA()),NA())</f>
        <v/>
      </c>
      <c r="DL23">
        <f>IF(AND(ISNUMBER(Radar_Mosca!$F23),ISNUMBER(Radar_Mosca!$S23)),IF(AND(Radar_Mosca!$F23=DL$4,Radar_Mosca!$AA23=DL$3),Radar_Mosca!$S23,NA()),NA())</f>
        <v/>
      </c>
      <c r="DM23">
        <f>IF(AND(ISNUMBER(Radar_Mosca!$F23),ISNUMBER(Radar_Mosca!$S23)),IF(AND(Radar_Mosca!$F23=DM$4,Radar_Mosca!$AA23=DM$3),Radar_Mosca!$S23,NA()),NA())</f>
        <v/>
      </c>
      <c r="DN23">
        <f>IF(AND(ISNUMBER(Radar_Mosca!$F23),ISNUMBER(Radar_Mosca!$S23)),IF(AND(Radar_Mosca!$F23=DN$4,Radar_Mosca!$AA23=DN$3),Radar_Mosca!$S23,NA()),NA())</f>
        <v/>
      </c>
      <c r="DO23">
        <f>IF(ISNUMBER(Radar_Mosca!$R23),Radar_Mosca!$R23,NA())</f>
        <v/>
      </c>
      <c r="DP23">
        <f>IF(Radar_Mosca!$A23="","",MID(Radar_Mosca!$A23,5,3)&amp;IF(Radar_Mosca!$T23="Sì"," ◆",""))</f>
        <v/>
      </c>
      <c r="DQ23">
        <f>IF(ISNUMBER(Radar_Mosca!$S23),Radar_Mosca!$S23,NA())</f>
        <v/>
      </c>
    </row>
    <row r="24" ht="12" customHeight="1">
      <c r="J24" s="48">
        <f>INDEX(posID,7)&amp;""</f>
        <v/>
      </c>
      <c r="K24" s="49">
        <f>IF(J24="","",INDEX(posNome,7)&amp;IF(INDEX(ANA_Attenzione_Supervisore,7)="Sì","  ◆",""))</f>
        <v/>
      </c>
      <c r="T24">
        <f>IF(Radar_Mosca!$AA$24="Attivazione",Radar_Mosca!$A$24,"")</f>
        <v/>
      </c>
      <c r="BH24">
        <f>2*PI()*19/72</f>
        <v/>
      </c>
      <c r="BI24">
        <f>2*SIN($BH24)</f>
        <v/>
      </c>
      <c r="BJ24">
        <f>2*COS($BH24)</f>
        <v/>
      </c>
      <c r="BK24">
        <f>3*SIN($BH24)</f>
        <v/>
      </c>
      <c r="BL24">
        <f>3*COS($BH24)</f>
        <v/>
      </c>
      <c r="BM24">
        <f>4*SIN($BH24)</f>
        <v/>
      </c>
      <c r="BN24">
        <f>4*COS($BH24)</f>
        <v/>
      </c>
      <c r="BO24">
        <f>5*SIN($BH24)</f>
        <v/>
      </c>
      <c r="BP24">
        <f>5*COS($BH24)</f>
        <v/>
      </c>
      <c r="BY24">
        <f>IF(AND(ISNUMBER(Radar_Mosca!$F24),ISNUMBER(Radar_Mosca!$S24)),IF(AND(Radar_Mosca!$F24=BY$4,Radar_Mosca!$AA24=BY$3),Radar_Mosca!$S24,NA()),NA())</f>
        <v/>
      </c>
      <c r="BZ24">
        <f>IF(AND(ISNUMBER(Radar_Mosca!$F24),ISNUMBER(Radar_Mosca!$S24)),IF(AND(Radar_Mosca!$F24=BZ$4,Radar_Mosca!$AA24=BZ$3),Radar_Mosca!$S24,NA()),NA())</f>
        <v/>
      </c>
      <c r="CA24">
        <f>IF(AND(ISNUMBER(Radar_Mosca!$F24),ISNUMBER(Radar_Mosca!$S24)),IF(AND(Radar_Mosca!$F24=CA$4,Radar_Mosca!$AA24=CA$3),Radar_Mosca!$S24,NA()),NA())</f>
        <v/>
      </c>
      <c r="CB24">
        <f>IF(AND(ISNUMBER(Radar_Mosca!$F24),ISNUMBER(Radar_Mosca!$S24)),IF(AND(Radar_Mosca!$F24=CB$4,Radar_Mosca!$AA24=CB$3),Radar_Mosca!$S24,NA()),NA())</f>
        <v/>
      </c>
      <c r="CC24">
        <f>IF(AND(ISNUMBER(Radar_Mosca!$F24),ISNUMBER(Radar_Mosca!$S24)),IF(AND(Radar_Mosca!$F24=CC$4,Radar_Mosca!$AA24=CC$3),Radar_Mosca!$S24,NA()),NA())</f>
        <v/>
      </c>
      <c r="CD24">
        <f>IF(AND(ISNUMBER(Radar_Mosca!$F24),ISNUMBER(Radar_Mosca!$S24)),IF(AND(Radar_Mosca!$F24=CD$4,Radar_Mosca!$AA24=CD$3),Radar_Mosca!$S24,NA()),NA())</f>
        <v/>
      </c>
      <c r="CE24">
        <f>IF(AND(ISNUMBER(Radar_Mosca!$F24),ISNUMBER(Radar_Mosca!$S24)),IF(AND(Radar_Mosca!$F24=CE$4,Radar_Mosca!$AA24=CE$3),Radar_Mosca!$S24,NA()),NA())</f>
        <v/>
      </c>
      <c r="CF24">
        <f>IF(AND(ISNUMBER(Radar_Mosca!$F24),ISNUMBER(Radar_Mosca!$S24)),IF(AND(Radar_Mosca!$F24=CF$4,Radar_Mosca!$AA24=CF$3),Radar_Mosca!$S24,NA()),NA())</f>
        <v/>
      </c>
      <c r="CG24">
        <f>IF(AND(ISNUMBER(Radar_Mosca!$F24),ISNUMBER(Radar_Mosca!$S24)),IF(AND(Radar_Mosca!$F24=CG$4,Radar_Mosca!$AA24=CG$3),Radar_Mosca!$S24,NA()),NA())</f>
        <v/>
      </c>
      <c r="CH24">
        <f>IF(AND(ISNUMBER(Radar_Mosca!$F24),ISNUMBER(Radar_Mosca!$S24)),IF(AND(Radar_Mosca!$F24=CH$4,Radar_Mosca!$AA24=CH$3),Radar_Mosca!$S24,NA()),NA())</f>
        <v/>
      </c>
      <c r="CI24">
        <f>IF(AND(ISNUMBER(Radar_Mosca!$F24),ISNUMBER(Radar_Mosca!$S24)),IF(AND(Radar_Mosca!$F24=CI$4,Radar_Mosca!$AA24=CI$3),Radar_Mosca!$S24,NA()),NA())</f>
        <v/>
      </c>
      <c r="CJ24">
        <f>IF(AND(ISNUMBER(Radar_Mosca!$F24),ISNUMBER(Radar_Mosca!$S24)),IF(AND(Radar_Mosca!$F24=CJ$4,Radar_Mosca!$AA24=CJ$3),Radar_Mosca!$S24,NA()),NA())</f>
        <v/>
      </c>
      <c r="CK24">
        <f>IF(AND(ISNUMBER(Radar_Mosca!$F24),ISNUMBER(Radar_Mosca!$S24)),IF(AND(Radar_Mosca!$F24=CK$4,Radar_Mosca!$AA24=CK$3),Radar_Mosca!$S24,NA()),NA())</f>
        <v/>
      </c>
      <c r="CL24">
        <f>IF(AND(ISNUMBER(Radar_Mosca!$F24),ISNUMBER(Radar_Mosca!$S24)),IF(AND(Radar_Mosca!$F24=CL$4,Radar_Mosca!$AA24=CL$3),Radar_Mosca!$S24,NA()),NA())</f>
        <v/>
      </c>
      <c r="CM24">
        <f>IF(AND(ISNUMBER(Radar_Mosca!$F24),ISNUMBER(Radar_Mosca!$S24)),IF(AND(Radar_Mosca!$F24=CM$4,Radar_Mosca!$AA24=CM$3),Radar_Mosca!$S24,NA()),NA())</f>
        <v/>
      </c>
      <c r="CN24">
        <f>IF(AND(ISNUMBER(Radar_Mosca!$F24),ISNUMBER(Radar_Mosca!$S24)),IF(AND(Radar_Mosca!$F24=CN$4,Radar_Mosca!$AA24=CN$3),Radar_Mosca!$S24,NA()),NA())</f>
        <v/>
      </c>
      <c r="CO24">
        <f>IF(AND(ISNUMBER(Radar_Mosca!$F24),ISNUMBER(Radar_Mosca!$S24)),IF(AND(Radar_Mosca!$F24=CO$4,Radar_Mosca!$AA24=CO$3),Radar_Mosca!$S24,NA()),NA())</f>
        <v/>
      </c>
      <c r="CP24">
        <f>IF(AND(ISNUMBER(Radar_Mosca!$F24),ISNUMBER(Radar_Mosca!$S24)),IF(AND(Radar_Mosca!$F24=CP$4,Radar_Mosca!$AA24=CP$3),Radar_Mosca!$S24,NA()),NA())</f>
        <v/>
      </c>
      <c r="CQ24">
        <f>IF(AND(ISNUMBER(Radar_Mosca!$F24),ISNUMBER(Radar_Mosca!$S24)),IF(AND(Radar_Mosca!$F24=CQ$4,Radar_Mosca!$AA24=CQ$3),Radar_Mosca!$S24,NA()),NA())</f>
        <v/>
      </c>
      <c r="CR24">
        <f>IF(AND(ISNUMBER(Radar_Mosca!$F24),ISNUMBER(Radar_Mosca!$S24)),IF(AND(Radar_Mosca!$F24=CR$4,Radar_Mosca!$AA24=CR$3),Radar_Mosca!$S24,NA()),NA())</f>
        <v/>
      </c>
      <c r="CS24">
        <f>IF(AND(ISNUMBER(Radar_Mosca!$F24),ISNUMBER(Radar_Mosca!$S24)),IF(AND(Radar_Mosca!$F24=CS$4,Radar_Mosca!$AA24=CS$3),Radar_Mosca!$S24,NA()),NA())</f>
        <v/>
      </c>
      <c r="CT24">
        <f>IF(AND(ISNUMBER(Radar_Mosca!$F24),ISNUMBER(Radar_Mosca!$S24)),IF(AND(Radar_Mosca!$F24=CT$4,Radar_Mosca!$AA24=CT$3),Radar_Mosca!$S24,NA()),NA())</f>
        <v/>
      </c>
      <c r="CU24">
        <f>IF(AND(ISNUMBER(Radar_Mosca!$F24),ISNUMBER(Radar_Mosca!$S24)),IF(AND(Radar_Mosca!$F24=CU$4,Radar_Mosca!$AA24=CU$3),Radar_Mosca!$S24,NA()),NA())</f>
        <v/>
      </c>
      <c r="CV24">
        <f>IF(AND(ISNUMBER(Radar_Mosca!$F24),ISNUMBER(Radar_Mosca!$S24)),IF(AND(Radar_Mosca!$F24=CV$4,Radar_Mosca!$AA24=CV$3),Radar_Mosca!$S24,NA()),NA())</f>
        <v/>
      </c>
      <c r="CW24">
        <f>IF(AND(ISNUMBER(Radar_Mosca!$F24),ISNUMBER(Radar_Mosca!$S24)),IF(AND(Radar_Mosca!$F24=CW$4,Radar_Mosca!$AA24=CW$3),Radar_Mosca!$S24,NA()),NA())</f>
        <v/>
      </c>
      <c r="CX24">
        <f>IF(AND(ISNUMBER(Radar_Mosca!$F24),ISNUMBER(Radar_Mosca!$S24)),IF(AND(Radar_Mosca!$F24=CX$4,Radar_Mosca!$AA24=CX$3),Radar_Mosca!$S24,NA()),NA())</f>
        <v/>
      </c>
      <c r="CY24">
        <f>IF(AND(ISNUMBER(Radar_Mosca!$F24),ISNUMBER(Radar_Mosca!$S24)),IF(AND(Radar_Mosca!$F24=CY$4,Radar_Mosca!$AA24=CY$3),Radar_Mosca!$S24,NA()),NA())</f>
        <v/>
      </c>
      <c r="CZ24">
        <f>IF(AND(ISNUMBER(Radar_Mosca!$F24),ISNUMBER(Radar_Mosca!$S24)),IF(AND(Radar_Mosca!$F24=CZ$4,Radar_Mosca!$AA24=CZ$3),Radar_Mosca!$S24,NA()),NA())</f>
        <v/>
      </c>
      <c r="DA24">
        <f>IF(AND(ISNUMBER(Radar_Mosca!$F24),ISNUMBER(Radar_Mosca!$S24)),IF(AND(Radar_Mosca!$F24=DA$4,Radar_Mosca!$AA24=DA$3),Radar_Mosca!$S24,NA()),NA())</f>
        <v/>
      </c>
      <c r="DB24">
        <f>IF(AND(ISNUMBER(Radar_Mosca!$F24),ISNUMBER(Radar_Mosca!$S24)),IF(AND(Radar_Mosca!$F24=DB$4,Radar_Mosca!$AA24=DB$3),Radar_Mosca!$S24,NA()),NA())</f>
        <v/>
      </c>
      <c r="DC24">
        <f>IF(AND(ISNUMBER(Radar_Mosca!$F24),ISNUMBER(Radar_Mosca!$S24)),IF(AND(Radar_Mosca!$F24=DC$4,Radar_Mosca!$AA24=DC$3),Radar_Mosca!$S24,NA()),NA())</f>
        <v/>
      </c>
      <c r="DD24">
        <f>IF(AND(ISNUMBER(Radar_Mosca!$F24),ISNUMBER(Radar_Mosca!$S24)),IF(AND(Radar_Mosca!$F24=DD$4,Radar_Mosca!$AA24=DD$3),Radar_Mosca!$S24,NA()),NA())</f>
        <v/>
      </c>
      <c r="DE24">
        <f>IF(AND(ISNUMBER(Radar_Mosca!$F24),ISNUMBER(Radar_Mosca!$S24)),IF(AND(Radar_Mosca!$F24=DE$4,Radar_Mosca!$AA24=DE$3),Radar_Mosca!$S24,NA()),NA())</f>
        <v/>
      </c>
      <c r="DF24">
        <f>IF(AND(ISNUMBER(Radar_Mosca!$F24),ISNUMBER(Radar_Mosca!$S24)),IF(AND(Radar_Mosca!$F24=DF$4,Radar_Mosca!$AA24=DF$3),Radar_Mosca!$S24,NA()),NA())</f>
        <v/>
      </c>
      <c r="DG24">
        <f>IF(AND(ISNUMBER(Radar_Mosca!$F24),ISNUMBER(Radar_Mosca!$S24)),IF(AND(Radar_Mosca!$F24=DG$4,Radar_Mosca!$AA24=DG$3),Radar_Mosca!$S24,NA()),NA())</f>
        <v/>
      </c>
      <c r="DH24">
        <f>IF(AND(ISNUMBER(Radar_Mosca!$F24),ISNUMBER(Radar_Mosca!$S24)),IF(AND(Radar_Mosca!$F24=DH$4,Radar_Mosca!$AA24=DH$3),Radar_Mosca!$S24,NA()),NA())</f>
        <v/>
      </c>
      <c r="DI24">
        <f>IF(AND(ISNUMBER(Radar_Mosca!$F24),ISNUMBER(Radar_Mosca!$S24)),IF(AND(Radar_Mosca!$F24=DI$4,Radar_Mosca!$AA24=DI$3),Radar_Mosca!$S24,NA()),NA())</f>
        <v/>
      </c>
      <c r="DJ24">
        <f>IF(AND(ISNUMBER(Radar_Mosca!$F24),ISNUMBER(Radar_Mosca!$S24)),IF(AND(Radar_Mosca!$F24=DJ$4,Radar_Mosca!$AA24=DJ$3),Radar_Mosca!$S24,NA()),NA())</f>
        <v/>
      </c>
      <c r="DK24">
        <f>IF(AND(ISNUMBER(Radar_Mosca!$F24),ISNUMBER(Radar_Mosca!$S24)),IF(AND(Radar_Mosca!$F24=DK$4,Radar_Mosca!$AA24=DK$3),Radar_Mosca!$S24,NA()),NA())</f>
        <v/>
      </c>
      <c r="DL24">
        <f>IF(AND(ISNUMBER(Radar_Mosca!$F24),ISNUMBER(Radar_Mosca!$S24)),IF(AND(Radar_Mosca!$F24=DL$4,Radar_Mosca!$AA24=DL$3),Radar_Mosca!$S24,NA()),NA())</f>
        <v/>
      </c>
      <c r="DM24">
        <f>IF(AND(ISNUMBER(Radar_Mosca!$F24),ISNUMBER(Radar_Mosca!$S24)),IF(AND(Radar_Mosca!$F24=DM$4,Radar_Mosca!$AA24=DM$3),Radar_Mosca!$S24,NA()),NA())</f>
        <v/>
      </c>
      <c r="DN24">
        <f>IF(AND(ISNUMBER(Radar_Mosca!$F24),ISNUMBER(Radar_Mosca!$S24)),IF(AND(Radar_Mosca!$F24=DN$4,Radar_Mosca!$AA24=DN$3),Radar_Mosca!$S24,NA()),NA())</f>
        <v/>
      </c>
      <c r="DO24">
        <f>IF(ISNUMBER(Radar_Mosca!$R24),Radar_Mosca!$R24,NA())</f>
        <v/>
      </c>
      <c r="DP24">
        <f>IF(Radar_Mosca!$A24="","",MID(Radar_Mosca!$A24,5,3)&amp;IF(Radar_Mosca!$T24="Sì"," ◆",""))</f>
        <v/>
      </c>
      <c r="DQ24">
        <f>IF(ISNUMBER(Radar_Mosca!$S24),Radar_Mosca!$S24,NA())</f>
        <v/>
      </c>
    </row>
    <row r="25" ht="12" customHeight="1">
      <c r="J25" s="48">
        <f>INDEX(posID,8)&amp;""</f>
        <v/>
      </c>
      <c r="K25" s="49">
        <f>IF(J25="","",INDEX(posNome,8)&amp;IF(INDEX(ANA_Attenzione_Supervisore,8)="Sì","  ◆",""))</f>
        <v/>
      </c>
      <c r="BH25">
        <f>2*PI()*20/72</f>
        <v/>
      </c>
      <c r="BI25">
        <f>2*SIN($BH25)</f>
        <v/>
      </c>
      <c r="BJ25">
        <f>2*COS($BH25)</f>
        <v/>
      </c>
      <c r="BK25">
        <f>3*SIN($BH25)</f>
        <v/>
      </c>
      <c r="BL25">
        <f>3*COS($BH25)</f>
        <v/>
      </c>
      <c r="BM25">
        <f>4*SIN($BH25)</f>
        <v/>
      </c>
      <c r="BN25">
        <f>4*COS($BH25)</f>
        <v/>
      </c>
      <c r="BO25">
        <f>5*SIN($BH25)</f>
        <v/>
      </c>
      <c r="BP25">
        <f>5*COS($BH25)</f>
        <v/>
      </c>
    </row>
    <row r="26" ht="12" customHeight="1">
      <c r="J26" s="48">
        <f>INDEX(posID,9)&amp;""</f>
        <v/>
      </c>
      <c r="K26" s="49">
        <f>IF(J26="","",INDEX(posNome,9)&amp;IF(INDEX(ANA_Attenzione_Supervisore,9)="Sì","  ◆",""))</f>
        <v/>
      </c>
      <c r="BH26">
        <f>2*PI()*21/72</f>
        <v/>
      </c>
      <c r="BI26">
        <f>2*SIN($BH26)</f>
        <v/>
      </c>
      <c r="BJ26">
        <f>2*COS($BH26)</f>
        <v/>
      </c>
      <c r="BK26">
        <f>3*SIN($BH26)</f>
        <v/>
      </c>
      <c r="BL26">
        <f>3*COS($BH26)</f>
        <v/>
      </c>
      <c r="BM26">
        <f>4*SIN($BH26)</f>
        <v/>
      </c>
      <c r="BN26">
        <f>4*COS($BH26)</f>
        <v/>
      </c>
      <c r="BO26">
        <f>5*SIN($BH26)</f>
        <v/>
      </c>
      <c r="BP26">
        <f>5*COS($BH26)</f>
        <v/>
      </c>
    </row>
    <row r="27" ht="12" customHeight="1">
      <c r="J27" s="48">
        <f>INDEX(posID,10)&amp;""</f>
        <v/>
      </c>
      <c r="K27" s="49">
        <f>IF(J27="","",INDEX(posNome,10)&amp;IF(INDEX(ANA_Attenzione_Supervisore,10)="Sì","  ◆",""))</f>
        <v/>
      </c>
      <c r="BH27">
        <f>2*PI()*22/72</f>
        <v/>
      </c>
      <c r="BI27">
        <f>2*SIN($BH27)</f>
        <v/>
      </c>
      <c r="BJ27">
        <f>2*COS($BH27)</f>
        <v/>
      </c>
      <c r="BK27">
        <f>3*SIN($BH27)</f>
        <v/>
      </c>
      <c r="BL27">
        <f>3*COS($BH27)</f>
        <v/>
      </c>
      <c r="BM27">
        <f>4*SIN($BH27)</f>
        <v/>
      </c>
      <c r="BN27">
        <f>4*COS($BH27)</f>
        <v/>
      </c>
      <c r="BO27">
        <f>5*SIN($BH27)</f>
        <v/>
      </c>
      <c r="BP27">
        <f>5*COS($BH27)</f>
        <v/>
      </c>
    </row>
    <row r="28" ht="12" customHeight="1">
      <c r="J28" s="48">
        <f>INDEX(posID,11)&amp;""</f>
        <v/>
      </c>
      <c r="K28" s="49">
        <f>IF(J28="","",INDEX(posNome,11)&amp;IF(INDEX(ANA_Attenzione_Supervisore,11)="Sì","  ◆",""))</f>
        <v/>
      </c>
      <c r="BH28">
        <f>2*PI()*23/72</f>
        <v/>
      </c>
      <c r="BI28">
        <f>2*SIN($BH28)</f>
        <v/>
      </c>
      <c r="BJ28">
        <f>2*COS($BH28)</f>
        <v/>
      </c>
      <c r="BK28">
        <f>3*SIN($BH28)</f>
        <v/>
      </c>
      <c r="BL28">
        <f>3*COS($BH28)</f>
        <v/>
      </c>
      <c r="BM28">
        <f>4*SIN($BH28)</f>
        <v/>
      </c>
      <c r="BN28">
        <f>4*COS($BH28)</f>
        <v/>
      </c>
      <c r="BO28">
        <f>5*SIN($BH28)</f>
        <v/>
      </c>
      <c r="BP28">
        <f>5*COS($BH28)</f>
        <v/>
      </c>
    </row>
    <row r="29" ht="12" customHeight="1">
      <c r="J29" s="48">
        <f>INDEX(posID,12)&amp;""</f>
        <v/>
      </c>
      <c r="K29" s="49">
        <f>IF(J29="","",INDEX(posNome,12)&amp;IF(INDEX(ANA_Attenzione_Supervisore,12)="Sì","  ◆",""))</f>
        <v/>
      </c>
      <c r="BH29">
        <f>2*PI()*24/72</f>
        <v/>
      </c>
      <c r="BI29">
        <f>2*SIN($BH29)</f>
        <v/>
      </c>
      <c r="BJ29">
        <f>2*COS($BH29)</f>
        <v/>
      </c>
      <c r="BK29">
        <f>3*SIN($BH29)</f>
        <v/>
      </c>
      <c r="BL29">
        <f>3*COS($BH29)</f>
        <v/>
      </c>
      <c r="BM29">
        <f>4*SIN($BH29)</f>
        <v/>
      </c>
      <c r="BN29">
        <f>4*COS($BH29)</f>
        <v/>
      </c>
      <c r="BO29">
        <f>5*SIN($BH29)</f>
        <v/>
      </c>
      <c r="BP29">
        <f>5*COS($BH29)</f>
        <v/>
      </c>
    </row>
    <row r="30" ht="12" customHeight="1">
      <c r="J30" s="48">
        <f>INDEX(posID,13)&amp;""</f>
        <v/>
      </c>
      <c r="K30" s="49">
        <f>IF(J30="","",INDEX(posNome,13)&amp;IF(INDEX(ANA_Attenzione_Supervisore,13)="Sì","  ◆",""))</f>
        <v/>
      </c>
      <c r="BH30">
        <f>2*PI()*25/72</f>
        <v/>
      </c>
      <c r="BI30">
        <f>2*SIN($BH30)</f>
        <v/>
      </c>
      <c r="BJ30">
        <f>2*COS($BH30)</f>
        <v/>
      </c>
      <c r="BK30">
        <f>3*SIN($BH30)</f>
        <v/>
      </c>
      <c r="BL30">
        <f>3*COS($BH30)</f>
        <v/>
      </c>
      <c r="BM30">
        <f>4*SIN($BH30)</f>
        <v/>
      </c>
      <c r="BN30">
        <f>4*COS($BH30)</f>
        <v/>
      </c>
      <c r="BO30">
        <f>5*SIN($BH30)</f>
        <v/>
      </c>
      <c r="BP30">
        <f>5*COS($BH30)</f>
        <v/>
      </c>
    </row>
    <row r="31" ht="12" customHeight="1">
      <c r="J31" s="48">
        <f>INDEX(posID,14)&amp;""</f>
        <v/>
      </c>
      <c r="K31" s="49">
        <f>IF(J31="","",INDEX(posNome,14)&amp;IF(INDEX(ANA_Attenzione_Supervisore,14)="Sì","  ◆",""))</f>
        <v/>
      </c>
      <c r="BH31">
        <f>2*PI()*26/72</f>
        <v/>
      </c>
      <c r="BI31">
        <f>2*SIN($BH31)</f>
        <v/>
      </c>
      <c r="BJ31">
        <f>2*COS($BH31)</f>
        <v/>
      </c>
      <c r="BK31">
        <f>3*SIN($BH31)</f>
        <v/>
      </c>
      <c r="BL31">
        <f>3*COS($BH31)</f>
        <v/>
      </c>
      <c r="BM31">
        <f>4*SIN($BH31)</f>
        <v/>
      </c>
      <c r="BN31">
        <f>4*COS($BH31)</f>
        <v/>
      </c>
      <c r="BO31">
        <f>5*SIN($BH31)</f>
        <v/>
      </c>
      <c r="BP31">
        <f>5*COS($BH31)</f>
        <v/>
      </c>
    </row>
    <row r="32" ht="12" customHeight="1">
      <c r="J32" s="48">
        <f>INDEX(posID,15)&amp;""</f>
        <v/>
      </c>
      <c r="K32" s="49">
        <f>IF(J32="","",INDEX(posNome,15)&amp;IF(INDEX(ANA_Attenzione_Supervisore,15)="Sì","  ◆",""))</f>
        <v/>
      </c>
      <c r="BH32">
        <f>2*PI()*27/72</f>
        <v/>
      </c>
      <c r="BI32">
        <f>2*SIN($BH32)</f>
        <v/>
      </c>
      <c r="BJ32">
        <f>2*COS($BH32)</f>
        <v/>
      </c>
      <c r="BK32">
        <f>3*SIN($BH32)</f>
        <v/>
      </c>
      <c r="BL32">
        <f>3*COS($BH32)</f>
        <v/>
      </c>
      <c r="BM32">
        <f>4*SIN($BH32)</f>
        <v/>
      </c>
      <c r="BN32">
        <f>4*COS($BH32)</f>
        <v/>
      </c>
      <c r="BO32">
        <f>5*SIN($BH32)</f>
        <v/>
      </c>
      <c r="BP32">
        <f>5*COS($BH32)</f>
        <v/>
      </c>
    </row>
    <row r="33" ht="12" customHeight="1">
      <c r="J33" s="48">
        <f>INDEX(posID,16)&amp;""</f>
        <v/>
      </c>
      <c r="K33" s="49">
        <f>IF(J33="","",INDEX(posNome,16)&amp;IF(INDEX(ANA_Attenzione_Supervisore,16)="Sì","  ◆",""))</f>
        <v/>
      </c>
      <c r="BH33">
        <f>2*PI()*28/72</f>
        <v/>
      </c>
      <c r="BI33">
        <f>2*SIN($BH33)</f>
        <v/>
      </c>
      <c r="BJ33">
        <f>2*COS($BH33)</f>
        <v/>
      </c>
      <c r="BK33">
        <f>3*SIN($BH33)</f>
        <v/>
      </c>
      <c r="BL33">
        <f>3*COS($BH33)</f>
        <v/>
      </c>
      <c r="BM33">
        <f>4*SIN($BH33)</f>
        <v/>
      </c>
      <c r="BN33">
        <f>4*COS($BH33)</f>
        <v/>
      </c>
      <c r="BO33">
        <f>5*SIN($BH33)</f>
        <v/>
      </c>
      <c r="BP33">
        <f>5*COS($BH33)</f>
        <v/>
      </c>
    </row>
    <row r="34" ht="12" customHeight="1">
      <c r="J34" s="48">
        <f>INDEX(posID,17)&amp;""</f>
        <v/>
      </c>
      <c r="K34" s="49">
        <f>IF(J34="","",INDEX(posNome,17)&amp;IF(INDEX(ANA_Attenzione_Supervisore,17)="Sì","  ◆",""))</f>
        <v/>
      </c>
      <c r="BH34">
        <f>2*PI()*29/72</f>
        <v/>
      </c>
      <c r="BI34">
        <f>2*SIN($BH34)</f>
        <v/>
      </c>
      <c r="BJ34">
        <f>2*COS($BH34)</f>
        <v/>
      </c>
      <c r="BK34">
        <f>3*SIN($BH34)</f>
        <v/>
      </c>
      <c r="BL34">
        <f>3*COS($BH34)</f>
        <v/>
      </c>
      <c r="BM34">
        <f>4*SIN($BH34)</f>
        <v/>
      </c>
      <c r="BN34">
        <f>4*COS($BH34)</f>
        <v/>
      </c>
      <c r="BO34">
        <f>5*SIN($BH34)</f>
        <v/>
      </c>
      <c r="BP34">
        <f>5*COS($BH34)</f>
        <v/>
      </c>
    </row>
    <row r="35" ht="12" customHeight="1">
      <c r="J35" s="48">
        <f>INDEX(posID,18)&amp;""</f>
        <v/>
      </c>
      <c r="K35" s="49">
        <f>IF(J35="","",INDEX(posNome,18)&amp;IF(INDEX(ANA_Attenzione_Supervisore,18)="Sì","  ◆",""))</f>
        <v/>
      </c>
      <c r="BH35">
        <f>2*PI()*30/72</f>
        <v/>
      </c>
      <c r="BI35">
        <f>2*SIN($BH35)</f>
        <v/>
      </c>
      <c r="BJ35">
        <f>2*COS($BH35)</f>
        <v/>
      </c>
      <c r="BK35">
        <f>3*SIN($BH35)</f>
        <v/>
      </c>
      <c r="BL35">
        <f>3*COS($BH35)</f>
        <v/>
      </c>
      <c r="BM35">
        <f>4*SIN($BH35)</f>
        <v/>
      </c>
      <c r="BN35">
        <f>4*COS($BH35)</f>
        <v/>
      </c>
      <c r="BO35">
        <f>5*SIN($BH35)</f>
        <v/>
      </c>
      <c r="BP35">
        <f>5*COS($BH35)</f>
        <v/>
      </c>
    </row>
    <row r="36" ht="12" customHeight="1">
      <c r="J36" s="48">
        <f>INDEX(posID,19)&amp;""</f>
        <v/>
      </c>
      <c r="K36" s="49">
        <f>IF(J36="","",INDEX(posNome,19)&amp;IF(INDEX(ANA_Attenzione_Supervisore,19)="Sì","  ◆",""))</f>
        <v/>
      </c>
      <c r="BH36">
        <f>2*PI()*31/72</f>
        <v/>
      </c>
      <c r="BI36">
        <f>2*SIN($BH36)</f>
        <v/>
      </c>
      <c r="BJ36">
        <f>2*COS($BH36)</f>
        <v/>
      </c>
      <c r="BK36">
        <f>3*SIN($BH36)</f>
        <v/>
      </c>
      <c r="BL36">
        <f>3*COS($BH36)</f>
        <v/>
      </c>
      <c r="BM36">
        <f>4*SIN($BH36)</f>
        <v/>
      </c>
      <c r="BN36">
        <f>4*COS($BH36)</f>
        <v/>
      </c>
      <c r="BO36">
        <f>5*SIN($BH36)</f>
        <v/>
      </c>
      <c r="BP36">
        <f>5*COS($BH36)</f>
        <v/>
      </c>
    </row>
    <row r="37" ht="12" customHeight="1">
      <c r="J37" s="48">
        <f>INDEX(posID,20)&amp;""</f>
        <v/>
      </c>
      <c r="K37" s="49">
        <f>IF(J37="","",INDEX(posNome,20)&amp;IF(INDEX(ANA_Attenzione_Supervisore,20)="Sì","  ◆",""))</f>
        <v/>
      </c>
      <c r="BH37">
        <f>2*PI()*32/72</f>
        <v/>
      </c>
      <c r="BI37">
        <f>2*SIN($BH37)</f>
        <v/>
      </c>
      <c r="BJ37">
        <f>2*COS($BH37)</f>
        <v/>
      </c>
      <c r="BK37">
        <f>3*SIN($BH37)</f>
        <v/>
      </c>
      <c r="BL37">
        <f>3*COS($BH37)</f>
        <v/>
      </c>
      <c r="BM37">
        <f>4*SIN($BH37)</f>
        <v/>
      </c>
      <c r="BN37">
        <f>4*COS($BH37)</f>
        <v/>
      </c>
      <c r="BO37">
        <f>5*SIN($BH37)</f>
        <v/>
      </c>
      <c r="BP37">
        <f>5*COS($BH37)</f>
        <v/>
      </c>
    </row>
    <row r="38">
      <c r="A38" s="44" t="inlineStr">
        <is>
          <t>Radar: piu' vicino al centro = agire prima; area del cerchio = P x I; colore = livello di allerta (rosso attivazione, giallo attenzione, verde monitoraggio); ◆ = attenzione del supervisore. Numeri nel radar = NFR-nn.</t>
        </is>
      </c>
      <c r="BH38">
        <f>2*PI()*33/72</f>
        <v/>
      </c>
      <c r="BI38">
        <f>2*SIN($BH38)</f>
        <v/>
      </c>
      <c r="BJ38">
        <f>2*COS($BH38)</f>
        <v/>
      </c>
      <c r="BK38">
        <f>3*SIN($BH38)</f>
        <v/>
      </c>
      <c r="BL38">
        <f>3*COS($BH38)</f>
        <v/>
      </c>
      <c r="BM38">
        <f>4*SIN($BH38)</f>
        <v/>
      </c>
      <c r="BN38">
        <f>4*COS($BH38)</f>
        <v/>
      </c>
      <c r="BO38">
        <f>5*SIN($BH38)</f>
        <v/>
      </c>
      <c r="BP38">
        <f>5*COS($BH38)</f>
        <v/>
      </c>
    </row>
    <row r="39">
      <c r="BH39">
        <f>2*PI()*34/72</f>
        <v/>
      </c>
      <c r="BI39">
        <f>2*SIN($BH39)</f>
        <v/>
      </c>
      <c r="BJ39">
        <f>2*COS($BH39)</f>
        <v/>
      </c>
      <c r="BK39">
        <f>3*SIN($BH39)</f>
        <v/>
      </c>
      <c r="BL39">
        <f>3*COS($BH39)</f>
        <v/>
      </c>
      <c r="BM39">
        <f>4*SIN($BH39)</f>
        <v/>
      </c>
      <c r="BN39">
        <f>4*COS($BH39)</f>
        <v/>
      </c>
      <c r="BO39">
        <f>5*SIN($BH39)</f>
        <v/>
      </c>
      <c r="BP39">
        <f>5*COS($BH39)</f>
        <v/>
      </c>
    </row>
    <row r="40">
      <c r="A40" s="29" t="inlineStr">
        <is>
          <t>Il commento dell'analisi (agente A1, scritto prima della validazione)</t>
        </is>
      </c>
      <c r="B40" s="30" t="n"/>
      <c r="C40" s="30" t="n"/>
      <c r="D40" s="30" t="n"/>
      <c r="E40" s="30" t="n"/>
      <c r="F40" s="30" t="n"/>
      <c r="G40" s="30" t="n"/>
      <c r="H40" s="30" t="n"/>
      <c r="I40" s="30" t="n"/>
      <c r="J40" s="30" t="n"/>
      <c r="K40" s="30" t="n"/>
      <c r="L40" s="30" t="n"/>
      <c r="M40" s="30" t="n"/>
      <c r="N40" s="30" t="n"/>
      <c r="O40" s="30" t="n"/>
      <c r="BH40">
        <f>2*PI()*35/72</f>
        <v/>
      </c>
      <c r="BI40">
        <f>2*SIN($BH40)</f>
        <v/>
      </c>
      <c r="BJ40">
        <f>2*COS($BH40)</f>
        <v/>
      </c>
      <c r="BK40">
        <f>3*SIN($BH40)</f>
        <v/>
      </c>
      <c r="BL40">
        <f>3*COS($BH40)</f>
        <v/>
      </c>
      <c r="BM40">
        <f>4*SIN($BH40)</f>
        <v/>
      </c>
      <c r="BN40">
        <f>4*COS($BH40)</f>
        <v/>
      </c>
      <c r="BO40">
        <f>5*SIN($BH40)</f>
        <v/>
      </c>
      <c r="BP40">
        <f>5*COS($BH40)</f>
        <v/>
      </c>
    </row>
    <row r="41" ht="44" customHeight="1">
      <c r="A41" s="50" t="inlineStr">
        <is>
          <t>Messaggio chiave</t>
        </is>
      </c>
      <c r="D41" s="51">
        <f>IF(T41="","Nessun commento registrato per il ciclo corrente.",TRIM(SUBSTITUTE(SUBSTITUTE(IF(T42&gt;0,LEFT(T41,T42-1),T41),"MESSAGGIO:",""),"Messaggio:","")))</f>
        <v/>
      </c>
      <c r="T41">
        <f>IFERROR(INDEX(SI_Sintesi_A1,MATCH(cicloCorrente,SI_Ciclo,0))&amp;"","")</f>
        <v/>
      </c>
      <c r="BH41">
        <f>2*PI()*36/72</f>
        <v/>
      </c>
      <c r="BI41">
        <f>2*SIN($BH41)</f>
        <v/>
      </c>
      <c r="BJ41">
        <f>2*COS($BH41)</f>
        <v/>
      </c>
      <c r="BK41">
        <f>3*SIN($BH41)</f>
        <v/>
      </c>
      <c r="BL41">
        <f>3*COS($BH41)</f>
        <v/>
      </c>
      <c r="BM41">
        <f>4*SIN($BH41)</f>
        <v/>
      </c>
      <c r="BN41">
        <f>4*COS($BH41)</f>
        <v/>
      </c>
      <c r="BO41">
        <f>5*SIN($BH41)</f>
        <v/>
      </c>
      <c r="BP41">
        <f>5*COS($BH41)</f>
        <v/>
      </c>
    </row>
    <row r="42" ht="30" customHeight="1">
      <c r="A42" s="50" t="inlineStr">
        <is>
          <t>Decisioni richieste</t>
        </is>
      </c>
      <c r="D42" s="51">
        <f>IF(T42&gt;0,TRIM(MID(T41,T42+10,4000)),"—")</f>
        <v/>
      </c>
      <c r="T42">
        <f>IFERROR(SEARCH("DECISIONI:",T41),0)</f>
        <v/>
      </c>
      <c r="BH42">
        <f>2*PI()*37/72</f>
        <v/>
      </c>
      <c r="BI42">
        <f>2*SIN($BH42)</f>
        <v/>
      </c>
      <c r="BJ42">
        <f>2*COS($BH42)</f>
        <v/>
      </c>
      <c r="BK42">
        <f>3*SIN($BH42)</f>
        <v/>
      </c>
      <c r="BL42">
        <f>3*COS($BH42)</f>
        <v/>
      </c>
      <c r="BM42">
        <f>4*SIN($BH42)</f>
        <v/>
      </c>
      <c r="BN42">
        <f>4*COS($BH42)</f>
        <v/>
      </c>
      <c r="BO42">
        <f>5*SIN($BH42)</f>
        <v/>
      </c>
      <c r="BP42">
        <f>5*COS($BH42)</f>
        <v/>
      </c>
    </row>
    <row r="43" ht="30" customHeight="1">
      <c r="A43" s="50" t="inlineStr">
        <is>
          <t>Controlli (A5 se usato)</t>
        </is>
      </c>
      <c r="D43" s="51">
        <f>IFERROR(INDEX(SI_Sintesi_A5,MATCH(cicloCorrente,SI_Ciclo,0))&amp;"","")&amp;IFERROR(" Osservazioni: "&amp;INDEX(SI_Osservazioni_Controlli,MATCH(cicloCorrente,SI_Ciclo,0))&amp;".","")</f>
        <v/>
      </c>
      <c r="BH43">
        <f>2*PI()*38/72</f>
        <v/>
      </c>
      <c r="BI43">
        <f>2*SIN($BH43)</f>
        <v/>
      </c>
      <c r="BJ43">
        <f>2*COS($BH43)</f>
        <v/>
      </c>
      <c r="BK43">
        <f>3*SIN($BH43)</f>
        <v/>
      </c>
      <c r="BL43">
        <f>3*COS($BH43)</f>
        <v/>
      </c>
      <c r="BM43">
        <f>4*SIN($BH43)</f>
        <v/>
      </c>
      <c r="BN43">
        <f>4*COS($BH43)</f>
        <v/>
      </c>
      <c r="BO43">
        <f>5*SIN($BH43)</f>
        <v/>
      </c>
      <c r="BP43">
        <f>5*COS($BH43)</f>
        <v/>
      </c>
    </row>
    <row r="44" ht="30" customHeight="1">
      <c r="A44" s="50" t="inlineStr">
        <is>
          <t>Dopo il commento</t>
        </is>
      </c>
      <c r="D44" s="51">
        <f>IF((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gt;0,"Il validatore ha applicato "&amp;(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amp;" rettifiche o respingimenti: numeri e grafici del report sono quelli validati e prevalgono sul commento.","")</f>
        <v/>
      </c>
      <c r="BH44">
        <f>2*PI()*39/72</f>
        <v/>
      </c>
      <c r="BI44">
        <f>2*SIN($BH44)</f>
        <v/>
      </c>
      <c r="BJ44">
        <f>2*COS($BH44)</f>
        <v/>
      </c>
      <c r="BK44">
        <f>3*SIN($BH44)</f>
        <v/>
      </c>
      <c r="BL44">
        <f>3*COS($BH44)</f>
        <v/>
      </c>
      <c r="BM44">
        <f>4*SIN($BH44)</f>
        <v/>
      </c>
      <c r="BN44">
        <f>4*COS($BH44)</f>
        <v/>
      </c>
      <c r="BO44">
        <f>5*SIN($BH44)</f>
        <v/>
      </c>
      <c r="BP44">
        <f>5*COS($BH44)</f>
        <v/>
      </c>
    </row>
    <row r="45" ht="30" customHeight="1">
      <c r="A45" s="50" t="inlineStr">
        <is>
          <t>Segnalazioni da motivare</t>
        </is>
      </c>
      <c r="D45" s="51">
        <f>IFERROR(IF(INDEX(SI_Rilievi_Superati,MATCH(cicloCorrente,SI_Ciclo,0))="","",INDEX(SI_Rilievi_Superati,MATCH(cicloCorrente,SI_Ciclo,0))&amp;" In validazione ogni rischio interessato chiede una motivazione (colonna Segnalazioni)."),"")</f>
        <v/>
      </c>
      <c r="BH45">
        <f>2*PI()*40/72</f>
        <v/>
      </c>
      <c r="BI45">
        <f>2*SIN($BH45)</f>
        <v/>
      </c>
      <c r="BJ45">
        <f>2*COS($BH45)</f>
        <v/>
      </c>
      <c r="BK45">
        <f>3*SIN($BH45)</f>
        <v/>
      </c>
      <c r="BL45">
        <f>3*COS($BH45)</f>
        <v/>
      </c>
      <c r="BM45">
        <f>4*SIN($BH45)</f>
        <v/>
      </c>
      <c r="BN45">
        <f>4*COS($BH45)</f>
        <v/>
      </c>
      <c r="BO45">
        <f>5*SIN($BH45)</f>
        <v/>
      </c>
      <c r="BP45">
        <f>5*COS($BH45)</f>
        <v/>
      </c>
    </row>
    <row r="46">
      <c r="BH46">
        <f>2*PI()*41/72</f>
        <v/>
      </c>
      <c r="BI46">
        <f>2*SIN($BH46)</f>
        <v/>
      </c>
      <c r="BJ46">
        <f>2*COS($BH46)</f>
        <v/>
      </c>
      <c r="BK46">
        <f>3*SIN($BH46)</f>
        <v/>
      </c>
      <c r="BL46">
        <f>3*COS($BH46)</f>
        <v/>
      </c>
      <c r="BM46">
        <f>4*SIN($BH46)</f>
        <v/>
      </c>
      <c r="BN46">
        <f>4*COS($BH46)</f>
        <v/>
      </c>
      <c r="BO46">
        <f>5*SIN($BH46)</f>
        <v/>
      </c>
      <c r="BP46">
        <f>5*COS($BH46)</f>
        <v/>
      </c>
    </row>
    <row r="47">
      <c r="A47" s="29" t="inlineStr">
        <is>
          <t>Rischi segnalati e perche'</t>
        </is>
      </c>
      <c r="B47" s="30" t="n"/>
      <c r="C47" s="30" t="n"/>
      <c r="D47" s="30" t="n"/>
      <c r="E47" s="30" t="n"/>
      <c r="F47" s="30" t="n"/>
      <c r="G47" s="30" t="n"/>
      <c r="H47" s="30" t="n"/>
      <c r="I47" s="30" t="n"/>
      <c r="J47" s="30" t="n"/>
      <c r="K47" s="30" t="n"/>
      <c r="L47" s="30" t="n"/>
      <c r="M47" s="30" t="n"/>
      <c r="N47" s="30" t="n"/>
      <c r="O47" s="30" t="n"/>
      <c r="BH47">
        <f>2*PI()*42/72</f>
        <v/>
      </c>
      <c r="BI47">
        <f>2*SIN($BH47)</f>
        <v/>
      </c>
      <c r="BJ47">
        <f>2*COS($BH47)</f>
        <v/>
      </c>
      <c r="BK47">
        <f>3*SIN($BH47)</f>
        <v/>
      </c>
      <c r="BL47">
        <f>3*COS($BH47)</f>
        <v/>
      </c>
      <c r="BM47">
        <f>4*SIN($BH47)</f>
        <v/>
      </c>
      <c r="BN47">
        <f>4*COS($BH47)</f>
        <v/>
      </c>
      <c r="BO47">
        <f>5*SIN($BH47)</f>
        <v/>
      </c>
      <c r="BP47">
        <f>5*COS($BH47)</f>
        <v/>
      </c>
    </row>
    <row r="48">
      <c r="A48" s="44" t="inlineStr">
        <is>
          <t>Rischi fra i primi tre per score, in attivazione o in attenzione, variati o nuovi nel ciclo. Tutto calcolato dai dati validati del registro.</t>
        </is>
      </c>
      <c r="BH48">
        <f>2*PI()*43/72</f>
        <v/>
      </c>
      <c r="BI48">
        <f>2*SIN($BH48)</f>
        <v/>
      </c>
      <c r="BJ48">
        <f>2*COS($BH48)</f>
        <v/>
      </c>
      <c r="BK48">
        <f>3*SIN($BH48)</f>
        <v/>
      </c>
      <c r="BL48">
        <f>3*COS($BH48)</f>
        <v/>
      </c>
      <c r="BM48">
        <f>4*SIN($BH48)</f>
        <v/>
      </c>
      <c r="BN48">
        <f>4*COS($BH48)</f>
        <v/>
      </c>
      <c r="BO48">
        <f>5*SIN($BH48)</f>
        <v/>
      </c>
      <c r="BP48">
        <f>5*COS($BH48)</f>
        <v/>
      </c>
    </row>
    <row r="49">
      <c r="A49" s="52" t="inlineStr">
        <is>
          <t>Rischio</t>
        </is>
      </c>
      <c r="B49" s="53" t="n"/>
      <c r="C49" s="53" t="n"/>
      <c r="D49" s="52" t="inlineStr">
        <is>
          <t>Livello</t>
        </is>
      </c>
      <c r="E49" s="52" t="inlineStr">
        <is>
          <t>Perche' lo segnaliamo</t>
        </is>
      </c>
      <c r="F49" s="53" t="n"/>
      <c r="G49" s="53" t="n"/>
      <c r="H49" s="53" t="n"/>
      <c r="I49" s="52" t="inlineStr">
        <is>
          <t>Cosa e' cambiato, e su quale evidenza</t>
        </is>
      </c>
      <c r="J49" s="53" t="n"/>
      <c r="K49" s="53" t="n"/>
      <c r="L49" s="53" t="n"/>
      <c r="M49" s="53" t="n"/>
      <c r="N49" s="53" t="n"/>
      <c r="O49" s="53" t="n"/>
      <c r="BH49">
        <f>2*PI()*44/72</f>
        <v/>
      </c>
      <c r="BI49">
        <f>2*SIN($BH49)</f>
        <v/>
      </c>
      <c r="BJ49">
        <f>2*COS($BH49)</f>
        <v/>
      </c>
      <c r="BK49">
        <f>3*SIN($BH49)</f>
        <v/>
      </c>
      <c r="BL49">
        <f>3*COS($BH49)</f>
        <v/>
      </c>
      <c r="BM49">
        <f>4*SIN($BH49)</f>
        <v/>
      </c>
      <c r="BN49">
        <f>4*COS($BH49)</f>
        <v/>
      </c>
      <c r="BO49">
        <f>5*SIN($BH49)</f>
        <v/>
      </c>
      <c r="BP49">
        <f>5*COS($BH49)</f>
        <v/>
      </c>
    </row>
    <row r="50" ht="46" customHeight="1">
      <c r="A50" s="45">
        <f>IF($V50="","",INDEX(Classifica!$B$5:$B$24,$V50)&amp;CHAR(10)&amp;INDEX(Classifica!$C$5:$C$24,$V50)&amp;IF(INDEX(ANA_Attenzione_Supervisore,INDEX(Classifica!$U$5:$U$24,$V50))="Sì",CHAR(10)&amp;"◆ attenzione del supervisore",""))</f>
        <v/>
      </c>
      <c r="D50" s="54">
        <f>IF($V50="","",INDEX(Radar_Mosca!$AA$5:$AA$24,INDEX(Classifica!$U$5:$U$24,$V50))&amp;"")</f>
        <v/>
      </c>
      <c r="E50" s="55">
        <f>IF($W50="","",LEFT($W50,LEN($W50)-2)&amp;".")</f>
        <v/>
      </c>
      <c r="I50" s="55">
        <f>IF($V50="","",IF(INDEX(Classifica!$G$5:$G$24,$V50)="Nuovo","Rischio nuovo nel ciclo.",IFERROR(IF(INDEX(RR_Variazioni,MATCH(cicloCorrente&amp;"|"&amp;INDEX(Classifica!$B$5:$B$24,$V50),RR_Chiave,0))&amp;""="[]","Nessun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50),RR_Chiave,0))&amp;"","[{""dimensione"": ""","• "),"""}, {""dimensione"": """,")"&amp;CHAR(10)&amp;"• "),""", ""da"": "," "),", ""a"": "," → "),", ""evidenza"": """,": "),""", ""data_evidenza"": """," ("),"""}]",")")," null → "," n.v. → ")," → null:"," → n.v.:"),"• impatto","• Impatto"),"• velocity","• Velocity"),"• prossimita","• Prossimita"),"• confidence","• Confidence"),"• probabilita","• Probabilita"),"• severity","• Impatto")),"")))</f>
        <v/>
      </c>
      <c r="U50">
        <f>IF(Classifica!$B$5="","",IF(OR(1&lt;=3,INDEX(Radar_Mosca!$AA$5:$AA$24,Classifica!$U$5)="Attivazione",INDEX(Radar_Mosca!$AA$5:$AA$24,Classifica!$U$5)="Attenzione",Classifica!$G$5="Variato",Classifica!$G$5="Nuovo"),1,""))</f>
        <v/>
      </c>
      <c r="V50">
        <f>IFERROR(_xlfn.AGGREGATE(15,6,$U$50:$U$69,1),"")</f>
        <v/>
      </c>
      <c r="W50">
        <f>IF($V50="","",IF($V50&lt;=3,$V50&amp;"° per score composito ("&amp;FIXED(INDEX(Classifica!$D$5:$D$24,$V50),2)&amp;IF(ISNUMBER(INDEX(Classifica!$F$5:$F$24,$V50)),IF(INDEX(Classifica!$F$5:$F$24,$V50)&lt;&gt;0,", "&amp;IF(INDEX(Classifica!$F$5:$F$24,$V50)&gt;0,"+","")&amp;FIXED(INDEX(Classifica!$F$5:$F$24,$V50),2)&amp;" sul ciclo prima",""),"")&amp;"); ","")&amp;IF(LEFT(INDEX(Classifica!$H$5:$H$24,$V50),9)="AGIRE ORA","AGIRE ORA: servono X + Y = "&amp;FIXED(INDEX(Classifica!$Y$5:$Y$24,$V50)+INDEX(Classifica!$Z$5:$Z$24,$V50),2)&amp;" anni per decidere e mitigare"&amp;IF(N(INDEX(ANA_Anni_Adeguamento,INDEX(Classifica!$U$5:$U$24,$V50)))&gt;0,", di cui "&amp;N(INDEX(ANA_Anni_Adeguamento,INDEX(Classifica!$U$5:$U$24,$V50)))&amp;" di adeguamento strutturale","")&amp;"; ne restano Z = "&amp;FIXED(INDEX(Classifica!$AA$5:$AA$24,$V50),1)&amp;" prima che possa manifestarsi; ",IF(AND($V50&lt;=3,LEFT(INDEX(Classifica!$H$5:$H$24,$V50),11)="Agire entro"),"margine di Mosca sotto l'anno ("&amp;FIXED(INDEX(Classifica!$I$5:$I$24,$V50),2)&amp;"); ",""))&amp;IF(INDEX(Classifica!$G$5:$G$24,$V50)="Variato","variato nel ciclo"&amp;IF(ISNUMBER(INDEX(Classifica!$F$5:$F$24,$V50)),IF(INDEX(Classifica!$F$5:$F$24,$V50)&gt;0,": peggiora",IF(INDEX(Classifica!$F$5:$F$24,$V50)&lt;0,": migliora","")),"")&amp;"; ",IF(INDEX(Classifica!$G$5:$G$24,$V50)="Nuovo","nuovo nel ciclo; ",""))&amp;IF(INDEX(ANA_Attenzione_Supervisore,INDEX(Classifica!$U$5:$U$24,$V50))="Sì","tema all'attenzione del supervisore; ","")&amp;IF(INDEX(ANA_Presidio_Controlli,INDEX(Classifica!$U$5:$U$24,$V50))="Assente","presidio dei controlli assente; ","")&amp;IF(COUNTIFS(KRI_ID_Rischio,INDEX(Classifica!$B$5:$B$24,$V50),KRI_Ciclo,cicloCorrente,KRI_In_Vigore,"Sì",KRI_Stato,"Rosso")&gt;0,COUNTIFS(KRI_ID_Rischio,INDEX(Classifica!$B$5:$B$24,$V50),KRI_Ciclo,cicloCorrente,KRI_In_Vigore,"Sì",KRI_Stato,"Rosso")&amp;" KRI in rosso; ","")&amp;IF(INDEX(posNetti,INDEX(Classifica!$U$5:$U$24,$V50))&gt;=sogliaDirezione,"notizie in peggioramento (+"&amp;INDEX(posNetti,INDEX(Classifica!$U$5:$U$24,$V50))&amp;" segnali netti in 4 settimane); ",IF(INDEX(posNetti,INDEX(Classifica!$U$5:$U$24,$V50))&lt;=-sogliaDirezione,"notizie in miglioramento ("&amp;INDEX(posNetti,INDEX(Classifica!$U$5:$U$24,$V50))&amp;" segnali netti in 4 settimane); ","")))</f>
        <v/>
      </c>
      <c r="BH50">
        <f>2*PI()*45/72</f>
        <v/>
      </c>
      <c r="BI50">
        <f>2*SIN($BH50)</f>
        <v/>
      </c>
      <c r="BJ50">
        <f>2*COS($BH50)</f>
        <v/>
      </c>
      <c r="BK50">
        <f>3*SIN($BH50)</f>
        <v/>
      </c>
      <c r="BL50">
        <f>3*COS($BH50)</f>
        <v/>
      </c>
      <c r="BM50">
        <f>4*SIN($BH50)</f>
        <v/>
      </c>
      <c r="BN50">
        <f>4*COS($BH50)</f>
        <v/>
      </c>
      <c r="BO50">
        <f>5*SIN($BH50)</f>
        <v/>
      </c>
      <c r="BP50">
        <f>5*COS($BH50)</f>
        <v/>
      </c>
    </row>
    <row r="51" ht="46" customHeight="1">
      <c r="A51" s="45">
        <f>IF($V51="","",INDEX(Classifica!$B$5:$B$24,$V51)&amp;CHAR(10)&amp;INDEX(Classifica!$C$5:$C$24,$V51)&amp;IF(INDEX(ANA_Attenzione_Supervisore,INDEX(Classifica!$U$5:$U$24,$V51))="Sì",CHAR(10)&amp;"◆ attenzione del supervisore",""))</f>
        <v/>
      </c>
      <c r="D51" s="54">
        <f>IF($V51="","",INDEX(Radar_Mosca!$AA$5:$AA$24,INDEX(Classifica!$U$5:$U$24,$V51))&amp;"")</f>
        <v/>
      </c>
      <c r="E51" s="55">
        <f>IF($W51="","",LEFT($W51,LEN($W51)-2)&amp;".")</f>
        <v/>
      </c>
      <c r="I51" s="55">
        <f>IF($V51="","",IF(INDEX(Classifica!$G$5:$G$24,$V51)="Nuovo","Rischio nuovo nel ciclo.",IFERROR(IF(INDEX(RR_Variazioni,MATCH(cicloCorrente&amp;"|"&amp;INDEX(Classifica!$B$5:$B$24,$V51),RR_Chiave,0))&amp;""="[]","Nessun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51),RR_Chiave,0))&amp;"","[{""dimensione"": ""","• "),"""}, {""dimensione"": """,")"&amp;CHAR(10)&amp;"• "),""", ""da"": "," "),", ""a"": "," → "),", ""evidenza"": """,": "),""", ""data_evidenza"": """," ("),"""}]",")")," null → "," n.v. → ")," → null:"," → n.v.:"),"• impatto","• Impatto"),"• velocity","• Velocity"),"• prossimita","• Prossimita"),"• confidence","• Confidence"),"• probabilita","• Probabilita"),"• severity","• Impatto")),"")))</f>
        <v/>
      </c>
      <c r="U51">
        <f>IF(Classifica!$B$6="","",IF(OR(2&lt;=3,INDEX(Radar_Mosca!$AA$5:$AA$24,Classifica!$U$6)="Attivazione",INDEX(Radar_Mosca!$AA$5:$AA$24,Classifica!$U$6)="Attenzione",Classifica!$G$6="Variato",Classifica!$G$6="Nuovo"),2,""))</f>
        <v/>
      </c>
      <c r="V51">
        <f>IFERROR(_xlfn.AGGREGATE(15,6,$U$50:$U$69,2),"")</f>
        <v/>
      </c>
      <c r="W51">
        <f>IF($V51="","",IF($V51&lt;=3,$V51&amp;"° per score composito ("&amp;FIXED(INDEX(Classifica!$D$5:$D$24,$V51),2)&amp;IF(ISNUMBER(INDEX(Classifica!$F$5:$F$24,$V51)),IF(INDEX(Classifica!$F$5:$F$24,$V51)&lt;&gt;0,", "&amp;IF(INDEX(Classifica!$F$5:$F$24,$V51)&gt;0,"+","")&amp;FIXED(INDEX(Classifica!$F$5:$F$24,$V51),2)&amp;" sul ciclo prima",""),"")&amp;"); ","")&amp;IF(LEFT(INDEX(Classifica!$H$5:$H$24,$V51),9)="AGIRE ORA","AGIRE ORA: servono X + Y = "&amp;FIXED(INDEX(Classifica!$Y$5:$Y$24,$V51)+INDEX(Classifica!$Z$5:$Z$24,$V51),2)&amp;" anni per decidere e mitigare"&amp;IF(N(INDEX(ANA_Anni_Adeguamento,INDEX(Classifica!$U$5:$U$24,$V51)))&gt;0,", di cui "&amp;N(INDEX(ANA_Anni_Adeguamento,INDEX(Classifica!$U$5:$U$24,$V51)))&amp;" di adeguamento strutturale","")&amp;"; ne restano Z = "&amp;FIXED(INDEX(Classifica!$AA$5:$AA$24,$V51),1)&amp;" prima che possa manifestarsi; ",IF(AND($V51&lt;=3,LEFT(INDEX(Classifica!$H$5:$H$24,$V51),11)="Agire entro"),"margine di Mosca sotto l'anno ("&amp;FIXED(INDEX(Classifica!$I$5:$I$24,$V51),2)&amp;"); ",""))&amp;IF(INDEX(Classifica!$G$5:$G$24,$V51)="Variato","variato nel ciclo"&amp;IF(ISNUMBER(INDEX(Classifica!$F$5:$F$24,$V51)),IF(INDEX(Classifica!$F$5:$F$24,$V51)&gt;0,": peggiora",IF(INDEX(Classifica!$F$5:$F$24,$V51)&lt;0,": migliora","")),"")&amp;"; ",IF(INDEX(Classifica!$G$5:$G$24,$V51)="Nuovo","nuovo nel ciclo; ",""))&amp;IF(INDEX(ANA_Attenzione_Supervisore,INDEX(Classifica!$U$5:$U$24,$V51))="Sì","tema all'attenzione del supervisore; ","")&amp;IF(INDEX(ANA_Presidio_Controlli,INDEX(Classifica!$U$5:$U$24,$V51))="Assente","presidio dei controlli assente; ","")&amp;IF(COUNTIFS(KRI_ID_Rischio,INDEX(Classifica!$B$5:$B$24,$V51),KRI_Ciclo,cicloCorrente,KRI_In_Vigore,"Sì",KRI_Stato,"Rosso")&gt;0,COUNTIFS(KRI_ID_Rischio,INDEX(Classifica!$B$5:$B$24,$V51),KRI_Ciclo,cicloCorrente,KRI_In_Vigore,"Sì",KRI_Stato,"Rosso")&amp;" KRI in rosso; ","")&amp;IF(INDEX(posNetti,INDEX(Classifica!$U$5:$U$24,$V51))&gt;=sogliaDirezione,"notizie in peggioramento (+"&amp;INDEX(posNetti,INDEX(Classifica!$U$5:$U$24,$V51))&amp;" segnali netti in 4 settimane); ",IF(INDEX(posNetti,INDEX(Classifica!$U$5:$U$24,$V51))&lt;=-sogliaDirezione,"notizie in miglioramento ("&amp;INDEX(posNetti,INDEX(Classifica!$U$5:$U$24,$V51))&amp;" segnali netti in 4 settimane); ","")))</f>
        <v/>
      </c>
      <c r="BH51">
        <f>2*PI()*46/72</f>
        <v/>
      </c>
      <c r="BI51">
        <f>2*SIN($BH51)</f>
        <v/>
      </c>
      <c r="BJ51">
        <f>2*COS($BH51)</f>
        <v/>
      </c>
      <c r="BK51">
        <f>3*SIN($BH51)</f>
        <v/>
      </c>
      <c r="BL51">
        <f>3*COS($BH51)</f>
        <v/>
      </c>
      <c r="BM51">
        <f>4*SIN($BH51)</f>
        <v/>
      </c>
      <c r="BN51">
        <f>4*COS($BH51)</f>
        <v/>
      </c>
      <c r="BO51">
        <f>5*SIN($BH51)</f>
        <v/>
      </c>
      <c r="BP51">
        <f>5*COS($BH51)</f>
        <v/>
      </c>
    </row>
    <row r="52" ht="46" customHeight="1">
      <c r="A52" s="45">
        <f>IF($V52="","",INDEX(Classifica!$B$5:$B$24,$V52)&amp;CHAR(10)&amp;INDEX(Classifica!$C$5:$C$24,$V52)&amp;IF(INDEX(ANA_Attenzione_Supervisore,INDEX(Classifica!$U$5:$U$24,$V52))="Sì",CHAR(10)&amp;"◆ attenzione del supervisore",""))</f>
        <v/>
      </c>
      <c r="D52" s="54">
        <f>IF($V52="","",INDEX(Radar_Mosca!$AA$5:$AA$24,INDEX(Classifica!$U$5:$U$24,$V52))&amp;"")</f>
        <v/>
      </c>
      <c r="E52" s="55">
        <f>IF($W52="","",LEFT($W52,LEN($W52)-2)&amp;".")</f>
        <v/>
      </c>
      <c r="I52" s="55">
        <f>IF($V52="","",IF(INDEX(Classifica!$G$5:$G$24,$V52)="Nuovo","Rischio nuovo nel ciclo.",IFERROR(IF(INDEX(RR_Variazioni,MATCH(cicloCorrente&amp;"|"&amp;INDEX(Classifica!$B$5:$B$24,$V52),RR_Chiave,0))&amp;""="[]","Nessun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52),RR_Chiave,0))&amp;"","[{""dimensione"": ""","• "),"""}, {""dimensione"": """,")"&amp;CHAR(10)&amp;"• "),""", ""da"": "," "),", ""a"": "," → "),", ""evidenza"": """,": "),""", ""data_evidenza"": """," ("),"""}]",")")," null → "," n.v. → ")," → null:"," → n.v.:"),"• impatto","• Impatto"),"• velocity","• Velocity"),"• prossimita","• Prossimita"),"• confidence","• Confidence"),"• probabilita","• Probabilita"),"• severity","• Impatto")),"")))</f>
        <v/>
      </c>
      <c r="U52">
        <f>IF(Classifica!$B$7="","",IF(OR(3&lt;=3,INDEX(Radar_Mosca!$AA$5:$AA$24,Classifica!$U$7)="Attivazione",INDEX(Radar_Mosca!$AA$5:$AA$24,Classifica!$U$7)="Attenzione",Classifica!$G$7="Variato",Classifica!$G$7="Nuovo"),3,""))</f>
        <v/>
      </c>
      <c r="V52">
        <f>IFERROR(_xlfn.AGGREGATE(15,6,$U$50:$U$69,3),"")</f>
        <v/>
      </c>
      <c r="W52">
        <f>IF($V52="","",IF($V52&lt;=3,$V52&amp;"° per score composito ("&amp;FIXED(INDEX(Classifica!$D$5:$D$24,$V52),2)&amp;IF(ISNUMBER(INDEX(Classifica!$F$5:$F$24,$V52)),IF(INDEX(Classifica!$F$5:$F$24,$V52)&lt;&gt;0,", "&amp;IF(INDEX(Classifica!$F$5:$F$24,$V52)&gt;0,"+","")&amp;FIXED(INDEX(Classifica!$F$5:$F$24,$V52),2)&amp;" sul ciclo prima",""),"")&amp;"); ","")&amp;IF(LEFT(INDEX(Classifica!$H$5:$H$24,$V52),9)="AGIRE ORA","AGIRE ORA: servono X + Y = "&amp;FIXED(INDEX(Classifica!$Y$5:$Y$24,$V52)+INDEX(Classifica!$Z$5:$Z$24,$V52),2)&amp;" anni per decidere e mitigare"&amp;IF(N(INDEX(ANA_Anni_Adeguamento,INDEX(Classifica!$U$5:$U$24,$V52)))&gt;0,", di cui "&amp;N(INDEX(ANA_Anni_Adeguamento,INDEX(Classifica!$U$5:$U$24,$V52)))&amp;" di adeguamento strutturale","")&amp;"; ne restano Z = "&amp;FIXED(INDEX(Classifica!$AA$5:$AA$24,$V52),1)&amp;" prima che possa manifestarsi; ",IF(AND($V52&lt;=3,LEFT(INDEX(Classifica!$H$5:$H$24,$V52),11)="Agire entro"),"margine di Mosca sotto l'anno ("&amp;FIXED(INDEX(Classifica!$I$5:$I$24,$V52),2)&amp;"); ",""))&amp;IF(INDEX(Classifica!$G$5:$G$24,$V52)="Variato","variato nel ciclo"&amp;IF(ISNUMBER(INDEX(Classifica!$F$5:$F$24,$V52)),IF(INDEX(Classifica!$F$5:$F$24,$V52)&gt;0,": peggiora",IF(INDEX(Classifica!$F$5:$F$24,$V52)&lt;0,": migliora","")),"")&amp;"; ",IF(INDEX(Classifica!$G$5:$G$24,$V52)="Nuovo","nuovo nel ciclo; ",""))&amp;IF(INDEX(ANA_Attenzione_Supervisore,INDEX(Classifica!$U$5:$U$24,$V52))="Sì","tema all'attenzione del supervisore; ","")&amp;IF(INDEX(ANA_Presidio_Controlli,INDEX(Classifica!$U$5:$U$24,$V52))="Assente","presidio dei controlli assente; ","")&amp;IF(COUNTIFS(KRI_ID_Rischio,INDEX(Classifica!$B$5:$B$24,$V52),KRI_Ciclo,cicloCorrente,KRI_In_Vigore,"Sì",KRI_Stato,"Rosso")&gt;0,COUNTIFS(KRI_ID_Rischio,INDEX(Classifica!$B$5:$B$24,$V52),KRI_Ciclo,cicloCorrente,KRI_In_Vigore,"Sì",KRI_Stato,"Rosso")&amp;" KRI in rosso; ","")&amp;IF(INDEX(posNetti,INDEX(Classifica!$U$5:$U$24,$V52))&gt;=sogliaDirezione,"notizie in peggioramento (+"&amp;INDEX(posNetti,INDEX(Classifica!$U$5:$U$24,$V52))&amp;" segnali netti in 4 settimane); ",IF(INDEX(posNetti,INDEX(Classifica!$U$5:$U$24,$V52))&lt;=-sogliaDirezione,"notizie in miglioramento ("&amp;INDEX(posNetti,INDEX(Classifica!$U$5:$U$24,$V52))&amp;" segnali netti in 4 settimane); ","")))</f>
        <v/>
      </c>
      <c r="BH52">
        <f>2*PI()*47/72</f>
        <v/>
      </c>
      <c r="BI52">
        <f>2*SIN($BH52)</f>
        <v/>
      </c>
      <c r="BJ52">
        <f>2*COS($BH52)</f>
        <v/>
      </c>
      <c r="BK52">
        <f>3*SIN($BH52)</f>
        <v/>
      </c>
      <c r="BL52">
        <f>3*COS($BH52)</f>
        <v/>
      </c>
      <c r="BM52">
        <f>4*SIN($BH52)</f>
        <v/>
      </c>
      <c r="BN52">
        <f>4*COS($BH52)</f>
        <v/>
      </c>
      <c r="BO52">
        <f>5*SIN($BH52)</f>
        <v/>
      </c>
      <c r="BP52">
        <f>5*COS($BH52)</f>
        <v/>
      </c>
    </row>
    <row r="53" ht="46" customHeight="1">
      <c r="A53" s="45">
        <f>IF($V53="","",INDEX(Classifica!$B$5:$B$24,$V53)&amp;CHAR(10)&amp;INDEX(Classifica!$C$5:$C$24,$V53)&amp;IF(INDEX(ANA_Attenzione_Supervisore,INDEX(Classifica!$U$5:$U$24,$V53))="Sì",CHAR(10)&amp;"◆ attenzione del supervisore",""))</f>
        <v/>
      </c>
      <c r="D53" s="54">
        <f>IF($V53="","",INDEX(Radar_Mosca!$AA$5:$AA$24,INDEX(Classifica!$U$5:$U$24,$V53))&amp;"")</f>
        <v/>
      </c>
      <c r="E53" s="55">
        <f>IF($W53="","",LEFT($W53,LEN($W53)-2)&amp;".")</f>
        <v/>
      </c>
      <c r="I53" s="55">
        <f>IF($V53="","",IF(INDEX(Classifica!$G$5:$G$24,$V53)="Nuovo","Rischio nuovo nel ciclo.",IFERROR(IF(INDEX(RR_Variazioni,MATCH(cicloCorrente&amp;"|"&amp;INDEX(Classifica!$B$5:$B$24,$V53),RR_Chiave,0))&amp;""="[]","Nessun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53),RR_Chiave,0))&amp;"","[{""dimensione"": ""","• "),"""}, {""dimensione"": """,")"&amp;CHAR(10)&amp;"• "),""", ""da"": "," "),", ""a"": "," → "),", ""evidenza"": """,": "),""", ""data_evidenza"": """," ("),"""}]",")")," null → "," n.v. → ")," → null:"," → n.v.:"),"• impatto","• Impatto"),"• velocity","• Velocity"),"• prossimita","• Prossimita"),"• confidence","• Confidence"),"• probabilita","• Probabilita"),"• severity","• Impatto")),"")))</f>
        <v/>
      </c>
      <c r="U53">
        <f>IF(Classifica!$B$8="","",IF(OR(4&lt;=3,INDEX(Radar_Mosca!$AA$5:$AA$24,Classifica!$U$8)="Attivazione",INDEX(Radar_Mosca!$AA$5:$AA$24,Classifica!$U$8)="Attenzione",Classifica!$G$8="Variato",Classifica!$G$8="Nuovo"),4,""))</f>
        <v/>
      </c>
      <c r="V53">
        <f>IFERROR(_xlfn.AGGREGATE(15,6,$U$50:$U$69,4),"")</f>
        <v/>
      </c>
      <c r="W53">
        <f>IF($V53="","",IF($V53&lt;=3,$V53&amp;"° per score composito ("&amp;FIXED(INDEX(Classifica!$D$5:$D$24,$V53),2)&amp;IF(ISNUMBER(INDEX(Classifica!$F$5:$F$24,$V53)),IF(INDEX(Classifica!$F$5:$F$24,$V53)&lt;&gt;0,", "&amp;IF(INDEX(Classifica!$F$5:$F$24,$V53)&gt;0,"+","")&amp;FIXED(INDEX(Classifica!$F$5:$F$24,$V53),2)&amp;" sul ciclo prima",""),"")&amp;"); ","")&amp;IF(LEFT(INDEX(Classifica!$H$5:$H$24,$V53),9)="AGIRE ORA","AGIRE ORA: servono X + Y = "&amp;FIXED(INDEX(Classifica!$Y$5:$Y$24,$V53)+INDEX(Classifica!$Z$5:$Z$24,$V53),2)&amp;" anni per decidere e mitigare"&amp;IF(N(INDEX(ANA_Anni_Adeguamento,INDEX(Classifica!$U$5:$U$24,$V53)))&gt;0,", di cui "&amp;N(INDEX(ANA_Anni_Adeguamento,INDEX(Classifica!$U$5:$U$24,$V53)))&amp;" di adeguamento strutturale","")&amp;"; ne restano Z = "&amp;FIXED(INDEX(Classifica!$AA$5:$AA$24,$V53),1)&amp;" prima che possa manifestarsi; ",IF(AND($V53&lt;=3,LEFT(INDEX(Classifica!$H$5:$H$24,$V53),11)="Agire entro"),"margine di Mosca sotto l'anno ("&amp;FIXED(INDEX(Classifica!$I$5:$I$24,$V53),2)&amp;"); ",""))&amp;IF(INDEX(Classifica!$G$5:$G$24,$V53)="Variato","variato nel ciclo"&amp;IF(ISNUMBER(INDEX(Classifica!$F$5:$F$24,$V53)),IF(INDEX(Classifica!$F$5:$F$24,$V53)&gt;0,": peggiora",IF(INDEX(Classifica!$F$5:$F$24,$V53)&lt;0,": migliora","")),"")&amp;"; ",IF(INDEX(Classifica!$G$5:$G$24,$V53)="Nuovo","nuovo nel ciclo; ",""))&amp;IF(INDEX(ANA_Attenzione_Supervisore,INDEX(Classifica!$U$5:$U$24,$V53))="Sì","tema all'attenzione del supervisore; ","")&amp;IF(INDEX(ANA_Presidio_Controlli,INDEX(Classifica!$U$5:$U$24,$V53))="Assente","presidio dei controlli assente; ","")&amp;IF(COUNTIFS(KRI_ID_Rischio,INDEX(Classifica!$B$5:$B$24,$V53),KRI_Ciclo,cicloCorrente,KRI_In_Vigore,"Sì",KRI_Stato,"Rosso")&gt;0,COUNTIFS(KRI_ID_Rischio,INDEX(Classifica!$B$5:$B$24,$V53),KRI_Ciclo,cicloCorrente,KRI_In_Vigore,"Sì",KRI_Stato,"Rosso")&amp;" KRI in rosso; ","")&amp;IF(INDEX(posNetti,INDEX(Classifica!$U$5:$U$24,$V53))&gt;=sogliaDirezione,"notizie in peggioramento (+"&amp;INDEX(posNetti,INDEX(Classifica!$U$5:$U$24,$V53))&amp;" segnali netti in 4 settimane); ",IF(INDEX(posNetti,INDEX(Classifica!$U$5:$U$24,$V53))&lt;=-sogliaDirezione,"notizie in miglioramento ("&amp;INDEX(posNetti,INDEX(Classifica!$U$5:$U$24,$V53))&amp;" segnali netti in 4 settimane); ","")))</f>
        <v/>
      </c>
      <c r="BH53">
        <f>2*PI()*48/72</f>
        <v/>
      </c>
      <c r="BI53">
        <f>2*SIN($BH53)</f>
        <v/>
      </c>
      <c r="BJ53">
        <f>2*COS($BH53)</f>
        <v/>
      </c>
      <c r="BK53">
        <f>3*SIN($BH53)</f>
        <v/>
      </c>
      <c r="BL53">
        <f>3*COS($BH53)</f>
        <v/>
      </c>
      <c r="BM53">
        <f>4*SIN($BH53)</f>
        <v/>
      </c>
      <c r="BN53">
        <f>4*COS($BH53)</f>
        <v/>
      </c>
      <c r="BO53">
        <f>5*SIN($BH53)</f>
        <v/>
      </c>
      <c r="BP53">
        <f>5*COS($BH53)</f>
        <v/>
      </c>
    </row>
    <row r="54" ht="46" customHeight="1">
      <c r="A54" s="45">
        <f>IF($V54="","",INDEX(Classifica!$B$5:$B$24,$V54)&amp;CHAR(10)&amp;INDEX(Classifica!$C$5:$C$24,$V54)&amp;IF(INDEX(ANA_Attenzione_Supervisore,INDEX(Classifica!$U$5:$U$24,$V54))="Sì",CHAR(10)&amp;"◆ attenzione del supervisore",""))</f>
        <v/>
      </c>
      <c r="D54" s="54">
        <f>IF($V54="","",INDEX(Radar_Mosca!$AA$5:$AA$24,INDEX(Classifica!$U$5:$U$24,$V54))&amp;"")</f>
        <v/>
      </c>
      <c r="E54" s="55">
        <f>IF($W54="","",LEFT($W54,LEN($W54)-2)&amp;".")</f>
        <v/>
      </c>
      <c r="I54" s="55">
        <f>IF($V54="","",IF(INDEX(Classifica!$G$5:$G$24,$V54)="Nuovo","Rischio nuovo nel ciclo.",IFERROR(IF(INDEX(RR_Variazioni,MATCH(cicloCorrente&amp;"|"&amp;INDEX(Classifica!$B$5:$B$24,$V54),RR_Chiave,0))&amp;""="[]","Nessun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54),RR_Chiave,0))&amp;"","[{""dimensione"": ""","• "),"""}, {""dimensione"": """,")"&amp;CHAR(10)&amp;"• "),""", ""da"": "," "),", ""a"": "," → "),", ""evidenza"": """,": "),""", ""data_evidenza"": """," ("),"""}]",")")," null → "," n.v. → ")," → null:"," → n.v.:"),"• impatto","• Impatto"),"• velocity","• Velocity"),"• prossimita","• Prossimita"),"• confidence","• Confidence"),"• probabilita","• Probabilita"),"• severity","• Impatto")),"")))</f>
        <v/>
      </c>
      <c r="U54">
        <f>IF(Classifica!$B$9="","",IF(OR(5&lt;=3,INDEX(Radar_Mosca!$AA$5:$AA$24,Classifica!$U$9)="Attivazione",INDEX(Radar_Mosca!$AA$5:$AA$24,Classifica!$U$9)="Attenzione",Classifica!$G$9="Variato",Classifica!$G$9="Nuovo"),5,""))</f>
        <v/>
      </c>
      <c r="V54">
        <f>IFERROR(_xlfn.AGGREGATE(15,6,$U$50:$U$69,5),"")</f>
        <v/>
      </c>
      <c r="W54">
        <f>IF($V54="","",IF($V54&lt;=3,$V54&amp;"° per score composito ("&amp;FIXED(INDEX(Classifica!$D$5:$D$24,$V54),2)&amp;IF(ISNUMBER(INDEX(Classifica!$F$5:$F$24,$V54)),IF(INDEX(Classifica!$F$5:$F$24,$V54)&lt;&gt;0,", "&amp;IF(INDEX(Classifica!$F$5:$F$24,$V54)&gt;0,"+","")&amp;FIXED(INDEX(Classifica!$F$5:$F$24,$V54),2)&amp;" sul ciclo prima",""),"")&amp;"); ","")&amp;IF(LEFT(INDEX(Classifica!$H$5:$H$24,$V54),9)="AGIRE ORA","AGIRE ORA: servono X + Y = "&amp;FIXED(INDEX(Classifica!$Y$5:$Y$24,$V54)+INDEX(Classifica!$Z$5:$Z$24,$V54),2)&amp;" anni per decidere e mitigare"&amp;IF(N(INDEX(ANA_Anni_Adeguamento,INDEX(Classifica!$U$5:$U$24,$V54)))&gt;0,", di cui "&amp;N(INDEX(ANA_Anni_Adeguamento,INDEX(Classifica!$U$5:$U$24,$V54)))&amp;" di adeguamento strutturale","")&amp;"; ne restano Z = "&amp;FIXED(INDEX(Classifica!$AA$5:$AA$24,$V54),1)&amp;" prima che possa manifestarsi; ",IF(AND($V54&lt;=3,LEFT(INDEX(Classifica!$H$5:$H$24,$V54),11)="Agire entro"),"margine di Mosca sotto l'anno ("&amp;FIXED(INDEX(Classifica!$I$5:$I$24,$V54),2)&amp;"); ",""))&amp;IF(INDEX(Classifica!$G$5:$G$24,$V54)="Variato","variato nel ciclo"&amp;IF(ISNUMBER(INDEX(Classifica!$F$5:$F$24,$V54)),IF(INDEX(Classifica!$F$5:$F$24,$V54)&gt;0,": peggiora",IF(INDEX(Classifica!$F$5:$F$24,$V54)&lt;0,": migliora","")),"")&amp;"; ",IF(INDEX(Classifica!$G$5:$G$24,$V54)="Nuovo","nuovo nel ciclo; ",""))&amp;IF(INDEX(ANA_Attenzione_Supervisore,INDEX(Classifica!$U$5:$U$24,$V54))="Sì","tema all'attenzione del supervisore; ","")&amp;IF(INDEX(ANA_Presidio_Controlli,INDEX(Classifica!$U$5:$U$24,$V54))="Assente","presidio dei controlli assente; ","")&amp;IF(COUNTIFS(KRI_ID_Rischio,INDEX(Classifica!$B$5:$B$24,$V54),KRI_Ciclo,cicloCorrente,KRI_In_Vigore,"Sì",KRI_Stato,"Rosso")&gt;0,COUNTIFS(KRI_ID_Rischio,INDEX(Classifica!$B$5:$B$24,$V54),KRI_Ciclo,cicloCorrente,KRI_In_Vigore,"Sì",KRI_Stato,"Rosso")&amp;" KRI in rosso; ","")&amp;IF(INDEX(posNetti,INDEX(Classifica!$U$5:$U$24,$V54))&gt;=sogliaDirezione,"notizie in peggioramento (+"&amp;INDEX(posNetti,INDEX(Classifica!$U$5:$U$24,$V54))&amp;" segnali netti in 4 settimane); ",IF(INDEX(posNetti,INDEX(Classifica!$U$5:$U$24,$V54))&lt;=-sogliaDirezione,"notizie in miglioramento ("&amp;INDEX(posNetti,INDEX(Classifica!$U$5:$U$24,$V54))&amp;" segnali netti in 4 settimane); ","")))</f>
        <v/>
      </c>
      <c r="BH54">
        <f>2*PI()*49/72</f>
        <v/>
      </c>
      <c r="BI54">
        <f>2*SIN($BH54)</f>
        <v/>
      </c>
      <c r="BJ54">
        <f>2*COS($BH54)</f>
        <v/>
      </c>
      <c r="BK54">
        <f>3*SIN($BH54)</f>
        <v/>
      </c>
      <c r="BL54">
        <f>3*COS($BH54)</f>
        <v/>
      </c>
      <c r="BM54">
        <f>4*SIN($BH54)</f>
        <v/>
      </c>
      <c r="BN54">
        <f>4*COS($BH54)</f>
        <v/>
      </c>
      <c r="BO54">
        <f>5*SIN($BH54)</f>
        <v/>
      </c>
      <c r="BP54">
        <f>5*COS($BH54)</f>
        <v/>
      </c>
    </row>
    <row r="55" ht="46" customHeight="1">
      <c r="A55" s="45">
        <f>IF($V55="","",INDEX(Classifica!$B$5:$B$24,$V55)&amp;CHAR(10)&amp;INDEX(Classifica!$C$5:$C$24,$V55)&amp;IF(INDEX(ANA_Attenzione_Supervisore,INDEX(Classifica!$U$5:$U$24,$V55))="Sì",CHAR(10)&amp;"◆ attenzione del supervisore",""))</f>
        <v/>
      </c>
      <c r="D55" s="54">
        <f>IF($V55="","",INDEX(Radar_Mosca!$AA$5:$AA$24,INDEX(Classifica!$U$5:$U$24,$V55))&amp;"")</f>
        <v/>
      </c>
      <c r="E55" s="55">
        <f>IF($W55="","",LEFT($W55,LEN($W55)-2)&amp;".")</f>
        <v/>
      </c>
      <c r="I55" s="55">
        <f>IF($V55="","",IF(INDEX(Classifica!$G$5:$G$24,$V55)="Nuovo","Rischio nuovo nel ciclo.",IFERROR(IF(INDEX(RR_Variazioni,MATCH(cicloCorrente&amp;"|"&amp;INDEX(Classifica!$B$5:$B$24,$V55),RR_Chiave,0))&amp;""="[]","Nessun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55),RR_Chiave,0))&amp;"","[{""dimensione"": ""","• "),"""}, {""dimensione"": """,")"&amp;CHAR(10)&amp;"• "),""", ""da"": "," "),", ""a"": "," → "),", ""evidenza"": """,": "),""", ""data_evidenza"": """," ("),"""}]",")")," null → "," n.v. → ")," → null:"," → n.v.:"),"• impatto","• Impatto"),"• velocity","• Velocity"),"• prossimita","• Prossimita"),"• confidence","• Confidence"),"• probabilita","• Probabilita"),"• severity","• Impatto")),"")))</f>
        <v/>
      </c>
      <c r="U55">
        <f>IF(Classifica!$B$10="","",IF(OR(6&lt;=3,INDEX(Radar_Mosca!$AA$5:$AA$24,Classifica!$U$10)="Attivazione",INDEX(Radar_Mosca!$AA$5:$AA$24,Classifica!$U$10)="Attenzione",Classifica!$G$10="Variato",Classifica!$G$10="Nuovo"),6,""))</f>
        <v/>
      </c>
      <c r="V55">
        <f>IFERROR(_xlfn.AGGREGATE(15,6,$U$50:$U$69,6),"")</f>
        <v/>
      </c>
      <c r="W55">
        <f>IF($V55="","",IF($V55&lt;=3,$V55&amp;"° per score composito ("&amp;FIXED(INDEX(Classifica!$D$5:$D$24,$V55),2)&amp;IF(ISNUMBER(INDEX(Classifica!$F$5:$F$24,$V55)),IF(INDEX(Classifica!$F$5:$F$24,$V55)&lt;&gt;0,", "&amp;IF(INDEX(Classifica!$F$5:$F$24,$V55)&gt;0,"+","")&amp;FIXED(INDEX(Classifica!$F$5:$F$24,$V55),2)&amp;" sul ciclo prima",""),"")&amp;"); ","")&amp;IF(LEFT(INDEX(Classifica!$H$5:$H$24,$V55),9)="AGIRE ORA","AGIRE ORA: servono X + Y = "&amp;FIXED(INDEX(Classifica!$Y$5:$Y$24,$V55)+INDEX(Classifica!$Z$5:$Z$24,$V55),2)&amp;" anni per decidere e mitigare"&amp;IF(N(INDEX(ANA_Anni_Adeguamento,INDEX(Classifica!$U$5:$U$24,$V55)))&gt;0,", di cui "&amp;N(INDEX(ANA_Anni_Adeguamento,INDEX(Classifica!$U$5:$U$24,$V55)))&amp;" di adeguamento strutturale","")&amp;"; ne restano Z = "&amp;FIXED(INDEX(Classifica!$AA$5:$AA$24,$V55),1)&amp;" prima che possa manifestarsi; ",IF(AND($V55&lt;=3,LEFT(INDEX(Classifica!$H$5:$H$24,$V55),11)="Agire entro"),"margine di Mosca sotto l'anno ("&amp;FIXED(INDEX(Classifica!$I$5:$I$24,$V55),2)&amp;"); ",""))&amp;IF(INDEX(Classifica!$G$5:$G$24,$V55)="Variato","variato nel ciclo"&amp;IF(ISNUMBER(INDEX(Classifica!$F$5:$F$24,$V55)),IF(INDEX(Classifica!$F$5:$F$24,$V55)&gt;0,": peggiora",IF(INDEX(Classifica!$F$5:$F$24,$V55)&lt;0,": migliora","")),"")&amp;"; ",IF(INDEX(Classifica!$G$5:$G$24,$V55)="Nuovo","nuovo nel ciclo; ",""))&amp;IF(INDEX(ANA_Attenzione_Supervisore,INDEX(Classifica!$U$5:$U$24,$V55))="Sì","tema all'attenzione del supervisore; ","")&amp;IF(INDEX(ANA_Presidio_Controlli,INDEX(Classifica!$U$5:$U$24,$V55))="Assente","presidio dei controlli assente; ","")&amp;IF(COUNTIFS(KRI_ID_Rischio,INDEX(Classifica!$B$5:$B$24,$V55),KRI_Ciclo,cicloCorrente,KRI_In_Vigore,"Sì",KRI_Stato,"Rosso")&gt;0,COUNTIFS(KRI_ID_Rischio,INDEX(Classifica!$B$5:$B$24,$V55),KRI_Ciclo,cicloCorrente,KRI_In_Vigore,"Sì",KRI_Stato,"Rosso")&amp;" KRI in rosso; ","")&amp;IF(INDEX(posNetti,INDEX(Classifica!$U$5:$U$24,$V55))&gt;=sogliaDirezione,"notizie in peggioramento (+"&amp;INDEX(posNetti,INDEX(Classifica!$U$5:$U$24,$V55))&amp;" segnali netti in 4 settimane); ",IF(INDEX(posNetti,INDEX(Classifica!$U$5:$U$24,$V55))&lt;=-sogliaDirezione,"notizie in miglioramento ("&amp;INDEX(posNetti,INDEX(Classifica!$U$5:$U$24,$V55))&amp;" segnali netti in 4 settimane); ","")))</f>
        <v/>
      </c>
      <c r="BH55">
        <f>2*PI()*50/72</f>
        <v/>
      </c>
      <c r="BI55">
        <f>2*SIN($BH55)</f>
        <v/>
      </c>
      <c r="BJ55">
        <f>2*COS($BH55)</f>
        <v/>
      </c>
      <c r="BK55">
        <f>3*SIN($BH55)</f>
        <v/>
      </c>
      <c r="BL55">
        <f>3*COS($BH55)</f>
        <v/>
      </c>
      <c r="BM55">
        <f>4*SIN($BH55)</f>
        <v/>
      </c>
      <c r="BN55">
        <f>4*COS($BH55)</f>
        <v/>
      </c>
      <c r="BO55">
        <f>5*SIN($BH55)</f>
        <v/>
      </c>
      <c r="BP55">
        <f>5*COS($BH55)</f>
        <v/>
      </c>
    </row>
    <row r="56" ht="3" customHeight="1">
      <c r="A56" s="45">
        <f>IF($V56="","",INDEX(Classifica!$B$5:$B$24,$V56)&amp;CHAR(10)&amp;INDEX(Classifica!$C$5:$C$24,$V56)&amp;IF(INDEX(ANA_Attenzione_Supervisore,INDEX(Classifica!$U$5:$U$24,$V56))="Sì",CHAR(10)&amp;"◆ attenzione del supervisore",""))</f>
        <v/>
      </c>
      <c r="D56" s="54">
        <f>IF($V56="","",INDEX(Radar_Mosca!$AA$5:$AA$24,INDEX(Classifica!$U$5:$U$24,$V56))&amp;"")</f>
        <v/>
      </c>
      <c r="E56" s="55">
        <f>IF($W56="","",LEFT($W56,LEN($W56)-2)&amp;".")</f>
        <v/>
      </c>
      <c r="I56" s="55">
        <f>IF($V56="","",IF(INDEX(Classifica!$G$5:$G$24,$V56)="Nuovo","Rischio nuovo nel ciclo.",IFERROR(IF(INDEX(RR_Variazioni,MATCH(cicloCorrente&amp;"|"&amp;INDEX(Classifica!$B$5:$B$24,$V56),RR_Chiave,0))&amp;""="[]","Nessun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56),RR_Chiave,0))&amp;"","[{""dimensione"": ""","• "),"""}, {""dimensione"": """,")"&amp;CHAR(10)&amp;"• "),""", ""da"": "," "),", ""a"": "," → "),", ""evidenza"": """,": "),""", ""data_evidenza"": """," ("),"""}]",")")," null → "," n.v. → ")," → null:"," → n.v.:"),"• impatto","• Impatto"),"• velocity","• Velocity"),"• prossimita","• Prossimita"),"• confidence","• Confidence"),"• probabilita","• Probabilita"),"• severity","• Impatto")),"")))</f>
        <v/>
      </c>
      <c r="U56">
        <f>IF(Classifica!$B$11="","",IF(OR(7&lt;=3,INDEX(Radar_Mosca!$AA$5:$AA$24,Classifica!$U$11)="Attivazione",INDEX(Radar_Mosca!$AA$5:$AA$24,Classifica!$U$11)="Attenzione",Classifica!$G$11="Variato",Classifica!$G$11="Nuovo"),7,""))</f>
        <v/>
      </c>
      <c r="V56">
        <f>IFERROR(_xlfn.AGGREGATE(15,6,$U$50:$U$69,7),"")</f>
        <v/>
      </c>
      <c r="W56">
        <f>IF($V56="","",IF($V56&lt;=3,$V56&amp;"° per score composito ("&amp;FIXED(INDEX(Classifica!$D$5:$D$24,$V56),2)&amp;IF(ISNUMBER(INDEX(Classifica!$F$5:$F$24,$V56)),IF(INDEX(Classifica!$F$5:$F$24,$V56)&lt;&gt;0,", "&amp;IF(INDEX(Classifica!$F$5:$F$24,$V56)&gt;0,"+","")&amp;FIXED(INDEX(Classifica!$F$5:$F$24,$V56),2)&amp;" sul ciclo prima",""),"")&amp;"); ","")&amp;IF(LEFT(INDEX(Classifica!$H$5:$H$24,$V56),9)="AGIRE ORA","AGIRE ORA: servono X + Y = "&amp;FIXED(INDEX(Classifica!$Y$5:$Y$24,$V56)+INDEX(Classifica!$Z$5:$Z$24,$V56),2)&amp;" anni per decidere e mitigare"&amp;IF(N(INDEX(ANA_Anni_Adeguamento,INDEX(Classifica!$U$5:$U$24,$V56)))&gt;0,", di cui "&amp;N(INDEX(ANA_Anni_Adeguamento,INDEX(Classifica!$U$5:$U$24,$V56)))&amp;" di adeguamento strutturale","")&amp;"; ne restano Z = "&amp;FIXED(INDEX(Classifica!$AA$5:$AA$24,$V56),1)&amp;" prima che possa manifestarsi; ",IF(AND($V56&lt;=3,LEFT(INDEX(Classifica!$H$5:$H$24,$V56),11)="Agire entro"),"margine di Mosca sotto l'anno ("&amp;FIXED(INDEX(Classifica!$I$5:$I$24,$V56),2)&amp;"); ",""))&amp;IF(INDEX(Classifica!$G$5:$G$24,$V56)="Variato","variato nel ciclo"&amp;IF(ISNUMBER(INDEX(Classifica!$F$5:$F$24,$V56)),IF(INDEX(Classifica!$F$5:$F$24,$V56)&gt;0,": peggiora",IF(INDEX(Classifica!$F$5:$F$24,$V56)&lt;0,": migliora","")),"")&amp;"; ",IF(INDEX(Classifica!$G$5:$G$24,$V56)="Nuovo","nuovo nel ciclo; ",""))&amp;IF(INDEX(ANA_Attenzione_Supervisore,INDEX(Classifica!$U$5:$U$24,$V56))="Sì","tema all'attenzione del supervisore; ","")&amp;IF(INDEX(ANA_Presidio_Controlli,INDEX(Classifica!$U$5:$U$24,$V56))="Assente","presidio dei controlli assente; ","")&amp;IF(COUNTIFS(KRI_ID_Rischio,INDEX(Classifica!$B$5:$B$24,$V56),KRI_Ciclo,cicloCorrente,KRI_In_Vigore,"Sì",KRI_Stato,"Rosso")&gt;0,COUNTIFS(KRI_ID_Rischio,INDEX(Classifica!$B$5:$B$24,$V56),KRI_Ciclo,cicloCorrente,KRI_In_Vigore,"Sì",KRI_Stato,"Rosso")&amp;" KRI in rosso; ","")&amp;IF(INDEX(posNetti,INDEX(Classifica!$U$5:$U$24,$V56))&gt;=sogliaDirezione,"notizie in peggioramento (+"&amp;INDEX(posNetti,INDEX(Classifica!$U$5:$U$24,$V56))&amp;" segnali netti in 4 settimane); ",IF(INDEX(posNetti,INDEX(Classifica!$U$5:$U$24,$V56))&lt;=-sogliaDirezione,"notizie in miglioramento ("&amp;INDEX(posNetti,INDEX(Classifica!$U$5:$U$24,$V56))&amp;" segnali netti in 4 settimane); ","")))</f>
        <v/>
      </c>
      <c r="BH56">
        <f>2*PI()*51/72</f>
        <v/>
      </c>
      <c r="BI56">
        <f>2*SIN($BH56)</f>
        <v/>
      </c>
      <c r="BJ56">
        <f>2*COS($BH56)</f>
        <v/>
      </c>
      <c r="BK56">
        <f>3*SIN($BH56)</f>
        <v/>
      </c>
      <c r="BL56">
        <f>3*COS($BH56)</f>
        <v/>
      </c>
      <c r="BM56">
        <f>4*SIN($BH56)</f>
        <v/>
      </c>
      <c r="BN56">
        <f>4*COS($BH56)</f>
        <v/>
      </c>
      <c r="BO56">
        <f>5*SIN($BH56)</f>
        <v/>
      </c>
      <c r="BP56">
        <f>5*COS($BH56)</f>
        <v/>
      </c>
    </row>
    <row r="57" ht="3" customHeight="1">
      <c r="A57" s="45">
        <f>IF($V57="","",INDEX(Classifica!$B$5:$B$24,$V57)&amp;CHAR(10)&amp;INDEX(Classifica!$C$5:$C$24,$V57)&amp;IF(INDEX(ANA_Attenzione_Supervisore,INDEX(Classifica!$U$5:$U$24,$V57))="Sì",CHAR(10)&amp;"◆ attenzione del supervisore",""))</f>
        <v/>
      </c>
      <c r="D57" s="54">
        <f>IF($V57="","",INDEX(Radar_Mosca!$AA$5:$AA$24,INDEX(Classifica!$U$5:$U$24,$V57))&amp;"")</f>
        <v/>
      </c>
      <c r="E57" s="55">
        <f>IF($W57="","",LEFT($W57,LEN($W57)-2)&amp;".")</f>
        <v/>
      </c>
      <c r="I57" s="55">
        <f>IF($V57="","",IF(INDEX(Classifica!$G$5:$G$24,$V57)="Nuovo","Rischio nuovo nel ciclo.",IFERROR(IF(INDEX(RR_Variazioni,MATCH(cicloCorrente&amp;"|"&amp;INDEX(Classifica!$B$5:$B$24,$V57),RR_Chiave,0))&amp;""="[]","Nessun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57),RR_Chiave,0))&amp;"","[{""dimensione"": ""","• "),"""}, {""dimensione"": """,")"&amp;CHAR(10)&amp;"• "),""", ""da"": "," "),", ""a"": "," → "),", ""evidenza"": """,": "),""", ""data_evidenza"": """," ("),"""}]",")")," null → "," n.v. → ")," → null:"," → n.v.:"),"• impatto","• Impatto"),"• velocity","• Velocity"),"• prossimita","• Prossimita"),"• confidence","• Confidence"),"• probabilita","• Probabilita"),"• severity","• Impatto")),"")))</f>
        <v/>
      </c>
      <c r="U57">
        <f>IF(Classifica!$B$12="","",IF(OR(8&lt;=3,INDEX(Radar_Mosca!$AA$5:$AA$24,Classifica!$U$12)="Attivazione",INDEX(Radar_Mosca!$AA$5:$AA$24,Classifica!$U$12)="Attenzione",Classifica!$G$12="Variato",Classifica!$G$12="Nuovo"),8,""))</f>
        <v/>
      </c>
      <c r="V57">
        <f>IFERROR(_xlfn.AGGREGATE(15,6,$U$50:$U$69,8),"")</f>
        <v/>
      </c>
      <c r="W57">
        <f>IF($V57="","",IF($V57&lt;=3,$V57&amp;"° per score composito ("&amp;FIXED(INDEX(Classifica!$D$5:$D$24,$V57),2)&amp;IF(ISNUMBER(INDEX(Classifica!$F$5:$F$24,$V57)),IF(INDEX(Classifica!$F$5:$F$24,$V57)&lt;&gt;0,", "&amp;IF(INDEX(Classifica!$F$5:$F$24,$V57)&gt;0,"+","")&amp;FIXED(INDEX(Classifica!$F$5:$F$24,$V57),2)&amp;" sul ciclo prima",""),"")&amp;"); ","")&amp;IF(LEFT(INDEX(Classifica!$H$5:$H$24,$V57),9)="AGIRE ORA","AGIRE ORA: servono X + Y = "&amp;FIXED(INDEX(Classifica!$Y$5:$Y$24,$V57)+INDEX(Classifica!$Z$5:$Z$24,$V57),2)&amp;" anni per decidere e mitigare"&amp;IF(N(INDEX(ANA_Anni_Adeguamento,INDEX(Classifica!$U$5:$U$24,$V57)))&gt;0,", di cui "&amp;N(INDEX(ANA_Anni_Adeguamento,INDEX(Classifica!$U$5:$U$24,$V57)))&amp;" di adeguamento strutturale","")&amp;"; ne restano Z = "&amp;FIXED(INDEX(Classifica!$AA$5:$AA$24,$V57),1)&amp;" prima che possa manifestarsi; ",IF(AND($V57&lt;=3,LEFT(INDEX(Classifica!$H$5:$H$24,$V57),11)="Agire entro"),"margine di Mosca sotto l'anno ("&amp;FIXED(INDEX(Classifica!$I$5:$I$24,$V57),2)&amp;"); ",""))&amp;IF(INDEX(Classifica!$G$5:$G$24,$V57)="Variato","variato nel ciclo"&amp;IF(ISNUMBER(INDEX(Classifica!$F$5:$F$24,$V57)),IF(INDEX(Classifica!$F$5:$F$24,$V57)&gt;0,": peggiora",IF(INDEX(Classifica!$F$5:$F$24,$V57)&lt;0,": migliora","")),"")&amp;"; ",IF(INDEX(Classifica!$G$5:$G$24,$V57)="Nuovo","nuovo nel ciclo; ",""))&amp;IF(INDEX(ANA_Attenzione_Supervisore,INDEX(Classifica!$U$5:$U$24,$V57))="Sì","tema all'attenzione del supervisore; ","")&amp;IF(INDEX(ANA_Presidio_Controlli,INDEX(Classifica!$U$5:$U$24,$V57))="Assente","presidio dei controlli assente; ","")&amp;IF(COUNTIFS(KRI_ID_Rischio,INDEX(Classifica!$B$5:$B$24,$V57),KRI_Ciclo,cicloCorrente,KRI_In_Vigore,"Sì",KRI_Stato,"Rosso")&gt;0,COUNTIFS(KRI_ID_Rischio,INDEX(Classifica!$B$5:$B$24,$V57),KRI_Ciclo,cicloCorrente,KRI_In_Vigore,"Sì",KRI_Stato,"Rosso")&amp;" KRI in rosso; ","")&amp;IF(INDEX(posNetti,INDEX(Classifica!$U$5:$U$24,$V57))&gt;=sogliaDirezione,"notizie in peggioramento (+"&amp;INDEX(posNetti,INDEX(Classifica!$U$5:$U$24,$V57))&amp;" segnali netti in 4 settimane); ",IF(INDEX(posNetti,INDEX(Classifica!$U$5:$U$24,$V57))&lt;=-sogliaDirezione,"notizie in miglioramento ("&amp;INDEX(posNetti,INDEX(Classifica!$U$5:$U$24,$V57))&amp;" segnali netti in 4 settimane); ","")))</f>
        <v/>
      </c>
      <c r="BH57">
        <f>2*PI()*52/72</f>
        <v/>
      </c>
      <c r="BI57">
        <f>2*SIN($BH57)</f>
        <v/>
      </c>
      <c r="BJ57">
        <f>2*COS($BH57)</f>
        <v/>
      </c>
      <c r="BK57">
        <f>3*SIN($BH57)</f>
        <v/>
      </c>
      <c r="BL57">
        <f>3*COS($BH57)</f>
        <v/>
      </c>
      <c r="BM57">
        <f>4*SIN($BH57)</f>
        <v/>
      </c>
      <c r="BN57">
        <f>4*COS($BH57)</f>
        <v/>
      </c>
      <c r="BO57">
        <f>5*SIN($BH57)</f>
        <v/>
      </c>
      <c r="BP57">
        <f>5*COS($BH57)</f>
        <v/>
      </c>
    </row>
    <row r="58" ht="3" customHeight="1">
      <c r="A58" s="45">
        <f>IF($V58="","",INDEX(Classifica!$B$5:$B$24,$V58)&amp;CHAR(10)&amp;INDEX(Classifica!$C$5:$C$24,$V58)&amp;IF(INDEX(ANA_Attenzione_Supervisore,INDEX(Classifica!$U$5:$U$24,$V58))="Sì",CHAR(10)&amp;"◆ attenzione del supervisore",""))</f>
        <v/>
      </c>
      <c r="D58" s="54">
        <f>IF($V58="","",INDEX(Radar_Mosca!$AA$5:$AA$24,INDEX(Classifica!$U$5:$U$24,$V58))&amp;"")</f>
        <v/>
      </c>
      <c r="E58" s="55">
        <f>IF($W58="","",LEFT($W58,LEN($W58)-2)&amp;".")</f>
        <v/>
      </c>
      <c r="I58" s="55">
        <f>IF($V58="","",IF(INDEX(Classifica!$G$5:$G$24,$V58)="Nuovo","Rischio nuovo nel ciclo.",IFERROR(IF(INDEX(RR_Variazioni,MATCH(cicloCorrente&amp;"|"&amp;INDEX(Classifica!$B$5:$B$24,$V58),RR_Chiave,0))&amp;""="[]","Nessun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58),RR_Chiave,0))&amp;"","[{""dimensione"": ""","• "),"""}, {""dimensione"": """,")"&amp;CHAR(10)&amp;"• "),""", ""da"": "," "),", ""a"": "," → "),", ""evidenza"": """,": "),""", ""data_evidenza"": """," ("),"""}]",")")," null → "," n.v. → ")," → null:"," → n.v.:"),"• impatto","• Impatto"),"• velocity","• Velocity"),"• prossimita","• Prossimita"),"• confidence","• Confidence"),"• probabilita","• Probabilita"),"• severity","• Impatto")),"")))</f>
        <v/>
      </c>
      <c r="U58">
        <f>IF(Classifica!$B$13="","",IF(OR(9&lt;=3,INDEX(Radar_Mosca!$AA$5:$AA$24,Classifica!$U$13)="Attivazione",INDEX(Radar_Mosca!$AA$5:$AA$24,Classifica!$U$13)="Attenzione",Classifica!$G$13="Variato",Classifica!$G$13="Nuovo"),9,""))</f>
        <v/>
      </c>
      <c r="V58">
        <f>IFERROR(_xlfn.AGGREGATE(15,6,$U$50:$U$69,9),"")</f>
        <v/>
      </c>
      <c r="W58">
        <f>IF($V58="","",IF($V58&lt;=3,$V58&amp;"° per score composito ("&amp;FIXED(INDEX(Classifica!$D$5:$D$24,$V58),2)&amp;IF(ISNUMBER(INDEX(Classifica!$F$5:$F$24,$V58)),IF(INDEX(Classifica!$F$5:$F$24,$V58)&lt;&gt;0,", "&amp;IF(INDEX(Classifica!$F$5:$F$24,$V58)&gt;0,"+","")&amp;FIXED(INDEX(Classifica!$F$5:$F$24,$V58),2)&amp;" sul ciclo prima",""),"")&amp;"); ","")&amp;IF(LEFT(INDEX(Classifica!$H$5:$H$24,$V58),9)="AGIRE ORA","AGIRE ORA: servono X + Y = "&amp;FIXED(INDEX(Classifica!$Y$5:$Y$24,$V58)+INDEX(Classifica!$Z$5:$Z$24,$V58),2)&amp;" anni per decidere e mitigare"&amp;IF(N(INDEX(ANA_Anni_Adeguamento,INDEX(Classifica!$U$5:$U$24,$V58)))&gt;0,", di cui "&amp;N(INDEX(ANA_Anni_Adeguamento,INDEX(Classifica!$U$5:$U$24,$V58)))&amp;" di adeguamento strutturale","")&amp;"; ne restano Z = "&amp;FIXED(INDEX(Classifica!$AA$5:$AA$24,$V58),1)&amp;" prima che possa manifestarsi; ",IF(AND($V58&lt;=3,LEFT(INDEX(Classifica!$H$5:$H$24,$V58),11)="Agire entro"),"margine di Mosca sotto l'anno ("&amp;FIXED(INDEX(Classifica!$I$5:$I$24,$V58),2)&amp;"); ",""))&amp;IF(INDEX(Classifica!$G$5:$G$24,$V58)="Variato","variato nel ciclo"&amp;IF(ISNUMBER(INDEX(Classifica!$F$5:$F$24,$V58)),IF(INDEX(Classifica!$F$5:$F$24,$V58)&gt;0,": peggiora",IF(INDEX(Classifica!$F$5:$F$24,$V58)&lt;0,": migliora","")),"")&amp;"; ",IF(INDEX(Classifica!$G$5:$G$24,$V58)="Nuovo","nuovo nel ciclo; ",""))&amp;IF(INDEX(ANA_Attenzione_Supervisore,INDEX(Classifica!$U$5:$U$24,$V58))="Sì","tema all'attenzione del supervisore; ","")&amp;IF(INDEX(ANA_Presidio_Controlli,INDEX(Classifica!$U$5:$U$24,$V58))="Assente","presidio dei controlli assente; ","")&amp;IF(COUNTIFS(KRI_ID_Rischio,INDEX(Classifica!$B$5:$B$24,$V58),KRI_Ciclo,cicloCorrente,KRI_In_Vigore,"Sì",KRI_Stato,"Rosso")&gt;0,COUNTIFS(KRI_ID_Rischio,INDEX(Classifica!$B$5:$B$24,$V58),KRI_Ciclo,cicloCorrente,KRI_In_Vigore,"Sì",KRI_Stato,"Rosso")&amp;" KRI in rosso; ","")&amp;IF(INDEX(posNetti,INDEX(Classifica!$U$5:$U$24,$V58))&gt;=sogliaDirezione,"notizie in peggioramento (+"&amp;INDEX(posNetti,INDEX(Classifica!$U$5:$U$24,$V58))&amp;" segnali netti in 4 settimane); ",IF(INDEX(posNetti,INDEX(Classifica!$U$5:$U$24,$V58))&lt;=-sogliaDirezione,"notizie in miglioramento ("&amp;INDEX(posNetti,INDEX(Classifica!$U$5:$U$24,$V58))&amp;" segnali netti in 4 settimane); ","")))</f>
        <v/>
      </c>
      <c r="BH58">
        <f>2*PI()*53/72</f>
        <v/>
      </c>
      <c r="BI58">
        <f>2*SIN($BH58)</f>
        <v/>
      </c>
      <c r="BJ58">
        <f>2*COS($BH58)</f>
        <v/>
      </c>
      <c r="BK58">
        <f>3*SIN($BH58)</f>
        <v/>
      </c>
      <c r="BL58">
        <f>3*COS($BH58)</f>
        <v/>
      </c>
      <c r="BM58">
        <f>4*SIN($BH58)</f>
        <v/>
      </c>
      <c r="BN58">
        <f>4*COS($BH58)</f>
        <v/>
      </c>
      <c r="BO58">
        <f>5*SIN($BH58)</f>
        <v/>
      </c>
      <c r="BP58">
        <f>5*COS($BH58)</f>
        <v/>
      </c>
    </row>
    <row r="59" ht="3" customHeight="1">
      <c r="A59" s="45">
        <f>IF($V59="","",INDEX(Classifica!$B$5:$B$24,$V59)&amp;CHAR(10)&amp;INDEX(Classifica!$C$5:$C$24,$V59)&amp;IF(INDEX(ANA_Attenzione_Supervisore,INDEX(Classifica!$U$5:$U$24,$V59))="Sì",CHAR(10)&amp;"◆ attenzione del supervisore",""))</f>
        <v/>
      </c>
      <c r="D59" s="54">
        <f>IF($V59="","",INDEX(Radar_Mosca!$AA$5:$AA$24,INDEX(Classifica!$U$5:$U$24,$V59))&amp;"")</f>
        <v/>
      </c>
      <c r="E59" s="55">
        <f>IF($W59="","",LEFT($W59,LEN($W59)-2)&amp;".")</f>
        <v/>
      </c>
      <c r="I59" s="55">
        <f>IF($V59="","",IF(INDEX(Classifica!$G$5:$G$24,$V59)="Nuovo","Rischio nuovo nel ciclo.",IFERROR(IF(INDEX(RR_Variazioni,MATCH(cicloCorrente&amp;"|"&amp;INDEX(Classifica!$B$5:$B$24,$V59),RR_Chiave,0))&amp;""="[]","Nessun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59),RR_Chiave,0))&amp;"","[{""dimensione"": ""","• "),"""}, {""dimensione"": """,")"&amp;CHAR(10)&amp;"• "),""", ""da"": "," "),", ""a"": "," → "),", ""evidenza"": """,": "),""", ""data_evidenza"": """," ("),"""}]",")")," null → "," n.v. → ")," → null:"," → n.v.:"),"• impatto","• Impatto"),"• velocity","• Velocity"),"• prossimita","• Prossimita"),"• confidence","• Confidence"),"• probabilita","• Probabilita"),"• severity","• Impatto")),"")))</f>
        <v/>
      </c>
      <c r="U59">
        <f>IF(Classifica!$B$14="","",IF(OR(10&lt;=3,INDEX(Radar_Mosca!$AA$5:$AA$24,Classifica!$U$14)="Attivazione",INDEX(Radar_Mosca!$AA$5:$AA$24,Classifica!$U$14)="Attenzione",Classifica!$G$14="Variato",Classifica!$G$14="Nuovo"),10,""))</f>
        <v/>
      </c>
      <c r="V59">
        <f>IFERROR(_xlfn.AGGREGATE(15,6,$U$50:$U$69,10),"")</f>
        <v/>
      </c>
      <c r="W59">
        <f>IF($V59="","",IF($V59&lt;=3,$V59&amp;"° per score composito ("&amp;FIXED(INDEX(Classifica!$D$5:$D$24,$V59),2)&amp;IF(ISNUMBER(INDEX(Classifica!$F$5:$F$24,$V59)),IF(INDEX(Classifica!$F$5:$F$24,$V59)&lt;&gt;0,", "&amp;IF(INDEX(Classifica!$F$5:$F$24,$V59)&gt;0,"+","")&amp;FIXED(INDEX(Classifica!$F$5:$F$24,$V59),2)&amp;" sul ciclo prima",""),"")&amp;"); ","")&amp;IF(LEFT(INDEX(Classifica!$H$5:$H$24,$V59),9)="AGIRE ORA","AGIRE ORA: servono X + Y = "&amp;FIXED(INDEX(Classifica!$Y$5:$Y$24,$V59)+INDEX(Classifica!$Z$5:$Z$24,$V59),2)&amp;" anni per decidere e mitigare"&amp;IF(N(INDEX(ANA_Anni_Adeguamento,INDEX(Classifica!$U$5:$U$24,$V59)))&gt;0,", di cui "&amp;N(INDEX(ANA_Anni_Adeguamento,INDEX(Classifica!$U$5:$U$24,$V59)))&amp;" di adeguamento strutturale","")&amp;"; ne restano Z = "&amp;FIXED(INDEX(Classifica!$AA$5:$AA$24,$V59),1)&amp;" prima che possa manifestarsi; ",IF(AND($V59&lt;=3,LEFT(INDEX(Classifica!$H$5:$H$24,$V59),11)="Agire entro"),"margine di Mosca sotto l'anno ("&amp;FIXED(INDEX(Classifica!$I$5:$I$24,$V59),2)&amp;"); ",""))&amp;IF(INDEX(Classifica!$G$5:$G$24,$V59)="Variato","variato nel ciclo"&amp;IF(ISNUMBER(INDEX(Classifica!$F$5:$F$24,$V59)),IF(INDEX(Classifica!$F$5:$F$24,$V59)&gt;0,": peggiora",IF(INDEX(Classifica!$F$5:$F$24,$V59)&lt;0,": migliora","")),"")&amp;"; ",IF(INDEX(Classifica!$G$5:$G$24,$V59)="Nuovo","nuovo nel ciclo; ",""))&amp;IF(INDEX(ANA_Attenzione_Supervisore,INDEX(Classifica!$U$5:$U$24,$V59))="Sì","tema all'attenzione del supervisore; ","")&amp;IF(INDEX(ANA_Presidio_Controlli,INDEX(Classifica!$U$5:$U$24,$V59))="Assente","presidio dei controlli assente; ","")&amp;IF(COUNTIFS(KRI_ID_Rischio,INDEX(Classifica!$B$5:$B$24,$V59),KRI_Ciclo,cicloCorrente,KRI_In_Vigore,"Sì",KRI_Stato,"Rosso")&gt;0,COUNTIFS(KRI_ID_Rischio,INDEX(Classifica!$B$5:$B$24,$V59),KRI_Ciclo,cicloCorrente,KRI_In_Vigore,"Sì",KRI_Stato,"Rosso")&amp;" KRI in rosso; ","")&amp;IF(INDEX(posNetti,INDEX(Classifica!$U$5:$U$24,$V59))&gt;=sogliaDirezione,"notizie in peggioramento (+"&amp;INDEX(posNetti,INDEX(Classifica!$U$5:$U$24,$V59))&amp;" segnali netti in 4 settimane); ",IF(INDEX(posNetti,INDEX(Classifica!$U$5:$U$24,$V59))&lt;=-sogliaDirezione,"notizie in miglioramento ("&amp;INDEX(posNetti,INDEX(Classifica!$U$5:$U$24,$V59))&amp;" segnali netti in 4 settimane); ","")))</f>
        <v/>
      </c>
      <c r="BH59">
        <f>2*PI()*54/72</f>
        <v/>
      </c>
      <c r="BI59">
        <f>2*SIN($BH59)</f>
        <v/>
      </c>
      <c r="BJ59">
        <f>2*COS($BH59)</f>
        <v/>
      </c>
      <c r="BK59">
        <f>3*SIN($BH59)</f>
        <v/>
      </c>
      <c r="BL59">
        <f>3*COS($BH59)</f>
        <v/>
      </c>
      <c r="BM59">
        <f>4*SIN($BH59)</f>
        <v/>
      </c>
      <c r="BN59">
        <f>4*COS($BH59)</f>
        <v/>
      </c>
      <c r="BO59">
        <f>5*SIN($BH59)</f>
        <v/>
      </c>
      <c r="BP59">
        <f>5*COS($BH59)</f>
        <v/>
      </c>
    </row>
    <row r="60" ht="3" customHeight="1">
      <c r="A60" s="45">
        <f>IF($V60="","",INDEX(Classifica!$B$5:$B$24,$V60)&amp;CHAR(10)&amp;INDEX(Classifica!$C$5:$C$24,$V60)&amp;IF(INDEX(ANA_Attenzione_Supervisore,INDEX(Classifica!$U$5:$U$24,$V60))="Sì",CHAR(10)&amp;"◆ attenzione del supervisore",""))</f>
        <v/>
      </c>
      <c r="D60" s="54">
        <f>IF($V60="","",INDEX(Radar_Mosca!$AA$5:$AA$24,INDEX(Classifica!$U$5:$U$24,$V60))&amp;"")</f>
        <v/>
      </c>
      <c r="E60" s="55">
        <f>IF($W60="","",LEFT($W60,LEN($W60)-2)&amp;".")</f>
        <v/>
      </c>
      <c r="I60" s="55">
        <f>IF($V60="","",IF(INDEX(Classifica!$G$5:$G$24,$V60)="Nuovo","Rischio nuovo nel ciclo.",IFERROR(IF(INDEX(RR_Variazioni,MATCH(cicloCorrente&amp;"|"&amp;INDEX(Classifica!$B$5:$B$24,$V60),RR_Chiave,0))&amp;""="[]","Nessun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60),RR_Chiave,0))&amp;"","[{""dimensione"": ""","• "),"""}, {""dimensione"": """,")"&amp;CHAR(10)&amp;"• "),""", ""da"": "," "),", ""a"": "," → "),", ""evidenza"": """,": "),""", ""data_evidenza"": """," ("),"""}]",")")," null → "," n.v. → ")," → null:"," → n.v.:"),"• impatto","• Impatto"),"• velocity","• Velocity"),"• prossimita","• Prossimita"),"• confidence","• Confidence"),"• probabilita","• Probabilita"),"• severity","• Impatto")),"")))</f>
        <v/>
      </c>
      <c r="U60">
        <f>IF(Classifica!$B$15="","",IF(OR(11&lt;=3,INDEX(Radar_Mosca!$AA$5:$AA$24,Classifica!$U$15)="Attivazione",INDEX(Radar_Mosca!$AA$5:$AA$24,Classifica!$U$15)="Attenzione",Classifica!$G$15="Variato",Classifica!$G$15="Nuovo"),11,""))</f>
        <v/>
      </c>
      <c r="V60">
        <f>IFERROR(_xlfn.AGGREGATE(15,6,$U$50:$U$69,11),"")</f>
        <v/>
      </c>
      <c r="W60">
        <f>IF($V60="","",IF($V60&lt;=3,$V60&amp;"° per score composito ("&amp;FIXED(INDEX(Classifica!$D$5:$D$24,$V60),2)&amp;IF(ISNUMBER(INDEX(Classifica!$F$5:$F$24,$V60)),IF(INDEX(Classifica!$F$5:$F$24,$V60)&lt;&gt;0,", "&amp;IF(INDEX(Classifica!$F$5:$F$24,$V60)&gt;0,"+","")&amp;FIXED(INDEX(Classifica!$F$5:$F$24,$V60),2)&amp;" sul ciclo prima",""),"")&amp;"); ","")&amp;IF(LEFT(INDEX(Classifica!$H$5:$H$24,$V60),9)="AGIRE ORA","AGIRE ORA: servono X + Y = "&amp;FIXED(INDEX(Classifica!$Y$5:$Y$24,$V60)+INDEX(Classifica!$Z$5:$Z$24,$V60),2)&amp;" anni per decidere e mitigare"&amp;IF(N(INDEX(ANA_Anni_Adeguamento,INDEX(Classifica!$U$5:$U$24,$V60)))&gt;0,", di cui "&amp;N(INDEX(ANA_Anni_Adeguamento,INDEX(Classifica!$U$5:$U$24,$V60)))&amp;" di adeguamento strutturale","")&amp;"; ne restano Z = "&amp;FIXED(INDEX(Classifica!$AA$5:$AA$24,$V60),1)&amp;" prima che possa manifestarsi; ",IF(AND($V60&lt;=3,LEFT(INDEX(Classifica!$H$5:$H$24,$V60),11)="Agire entro"),"margine di Mosca sotto l'anno ("&amp;FIXED(INDEX(Classifica!$I$5:$I$24,$V60),2)&amp;"); ",""))&amp;IF(INDEX(Classifica!$G$5:$G$24,$V60)="Variato","variato nel ciclo"&amp;IF(ISNUMBER(INDEX(Classifica!$F$5:$F$24,$V60)),IF(INDEX(Classifica!$F$5:$F$24,$V60)&gt;0,": peggiora",IF(INDEX(Classifica!$F$5:$F$24,$V60)&lt;0,": migliora","")),"")&amp;"; ",IF(INDEX(Classifica!$G$5:$G$24,$V60)="Nuovo","nuovo nel ciclo; ",""))&amp;IF(INDEX(ANA_Attenzione_Supervisore,INDEX(Classifica!$U$5:$U$24,$V60))="Sì","tema all'attenzione del supervisore; ","")&amp;IF(INDEX(ANA_Presidio_Controlli,INDEX(Classifica!$U$5:$U$24,$V60))="Assente","presidio dei controlli assente; ","")&amp;IF(COUNTIFS(KRI_ID_Rischio,INDEX(Classifica!$B$5:$B$24,$V60),KRI_Ciclo,cicloCorrente,KRI_In_Vigore,"Sì",KRI_Stato,"Rosso")&gt;0,COUNTIFS(KRI_ID_Rischio,INDEX(Classifica!$B$5:$B$24,$V60),KRI_Ciclo,cicloCorrente,KRI_In_Vigore,"Sì",KRI_Stato,"Rosso")&amp;" KRI in rosso; ","")&amp;IF(INDEX(posNetti,INDEX(Classifica!$U$5:$U$24,$V60))&gt;=sogliaDirezione,"notizie in peggioramento (+"&amp;INDEX(posNetti,INDEX(Classifica!$U$5:$U$24,$V60))&amp;" segnali netti in 4 settimane); ",IF(INDEX(posNetti,INDEX(Classifica!$U$5:$U$24,$V60))&lt;=-sogliaDirezione,"notizie in miglioramento ("&amp;INDEX(posNetti,INDEX(Classifica!$U$5:$U$24,$V60))&amp;" segnali netti in 4 settimane); ","")))</f>
        <v/>
      </c>
      <c r="BH60">
        <f>2*PI()*55/72</f>
        <v/>
      </c>
      <c r="BI60">
        <f>2*SIN($BH60)</f>
        <v/>
      </c>
      <c r="BJ60">
        <f>2*COS($BH60)</f>
        <v/>
      </c>
      <c r="BK60">
        <f>3*SIN($BH60)</f>
        <v/>
      </c>
      <c r="BL60">
        <f>3*COS($BH60)</f>
        <v/>
      </c>
      <c r="BM60">
        <f>4*SIN($BH60)</f>
        <v/>
      </c>
      <c r="BN60">
        <f>4*COS($BH60)</f>
        <v/>
      </c>
      <c r="BO60">
        <f>5*SIN($BH60)</f>
        <v/>
      </c>
      <c r="BP60">
        <f>5*COS($BH60)</f>
        <v/>
      </c>
    </row>
    <row r="61" ht="3" customHeight="1">
      <c r="A61" s="45">
        <f>IF($V61="","",INDEX(Classifica!$B$5:$B$24,$V61)&amp;CHAR(10)&amp;INDEX(Classifica!$C$5:$C$24,$V61)&amp;IF(INDEX(ANA_Attenzione_Supervisore,INDEX(Classifica!$U$5:$U$24,$V61))="Sì",CHAR(10)&amp;"◆ attenzione del supervisore",""))</f>
        <v/>
      </c>
      <c r="D61" s="54">
        <f>IF($V61="","",INDEX(Radar_Mosca!$AA$5:$AA$24,INDEX(Classifica!$U$5:$U$24,$V61))&amp;"")</f>
        <v/>
      </c>
      <c r="E61" s="55">
        <f>IF($W61="","",LEFT($W61,LEN($W61)-2)&amp;".")</f>
        <v/>
      </c>
      <c r="I61" s="55">
        <f>IF($V61="","",IF(INDEX(Classifica!$G$5:$G$24,$V61)="Nuovo","Rischio nuovo nel ciclo.",IFERROR(IF(INDEX(RR_Variazioni,MATCH(cicloCorrente&amp;"|"&amp;INDEX(Classifica!$B$5:$B$24,$V61),RR_Chiave,0))&amp;""="[]","Nessun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61),RR_Chiave,0))&amp;"","[{""dimensione"": ""","• "),"""}, {""dimensione"": """,")"&amp;CHAR(10)&amp;"• "),""", ""da"": "," "),", ""a"": "," → "),", ""evidenza"": """,": "),""", ""data_evidenza"": """," ("),"""}]",")")," null → "," n.v. → ")," → null:"," → n.v.:"),"• impatto","• Impatto"),"• velocity","• Velocity"),"• prossimita","• Prossimita"),"• confidence","• Confidence"),"• probabilita","• Probabilita"),"• severity","• Impatto")),"")))</f>
        <v/>
      </c>
      <c r="U61">
        <f>IF(Classifica!$B$16="","",IF(OR(12&lt;=3,INDEX(Radar_Mosca!$AA$5:$AA$24,Classifica!$U$16)="Attivazione",INDEX(Radar_Mosca!$AA$5:$AA$24,Classifica!$U$16)="Attenzione",Classifica!$G$16="Variato",Classifica!$G$16="Nuovo"),12,""))</f>
        <v/>
      </c>
      <c r="V61">
        <f>IFERROR(_xlfn.AGGREGATE(15,6,$U$50:$U$69,12),"")</f>
        <v/>
      </c>
      <c r="W61">
        <f>IF($V61="","",IF($V61&lt;=3,$V61&amp;"° per score composito ("&amp;FIXED(INDEX(Classifica!$D$5:$D$24,$V61),2)&amp;IF(ISNUMBER(INDEX(Classifica!$F$5:$F$24,$V61)),IF(INDEX(Classifica!$F$5:$F$24,$V61)&lt;&gt;0,", "&amp;IF(INDEX(Classifica!$F$5:$F$24,$V61)&gt;0,"+","")&amp;FIXED(INDEX(Classifica!$F$5:$F$24,$V61),2)&amp;" sul ciclo prima",""),"")&amp;"); ","")&amp;IF(LEFT(INDEX(Classifica!$H$5:$H$24,$V61),9)="AGIRE ORA","AGIRE ORA: servono X + Y = "&amp;FIXED(INDEX(Classifica!$Y$5:$Y$24,$V61)+INDEX(Classifica!$Z$5:$Z$24,$V61),2)&amp;" anni per decidere e mitigare"&amp;IF(N(INDEX(ANA_Anni_Adeguamento,INDEX(Classifica!$U$5:$U$24,$V61)))&gt;0,", di cui "&amp;N(INDEX(ANA_Anni_Adeguamento,INDEX(Classifica!$U$5:$U$24,$V61)))&amp;" di adeguamento strutturale","")&amp;"; ne restano Z = "&amp;FIXED(INDEX(Classifica!$AA$5:$AA$24,$V61),1)&amp;" prima che possa manifestarsi; ",IF(AND($V61&lt;=3,LEFT(INDEX(Classifica!$H$5:$H$24,$V61),11)="Agire entro"),"margine di Mosca sotto l'anno ("&amp;FIXED(INDEX(Classifica!$I$5:$I$24,$V61),2)&amp;"); ",""))&amp;IF(INDEX(Classifica!$G$5:$G$24,$V61)="Variato","variato nel ciclo"&amp;IF(ISNUMBER(INDEX(Classifica!$F$5:$F$24,$V61)),IF(INDEX(Classifica!$F$5:$F$24,$V61)&gt;0,": peggiora",IF(INDEX(Classifica!$F$5:$F$24,$V61)&lt;0,": migliora","")),"")&amp;"; ",IF(INDEX(Classifica!$G$5:$G$24,$V61)="Nuovo","nuovo nel ciclo; ",""))&amp;IF(INDEX(ANA_Attenzione_Supervisore,INDEX(Classifica!$U$5:$U$24,$V61))="Sì","tema all'attenzione del supervisore; ","")&amp;IF(INDEX(ANA_Presidio_Controlli,INDEX(Classifica!$U$5:$U$24,$V61))="Assente","presidio dei controlli assente; ","")&amp;IF(COUNTIFS(KRI_ID_Rischio,INDEX(Classifica!$B$5:$B$24,$V61),KRI_Ciclo,cicloCorrente,KRI_In_Vigore,"Sì",KRI_Stato,"Rosso")&gt;0,COUNTIFS(KRI_ID_Rischio,INDEX(Classifica!$B$5:$B$24,$V61),KRI_Ciclo,cicloCorrente,KRI_In_Vigore,"Sì",KRI_Stato,"Rosso")&amp;" KRI in rosso; ","")&amp;IF(INDEX(posNetti,INDEX(Classifica!$U$5:$U$24,$V61))&gt;=sogliaDirezione,"notizie in peggioramento (+"&amp;INDEX(posNetti,INDEX(Classifica!$U$5:$U$24,$V61))&amp;" segnali netti in 4 settimane); ",IF(INDEX(posNetti,INDEX(Classifica!$U$5:$U$24,$V61))&lt;=-sogliaDirezione,"notizie in miglioramento ("&amp;INDEX(posNetti,INDEX(Classifica!$U$5:$U$24,$V61))&amp;" segnali netti in 4 settimane); ","")))</f>
        <v/>
      </c>
      <c r="BH61">
        <f>2*PI()*56/72</f>
        <v/>
      </c>
      <c r="BI61">
        <f>2*SIN($BH61)</f>
        <v/>
      </c>
      <c r="BJ61">
        <f>2*COS($BH61)</f>
        <v/>
      </c>
      <c r="BK61">
        <f>3*SIN($BH61)</f>
        <v/>
      </c>
      <c r="BL61">
        <f>3*COS($BH61)</f>
        <v/>
      </c>
      <c r="BM61">
        <f>4*SIN($BH61)</f>
        <v/>
      </c>
      <c r="BN61">
        <f>4*COS($BH61)</f>
        <v/>
      </c>
      <c r="BO61">
        <f>5*SIN($BH61)</f>
        <v/>
      </c>
      <c r="BP61">
        <f>5*COS($BH61)</f>
        <v/>
      </c>
    </row>
    <row r="62" ht="3" customHeight="1">
      <c r="A62" s="45">
        <f>IF($V62="","",INDEX(Classifica!$B$5:$B$24,$V62)&amp;CHAR(10)&amp;INDEX(Classifica!$C$5:$C$24,$V62)&amp;IF(INDEX(ANA_Attenzione_Supervisore,INDEX(Classifica!$U$5:$U$24,$V62))="Sì",CHAR(10)&amp;"◆ attenzione del supervisore",""))</f>
        <v/>
      </c>
      <c r="D62" s="54">
        <f>IF($V62="","",INDEX(Radar_Mosca!$AA$5:$AA$24,INDEX(Classifica!$U$5:$U$24,$V62))&amp;"")</f>
        <v/>
      </c>
      <c r="E62" s="55">
        <f>IF($W62="","",LEFT($W62,LEN($W62)-2)&amp;".")</f>
        <v/>
      </c>
      <c r="I62" s="55">
        <f>IF($V62="","",IF(INDEX(Classifica!$G$5:$G$24,$V62)="Nuovo","Rischio nuovo nel ciclo.",IFERROR(IF(INDEX(RR_Variazioni,MATCH(cicloCorrente&amp;"|"&amp;INDEX(Classifica!$B$5:$B$24,$V62),RR_Chiave,0))&amp;""="[]","Nessun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62),RR_Chiave,0))&amp;"","[{""dimensione"": ""","• "),"""}, {""dimensione"": """,")"&amp;CHAR(10)&amp;"• "),""", ""da"": "," "),", ""a"": "," → "),", ""evidenza"": """,": "),""", ""data_evidenza"": """," ("),"""}]",")")," null → "," n.v. → ")," → null:"," → n.v.:"),"• impatto","• Impatto"),"• velocity","• Velocity"),"• prossimita","• Prossimita"),"• confidence","• Confidence"),"• probabilita","• Probabilita"),"• severity","• Impatto")),"")))</f>
        <v/>
      </c>
      <c r="U62">
        <f>IF(Classifica!$B$17="","",IF(OR(13&lt;=3,INDEX(Radar_Mosca!$AA$5:$AA$24,Classifica!$U$17)="Attivazione",INDEX(Radar_Mosca!$AA$5:$AA$24,Classifica!$U$17)="Attenzione",Classifica!$G$17="Variato",Classifica!$G$17="Nuovo"),13,""))</f>
        <v/>
      </c>
      <c r="V62">
        <f>IFERROR(_xlfn.AGGREGATE(15,6,$U$50:$U$69,13),"")</f>
        <v/>
      </c>
      <c r="W62">
        <f>IF($V62="","",IF($V62&lt;=3,$V62&amp;"° per score composito ("&amp;FIXED(INDEX(Classifica!$D$5:$D$24,$V62),2)&amp;IF(ISNUMBER(INDEX(Classifica!$F$5:$F$24,$V62)),IF(INDEX(Classifica!$F$5:$F$24,$V62)&lt;&gt;0,", "&amp;IF(INDEX(Classifica!$F$5:$F$24,$V62)&gt;0,"+","")&amp;FIXED(INDEX(Classifica!$F$5:$F$24,$V62),2)&amp;" sul ciclo prima",""),"")&amp;"); ","")&amp;IF(LEFT(INDEX(Classifica!$H$5:$H$24,$V62),9)="AGIRE ORA","AGIRE ORA: servono X + Y = "&amp;FIXED(INDEX(Classifica!$Y$5:$Y$24,$V62)+INDEX(Classifica!$Z$5:$Z$24,$V62),2)&amp;" anni per decidere e mitigare"&amp;IF(N(INDEX(ANA_Anni_Adeguamento,INDEX(Classifica!$U$5:$U$24,$V62)))&gt;0,", di cui "&amp;N(INDEX(ANA_Anni_Adeguamento,INDEX(Classifica!$U$5:$U$24,$V62)))&amp;" di adeguamento strutturale","")&amp;"; ne restano Z = "&amp;FIXED(INDEX(Classifica!$AA$5:$AA$24,$V62),1)&amp;" prima che possa manifestarsi; ",IF(AND($V62&lt;=3,LEFT(INDEX(Classifica!$H$5:$H$24,$V62),11)="Agire entro"),"margine di Mosca sotto l'anno ("&amp;FIXED(INDEX(Classifica!$I$5:$I$24,$V62),2)&amp;"); ",""))&amp;IF(INDEX(Classifica!$G$5:$G$24,$V62)="Variato","variato nel ciclo"&amp;IF(ISNUMBER(INDEX(Classifica!$F$5:$F$24,$V62)),IF(INDEX(Classifica!$F$5:$F$24,$V62)&gt;0,": peggiora",IF(INDEX(Classifica!$F$5:$F$24,$V62)&lt;0,": migliora","")),"")&amp;"; ",IF(INDEX(Classifica!$G$5:$G$24,$V62)="Nuovo","nuovo nel ciclo; ",""))&amp;IF(INDEX(ANA_Attenzione_Supervisore,INDEX(Classifica!$U$5:$U$24,$V62))="Sì","tema all'attenzione del supervisore; ","")&amp;IF(INDEX(ANA_Presidio_Controlli,INDEX(Classifica!$U$5:$U$24,$V62))="Assente","presidio dei controlli assente; ","")&amp;IF(COUNTIFS(KRI_ID_Rischio,INDEX(Classifica!$B$5:$B$24,$V62),KRI_Ciclo,cicloCorrente,KRI_In_Vigore,"Sì",KRI_Stato,"Rosso")&gt;0,COUNTIFS(KRI_ID_Rischio,INDEX(Classifica!$B$5:$B$24,$V62),KRI_Ciclo,cicloCorrente,KRI_In_Vigore,"Sì",KRI_Stato,"Rosso")&amp;" KRI in rosso; ","")&amp;IF(INDEX(posNetti,INDEX(Classifica!$U$5:$U$24,$V62))&gt;=sogliaDirezione,"notizie in peggioramento (+"&amp;INDEX(posNetti,INDEX(Classifica!$U$5:$U$24,$V62))&amp;" segnali netti in 4 settimane); ",IF(INDEX(posNetti,INDEX(Classifica!$U$5:$U$24,$V62))&lt;=-sogliaDirezione,"notizie in miglioramento ("&amp;INDEX(posNetti,INDEX(Classifica!$U$5:$U$24,$V62))&amp;" segnali netti in 4 settimane); ","")))</f>
        <v/>
      </c>
      <c r="BH62">
        <f>2*PI()*57/72</f>
        <v/>
      </c>
      <c r="BI62">
        <f>2*SIN($BH62)</f>
        <v/>
      </c>
      <c r="BJ62">
        <f>2*COS($BH62)</f>
        <v/>
      </c>
      <c r="BK62">
        <f>3*SIN($BH62)</f>
        <v/>
      </c>
      <c r="BL62">
        <f>3*COS($BH62)</f>
        <v/>
      </c>
      <c r="BM62">
        <f>4*SIN($BH62)</f>
        <v/>
      </c>
      <c r="BN62">
        <f>4*COS($BH62)</f>
        <v/>
      </c>
      <c r="BO62">
        <f>5*SIN($BH62)</f>
        <v/>
      </c>
      <c r="BP62">
        <f>5*COS($BH62)</f>
        <v/>
      </c>
    </row>
    <row r="63" ht="3" customHeight="1">
      <c r="A63" s="45">
        <f>IF($V63="","",INDEX(Classifica!$B$5:$B$24,$V63)&amp;CHAR(10)&amp;INDEX(Classifica!$C$5:$C$24,$V63)&amp;IF(INDEX(ANA_Attenzione_Supervisore,INDEX(Classifica!$U$5:$U$24,$V63))="Sì",CHAR(10)&amp;"◆ attenzione del supervisore",""))</f>
        <v/>
      </c>
      <c r="D63" s="54">
        <f>IF($V63="","",INDEX(Radar_Mosca!$AA$5:$AA$24,INDEX(Classifica!$U$5:$U$24,$V63))&amp;"")</f>
        <v/>
      </c>
      <c r="E63" s="55">
        <f>IF($W63="","",LEFT($W63,LEN($W63)-2)&amp;".")</f>
        <v/>
      </c>
      <c r="I63" s="55">
        <f>IF($V63="","",IF(INDEX(Classifica!$G$5:$G$24,$V63)="Nuovo","Rischio nuovo nel ciclo.",IFERROR(IF(INDEX(RR_Variazioni,MATCH(cicloCorrente&amp;"|"&amp;INDEX(Classifica!$B$5:$B$24,$V63),RR_Chiave,0))&amp;""="[]","Nessun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63),RR_Chiave,0))&amp;"","[{""dimensione"": ""","• "),"""}, {""dimensione"": """,")"&amp;CHAR(10)&amp;"• "),""", ""da"": "," "),", ""a"": "," → "),", ""evidenza"": """,": "),""", ""data_evidenza"": """," ("),"""}]",")")," null → "," n.v. → ")," → null:"," → n.v.:"),"• impatto","• Impatto"),"• velocity","• Velocity"),"• prossimita","• Prossimita"),"• confidence","• Confidence"),"• probabilita","• Probabilita"),"• severity","• Impatto")),"")))</f>
        <v/>
      </c>
      <c r="U63">
        <f>IF(Classifica!$B$18="","",IF(OR(14&lt;=3,INDEX(Radar_Mosca!$AA$5:$AA$24,Classifica!$U$18)="Attivazione",INDEX(Radar_Mosca!$AA$5:$AA$24,Classifica!$U$18)="Attenzione",Classifica!$G$18="Variato",Classifica!$G$18="Nuovo"),14,""))</f>
        <v/>
      </c>
      <c r="V63">
        <f>IFERROR(_xlfn.AGGREGATE(15,6,$U$50:$U$69,14),"")</f>
        <v/>
      </c>
      <c r="W63">
        <f>IF($V63="","",IF($V63&lt;=3,$V63&amp;"° per score composito ("&amp;FIXED(INDEX(Classifica!$D$5:$D$24,$V63),2)&amp;IF(ISNUMBER(INDEX(Classifica!$F$5:$F$24,$V63)),IF(INDEX(Classifica!$F$5:$F$24,$V63)&lt;&gt;0,", "&amp;IF(INDEX(Classifica!$F$5:$F$24,$V63)&gt;0,"+","")&amp;FIXED(INDEX(Classifica!$F$5:$F$24,$V63),2)&amp;" sul ciclo prima",""),"")&amp;"); ","")&amp;IF(LEFT(INDEX(Classifica!$H$5:$H$24,$V63),9)="AGIRE ORA","AGIRE ORA: servono X + Y = "&amp;FIXED(INDEX(Classifica!$Y$5:$Y$24,$V63)+INDEX(Classifica!$Z$5:$Z$24,$V63),2)&amp;" anni per decidere e mitigare"&amp;IF(N(INDEX(ANA_Anni_Adeguamento,INDEX(Classifica!$U$5:$U$24,$V63)))&gt;0,", di cui "&amp;N(INDEX(ANA_Anni_Adeguamento,INDEX(Classifica!$U$5:$U$24,$V63)))&amp;" di adeguamento strutturale","")&amp;"; ne restano Z = "&amp;FIXED(INDEX(Classifica!$AA$5:$AA$24,$V63),1)&amp;" prima che possa manifestarsi; ",IF(AND($V63&lt;=3,LEFT(INDEX(Classifica!$H$5:$H$24,$V63),11)="Agire entro"),"margine di Mosca sotto l'anno ("&amp;FIXED(INDEX(Classifica!$I$5:$I$24,$V63),2)&amp;"); ",""))&amp;IF(INDEX(Classifica!$G$5:$G$24,$V63)="Variato","variato nel ciclo"&amp;IF(ISNUMBER(INDEX(Classifica!$F$5:$F$24,$V63)),IF(INDEX(Classifica!$F$5:$F$24,$V63)&gt;0,": peggiora",IF(INDEX(Classifica!$F$5:$F$24,$V63)&lt;0,": migliora","")),"")&amp;"; ",IF(INDEX(Classifica!$G$5:$G$24,$V63)="Nuovo","nuovo nel ciclo; ",""))&amp;IF(INDEX(ANA_Attenzione_Supervisore,INDEX(Classifica!$U$5:$U$24,$V63))="Sì","tema all'attenzione del supervisore; ","")&amp;IF(INDEX(ANA_Presidio_Controlli,INDEX(Classifica!$U$5:$U$24,$V63))="Assente","presidio dei controlli assente; ","")&amp;IF(COUNTIFS(KRI_ID_Rischio,INDEX(Classifica!$B$5:$B$24,$V63),KRI_Ciclo,cicloCorrente,KRI_In_Vigore,"Sì",KRI_Stato,"Rosso")&gt;0,COUNTIFS(KRI_ID_Rischio,INDEX(Classifica!$B$5:$B$24,$V63),KRI_Ciclo,cicloCorrente,KRI_In_Vigore,"Sì",KRI_Stato,"Rosso")&amp;" KRI in rosso; ","")&amp;IF(INDEX(posNetti,INDEX(Classifica!$U$5:$U$24,$V63))&gt;=sogliaDirezione,"notizie in peggioramento (+"&amp;INDEX(posNetti,INDEX(Classifica!$U$5:$U$24,$V63))&amp;" segnali netti in 4 settimane); ",IF(INDEX(posNetti,INDEX(Classifica!$U$5:$U$24,$V63))&lt;=-sogliaDirezione,"notizie in miglioramento ("&amp;INDEX(posNetti,INDEX(Classifica!$U$5:$U$24,$V63))&amp;" segnali netti in 4 settimane); ","")))</f>
        <v/>
      </c>
      <c r="BH63">
        <f>2*PI()*58/72</f>
        <v/>
      </c>
      <c r="BI63">
        <f>2*SIN($BH63)</f>
        <v/>
      </c>
      <c r="BJ63">
        <f>2*COS($BH63)</f>
        <v/>
      </c>
      <c r="BK63">
        <f>3*SIN($BH63)</f>
        <v/>
      </c>
      <c r="BL63">
        <f>3*COS($BH63)</f>
        <v/>
      </c>
      <c r="BM63">
        <f>4*SIN($BH63)</f>
        <v/>
      </c>
      <c r="BN63">
        <f>4*COS($BH63)</f>
        <v/>
      </c>
      <c r="BO63">
        <f>5*SIN($BH63)</f>
        <v/>
      </c>
      <c r="BP63">
        <f>5*COS($BH63)</f>
        <v/>
      </c>
    </row>
    <row r="64" ht="3" customHeight="1">
      <c r="A64" s="45">
        <f>IF($V64="","",INDEX(Classifica!$B$5:$B$24,$V64)&amp;CHAR(10)&amp;INDEX(Classifica!$C$5:$C$24,$V64)&amp;IF(INDEX(ANA_Attenzione_Supervisore,INDEX(Classifica!$U$5:$U$24,$V64))="Sì",CHAR(10)&amp;"◆ attenzione del supervisore",""))</f>
        <v/>
      </c>
      <c r="D64" s="54">
        <f>IF($V64="","",INDEX(Radar_Mosca!$AA$5:$AA$24,INDEX(Classifica!$U$5:$U$24,$V64))&amp;"")</f>
        <v/>
      </c>
      <c r="E64" s="55">
        <f>IF($W64="","",LEFT($W64,LEN($W64)-2)&amp;".")</f>
        <v/>
      </c>
      <c r="I64" s="55">
        <f>IF($V64="","",IF(INDEX(Classifica!$G$5:$G$24,$V64)="Nuovo","Rischio nuovo nel ciclo.",IFERROR(IF(INDEX(RR_Variazioni,MATCH(cicloCorrente&amp;"|"&amp;INDEX(Classifica!$B$5:$B$24,$V64),RR_Chiave,0))&amp;""="[]","Nessun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64),RR_Chiave,0))&amp;"","[{""dimensione"": ""","• "),"""}, {""dimensione"": """,")"&amp;CHAR(10)&amp;"• "),""", ""da"": "," "),", ""a"": "," → "),", ""evidenza"": """,": "),""", ""data_evidenza"": """," ("),"""}]",")")," null → "," n.v. → ")," → null:"," → n.v.:"),"• impatto","• Impatto"),"• velocity","• Velocity"),"• prossimita","• Prossimita"),"• confidence","• Confidence"),"• probabilita","• Probabilita"),"• severity","• Impatto")),"")))</f>
        <v/>
      </c>
      <c r="U64">
        <f>IF(Classifica!$B$19="","",IF(OR(15&lt;=3,INDEX(Radar_Mosca!$AA$5:$AA$24,Classifica!$U$19)="Attivazione",INDEX(Radar_Mosca!$AA$5:$AA$24,Classifica!$U$19)="Attenzione",Classifica!$G$19="Variato",Classifica!$G$19="Nuovo"),15,""))</f>
        <v/>
      </c>
      <c r="V64">
        <f>IFERROR(_xlfn.AGGREGATE(15,6,$U$50:$U$69,15),"")</f>
        <v/>
      </c>
      <c r="W64">
        <f>IF($V64="","",IF($V64&lt;=3,$V64&amp;"° per score composito ("&amp;FIXED(INDEX(Classifica!$D$5:$D$24,$V64),2)&amp;IF(ISNUMBER(INDEX(Classifica!$F$5:$F$24,$V64)),IF(INDEX(Classifica!$F$5:$F$24,$V64)&lt;&gt;0,", "&amp;IF(INDEX(Classifica!$F$5:$F$24,$V64)&gt;0,"+","")&amp;FIXED(INDEX(Classifica!$F$5:$F$24,$V64),2)&amp;" sul ciclo prima",""),"")&amp;"); ","")&amp;IF(LEFT(INDEX(Classifica!$H$5:$H$24,$V64),9)="AGIRE ORA","AGIRE ORA: servono X + Y = "&amp;FIXED(INDEX(Classifica!$Y$5:$Y$24,$V64)+INDEX(Classifica!$Z$5:$Z$24,$V64),2)&amp;" anni per decidere e mitigare"&amp;IF(N(INDEX(ANA_Anni_Adeguamento,INDEX(Classifica!$U$5:$U$24,$V64)))&gt;0,", di cui "&amp;N(INDEX(ANA_Anni_Adeguamento,INDEX(Classifica!$U$5:$U$24,$V64)))&amp;" di adeguamento strutturale","")&amp;"; ne restano Z = "&amp;FIXED(INDEX(Classifica!$AA$5:$AA$24,$V64),1)&amp;" prima che possa manifestarsi; ",IF(AND($V64&lt;=3,LEFT(INDEX(Classifica!$H$5:$H$24,$V64),11)="Agire entro"),"margine di Mosca sotto l'anno ("&amp;FIXED(INDEX(Classifica!$I$5:$I$24,$V64),2)&amp;"); ",""))&amp;IF(INDEX(Classifica!$G$5:$G$24,$V64)="Variato","variato nel ciclo"&amp;IF(ISNUMBER(INDEX(Classifica!$F$5:$F$24,$V64)),IF(INDEX(Classifica!$F$5:$F$24,$V64)&gt;0,": peggiora",IF(INDEX(Classifica!$F$5:$F$24,$V64)&lt;0,": migliora","")),"")&amp;"; ",IF(INDEX(Classifica!$G$5:$G$24,$V64)="Nuovo","nuovo nel ciclo; ",""))&amp;IF(INDEX(ANA_Attenzione_Supervisore,INDEX(Classifica!$U$5:$U$24,$V64))="Sì","tema all'attenzione del supervisore; ","")&amp;IF(INDEX(ANA_Presidio_Controlli,INDEX(Classifica!$U$5:$U$24,$V64))="Assente","presidio dei controlli assente; ","")&amp;IF(COUNTIFS(KRI_ID_Rischio,INDEX(Classifica!$B$5:$B$24,$V64),KRI_Ciclo,cicloCorrente,KRI_In_Vigore,"Sì",KRI_Stato,"Rosso")&gt;0,COUNTIFS(KRI_ID_Rischio,INDEX(Classifica!$B$5:$B$24,$V64),KRI_Ciclo,cicloCorrente,KRI_In_Vigore,"Sì",KRI_Stato,"Rosso")&amp;" KRI in rosso; ","")&amp;IF(INDEX(posNetti,INDEX(Classifica!$U$5:$U$24,$V64))&gt;=sogliaDirezione,"notizie in peggioramento (+"&amp;INDEX(posNetti,INDEX(Classifica!$U$5:$U$24,$V64))&amp;" segnali netti in 4 settimane); ",IF(INDEX(posNetti,INDEX(Classifica!$U$5:$U$24,$V64))&lt;=-sogliaDirezione,"notizie in miglioramento ("&amp;INDEX(posNetti,INDEX(Classifica!$U$5:$U$24,$V64))&amp;" segnali netti in 4 settimane); ","")))</f>
        <v/>
      </c>
      <c r="BH64">
        <f>2*PI()*59/72</f>
        <v/>
      </c>
      <c r="BI64">
        <f>2*SIN($BH64)</f>
        <v/>
      </c>
      <c r="BJ64">
        <f>2*COS($BH64)</f>
        <v/>
      </c>
      <c r="BK64">
        <f>3*SIN($BH64)</f>
        <v/>
      </c>
      <c r="BL64">
        <f>3*COS($BH64)</f>
        <v/>
      </c>
      <c r="BM64">
        <f>4*SIN($BH64)</f>
        <v/>
      </c>
      <c r="BN64">
        <f>4*COS($BH64)</f>
        <v/>
      </c>
      <c r="BO64">
        <f>5*SIN($BH64)</f>
        <v/>
      </c>
      <c r="BP64">
        <f>5*COS($BH64)</f>
        <v/>
      </c>
    </row>
    <row r="65" ht="3" customHeight="1">
      <c r="A65" s="45">
        <f>IF($V65="","",INDEX(Classifica!$B$5:$B$24,$V65)&amp;CHAR(10)&amp;INDEX(Classifica!$C$5:$C$24,$V65)&amp;IF(INDEX(ANA_Attenzione_Supervisore,INDEX(Classifica!$U$5:$U$24,$V65))="Sì",CHAR(10)&amp;"◆ attenzione del supervisore",""))</f>
        <v/>
      </c>
      <c r="D65" s="54">
        <f>IF($V65="","",INDEX(Radar_Mosca!$AA$5:$AA$24,INDEX(Classifica!$U$5:$U$24,$V65))&amp;"")</f>
        <v/>
      </c>
      <c r="E65" s="55">
        <f>IF($W65="","",LEFT($W65,LEN($W65)-2)&amp;".")</f>
        <v/>
      </c>
      <c r="I65" s="55">
        <f>IF($V65="","",IF(INDEX(Classifica!$G$5:$G$24,$V65)="Nuovo","Rischio nuovo nel ciclo.",IFERROR(IF(INDEX(RR_Variazioni,MATCH(cicloCorrente&amp;"|"&amp;INDEX(Classifica!$B$5:$B$24,$V65),RR_Chiave,0))&amp;""="[]","Nessun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65),RR_Chiave,0))&amp;"","[{""dimensione"": ""","• "),"""}, {""dimensione"": """,")"&amp;CHAR(10)&amp;"• "),""", ""da"": "," "),", ""a"": "," → "),", ""evidenza"": """,": "),""", ""data_evidenza"": """," ("),"""}]",")")," null → "," n.v. → ")," → null:"," → n.v.:"),"• impatto","• Impatto"),"• velocity","• Velocity"),"• prossimita","• Prossimita"),"• confidence","• Confidence"),"• probabilita","• Probabilita"),"• severity","• Impatto")),"")))</f>
        <v/>
      </c>
      <c r="U65">
        <f>IF(Classifica!$B$20="","",IF(OR(16&lt;=3,INDEX(Radar_Mosca!$AA$5:$AA$24,Classifica!$U$20)="Attivazione",INDEX(Radar_Mosca!$AA$5:$AA$24,Classifica!$U$20)="Attenzione",Classifica!$G$20="Variato",Classifica!$G$20="Nuovo"),16,""))</f>
        <v/>
      </c>
      <c r="V65">
        <f>IFERROR(_xlfn.AGGREGATE(15,6,$U$50:$U$69,16),"")</f>
        <v/>
      </c>
      <c r="W65">
        <f>IF($V65="","",IF($V65&lt;=3,$V65&amp;"° per score composito ("&amp;FIXED(INDEX(Classifica!$D$5:$D$24,$V65),2)&amp;IF(ISNUMBER(INDEX(Classifica!$F$5:$F$24,$V65)),IF(INDEX(Classifica!$F$5:$F$24,$V65)&lt;&gt;0,", "&amp;IF(INDEX(Classifica!$F$5:$F$24,$V65)&gt;0,"+","")&amp;FIXED(INDEX(Classifica!$F$5:$F$24,$V65),2)&amp;" sul ciclo prima",""),"")&amp;"); ","")&amp;IF(LEFT(INDEX(Classifica!$H$5:$H$24,$V65),9)="AGIRE ORA","AGIRE ORA: servono X + Y = "&amp;FIXED(INDEX(Classifica!$Y$5:$Y$24,$V65)+INDEX(Classifica!$Z$5:$Z$24,$V65),2)&amp;" anni per decidere e mitigare"&amp;IF(N(INDEX(ANA_Anni_Adeguamento,INDEX(Classifica!$U$5:$U$24,$V65)))&gt;0,", di cui "&amp;N(INDEX(ANA_Anni_Adeguamento,INDEX(Classifica!$U$5:$U$24,$V65)))&amp;" di adeguamento strutturale","")&amp;"; ne restano Z = "&amp;FIXED(INDEX(Classifica!$AA$5:$AA$24,$V65),1)&amp;" prima che possa manifestarsi; ",IF(AND($V65&lt;=3,LEFT(INDEX(Classifica!$H$5:$H$24,$V65),11)="Agire entro"),"margine di Mosca sotto l'anno ("&amp;FIXED(INDEX(Classifica!$I$5:$I$24,$V65),2)&amp;"); ",""))&amp;IF(INDEX(Classifica!$G$5:$G$24,$V65)="Variato","variato nel ciclo"&amp;IF(ISNUMBER(INDEX(Classifica!$F$5:$F$24,$V65)),IF(INDEX(Classifica!$F$5:$F$24,$V65)&gt;0,": peggiora",IF(INDEX(Classifica!$F$5:$F$24,$V65)&lt;0,": migliora","")),"")&amp;"; ",IF(INDEX(Classifica!$G$5:$G$24,$V65)="Nuovo","nuovo nel ciclo; ",""))&amp;IF(INDEX(ANA_Attenzione_Supervisore,INDEX(Classifica!$U$5:$U$24,$V65))="Sì","tema all'attenzione del supervisore; ","")&amp;IF(INDEX(ANA_Presidio_Controlli,INDEX(Classifica!$U$5:$U$24,$V65))="Assente","presidio dei controlli assente; ","")&amp;IF(COUNTIFS(KRI_ID_Rischio,INDEX(Classifica!$B$5:$B$24,$V65),KRI_Ciclo,cicloCorrente,KRI_In_Vigore,"Sì",KRI_Stato,"Rosso")&gt;0,COUNTIFS(KRI_ID_Rischio,INDEX(Classifica!$B$5:$B$24,$V65),KRI_Ciclo,cicloCorrente,KRI_In_Vigore,"Sì",KRI_Stato,"Rosso")&amp;" KRI in rosso; ","")&amp;IF(INDEX(posNetti,INDEX(Classifica!$U$5:$U$24,$V65))&gt;=sogliaDirezione,"notizie in peggioramento (+"&amp;INDEX(posNetti,INDEX(Classifica!$U$5:$U$24,$V65))&amp;" segnali netti in 4 settimane); ",IF(INDEX(posNetti,INDEX(Classifica!$U$5:$U$24,$V65))&lt;=-sogliaDirezione,"notizie in miglioramento ("&amp;INDEX(posNetti,INDEX(Classifica!$U$5:$U$24,$V65))&amp;" segnali netti in 4 settimane); ","")))</f>
        <v/>
      </c>
      <c r="BH65">
        <f>2*PI()*60/72</f>
        <v/>
      </c>
      <c r="BI65">
        <f>2*SIN($BH65)</f>
        <v/>
      </c>
      <c r="BJ65">
        <f>2*COS($BH65)</f>
        <v/>
      </c>
      <c r="BK65">
        <f>3*SIN($BH65)</f>
        <v/>
      </c>
      <c r="BL65">
        <f>3*COS($BH65)</f>
        <v/>
      </c>
      <c r="BM65">
        <f>4*SIN($BH65)</f>
        <v/>
      </c>
      <c r="BN65">
        <f>4*COS($BH65)</f>
        <v/>
      </c>
      <c r="BO65">
        <f>5*SIN($BH65)</f>
        <v/>
      </c>
      <c r="BP65">
        <f>5*COS($BH65)</f>
        <v/>
      </c>
    </row>
    <row r="66" ht="3" customHeight="1">
      <c r="A66" s="45">
        <f>IF($V66="","",INDEX(Classifica!$B$5:$B$24,$V66)&amp;CHAR(10)&amp;INDEX(Classifica!$C$5:$C$24,$V66)&amp;IF(INDEX(ANA_Attenzione_Supervisore,INDEX(Classifica!$U$5:$U$24,$V66))="Sì",CHAR(10)&amp;"◆ attenzione del supervisore",""))</f>
        <v/>
      </c>
      <c r="D66" s="54">
        <f>IF($V66="","",INDEX(Radar_Mosca!$AA$5:$AA$24,INDEX(Classifica!$U$5:$U$24,$V66))&amp;"")</f>
        <v/>
      </c>
      <c r="E66" s="55">
        <f>IF($W66="","",LEFT($W66,LEN($W66)-2)&amp;".")</f>
        <v/>
      </c>
      <c r="I66" s="55">
        <f>IF($V66="","",IF(INDEX(Classifica!$G$5:$G$24,$V66)="Nuovo","Rischio nuovo nel ciclo.",IFERROR(IF(INDEX(RR_Variazioni,MATCH(cicloCorrente&amp;"|"&amp;INDEX(Classifica!$B$5:$B$24,$V66),RR_Chiave,0))&amp;""="[]","Nessun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66),RR_Chiave,0))&amp;"","[{""dimensione"": ""","• "),"""}, {""dimensione"": """,")"&amp;CHAR(10)&amp;"• "),""", ""da"": "," "),", ""a"": "," → "),", ""evidenza"": """,": "),""", ""data_evidenza"": """," ("),"""}]",")")," null → "," n.v. → ")," → null:"," → n.v.:"),"• impatto","• Impatto"),"• velocity","• Velocity"),"• prossimita","• Prossimita"),"• confidence","• Confidence"),"• probabilita","• Probabilita"),"• severity","• Impatto")),"")))</f>
        <v/>
      </c>
      <c r="U66">
        <f>IF(Classifica!$B$21="","",IF(OR(17&lt;=3,INDEX(Radar_Mosca!$AA$5:$AA$24,Classifica!$U$21)="Attivazione",INDEX(Radar_Mosca!$AA$5:$AA$24,Classifica!$U$21)="Attenzione",Classifica!$G$21="Variato",Classifica!$G$21="Nuovo"),17,""))</f>
        <v/>
      </c>
      <c r="V66">
        <f>IFERROR(_xlfn.AGGREGATE(15,6,$U$50:$U$69,17),"")</f>
        <v/>
      </c>
      <c r="W66">
        <f>IF($V66="","",IF($V66&lt;=3,$V66&amp;"° per score composito ("&amp;FIXED(INDEX(Classifica!$D$5:$D$24,$V66),2)&amp;IF(ISNUMBER(INDEX(Classifica!$F$5:$F$24,$V66)),IF(INDEX(Classifica!$F$5:$F$24,$V66)&lt;&gt;0,", "&amp;IF(INDEX(Classifica!$F$5:$F$24,$V66)&gt;0,"+","")&amp;FIXED(INDEX(Classifica!$F$5:$F$24,$V66),2)&amp;" sul ciclo prima",""),"")&amp;"); ","")&amp;IF(LEFT(INDEX(Classifica!$H$5:$H$24,$V66),9)="AGIRE ORA","AGIRE ORA: servono X + Y = "&amp;FIXED(INDEX(Classifica!$Y$5:$Y$24,$V66)+INDEX(Classifica!$Z$5:$Z$24,$V66),2)&amp;" anni per decidere e mitigare"&amp;IF(N(INDEX(ANA_Anni_Adeguamento,INDEX(Classifica!$U$5:$U$24,$V66)))&gt;0,", di cui "&amp;N(INDEX(ANA_Anni_Adeguamento,INDEX(Classifica!$U$5:$U$24,$V66)))&amp;" di adeguamento strutturale","")&amp;"; ne restano Z = "&amp;FIXED(INDEX(Classifica!$AA$5:$AA$24,$V66),1)&amp;" prima che possa manifestarsi; ",IF(AND($V66&lt;=3,LEFT(INDEX(Classifica!$H$5:$H$24,$V66),11)="Agire entro"),"margine di Mosca sotto l'anno ("&amp;FIXED(INDEX(Classifica!$I$5:$I$24,$V66),2)&amp;"); ",""))&amp;IF(INDEX(Classifica!$G$5:$G$24,$V66)="Variato","variato nel ciclo"&amp;IF(ISNUMBER(INDEX(Classifica!$F$5:$F$24,$V66)),IF(INDEX(Classifica!$F$5:$F$24,$V66)&gt;0,": peggiora",IF(INDEX(Classifica!$F$5:$F$24,$V66)&lt;0,": migliora","")),"")&amp;"; ",IF(INDEX(Classifica!$G$5:$G$24,$V66)="Nuovo","nuovo nel ciclo; ",""))&amp;IF(INDEX(ANA_Attenzione_Supervisore,INDEX(Classifica!$U$5:$U$24,$V66))="Sì","tema all'attenzione del supervisore; ","")&amp;IF(INDEX(ANA_Presidio_Controlli,INDEX(Classifica!$U$5:$U$24,$V66))="Assente","presidio dei controlli assente; ","")&amp;IF(COUNTIFS(KRI_ID_Rischio,INDEX(Classifica!$B$5:$B$24,$V66),KRI_Ciclo,cicloCorrente,KRI_In_Vigore,"Sì",KRI_Stato,"Rosso")&gt;0,COUNTIFS(KRI_ID_Rischio,INDEX(Classifica!$B$5:$B$24,$V66),KRI_Ciclo,cicloCorrente,KRI_In_Vigore,"Sì",KRI_Stato,"Rosso")&amp;" KRI in rosso; ","")&amp;IF(INDEX(posNetti,INDEX(Classifica!$U$5:$U$24,$V66))&gt;=sogliaDirezione,"notizie in peggioramento (+"&amp;INDEX(posNetti,INDEX(Classifica!$U$5:$U$24,$V66))&amp;" segnali netti in 4 settimane); ",IF(INDEX(posNetti,INDEX(Classifica!$U$5:$U$24,$V66))&lt;=-sogliaDirezione,"notizie in miglioramento ("&amp;INDEX(posNetti,INDEX(Classifica!$U$5:$U$24,$V66))&amp;" segnali netti in 4 settimane); ","")))</f>
        <v/>
      </c>
      <c r="BH66">
        <f>2*PI()*61/72</f>
        <v/>
      </c>
      <c r="BI66">
        <f>2*SIN($BH66)</f>
        <v/>
      </c>
      <c r="BJ66">
        <f>2*COS($BH66)</f>
        <v/>
      </c>
      <c r="BK66">
        <f>3*SIN($BH66)</f>
        <v/>
      </c>
      <c r="BL66">
        <f>3*COS($BH66)</f>
        <v/>
      </c>
      <c r="BM66">
        <f>4*SIN($BH66)</f>
        <v/>
      </c>
      <c r="BN66">
        <f>4*COS($BH66)</f>
        <v/>
      </c>
      <c r="BO66">
        <f>5*SIN($BH66)</f>
        <v/>
      </c>
      <c r="BP66">
        <f>5*COS($BH66)</f>
        <v/>
      </c>
    </row>
    <row r="67" ht="3" customHeight="1">
      <c r="A67" s="45">
        <f>IF($V67="","",INDEX(Classifica!$B$5:$B$24,$V67)&amp;CHAR(10)&amp;INDEX(Classifica!$C$5:$C$24,$V67)&amp;IF(INDEX(ANA_Attenzione_Supervisore,INDEX(Classifica!$U$5:$U$24,$V67))="Sì",CHAR(10)&amp;"◆ attenzione del supervisore",""))</f>
        <v/>
      </c>
      <c r="D67" s="54">
        <f>IF($V67="","",INDEX(Radar_Mosca!$AA$5:$AA$24,INDEX(Classifica!$U$5:$U$24,$V67))&amp;"")</f>
        <v/>
      </c>
      <c r="E67" s="55">
        <f>IF($W67="","",LEFT($W67,LEN($W67)-2)&amp;".")</f>
        <v/>
      </c>
      <c r="I67" s="55">
        <f>IF($V67="","",IF(INDEX(Classifica!$G$5:$G$24,$V67)="Nuovo","Rischio nuovo nel ciclo.",IFERROR(IF(INDEX(RR_Variazioni,MATCH(cicloCorrente&amp;"|"&amp;INDEX(Classifica!$B$5:$B$24,$V67),RR_Chiave,0))&amp;""="[]","Nessun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67),RR_Chiave,0))&amp;"","[{""dimensione"": ""","• "),"""}, {""dimensione"": """,")"&amp;CHAR(10)&amp;"• "),""", ""da"": "," "),", ""a"": "," → "),", ""evidenza"": """,": "),""", ""data_evidenza"": """," ("),"""}]",")")," null → "," n.v. → ")," → null:"," → n.v.:"),"• impatto","• Impatto"),"• velocity","• Velocity"),"• prossimita","• Prossimita"),"• confidence","• Confidence"),"• probabilita","• Probabilita"),"• severity","• Impatto")),"")))</f>
        <v/>
      </c>
      <c r="U67">
        <f>IF(Classifica!$B$22="","",IF(OR(18&lt;=3,INDEX(Radar_Mosca!$AA$5:$AA$24,Classifica!$U$22)="Attivazione",INDEX(Radar_Mosca!$AA$5:$AA$24,Classifica!$U$22)="Attenzione",Classifica!$G$22="Variato",Classifica!$G$22="Nuovo"),18,""))</f>
        <v/>
      </c>
      <c r="V67">
        <f>IFERROR(_xlfn.AGGREGATE(15,6,$U$50:$U$69,18),"")</f>
        <v/>
      </c>
      <c r="W67">
        <f>IF($V67="","",IF($V67&lt;=3,$V67&amp;"° per score composito ("&amp;FIXED(INDEX(Classifica!$D$5:$D$24,$V67),2)&amp;IF(ISNUMBER(INDEX(Classifica!$F$5:$F$24,$V67)),IF(INDEX(Classifica!$F$5:$F$24,$V67)&lt;&gt;0,", "&amp;IF(INDEX(Classifica!$F$5:$F$24,$V67)&gt;0,"+","")&amp;FIXED(INDEX(Classifica!$F$5:$F$24,$V67),2)&amp;" sul ciclo prima",""),"")&amp;"); ","")&amp;IF(LEFT(INDEX(Classifica!$H$5:$H$24,$V67),9)="AGIRE ORA","AGIRE ORA: servono X + Y = "&amp;FIXED(INDEX(Classifica!$Y$5:$Y$24,$V67)+INDEX(Classifica!$Z$5:$Z$24,$V67),2)&amp;" anni per decidere e mitigare"&amp;IF(N(INDEX(ANA_Anni_Adeguamento,INDEX(Classifica!$U$5:$U$24,$V67)))&gt;0,", di cui "&amp;N(INDEX(ANA_Anni_Adeguamento,INDEX(Classifica!$U$5:$U$24,$V67)))&amp;" di adeguamento strutturale","")&amp;"; ne restano Z = "&amp;FIXED(INDEX(Classifica!$AA$5:$AA$24,$V67),1)&amp;" prima che possa manifestarsi; ",IF(AND($V67&lt;=3,LEFT(INDEX(Classifica!$H$5:$H$24,$V67),11)="Agire entro"),"margine di Mosca sotto l'anno ("&amp;FIXED(INDEX(Classifica!$I$5:$I$24,$V67),2)&amp;"); ",""))&amp;IF(INDEX(Classifica!$G$5:$G$24,$V67)="Variato","variato nel ciclo"&amp;IF(ISNUMBER(INDEX(Classifica!$F$5:$F$24,$V67)),IF(INDEX(Classifica!$F$5:$F$24,$V67)&gt;0,": peggiora",IF(INDEX(Classifica!$F$5:$F$24,$V67)&lt;0,": migliora","")),"")&amp;"; ",IF(INDEX(Classifica!$G$5:$G$24,$V67)="Nuovo","nuovo nel ciclo; ",""))&amp;IF(INDEX(ANA_Attenzione_Supervisore,INDEX(Classifica!$U$5:$U$24,$V67))="Sì","tema all'attenzione del supervisore; ","")&amp;IF(INDEX(ANA_Presidio_Controlli,INDEX(Classifica!$U$5:$U$24,$V67))="Assente","presidio dei controlli assente; ","")&amp;IF(COUNTIFS(KRI_ID_Rischio,INDEX(Classifica!$B$5:$B$24,$V67),KRI_Ciclo,cicloCorrente,KRI_In_Vigore,"Sì",KRI_Stato,"Rosso")&gt;0,COUNTIFS(KRI_ID_Rischio,INDEX(Classifica!$B$5:$B$24,$V67),KRI_Ciclo,cicloCorrente,KRI_In_Vigore,"Sì",KRI_Stato,"Rosso")&amp;" KRI in rosso; ","")&amp;IF(INDEX(posNetti,INDEX(Classifica!$U$5:$U$24,$V67))&gt;=sogliaDirezione,"notizie in peggioramento (+"&amp;INDEX(posNetti,INDEX(Classifica!$U$5:$U$24,$V67))&amp;" segnali netti in 4 settimane); ",IF(INDEX(posNetti,INDEX(Classifica!$U$5:$U$24,$V67))&lt;=-sogliaDirezione,"notizie in miglioramento ("&amp;INDEX(posNetti,INDEX(Classifica!$U$5:$U$24,$V67))&amp;" segnali netti in 4 settimane); ","")))</f>
        <v/>
      </c>
      <c r="BH67">
        <f>2*PI()*62/72</f>
        <v/>
      </c>
      <c r="BI67">
        <f>2*SIN($BH67)</f>
        <v/>
      </c>
      <c r="BJ67">
        <f>2*COS($BH67)</f>
        <v/>
      </c>
      <c r="BK67">
        <f>3*SIN($BH67)</f>
        <v/>
      </c>
      <c r="BL67">
        <f>3*COS($BH67)</f>
        <v/>
      </c>
      <c r="BM67">
        <f>4*SIN($BH67)</f>
        <v/>
      </c>
      <c r="BN67">
        <f>4*COS($BH67)</f>
        <v/>
      </c>
      <c r="BO67">
        <f>5*SIN($BH67)</f>
        <v/>
      </c>
      <c r="BP67">
        <f>5*COS($BH67)</f>
        <v/>
      </c>
    </row>
    <row r="68" ht="3" customHeight="1">
      <c r="A68" s="45">
        <f>IF($V68="","",INDEX(Classifica!$B$5:$B$24,$V68)&amp;CHAR(10)&amp;INDEX(Classifica!$C$5:$C$24,$V68)&amp;IF(INDEX(ANA_Attenzione_Supervisore,INDEX(Classifica!$U$5:$U$24,$V68))="Sì",CHAR(10)&amp;"◆ attenzione del supervisore",""))</f>
        <v/>
      </c>
      <c r="D68" s="54">
        <f>IF($V68="","",INDEX(Radar_Mosca!$AA$5:$AA$24,INDEX(Classifica!$U$5:$U$24,$V68))&amp;"")</f>
        <v/>
      </c>
      <c r="E68" s="55">
        <f>IF($W68="","",LEFT($W68,LEN($W68)-2)&amp;".")</f>
        <v/>
      </c>
      <c r="I68" s="55">
        <f>IF($V68="","",IF(INDEX(Classifica!$G$5:$G$24,$V68)="Nuovo","Rischio nuovo nel ciclo.",IFERROR(IF(INDEX(RR_Variazioni,MATCH(cicloCorrente&amp;"|"&amp;INDEX(Classifica!$B$5:$B$24,$V68),RR_Chiave,0))&amp;""="[]","Nessun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68),RR_Chiave,0))&amp;"","[{""dimensione"": ""","• "),"""}, {""dimensione"": """,")"&amp;CHAR(10)&amp;"• "),""", ""da"": "," "),", ""a"": "," → "),", ""evidenza"": """,": "),""", ""data_evidenza"": """," ("),"""}]",")")," null → "," n.v. → ")," → null:"," → n.v.:"),"• impatto","• Impatto"),"• velocity","• Velocity"),"• prossimita","• Prossimita"),"• confidence","• Confidence"),"• probabilita","• Probabilita"),"• severity","• Impatto")),"")))</f>
        <v/>
      </c>
      <c r="U68">
        <f>IF(Classifica!$B$23="","",IF(OR(19&lt;=3,INDEX(Radar_Mosca!$AA$5:$AA$24,Classifica!$U$23)="Attivazione",INDEX(Radar_Mosca!$AA$5:$AA$24,Classifica!$U$23)="Attenzione",Classifica!$G$23="Variato",Classifica!$G$23="Nuovo"),19,""))</f>
        <v/>
      </c>
      <c r="V68">
        <f>IFERROR(_xlfn.AGGREGATE(15,6,$U$50:$U$69,19),"")</f>
        <v/>
      </c>
      <c r="W68">
        <f>IF($V68="","",IF($V68&lt;=3,$V68&amp;"° per score composito ("&amp;FIXED(INDEX(Classifica!$D$5:$D$24,$V68),2)&amp;IF(ISNUMBER(INDEX(Classifica!$F$5:$F$24,$V68)),IF(INDEX(Classifica!$F$5:$F$24,$V68)&lt;&gt;0,", "&amp;IF(INDEX(Classifica!$F$5:$F$24,$V68)&gt;0,"+","")&amp;FIXED(INDEX(Classifica!$F$5:$F$24,$V68),2)&amp;" sul ciclo prima",""),"")&amp;"); ","")&amp;IF(LEFT(INDEX(Classifica!$H$5:$H$24,$V68),9)="AGIRE ORA","AGIRE ORA: servono X + Y = "&amp;FIXED(INDEX(Classifica!$Y$5:$Y$24,$V68)+INDEX(Classifica!$Z$5:$Z$24,$V68),2)&amp;" anni per decidere e mitigare"&amp;IF(N(INDEX(ANA_Anni_Adeguamento,INDEX(Classifica!$U$5:$U$24,$V68)))&gt;0,", di cui "&amp;N(INDEX(ANA_Anni_Adeguamento,INDEX(Classifica!$U$5:$U$24,$V68)))&amp;" di adeguamento strutturale","")&amp;"; ne restano Z = "&amp;FIXED(INDEX(Classifica!$AA$5:$AA$24,$V68),1)&amp;" prima che possa manifestarsi; ",IF(AND($V68&lt;=3,LEFT(INDEX(Classifica!$H$5:$H$24,$V68),11)="Agire entro"),"margine di Mosca sotto l'anno ("&amp;FIXED(INDEX(Classifica!$I$5:$I$24,$V68),2)&amp;"); ",""))&amp;IF(INDEX(Classifica!$G$5:$G$24,$V68)="Variato","variato nel ciclo"&amp;IF(ISNUMBER(INDEX(Classifica!$F$5:$F$24,$V68)),IF(INDEX(Classifica!$F$5:$F$24,$V68)&gt;0,": peggiora",IF(INDEX(Classifica!$F$5:$F$24,$V68)&lt;0,": migliora","")),"")&amp;"; ",IF(INDEX(Classifica!$G$5:$G$24,$V68)="Nuovo","nuovo nel ciclo; ",""))&amp;IF(INDEX(ANA_Attenzione_Supervisore,INDEX(Classifica!$U$5:$U$24,$V68))="Sì","tema all'attenzione del supervisore; ","")&amp;IF(INDEX(ANA_Presidio_Controlli,INDEX(Classifica!$U$5:$U$24,$V68))="Assente","presidio dei controlli assente; ","")&amp;IF(COUNTIFS(KRI_ID_Rischio,INDEX(Classifica!$B$5:$B$24,$V68),KRI_Ciclo,cicloCorrente,KRI_In_Vigore,"Sì",KRI_Stato,"Rosso")&gt;0,COUNTIFS(KRI_ID_Rischio,INDEX(Classifica!$B$5:$B$24,$V68),KRI_Ciclo,cicloCorrente,KRI_In_Vigore,"Sì",KRI_Stato,"Rosso")&amp;" KRI in rosso; ","")&amp;IF(INDEX(posNetti,INDEX(Classifica!$U$5:$U$24,$V68))&gt;=sogliaDirezione,"notizie in peggioramento (+"&amp;INDEX(posNetti,INDEX(Classifica!$U$5:$U$24,$V68))&amp;" segnali netti in 4 settimane); ",IF(INDEX(posNetti,INDEX(Classifica!$U$5:$U$24,$V68))&lt;=-sogliaDirezione,"notizie in miglioramento ("&amp;INDEX(posNetti,INDEX(Classifica!$U$5:$U$24,$V68))&amp;" segnali netti in 4 settimane); ","")))</f>
        <v/>
      </c>
      <c r="BH68">
        <f>2*PI()*63/72</f>
        <v/>
      </c>
      <c r="BI68">
        <f>2*SIN($BH68)</f>
        <v/>
      </c>
      <c r="BJ68">
        <f>2*COS($BH68)</f>
        <v/>
      </c>
      <c r="BK68">
        <f>3*SIN($BH68)</f>
        <v/>
      </c>
      <c r="BL68">
        <f>3*COS($BH68)</f>
        <v/>
      </c>
      <c r="BM68">
        <f>4*SIN($BH68)</f>
        <v/>
      </c>
      <c r="BN68">
        <f>4*COS($BH68)</f>
        <v/>
      </c>
      <c r="BO68">
        <f>5*SIN($BH68)</f>
        <v/>
      </c>
      <c r="BP68">
        <f>5*COS($BH68)</f>
        <v/>
      </c>
    </row>
    <row r="69" ht="3" customHeight="1">
      <c r="A69" s="45">
        <f>IF($V69="","",INDEX(Classifica!$B$5:$B$24,$V69)&amp;CHAR(10)&amp;INDEX(Classifica!$C$5:$C$24,$V69)&amp;IF(INDEX(ANA_Attenzione_Supervisore,INDEX(Classifica!$U$5:$U$24,$V69))="Sì",CHAR(10)&amp;"◆ attenzione del supervisore",""))</f>
        <v/>
      </c>
      <c r="D69" s="54">
        <f>IF($V69="","",INDEX(Radar_Mosca!$AA$5:$AA$24,INDEX(Classifica!$U$5:$U$24,$V69))&amp;"")</f>
        <v/>
      </c>
      <c r="E69" s="55">
        <f>IF($W69="","",LEFT($W69,LEN($W69)-2)&amp;".")</f>
        <v/>
      </c>
      <c r="I69" s="55">
        <f>IF($V69="","",IF(INDEX(Classifica!$G$5:$G$24,$V69)="Nuovo","Rischio nuovo nel ciclo.",IFERROR(IF(INDEX(RR_Variazioni,MATCH(cicloCorrente&amp;"|"&amp;INDEX(Classifica!$B$5:$B$24,$V69),RR_Chiave,0))&amp;""="[]","Nessun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69),RR_Chiave,0))&amp;"","[{""dimensione"": ""","• "),"""}, {""dimensione"": """,")"&amp;CHAR(10)&amp;"• "),""", ""da"": "," "),", ""a"": "," → "),", ""evidenza"": """,": "),""", ""data_evidenza"": """," ("),"""}]",")")," null → "," n.v. → ")," → null:"," → n.v.:"),"• impatto","• Impatto"),"• velocity","• Velocity"),"• prossimita","• Prossimita"),"• confidence","• Confidence"),"• probabilita","• Probabilita"),"• severity","• Impatto")),"")))</f>
        <v/>
      </c>
      <c r="U69">
        <f>IF(Classifica!$B$24="","",IF(OR(20&lt;=3,INDEX(Radar_Mosca!$AA$5:$AA$24,Classifica!$U$24)="Attivazione",INDEX(Radar_Mosca!$AA$5:$AA$24,Classifica!$U$24)="Attenzione",Classifica!$G$24="Variato",Classifica!$G$24="Nuovo"),20,""))</f>
        <v/>
      </c>
      <c r="V69">
        <f>IFERROR(_xlfn.AGGREGATE(15,6,$U$50:$U$69,20),"")</f>
        <v/>
      </c>
      <c r="W69">
        <f>IF($V69="","",IF($V69&lt;=3,$V69&amp;"° per score composito ("&amp;FIXED(INDEX(Classifica!$D$5:$D$24,$V69),2)&amp;IF(ISNUMBER(INDEX(Classifica!$F$5:$F$24,$V69)),IF(INDEX(Classifica!$F$5:$F$24,$V69)&lt;&gt;0,", "&amp;IF(INDEX(Classifica!$F$5:$F$24,$V69)&gt;0,"+","")&amp;FIXED(INDEX(Classifica!$F$5:$F$24,$V69),2)&amp;" sul ciclo prima",""),"")&amp;"); ","")&amp;IF(LEFT(INDEX(Classifica!$H$5:$H$24,$V69),9)="AGIRE ORA","AGIRE ORA: servono X + Y = "&amp;FIXED(INDEX(Classifica!$Y$5:$Y$24,$V69)+INDEX(Classifica!$Z$5:$Z$24,$V69),2)&amp;" anni per decidere e mitigare"&amp;IF(N(INDEX(ANA_Anni_Adeguamento,INDEX(Classifica!$U$5:$U$24,$V69)))&gt;0,", di cui "&amp;N(INDEX(ANA_Anni_Adeguamento,INDEX(Classifica!$U$5:$U$24,$V69)))&amp;" di adeguamento strutturale","")&amp;"; ne restano Z = "&amp;FIXED(INDEX(Classifica!$AA$5:$AA$24,$V69),1)&amp;" prima che possa manifestarsi; ",IF(AND($V69&lt;=3,LEFT(INDEX(Classifica!$H$5:$H$24,$V69),11)="Agire entro"),"margine di Mosca sotto l'anno ("&amp;FIXED(INDEX(Classifica!$I$5:$I$24,$V69),2)&amp;"); ",""))&amp;IF(INDEX(Classifica!$G$5:$G$24,$V69)="Variato","variato nel ciclo"&amp;IF(ISNUMBER(INDEX(Classifica!$F$5:$F$24,$V69)),IF(INDEX(Classifica!$F$5:$F$24,$V69)&gt;0,": peggiora",IF(INDEX(Classifica!$F$5:$F$24,$V69)&lt;0,": migliora","")),"")&amp;"; ",IF(INDEX(Classifica!$G$5:$G$24,$V69)="Nuovo","nuovo nel ciclo; ",""))&amp;IF(INDEX(ANA_Attenzione_Supervisore,INDEX(Classifica!$U$5:$U$24,$V69))="Sì","tema all'attenzione del supervisore; ","")&amp;IF(INDEX(ANA_Presidio_Controlli,INDEX(Classifica!$U$5:$U$24,$V69))="Assente","presidio dei controlli assente; ","")&amp;IF(COUNTIFS(KRI_ID_Rischio,INDEX(Classifica!$B$5:$B$24,$V69),KRI_Ciclo,cicloCorrente,KRI_In_Vigore,"Sì",KRI_Stato,"Rosso")&gt;0,COUNTIFS(KRI_ID_Rischio,INDEX(Classifica!$B$5:$B$24,$V69),KRI_Ciclo,cicloCorrente,KRI_In_Vigore,"Sì",KRI_Stato,"Rosso")&amp;" KRI in rosso; ","")&amp;IF(INDEX(posNetti,INDEX(Classifica!$U$5:$U$24,$V69))&gt;=sogliaDirezione,"notizie in peggioramento (+"&amp;INDEX(posNetti,INDEX(Classifica!$U$5:$U$24,$V69))&amp;" segnali netti in 4 settimane); ",IF(INDEX(posNetti,INDEX(Classifica!$U$5:$U$24,$V69))&lt;=-sogliaDirezione,"notizie in miglioramento ("&amp;INDEX(posNetti,INDEX(Classifica!$U$5:$U$24,$V69))&amp;" segnali netti in 4 settimane); ","")))</f>
        <v/>
      </c>
      <c r="BH69">
        <f>2*PI()*64/72</f>
        <v/>
      </c>
      <c r="BI69">
        <f>2*SIN($BH69)</f>
        <v/>
      </c>
      <c r="BJ69">
        <f>2*COS($BH69)</f>
        <v/>
      </c>
      <c r="BK69">
        <f>3*SIN($BH69)</f>
        <v/>
      </c>
      <c r="BL69">
        <f>3*COS($BH69)</f>
        <v/>
      </c>
      <c r="BM69">
        <f>4*SIN($BH69)</f>
        <v/>
      </c>
      <c r="BN69">
        <f>4*COS($BH69)</f>
        <v/>
      </c>
      <c r="BO69">
        <f>5*SIN($BH69)</f>
        <v/>
      </c>
      <c r="BP69">
        <f>5*COS($BH69)</f>
        <v/>
      </c>
    </row>
    <row r="70">
      <c r="BH70">
        <f>2*PI()*65/72</f>
        <v/>
      </c>
      <c r="BI70">
        <f>2*SIN($BH70)</f>
        <v/>
      </c>
      <c r="BJ70">
        <f>2*COS($BH70)</f>
        <v/>
      </c>
      <c r="BK70">
        <f>3*SIN($BH70)</f>
        <v/>
      </c>
      <c r="BL70">
        <f>3*COS($BH70)</f>
        <v/>
      </c>
      <c r="BM70">
        <f>4*SIN($BH70)</f>
        <v/>
      </c>
      <c r="BN70">
        <f>4*COS($BH70)</f>
        <v/>
      </c>
      <c r="BO70">
        <f>5*SIN($BH70)</f>
        <v/>
      </c>
      <c r="BP70">
        <f>5*COS($BH70)</f>
        <v/>
      </c>
    </row>
    <row r="71" ht="34" customHeight="1">
      <c r="A71" s="56" t="inlineStr">
        <is>
          <t>Limiti: Le valutazioni sono prodotte con il supporto di un modello linguistico ancorato alla rubrica della Banca e verificate da controlli deterministici e da un challenger indipendente. Non sono stime di perdita ne' probabilita'. Gli score cambiano solo nel ciclo trimestrale, su evidenza datata; le notizie settimanali producono segnali, non variazioni. Il controllo C4 (plausibilita' rispetto ai descrittori) e' solo di giudizio. La valutazione e' valida dopo l'approvazione indicata in Approvato_Da.</t>
        </is>
      </c>
      <c r="BH71">
        <f>2*PI()*66/72</f>
        <v/>
      </c>
      <c r="BI71">
        <f>2*SIN($BH71)</f>
        <v/>
      </c>
      <c r="BJ71">
        <f>2*COS($BH71)</f>
        <v/>
      </c>
      <c r="BK71">
        <f>3*SIN($BH71)</f>
        <v/>
      </c>
      <c r="BL71">
        <f>3*COS($BH71)</f>
        <v/>
      </c>
      <c r="BM71">
        <f>4*SIN($BH71)</f>
        <v/>
      </c>
      <c r="BN71">
        <f>4*COS($BH71)</f>
        <v/>
      </c>
      <c r="BO71">
        <f>5*SIN($BH71)</f>
        <v/>
      </c>
      <c r="BP71">
        <f>5*COS($BH71)</f>
        <v/>
      </c>
    </row>
    <row r="72" ht="48" customHeight="1">
      <c r="A72" s="56" t="inlineStr">
        <is>
          <t>Legenda — NFR-nn = codice del rischio; ◆ = tema all'attenzione del supervisore (BCE, EBA, Banca d'Italia), indicato dal validatore. P = Probabilita, I = Impatto, P x I = Probabilita x Impatto, da 1 a 25. X = anni per decidere e avviare la mitigazione (un trimestre); Y = anni per mitigare (azioni o adeguamento strutturale); Z = anni prima che il rischio possa manifestarsi (dalla Prossimita); AGIRE ORA = X + Y &gt; Z. Radar: colore del cerchio = livello di allerta (rosso Attivazione, giallo Attenzione, verde Monitoraggio); dentro il cerchio rosso AGIRE ORA (X + Y &gt; Z); area = P x I; settore = categoria di rischio. KRI = indicatore di rischio (Key Risk Indicator). A1 = agente che valuta i rischi ogni trimestre; A5 = agente di controllo indipendente.</t>
        </is>
      </c>
      <c r="BH72">
        <f>2*PI()*67/72</f>
        <v/>
      </c>
      <c r="BI72">
        <f>2*SIN($BH72)</f>
        <v/>
      </c>
      <c r="BJ72">
        <f>2*COS($BH72)</f>
        <v/>
      </c>
      <c r="BK72">
        <f>3*SIN($BH72)</f>
        <v/>
      </c>
      <c r="BL72">
        <f>3*COS($BH72)</f>
        <v/>
      </c>
      <c r="BM72">
        <f>4*SIN($BH72)</f>
        <v/>
      </c>
      <c r="BN72">
        <f>4*COS($BH72)</f>
        <v/>
      </c>
      <c r="BO72">
        <f>5*SIN($BH72)</f>
        <v/>
      </c>
      <c r="BP72">
        <f>5*COS($BH72)</f>
        <v/>
      </c>
    </row>
    <row r="73">
      <c r="BH73">
        <f>2*PI()*68/72</f>
        <v/>
      </c>
      <c r="BI73">
        <f>2*SIN($BH73)</f>
        <v/>
      </c>
      <c r="BJ73">
        <f>2*COS($BH73)</f>
        <v/>
      </c>
      <c r="BK73">
        <f>3*SIN($BH73)</f>
        <v/>
      </c>
      <c r="BL73">
        <f>3*COS($BH73)</f>
        <v/>
      </c>
      <c r="BM73">
        <f>4*SIN($BH73)</f>
        <v/>
      </c>
      <c r="BN73">
        <f>4*COS($BH73)</f>
        <v/>
      </c>
      <c r="BO73">
        <f>5*SIN($BH73)</f>
        <v/>
      </c>
      <c r="BP73">
        <f>5*COS($BH73)</f>
        <v/>
      </c>
    </row>
    <row r="74">
      <c r="BH74">
        <f>2*PI()*69/72</f>
        <v/>
      </c>
      <c r="BI74">
        <f>2*SIN($BH74)</f>
        <v/>
      </c>
      <c r="BJ74">
        <f>2*COS($BH74)</f>
        <v/>
      </c>
      <c r="BK74">
        <f>3*SIN($BH74)</f>
        <v/>
      </c>
      <c r="BL74">
        <f>3*COS($BH74)</f>
        <v/>
      </c>
      <c r="BM74">
        <f>4*SIN($BH74)</f>
        <v/>
      </c>
      <c r="BN74">
        <f>4*COS($BH74)</f>
        <v/>
      </c>
      <c r="BO74">
        <f>5*SIN($BH74)</f>
        <v/>
      </c>
      <c r="BP74">
        <f>5*COS($BH74)</f>
        <v/>
      </c>
    </row>
    <row r="75">
      <c r="BH75">
        <f>2*PI()*70/72</f>
        <v/>
      </c>
      <c r="BI75">
        <f>2*SIN($BH75)</f>
        <v/>
      </c>
      <c r="BJ75">
        <f>2*COS($BH75)</f>
        <v/>
      </c>
      <c r="BK75">
        <f>3*SIN($BH75)</f>
        <v/>
      </c>
      <c r="BL75">
        <f>3*COS($BH75)</f>
        <v/>
      </c>
      <c r="BM75">
        <f>4*SIN($BH75)</f>
        <v/>
      </c>
      <c r="BN75">
        <f>4*COS($BH75)</f>
        <v/>
      </c>
      <c r="BO75">
        <f>5*SIN($BH75)</f>
        <v/>
      </c>
      <c r="BP75">
        <f>5*COS($BH75)</f>
        <v/>
      </c>
    </row>
    <row r="76">
      <c r="BH76">
        <f>2*PI()*71/72</f>
        <v/>
      </c>
      <c r="BI76">
        <f>2*SIN($BH76)</f>
        <v/>
      </c>
      <c r="BJ76">
        <f>2*COS($BH76)</f>
        <v/>
      </c>
      <c r="BK76">
        <f>3*SIN($BH76)</f>
        <v/>
      </c>
      <c r="BL76">
        <f>3*COS($BH76)</f>
        <v/>
      </c>
      <c r="BM76">
        <f>4*SIN($BH76)</f>
        <v/>
      </c>
      <c r="BN76">
        <f>4*COS($BH76)</f>
        <v/>
      </c>
      <c r="BO76">
        <f>5*SIN($BH76)</f>
        <v/>
      </c>
      <c r="BP76">
        <f>5*COS($BH76)</f>
        <v/>
      </c>
    </row>
    <row r="77">
      <c r="BH77">
        <f>2*PI()*72/72</f>
        <v/>
      </c>
      <c r="BI77">
        <f>2*SIN($BH77)</f>
        <v/>
      </c>
      <c r="BJ77">
        <f>2*COS($BH77)</f>
        <v/>
      </c>
      <c r="BK77">
        <f>3*SIN($BH77)</f>
        <v/>
      </c>
      <c r="BL77">
        <f>3*COS($BH77)</f>
        <v/>
      </c>
      <c r="BM77">
        <f>4*SIN($BH77)</f>
        <v/>
      </c>
      <c r="BN77">
        <f>4*COS($BH77)</f>
        <v/>
      </c>
      <c r="BO77">
        <f>5*SIN($BH77)</f>
        <v/>
      </c>
      <c r="BP77">
        <f>5*COS($BH77)</f>
        <v/>
      </c>
    </row>
  </sheetData>
  <mergeCells count="126">
    <mergeCell ref="I52:O52"/>
    <mergeCell ref="K30:O30"/>
    <mergeCell ref="E61:H61"/>
    <mergeCell ref="A57:C57"/>
    <mergeCell ref="I69:O69"/>
    <mergeCell ref="K32:O32"/>
    <mergeCell ref="E62:H62"/>
    <mergeCell ref="A43:C43"/>
    <mergeCell ref="A52:C52"/>
    <mergeCell ref="A63:C63"/>
    <mergeCell ref="I61:O61"/>
    <mergeCell ref="E64:H64"/>
    <mergeCell ref="B12:E12"/>
    <mergeCell ref="E51:H51"/>
    <mergeCell ref="I57:O57"/>
    <mergeCell ref="J17:O17"/>
    <mergeCell ref="K27:O27"/>
    <mergeCell ref="I54:O54"/>
    <mergeCell ref="A40:O40"/>
    <mergeCell ref="E63:H63"/>
    <mergeCell ref="B14:E14"/>
    <mergeCell ref="C16:O16"/>
    <mergeCell ref="A49:C49"/>
    <mergeCell ref="E65:H65"/>
    <mergeCell ref="B13:E13"/>
    <mergeCell ref="I56:O56"/>
    <mergeCell ref="A6:C6"/>
    <mergeCell ref="M5:O5"/>
    <mergeCell ref="K19:O19"/>
    <mergeCell ref="A69:C69"/>
    <mergeCell ref="E49:H49"/>
    <mergeCell ref="K34:O34"/>
    <mergeCell ref="A66:C66"/>
    <mergeCell ref="G6:I6"/>
    <mergeCell ref="K25:O25"/>
    <mergeCell ref="D41:O41"/>
    <mergeCell ref="K36:O36"/>
    <mergeCell ref="A55:C55"/>
    <mergeCell ref="M6:O6"/>
    <mergeCell ref="I50:O50"/>
    <mergeCell ref="K20:O20"/>
    <mergeCell ref="D43:O43"/>
    <mergeCell ref="I59:O59"/>
    <mergeCell ref="K29:O29"/>
    <mergeCell ref="A2:O2"/>
    <mergeCell ref="A5:C5"/>
    <mergeCell ref="I60:O60"/>
    <mergeCell ref="A47:O47"/>
    <mergeCell ref="G4:I4"/>
    <mergeCell ref="K22:O22"/>
    <mergeCell ref="A4:C4"/>
    <mergeCell ref="K31:O31"/>
    <mergeCell ref="E67:H67"/>
    <mergeCell ref="A44:C44"/>
    <mergeCell ref="D5:F5"/>
    <mergeCell ref="A72:O72"/>
    <mergeCell ref="M4:O4"/>
    <mergeCell ref="A58:C58"/>
    <mergeCell ref="A67:C67"/>
    <mergeCell ref="B11:E11"/>
    <mergeCell ref="J8:O8"/>
    <mergeCell ref="K23:O23"/>
    <mergeCell ref="A51:C51"/>
    <mergeCell ref="J5:L5"/>
    <mergeCell ref="A60:C60"/>
    <mergeCell ref="I62:O62"/>
    <mergeCell ref="K18:O18"/>
    <mergeCell ref="J6:L6"/>
    <mergeCell ref="K33:O33"/>
    <mergeCell ref="I64:O64"/>
    <mergeCell ref="I51:O51"/>
    <mergeCell ref="J4:L4"/>
    <mergeCell ref="A50:C50"/>
    <mergeCell ref="K35:O35"/>
    <mergeCell ref="I63:O63"/>
    <mergeCell ref="A42:C42"/>
    <mergeCell ref="E66:H66"/>
    <mergeCell ref="E53:H53"/>
    <mergeCell ref="G5:I5"/>
    <mergeCell ref="E50:H50"/>
    <mergeCell ref="I65:O65"/>
    <mergeCell ref="A62:C62"/>
    <mergeCell ref="E68:H68"/>
    <mergeCell ref="E55:H55"/>
    <mergeCell ref="I49:O49"/>
    <mergeCell ref="E52:H52"/>
    <mergeCell ref="D42:O42"/>
    <mergeCell ref="D44:O44"/>
    <mergeCell ref="A59:C59"/>
    <mergeCell ref="A8:H8"/>
    <mergeCell ref="A17:H17"/>
    <mergeCell ref="A64:C64"/>
    <mergeCell ref="I66:O66"/>
    <mergeCell ref="I53:O53"/>
    <mergeCell ref="A61:C61"/>
    <mergeCell ref="A1:O1"/>
    <mergeCell ref="I68:O68"/>
    <mergeCell ref="I55:O55"/>
    <mergeCell ref="D45:O45"/>
    <mergeCell ref="D6:F6"/>
    <mergeCell ref="A54:C54"/>
    <mergeCell ref="I67:O67"/>
    <mergeCell ref="B9:E9"/>
    <mergeCell ref="A41:C41"/>
    <mergeCell ref="E57:H57"/>
    <mergeCell ref="K24:O24"/>
    <mergeCell ref="E54:H54"/>
    <mergeCell ref="A56:C56"/>
    <mergeCell ref="K21:O21"/>
    <mergeCell ref="K26:O26"/>
    <mergeCell ref="A16:B16"/>
    <mergeCell ref="E56:H56"/>
    <mergeCell ref="E58:H58"/>
    <mergeCell ref="D4:F4"/>
    <mergeCell ref="A71:O71"/>
    <mergeCell ref="A53:C53"/>
    <mergeCell ref="A68:C68"/>
    <mergeCell ref="E60:H60"/>
    <mergeCell ref="E69:H69"/>
    <mergeCell ref="A45:C45"/>
    <mergeCell ref="I58:O58"/>
    <mergeCell ref="K28:O28"/>
    <mergeCell ref="E59:H59"/>
    <mergeCell ref="K37:O37"/>
    <mergeCell ref="B10:E10"/>
    <mergeCell ref="A65:C65"/>
  </mergeCells>
  <conditionalFormatting sqref="D4:F6">
    <cfRule type="expression" priority="1" dxfId="0">
      <formula>$T$4=0</formula>
    </cfRule>
  </conditionalFormatting>
  <conditionalFormatting sqref="J4:L6">
    <cfRule type="expression" priority="2" dxfId="0">
      <formula>$J$5=0</formula>
    </cfRule>
  </conditionalFormatting>
  <conditionalFormatting sqref="M4:O6">
    <cfRule type="expression" priority="3" dxfId="1">
      <formula>decisioniDaPrendere&gt;0</formula>
    </cfRule>
  </conditionalFormatting>
  <conditionalFormatting sqref="F10:F14">
    <cfRule type="dataBar" priority="4">
      <dataBar>
        <cfvo type="num" val="0"/>
        <cfvo type="num" val="5"/>
        <color rgb="008EA9DB"/>
      </dataBar>
    </cfRule>
  </conditionalFormatting>
  <conditionalFormatting sqref="G10:G14">
    <cfRule type="expression" priority="5" dxfId="2">
      <formula>AND(ISNUMBER(G10),G10&gt;0)</formula>
    </cfRule>
    <cfRule type="expression" priority="6" dxfId="3">
      <formula>AND(ISNUMBER(G10),G10&lt;0)</formula>
    </cfRule>
  </conditionalFormatting>
  <conditionalFormatting sqref="H10:H14">
    <cfRule type="expression" priority="7" dxfId="4">
      <formula>LEFT(H10,9)="AGIRE ORA"</formula>
    </cfRule>
    <cfRule type="expression" priority="8" dxfId="5">
      <formula>OR(LEFT(H10,11)="Agire entro",LEFT(H10,12)="Entro l'anno")</formula>
    </cfRule>
    <cfRule type="expression" priority="9" dxfId="6">
      <formula>LEFT(H10,7)="Margine"</formula>
    </cfRule>
  </conditionalFormatting>
  <conditionalFormatting sqref="D44:O44">
    <cfRule type="expression" priority="10" dxfId="1">
      <formula>$D$44&lt;&gt;""</formula>
    </cfRule>
  </conditionalFormatting>
  <conditionalFormatting sqref="D45:O45">
    <cfRule type="expression" priority="11" dxfId="1">
      <formula>$D$45&lt;&gt;""</formula>
    </cfRule>
  </conditionalFormatting>
  <conditionalFormatting sqref="D50:D69">
    <cfRule type="expression" priority="12" dxfId="7">
      <formula>D50="Attivazione"</formula>
    </cfRule>
    <cfRule type="expression" priority="13" dxfId="8">
      <formula>D50="Attenzione"</formula>
    </cfRule>
    <cfRule type="expression" priority="14" dxfId="9">
      <formula>D50="Monitoraggio"</formula>
    </cfRule>
  </conditionalFormatting>
  <conditionalFormatting sqref="A50:O69">
    <cfRule type="expression" priority="15" dxfId="10">
      <formula>$V50&lt;&gt;""</formula>
    </cfRule>
  </conditionalFormatting>
  <pageMargins left="0.4" right="0.4" top="0.5" bottom="0.5" header="0.2" footer="0.2"/>
  <pageSetup orientation="landscape" paperSize="9" scale="74" fitToHeight="0" fitToWidth="1"/>
  <headerFooter>
    <oddHeader>&amp;L&amp;A&amp;CUso interno&amp;RHorizon Scan NFR</oddHeader>
    <oddFooter>&amp;L&amp;F&amp;RPagina &amp;P di &amp;N</oddFooter>
    <evenHeader/>
    <evenFooter/>
    <firstHeader/>
    <firstFooter/>
  </headerFooter>
  <rowBreaks count="1" manualBreakCount="1">
    <brk id="38" min="0" max="16383" man="1"/>
  </rowBreaks>
  <drawing xmlns:r="http://schemas.openxmlformats.org/officeDocument/2006/relationships" r:id="rId1"/>
</worksheet>
</file>

<file path=xl/worksheets/sheet3.xml><?xml version="1.0" encoding="utf-8"?>
<worksheet xmlns="http://schemas.openxmlformats.org/spreadsheetml/2006/main">
  <sheetPr>
    <tabColor rgb="001F3864"/>
    <outlinePr summaryBelow="1" summaryRight="1"/>
    <pageSetUpPr fitToPage="1"/>
  </sheetPr>
  <dimension ref="A1:AL54"/>
  <sheetViews>
    <sheetView showGridLines="0" workbookViewId="0">
      <selection activeCell="A1" sqref="A1"/>
    </sheetView>
  </sheetViews>
  <sheetFormatPr baseColWidth="8" defaultRowHeight="15"/>
  <cols>
    <col width="6" customWidth="1" min="1" max="1"/>
    <col width="9" customWidth="1" min="2" max="2"/>
    <col width="46" customWidth="1" min="3" max="3"/>
    <col width="11" customWidth="1" min="4" max="4"/>
    <col width="11" customWidth="1" min="5" max="5"/>
    <col width="9" customWidth="1" min="6" max="6"/>
    <col width="12" customWidth="1" min="7" max="7"/>
    <col width="20" customWidth="1" min="8" max="8"/>
    <col width="12" customWidth="1" min="9" max="9"/>
    <col width="28" customWidth="1" min="10" max="10"/>
    <col width="36" customWidth="1" min="11" max="11"/>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8" max="38"/>
  </cols>
  <sheetData>
    <row r="1" ht="28" customHeight="1">
      <c r="A1" s="1">
        <f>"Horizon Scan NFR — Classifica e lente di Mosca   ·   "&amp;etichettaCiclo</f>
        <v/>
      </c>
      <c r="B1" s="2" t="n"/>
      <c r="C1" s="2" t="n"/>
      <c r="D1" s="2" t="n"/>
      <c r="E1" s="2" t="n"/>
      <c r="F1" s="2" t="n"/>
      <c r="G1" s="2" t="n"/>
      <c r="H1" s="2" t="n"/>
      <c r="I1" s="2" t="n"/>
      <c r="J1" s="2" t="n"/>
      <c r="K1" s="2" t="n"/>
    </row>
    <row r="2" ht="45.5" customHeight="1">
      <c r="A2" s="13" t="inlineStr">
        <is>
          <r>
            <rPr>
              <rFont val="Calibri"/>
              <b val="1"/>
              <color rgb="001F4E79"/>
              <sz val="10"/>
            </rPr>
            <t>CICLO TRIMESTRALE — calcolato dal foglio sui valori del ciclo; nessun agente ordina o stima l'urgenza.</t>
          </r>
          <r>
            <rPr>
              <rFont val="Calibri"/>
              <color rgb="00262626"/>
              <sz val="10"/>
            </rPr>
            <t xml:space="preserve">
Come si legge: un rischio per barra, dal piu' alto per score composito (1-5, 5 = peggiore). Colore = urgenza di Mosca: rosso agire ora, ambra entro l'anno, grigio c'e' margine. A destra la lente di Mosca spiega il colore: tempo necessario per decidere e mitigare (X + Y) contro tempo prima che il rischio possa manifestarsi (Z).</t>
          </r>
        </is>
      </c>
      <c r="AL2">
        <f>IF(COUNTIF(H5:H24,"AGIRE ORA*")=0,"Nessun rischio da affrontare subito",COUNTIF(H5:H24,"AGIRE ORA*")&amp;" da affrontare subito: "&amp;_xlfn.TEXTJOIN(", ",TRUE,AB5:AB24))</f>
        <v/>
      </c>
    </row>
    <row r="3">
      <c r="AL3" t="inlineStr">
        <is>
          <t>Lente di Mosca: chi e' in ritardo, e di quanto (anni)</t>
        </is>
      </c>
    </row>
    <row r="4" ht="30" customHeight="1">
      <c r="A4" s="57" t="inlineStr">
        <is>
          <t>Pos.</t>
        </is>
      </c>
      <c r="B4" s="57" t="inlineStr">
        <is>
          <t>ID</t>
        </is>
      </c>
      <c r="C4" s="57" t="inlineStr">
        <is>
          <t>Nome</t>
        </is>
      </c>
      <c r="D4" s="57" t="inlineStr">
        <is>
          <t>Score composito</t>
        </is>
      </c>
      <c r="E4" s="57" t="inlineStr">
        <is>
          <t>Score ciclo prima</t>
        </is>
      </c>
      <c r="F4" s="57" t="inlineStr">
        <is>
          <t>Δ score</t>
        </is>
      </c>
      <c r="G4" s="57" t="inlineStr">
        <is>
          <t>Esito</t>
        </is>
      </c>
      <c r="H4" s="57" t="inlineStr">
        <is>
          <t>Urgenza (Mosca)</t>
        </is>
      </c>
      <c r="I4" s="57" t="inlineStr">
        <is>
          <t>Margine Z-(X+Y), anni</t>
        </is>
      </c>
      <c r="J4" s="57" t="inlineStr">
        <is>
          <t>Owner</t>
        </is>
      </c>
      <c r="K4" s="57" t="inlineStr">
        <is>
          <t>Etichetta del grafico</t>
        </is>
      </c>
      <c r="T4" t="inlineStr">
        <is>
          <t>Chiave d'ordine</t>
        </is>
      </c>
      <c r="U4" t="inlineStr">
        <is>
          <t>Posizione in anagrafica</t>
        </is>
      </c>
      <c r="V4" t="inlineStr">
        <is>
          <t>Barra: agire ora</t>
        </is>
      </c>
      <c r="W4" t="inlineStr">
        <is>
          <t>Barra: entro l'anno</t>
        </is>
      </c>
      <c r="X4" t="inlineStr">
        <is>
          <t>Barra: con margine</t>
        </is>
      </c>
      <c r="Y4" t="inlineStr">
        <is>
          <t>X anni</t>
        </is>
      </c>
      <c r="Z4" t="inlineStr">
        <is>
          <t>Y anni</t>
        </is>
      </c>
      <c r="AA4" t="inlineStr">
        <is>
          <t>Z anni</t>
        </is>
      </c>
      <c r="AB4" t="inlineStr">
        <is>
          <t>Da affrontare subito</t>
        </is>
      </c>
      <c r="AD4" t="inlineStr">
        <is>
          <t>Chiave della lente</t>
        </is>
      </c>
      <c r="AE4" t="inlineStr">
        <is>
          <t>Posizione nella lente</t>
        </is>
      </c>
      <c r="AF4" t="inlineStr">
        <is>
          <t>Etichetta della lente</t>
        </is>
      </c>
      <c r="AG4" t="inlineStr">
        <is>
          <t>X</t>
        </is>
      </c>
      <c r="AH4" t="inlineStr">
        <is>
          <t>Y entro Z</t>
        </is>
      </c>
      <c r="AI4" t="inlineStr">
        <is>
          <t>Y oltre Z</t>
        </is>
      </c>
      <c r="AJ4" t="inlineStr">
        <is>
          <t>Z</t>
        </is>
      </c>
    </row>
    <row r="5">
      <c r="A5">
        <f>IF($U5="","",1)</f>
        <v/>
      </c>
      <c r="B5">
        <f>IF($U5="","",INDEX(posID,$U5))</f>
        <v/>
      </c>
      <c r="C5">
        <f>IF($U5="","",INDEX(posNome,$U5))</f>
        <v/>
      </c>
      <c r="D5" s="58">
        <f>IF($U5="","",INDEX(posScore,$U5))</f>
        <v/>
      </c>
      <c r="E5" s="58">
        <f>IF($U5="","",IFERROR(INDEX(posScorePrec,$U5),"—"))</f>
        <v/>
      </c>
      <c r="F5" s="59">
        <f>IF(AND(ISNUMBER(D5),ISNUMBER(E5)),D5-E5,"")</f>
        <v/>
      </c>
      <c r="G5">
        <f>IF($U5="","",IFERROR(INDEX(RR_Esito,MATCH(cicloCorrente&amp;"|"&amp;B5,RR_Chiave,0))&amp;"",""))</f>
        <v/>
      </c>
      <c r="H5">
        <f>IF($U5="","",INDEX(Radar_Mosca!$L$5:$L$24,$U5))</f>
        <v/>
      </c>
      <c r="I5" s="58">
        <f>IF($U5="","",IFERROR(INDEX(Radar_Mosca!$K$5:$K$24,$U5),""))</f>
        <v/>
      </c>
      <c r="J5">
        <f>IF($U5="","",INDEX(ANA_Owner,$U5)&amp;"")</f>
        <v/>
      </c>
      <c r="K5">
        <f>IF($U5="","",B5&amp;" "&amp;IF(ISNUMBER(F5),IF(F5&gt;0,"▲",IF(F5&lt;0,"▼","●")),"○")&amp;"  "&amp;LEFT(C5,34)&amp;IF(LEN(C5)&gt;34,"…",""))</f>
        <v/>
      </c>
      <c r="T5">
        <f>IF(ISNUMBER(INDEX(posScore,1)),INDEX(posScore,1)-1/100000,"")</f>
        <v/>
      </c>
      <c r="U5">
        <f>IFERROR(MATCH(_xlfn.AGGREGATE(14,6,$T$5:$T$24,1),$T$5:$T$24,0),"")</f>
        <v/>
      </c>
      <c r="V5" s="60">
        <f>IF($U5="",NA(),IF(LEFT(H5,9)="AGIRE ORA",D5,0))</f>
        <v/>
      </c>
      <c r="W5" s="60">
        <f>IF($U5="",NA(),IF(LEFT(H5,11)="Agire entro",D5,0))</f>
        <v/>
      </c>
      <c r="X5" s="60">
        <f>IF($U5="",NA(),IF(OR(LEFT(H5,9)="AGIRE ORA",LEFT(H5,11)="Agire entro"),0,D5))</f>
        <v/>
      </c>
      <c r="Y5">
        <f>IF($U5="",NA(),INDEX(Radar_Mosca!$I$5:$I$24,$U5))</f>
        <v/>
      </c>
      <c r="Z5">
        <f>IF($U5="",NA(),INDEX(Radar_Mosca!$J$5:$J$24,$U5))</f>
        <v/>
      </c>
      <c r="AA5">
        <f>IF($U5="",NA(),INDEX(Radar_Mosca!$H$5:$H$24,$U5))</f>
        <v/>
      </c>
      <c r="AB5">
        <f>IF(LEFT(H5,9)="AGIRE ORA",B5,"")</f>
        <v/>
      </c>
      <c r="AD5">
        <f>IF(ISNUMBER(I5),I5+1/100000,"")</f>
        <v/>
      </c>
      <c r="AE5">
        <f>IFERROR(MATCH(_xlfn.AGGREGATE(15,6,$AD$5:$AD$24,1),$AD$5:$AD$24,0),"")</f>
        <v/>
      </c>
      <c r="AF5">
        <f>IF($AE5="","",INDEX($B$5:$B$24,$AE5)&amp;" ("&amp;IF(INDEX($I$5:$I$24,$AE5)&lt;0,"−","+")&amp;FIXED(ABS(INDEX($I$5:$I$24,$AE5)),2)&amp;")")</f>
        <v/>
      </c>
      <c r="AG5">
        <f>IF($AE5="",NA(),INDEX($Y$5:$Y$24,$AE5))</f>
        <v/>
      </c>
      <c r="AH5">
        <f>IF($AE5="",NA(),IF(INDEX($Y$5:$Y$24,$AE5)+INDEX($Z$5:$Z$24,$AE5)&gt;INDEX($AA$5:$AA$24,$AE5),NA(),INDEX($Z$5:$Z$24,$AE5)))</f>
        <v/>
      </c>
      <c r="AI5">
        <f>IF($AE5="",NA(),IF(INDEX($Y$5:$Y$24,$AE5)+INDEX($Z$5:$Z$24,$AE5)&gt;INDEX($AA$5:$AA$24,$AE5),INDEX($Z$5:$Z$24,$AE5),NA()))</f>
        <v/>
      </c>
      <c r="AJ5">
        <f>IF($AE5="",NA(),INDEX($AA$5:$AA$24,$AE5))</f>
        <v/>
      </c>
    </row>
    <row r="6">
      <c r="A6">
        <f>IF($U6="","",2)</f>
        <v/>
      </c>
      <c r="B6">
        <f>IF($U6="","",INDEX(posID,$U6))</f>
        <v/>
      </c>
      <c r="C6">
        <f>IF($U6="","",INDEX(posNome,$U6))</f>
        <v/>
      </c>
      <c r="D6" s="58">
        <f>IF($U6="","",INDEX(posScore,$U6))</f>
        <v/>
      </c>
      <c r="E6" s="58">
        <f>IF($U6="","",IFERROR(INDEX(posScorePrec,$U6),"—"))</f>
        <v/>
      </c>
      <c r="F6" s="59">
        <f>IF(AND(ISNUMBER(D6),ISNUMBER(E6)),D6-E6,"")</f>
        <v/>
      </c>
      <c r="G6">
        <f>IF($U6="","",IFERROR(INDEX(RR_Esito,MATCH(cicloCorrente&amp;"|"&amp;B6,RR_Chiave,0))&amp;"",""))</f>
        <v/>
      </c>
      <c r="H6">
        <f>IF($U6="","",INDEX(Radar_Mosca!$L$5:$L$24,$U6))</f>
        <v/>
      </c>
      <c r="I6" s="58">
        <f>IF($U6="","",IFERROR(INDEX(Radar_Mosca!$K$5:$K$24,$U6),""))</f>
        <v/>
      </c>
      <c r="J6">
        <f>IF($U6="","",INDEX(ANA_Owner,$U6)&amp;"")</f>
        <v/>
      </c>
      <c r="K6">
        <f>IF($U6="","",B6&amp;" "&amp;IF(ISNUMBER(F6),IF(F6&gt;0,"▲",IF(F6&lt;0,"▼","●")),"○")&amp;"  "&amp;LEFT(C6,34)&amp;IF(LEN(C6)&gt;34,"…",""))</f>
        <v/>
      </c>
      <c r="T6">
        <f>IF(ISNUMBER(INDEX(posScore,2)),INDEX(posScore,2)-2/100000,"")</f>
        <v/>
      </c>
      <c r="U6">
        <f>IFERROR(MATCH(_xlfn.AGGREGATE(14,6,$T$5:$T$24,2),$T$5:$T$24,0),"")</f>
        <v/>
      </c>
      <c r="V6" s="60">
        <f>IF($U6="",NA(),IF(LEFT(H6,9)="AGIRE ORA",D6,0))</f>
        <v/>
      </c>
      <c r="W6" s="60">
        <f>IF($U6="",NA(),IF(LEFT(H6,11)="Agire entro",D6,0))</f>
        <v/>
      </c>
      <c r="X6" s="60">
        <f>IF($U6="",NA(),IF(OR(LEFT(H6,9)="AGIRE ORA",LEFT(H6,11)="Agire entro"),0,D6))</f>
        <v/>
      </c>
      <c r="Y6">
        <f>IF($U6="",NA(),INDEX(Radar_Mosca!$I$5:$I$24,$U6))</f>
        <v/>
      </c>
      <c r="Z6">
        <f>IF($U6="",NA(),INDEX(Radar_Mosca!$J$5:$J$24,$U6))</f>
        <v/>
      </c>
      <c r="AA6">
        <f>IF($U6="",NA(),INDEX(Radar_Mosca!$H$5:$H$24,$U6))</f>
        <v/>
      </c>
      <c r="AB6">
        <f>IF(LEFT(H6,9)="AGIRE ORA",B6,"")</f>
        <v/>
      </c>
      <c r="AD6">
        <f>IF(ISNUMBER(I6),I6+2/100000,"")</f>
        <v/>
      </c>
      <c r="AE6">
        <f>IFERROR(MATCH(_xlfn.AGGREGATE(15,6,$AD$5:$AD$24,2),$AD$5:$AD$24,0),"")</f>
        <v/>
      </c>
      <c r="AF6">
        <f>IF($AE6="","",INDEX($B$5:$B$24,$AE6)&amp;" ("&amp;IF(INDEX($I$5:$I$24,$AE6)&lt;0,"−","+")&amp;FIXED(ABS(INDEX($I$5:$I$24,$AE6)),2)&amp;")")</f>
        <v/>
      </c>
      <c r="AG6">
        <f>IF($AE6="",NA(),INDEX($Y$5:$Y$24,$AE6))</f>
        <v/>
      </c>
      <c r="AH6">
        <f>IF($AE6="",NA(),IF(INDEX($Y$5:$Y$24,$AE6)+INDEX($Z$5:$Z$24,$AE6)&gt;INDEX($AA$5:$AA$24,$AE6),NA(),INDEX($Z$5:$Z$24,$AE6)))</f>
        <v/>
      </c>
      <c r="AI6">
        <f>IF($AE6="",NA(),IF(INDEX($Y$5:$Y$24,$AE6)+INDEX($Z$5:$Z$24,$AE6)&gt;INDEX($AA$5:$AA$24,$AE6),INDEX($Z$5:$Z$24,$AE6),NA()))</f>
        <v/>
      </c>
      <c r="AJ6">
        <f>IF($AE6="",NA(),INDEX($AA$5:$AA$24,$AE6))</f>
        <v/>
      </c>
    </row>
    <row r="7">
      <c r="A7">
        <f>IF($U7="","",3)</f>
        <v/>
      </c>
      <c r="B7">
        <f>IF($U7="","",INDEX(posID,$U7))</f>
        <v/>
      </c>
      <c r="C7">
        <f>IF($U7="","",INDEX(posNome,$U7))</f>
        <v/>
      </c>
      <c r="D7" s="58">
        <f>IF($U7="","",INDEX(posScore,$U7))</f>
        <v/>
      </c>
      <c r="E7" s="58">
        <f>IF($U7="","",IFERROR(INDEX(posScorePrec,$U7),"—"))</f>
        <v/>
      </c>
      <c r="F7" s="59">
        <f>IF(AND(ISNUMBER(D7),ISNUMBER(E7)),D7-E7,"")</f>
        <v/>
      </c>
      <c r="G7">
        <f>IF($U7="","",IFERROR(INDEX(RR_Esito,MATCH(cicloCorrente&amp;"|"&amp;B7,RR_Chiave,0))&amp;"",""))</f>
        <v/>
      </c>
      <c r="H7">
        <f>IF($U7="","",INDEX(Radar_Mosca!$L$5:$L$24,$U7))</f>
        <v/>
      </c>
      <c r="I7" s="58">
        <f>IF($U7="","",IFERROR(INDEX(Radar_Mosca!$K$5:$K$24,$U7),""))</f>
        <v/>
      </c>
      <c r="J7">
        <f>IF($U7="","",INDEX(ANA_Owner,$U7)&amp;"")</f>
        <v/>
      </c>
      <c r="K7">
        <f>IF($U7="","",B7&amp;" "&amp;IF(ISNUMBER(F7),IF(F7&gt;0,"▲",IF(F7&lt;0,"▼","●")),"○")&amp;"  "&amp;LEFT(C7,34)&amp;IF(LEN(C7)&gt;34,"…",""))</f>
        <v/>
      </c>
      <c r="T7">
        <f>IF(ISNUMBER(INDEX(posScore,3)),INDEX(posScore,3)-3/100000,"")</f>
        <v/>
      </c>
      <c r="U7">
        <f>IFERROR(MATCH(_xlfn.AGGREGATE(14,6,$T$5:$T$24,3),$T$5:$T$24,0),"")</f>
        <v/>
      </c>
      <c r="V7" s="60">
        <f>IF($U7="",NA(),IF(LEFT(H7,9)="AGIRE ORA",D7,0))</f>
        <v/>
      </c>
      <c r="W7" s="60">
        <f>IF($U7="",NA(),IF(LEFT(H7,11)="Agire entro",D7,0))</f>
        <v/>
      </c>
      <c r="X7" s="60">
        <f>IF($U7="",NA(),IF(OR(LEFT(H7,9)="AGIRE ORA",LEFT(H7,11)="Agire entro"),0,D7))</f>
        <v/>
      </c>
      <c r="Y7">
        <f>IF($U7="",NA(),INDEX(Radar_Mosca!$I$5:$I$24,$U7))</f>
        <v/>
      </c>
      <c r="Z7">
        <f>IF($U7="",NA(),INDEX(Radar_Mosca!$J$5:$J$24,$U7))</f>
        <v/>
      </c>
      <c r="AA7">
        <f>IF($U7="",NA(),INDEX(Radar_Mosca!$H$5:$H$24,$U7))</f>
        <v/>
      </c>
      <c r="AB7">
        <f>IF(LEFT(H7,9)="AGIRE ORA",B7,"")</f>
        <v/>
      </c>
      <c r="AD7">
        <f>IF(ISNUMBER(I7),I7+3/100000,"")</f>
        <v/>
      </c>
      <c r="AE7">
        <f>IFERROR(MATCH(_xlfn.AGGREGATE(15,6,$AD$5:$AD$24,3),$AD$5:$AD$24,0),"")</f>
        <v/>
      </c>
      <c r="AF7">
        <f>IF($AE7="","",INDEX($B$5:$B$24,$AE7)&amp;" ("&amp;IF(INDEX($I$5:$I$24,$AE7)&lt;0,"−","+")&amp;FIXED(ABS(INDEX($I$5:$I$24,$AE7)),2)&amp;")")</f>
        <v/>
      </c>
      <c r="AG7">
        <f>IF($AE7="",NA(),INDEX($Y$5:$Y$24,$AE7))</f>
        <v/>
      </c>
      <c r="AH7">
        <f>IF($AE7="",NA(),IF(INDEX($Y$5:$Y$24,$AE7)+INDEX($Z$5:$Z$24,$AE7)&gt;INDEX($AA$5:$AA$24,$AE7),NA(),INDEX($Z$5:$Z$24,$AE7)))</f>
        <v/>
      </c>
      <c r="AI7">
        <f>IF($AE7="",NA(),IF(INDEX($Y$5:$Y$24,$AE7)+INDEX($Z$5:$Z$24,$AE7)&gt;INDEX($AA$5:$AA$24,$AE7),INDEX($Z$5:$Z$24,$AE7),NA()))</f>
        <v/>
      </c>
      <c r="AJ7">
        <f>IF($AE7="",NA(),INDEX($AA$5:$AA$24,$AE7))</f>
        <v/>
      </c>
    </row>
    <row r="8">
      <c r="A8">
        <f>IF($U8="","",4)</f>
        <v/>
      </c>
      <c r="B8">
        <f>IF($U8="","",INDEX(posID,$U8))</f>
        <v/>
      </c>
      <c r="C8">
        <f>IF($U8="","",INDEX(posNome,$U8))</f>
        <v/>
      </c>
      <c r="D8" s="58">
        <f>IF($U8="","",INDEX(posScore,$U8))</f>
        <v/>
      </c>
      <c r="E8" s="58">
        <f>IF($U8="","",IFERROR(INDEX(posScorePrec,$U8),"—"))</f>
        <v/>
      </c>
      <c r="F8" s="59">
        <f>IF(AND(ISNUMBER(D8),ISNUMBER(E8)),D8-E8,"")</f>
        <v/>
      </c>
      <c r="G8">
        <f>IF($U8="","",IFERROR(INDEX(RR_Esito,MATCH(cicloCorrente&amp;"|"&amp;B8,RR_Chiave,0))&amp;"",""))</f>
        <v/>
      </c>
      <c r="H8">
        <f>IF($U8="","",INDEX(Radar_Mosca!$L$5:$L$24,$U8))</f>
        <v/>
      </c>
      <c r="I8" s="58">
        <f>IF($U8="","",IFERROR(INDEX(Radar_Mosca!$K$5:$K$24,$U8),""))</f>
        <v/>
      </c>
      <c r="J8">
        <f>IF($U8="","",INDEX(ANA_Owner,$U8)&amp;"")</f>
        <v/>
      </c>
      <c r="K8">
        <f>IF($U8="","",B8&amp;" "&amp;IF(ISNUMBER(F8),IF(F8&gt;0,"▲",IF(F8&lt;0,"▼","●")),"○")&amp;"  "&amp;LEFT(C8,34)&amp;IF(LEN(C8)&gt;34,"…",""))</f>
        <v/>
      </c>
      <c r="T8">
        <f>IF(ISNUMBER(INDEX(posScore,4)),INDEX(posScore,4)-4/100000,"")</f>
        <v/>
      </c>
      <c r="U8">
        <f>IFERROR(MATCH(_xlfn.AGGREGATE(14,6,$T$5:$T$24,4),$T$5:$T$24,0),"")</f>
        <v/>
      </c>
      <c r="V8" s="60">
        <f>IF($U8="",NA(),IF(LEFT(H8,9)="AGIRE ORA",D8,0))</f>
        <v/>
      </c>
      <c r="W8" s="60">
        <f>IF($U8="",NA(),IF(LEFT(H8,11)="Agire entro",D8,0))</f>
        <v/>
      </c>
      <c r="X8" s="60">
        <f>IF($U8="",NA(),IF(OR(LEFT(H8,9)="AGIRE ORA",LEFT(H8,11)="Agire entro"),0,D8))</f>
        <v/>
      </c>
      <c r="Y8">
        <f>IF($U8="",NA(),INDEX(Radar_Mosca!$I$5:$I$24,$U8))</f>
        <v/>
      </c>
      <c r="Z8">
        <f>IF($U8="",NA(),INDEX(Radar_Mosca!$J$5:$J$24,$U8))</f>
        <v/>
      </c>
      <c r="AA8">
        <f>IF($U8="",NA(),INDEX(Radar_Mosca!$H$5:$H$24,$U8))</f>
        <v/>
      </c>
      <c r="AB8">
        <f>IF(LEFT(H8,9)="AGIRE ORA",B8,"")</f>
        <v/>
      </c>
      <c r="AD8">
        <f>IF(ISNUMBER(I8),I8+4/100000,"")</f>
        <v/>
      </c>
      <c r="AE8">
        <f>IFERROR(MATCH(_xlfn.AGGREGATE(15,6,$AD$5:$AD$24,4),$AD$5:$AD$24,0),"")</f>
        <v/>
      </c>
      <c r="AF8">
        <f>IF($AE8="","",INDEX($B$5:$B$24,$AE8)&amp;" ("&amp;IF(INDEX($I$5:$I$24,$AE8)&lt;0,"−","+")&amp;FIXED(ABS(INDEX($I$5:$I$24,$AE8)),2)&amp;")")</f>
        <v/>
      </c>
      <c r="AG8">
        <f>IF($AE8="",NA(),INDEX($Y$5:$Y$24,$AE8))</f>
        <v/>
      </c>
      <c r="AH8">
        <f>IF($AE8="",NA(),IF(INDEX($Y$5:$Y$24,$AE8)+INDEX($Z$5:$Z$24,$AE8)&gt;INDEX($AA$5:$AA$24,$AE8),NA(),INDEX($Z$5:$Z$24,$AE8)))</f>
        <v/>
      </c>
      <c r="AI8">
        <f>IF($AE8="",NA(),IF(INDEX($Y$5:$Y$24,$AE8)+INDEX($Z$5:$Z$24,$AE8)&gt;INDEX($AA$5:$AA$24,$AE8),INDEX($Z$5:$Z$24,$AE8),NA()))</f>
        <v/>
      </c>
      <c r="AJ8">
        <f>IF($AE8="",NA(),INDEX($AA$5:$AA$24,$AE8))</f>
        <v/>
      </c>
    </row>
    <row r="9">
      <c r="A9">
        <f>IF($U9="","",5)</f>
        <v/>
      </c>
      <c r="B9">
        <f>IF($U9="","",INDEX(posID,$U9))</f>
        <v/>
      </c>
      <c r="C9">
        <f>IF($U9="","",INDEX(posNome,$U9))</f>
        <v/>
      </c>
      <c r="D9" s="58">
        <f>IF($U9="","",INDEX(posScore,$U9))</f>
        <v/>
      </c>
      <c r="E9" s="58">
        <f>IF($U9="","",IFERROR(INDEX(posScorePrec,$U9),"—"))</f>
        <v/>
      </c>
      <c r="F9" s="59">
        <f>IF(AND(ISNUMBER(D9),ISNUMBER(E9)),D9-E9,"")</f>
        <v/>
      </c>
      <c r="G9">
        <f>IF($U9="","",IFERROR(INDEX(RR_Esito,MATCH(cicloCorrente&amp;"|"&amp;B9,RR_Chiave,0))&amp;"",""))</f>
        <v/>
      </c>
      <c r="H9">
        <f>IF($U9="","",INDEX(Radar_Mosca!$L$5:$L$24,$U9))</f>
        <v/>
      </c>
      <c r="I9" s="58">
        <f>IF($U9="","",IFERROR(INDEX(Radar_Mosca!$K$5:$K$24,$U9),""))</f>
        <v/>
      </c>
      <c r="J9">
        <f>IF($U9="","",INDEX(ANA_Owner,$U9)&amp;"")</f>
        <v/>
      </c>
      <c r="K9">
        <f>IF($U9="","",B9&amp;" "&amp;IF(ISNUMBER(F9),IF(F9&gt;0,"▲",IF(F9&lt;0,"▼","●")),"○")&amp;"  "&amp;LEFT(C9,34)&amp;IF(LEN(C9)&gt;34,"…",""))</f>
        <v/>
      </c>
      <c r="T9">
        <f>IF(ISNUMBER(INDEX(posScore,5)),INDEX(posScore,5)-5/100000,"")</f>
        <v/>
      </c>
      <c r="U9">
        <f>IFERROR(MATCH(_xlfn.AGGREGATE(14,6,$T$5:$T$24,5),$T$5:$T$24,0),"")</f>
        <v/>
      </c>
      <c r="V9" s="60">
        <f>IF($U9="",NA(),IF(LEFT(H9,9)="AGIRE ORA",D9,0))</f>
        <v/>
      </c>
      <c r="W9" s="60">
        <f>IF($U9="",NA(),IF(LEFT(H9,11)="Agire entro",D9,0))</f>
        <v/>
      </c>
      <c r="X9" s="60">
        <f>IF($U9="",NA(),IF(OR(LEFT(H9,9)="AGIRE ORA",LEFT(H9,11)="Agire entro"),0,D9))</f>
        <v/>
      </c>
      <c r="Y9">
        <f>IF($U9="",NA(),INDEX(Radar_Mosca!$I$5:$I$24,$U9))</f>
        <v/>
      </c>
      <c r="Z9">
        <f>IF($U9="",NA(),INDEX(Radar_Mosca!$J$5:$J$24,$U9))</f>
        <v/>
      </c>
      <c r="AA9">
        <f>IF($U9="",NA(),INDEX(Radar_Mosca!$H$5:$H$24,$U9))</f>
        <v/>
      </c>
      <c r="AB9">
        <f>IF(LEFT(H9,9)="AGIRE ORA",B9,"")</f>
        <v/>
      </c>
      <c r="AD9">
        <f>IF(ISNUMBER(I9),I9+5/100000,"")</f>
        <v/>
      </c>
      <c r="AE9">
        <f>IFERROR(MATCH(_xlfn.AGGREGATE(15,6,$AD$5:$AD$24,5),$AD$5:$AD$24,0),"")</f>
        <v/>
      </c>
      <c r="AF9">
        <f>IF($AE9="","",INDEX($B$5:$B$24,$AE9)&amp;" ("&amp;IF(INDEX($I$5:$I$24,$AE9)&lt;0,"−","+")&amp;FIXED(ABS(INDEX($I$5:$I$24,$AE9)),2)&amp;")")</f>
        <v/>
      </c>
      <c r="AG9">
        <f>IF($AE9="",NA(),INDEX($Y$5:$Y$24,$AE9))</f>
        <v/>
      </c>
      <c r="AH9">
        <f>IF($AE9="",NA(),IF(INDEX($Y$5:$Y$24,$AE9)+INDEX($Z$5:$Z$24,$AE9)&gt;INDEX($AA$5:$AA$24,$AE9),NA(),INDEX($Z$5:$Z$24,$AE9)))</f>
        <v/>
      </c>
      <c r="AI9">
        <f>IF($AE9="",NA(),IF(INDEX($Y$5:$Y$24,$AE9)+INDEX($Z$5:$Z$24,$AE9)&gt;INDEX($AA$5:$AA$24,$AE9),INDEX($Z$5:$Z$24,$AE9),NA()))</f>
        <v/>
      </c>
      <c r="AJ9">
        <f>IF($AE9="",NA(),INDEX($AA$5:$AA$24,$AE9))</f>
        <v/>
      </c>
    </row>
    <row r="10">
      <c r="A10">
        <f>IF($U10="","",6)</f>
        <v/>
      </c>
      <c r="B10">
        <f>IF($U10="","",INDEX(posID,$U10))</f>
        <v/>
      </c>
      <c r="C10">
        <f>IF($U10="","",INDEX(posNome,$U10))</f>
        <v/>
      </c>
      <c r="D10" s="58">
        <f>IF($U10="","",INDEX(posScore,$U10))</f>
        <v/>
      </c>
      <c r="E10" s="58">
        <f>IF($U10="","",IFERROR(INDEX(posScorePrec,$U10),"—"))</f>
        <v/>
      </c>
      <c r="F10" s="59">
        <f>IF(AND(ISNUMBER(D10),ISNUMBER(E10)),D10-E10,"")</f>
        <v/>
      </c>
      <c r="G10">
        <f>IF($U10="","",IFERROR(INDEX(RR_Esito,MATCH(cicloCorrente&amp;"|"&amp;B10,RR_Chiave,0))&amp;"",""))</f>
        <v/>
      </c>
      <c r="H10">
        <f>IF($U10="","",INDEX(Radar_Mosca!$L$5:$L$24,$U10))</f>
        <v/>
      </c>
      <c r="I10" s="58">
        <f>IF($U10="","",IFERROR(INDEX(Radar_Mosca!$K$5:$K$24,$U10),""))</f>
        <v/>
      </c>
      <c r="J10">
        <f>IF($U10="","",INDEX(ANA_Owner,$U10)&amp;"")</f>
        <v/>
      </c>
      <c r="K10">
        <f>IF($U10="","",B10&amp;" "&amp;IF(ISNUMBER(F10),IF(F10&gt;0,"▲",IF(F10&lt;0,"▼","●")),"○")&amp;"  "&amp;LEFT(C10,34)&amp;IF(LEN(C10)&gt;34,"…",""))</f>
        <v/>
      </c>
      <c r="T10">
        <f>IF(ISNUMBER(INDEX(posScore,6)),INDEX(posScore,6)-6/100000,"")</f>
        <v/>
      </c>
      <c r="U10">
        <f>IFERROR(MATCH(_xlfn.AGGREGATE(14,6,$T$5:$T$24,6),$T$5:$T$24,0),"")</f>
        <v/>
      </c>
      <c r="V10" s="60">
        <f>IF($U10="",NA(),IF(LEFT(H10,9)="AGIRE ORA",D10,0))</f>
        <v/>
      </c>
      <c r="W10" s="60">
        <f>IF($U10="",NA(),IF(LEFT(H10,11)="Agire entro",D10,0))</f>
        <v/>
      </c>
      <c r="X10" s="60">
        <f>IF($U10="",NA(),IF(OR(LEFT(H10,9)="AGIRE ORA",LEFT(H10,11)="Agire entro"),0,D10))</f>
        <v/>
      </c>
      <c r="Y10">
        <f>IF($U10="",NA(),INDEX(Radar_Mosca!$I$5:$I$24,$U10))</f>
        <v/>
      </c>
      <c r="Z10">
        <f>IF($U10="",NA(),INDEX(Radar_Mosca!$J$5:$J$24,$U10))</f>
        <v/>
      </c>
      <c r="AA10">
        <f>IF($U10="",NA(),INDEX(Radar_Mosca!$H$5:$H$24,$U10))</f>
        <v/>
      </c>
      <c r="AB10">
        <f>IF(LEFT(H10,9)="AGIRE ORA",B10,"")</f>
        <v/>
      </c>
      <c r="AD10">
        <f>IF(ISNUMBER(I10),I10+6/100000,"")</f>
        <v/>
      </c>
      <c r="AE10">
        <f>IFERROR(MATCH(_xlfn.AGGREGATE(15,6,$AD$5:$AD$24,6),$AD$5:$AD$24,0),"")</f>
        <v/>
      </c>
      <c r="AF10">
        <f>IF($AE10="","",INDEX($B$5:$B$24,$AE10)&amp;" ("&amp;IF(INDEX($I$5:$I$24,$AE10)&lt;0,"−","+")&amp;FIXED(ABS(INDEX($I$5:$I$24,$AE10)),2)&amp;")")</f>
        <v/>
      </c>
      <c r="AG10">
        <f>IF($AE10="",NA(),INDEX($Y$5:$Y$24,$AE10))</f>
        <v/>
      </c>
      <c r="AH10">
        <f>IF($AE10="",NA(),IF(INDEX($Y$5:$Y$24,$AE10)+INDEX($Z$5:$Z$24,$AE10)&gt;INDEX($AA$5:$AA$24,$AE10),NA(),INDEX($Z$5:$Z$24,$AE10)))</f>
        <v/>
      </c>
      <c r="AI10">
        <f>IF($AE10="",NA(),IF(INDEX($Y$5:$Y$24,$AE10)+INDEX($Z$5:$Z$24,$AE10)&gt;INDEX($AA$5:$AA$24,$AE10),INDEX($Z$5:$Z$24,$AE10),NA()))</f>
        <v/>
      </c>
      <c r="AJ10">
        <f>IF($AE10="",NA(),INDEX($AA$5:$AA$24,$AE10))</f>
        <v/>
      </c>
    </row>
    <row r="11">
      <c r="A11">
        <f>IF($U11="","",7)</f>
        <v/>
      </c>
      <c r="B11">
        <f>IF($U11="","",INDEX(posID,$U11))</f>
        <v/>
      </c>
      <c r="C11">
        <f>IF($U11="","",INDEX(posNome,$U11))</f>
        <v/>
      </c>
      <c r="D11" s="58">
        <f>IF($U11="","",INDEX(posScore,$U11))</f>
        <v/>
      </c>
      <c r="E11" s="58">
        <f>IF($U11="","",IFERROR(INDEX(posScorePrec,$U11),"—"))</f>
        <v/>
      </c>
      <c r="F11" s="59">
        <f>IF(AND(ISNUMBER(D11),ISNUMBER(E11)),D11-E11,"")</f>
        <v/>
      </c>
      <c r="G11">
        <f>IF($U11="","",IFERROR(INDEX(RR_Esito,MATCH(cicloCorrente&amp;"|"&amp;B11,RR_Chiave,0))&amp;"",""))</f>
        <v/>
      </c>
      <c r="H11">
        <f>IF($U11="","",INDEX(Radar_Mosca!$L$5:$L$24,$U11))</f>
        <v/>
      </c>
      <c r="I11" s="58">
        <f>IF($U11="","",IFERROR(INDEX(Radar_Mosca!$K$5:$K$24,$U11),""))</f>
        <v/>
      </c>
      <c r="J11">
        <f>IF($U11="","",INDEX(ANA_Owner,$U11)&amp;"")</f>
        <v/>
      </c>
      <c r="K11">
        <f>IF($U11="","",B11&amp;" "&amp;IF(ISNUMBER(F11),IF(F11&gt;0,"▲",IF(F11&lt;0,"▼","●")),"○")&amp;"  "&amp;LEFT(C11,34)&amp;IF(LEN(C11)&gt;34,"…",""))</f>
        <v/>
      </c>
      <c r="T11">
        <f>IF(ISNUMBER(INDEX(posScore,7)),INDEX(posScore,7)-7/100000,"")</f>
        <v/>
      </c>
      <c r="U11">
        <f>IFERROR(MATCH(_xlfn.AGGREGATE(14,6,$T$5:$T$24,7),$T$5:$T$24,0),"")</f>
        <v/>
      </c>
      <c r="V11" s="60">
        <f>IF($U11="",NA(),IF(LEFT(H11,9)="AGIRE ORA",D11,0))</f>
        <v/>
      </c>
      <c r="W11" s="60">
        <f>IF($U11="",NA(),IF(LEFT(H11,11)="Agire entro",D11,0))</f>
        <v/>
      </c>
      <c r="X11" s="60">
        <f>IF($U11="",NA(),IF(OR(LEFT(H11,9)="AGIRE ORA",LEFT(H11,11)="Agire entro"),0,D11))</f>
        <v/>
      </c>
      <c r="Y11">
        <f>IF($U11="",NA(),INDEX(Radar_Mosca!$I$5:$I$24,$U11))</f>
        <v/>
      </c>
      <c r="Z11">
        <f>IF($U11="",NA(),INDEX(Radar_Mosca!$J$5:$J$24,$U11))</f>
        <v/>
      </c>
      <c r="AA11">
        <f>IF($U11="",NA(),INDEX(Radar_Mosca!$H$5:$H$24,$U11))</f>
        <v/>
      </c>
      <c r="AB11">
        <f>IF(LEFT(H11,9)="AGIRE ORA",B11,"")</f>
        <v/>
      </c>
      <c r="AD11">
        <f>IF(ISNUMBER(I11),I11+7/100000,"")</f>
        <v/>
      </c>
      <c r="AE11">
        <f>IFERROR(MATCH(_xlfn.AGGREGATE(15,6,$AD$5:$AD$24,7),$AD$5:$AD$24,0),"")</f>
        <v/>
      </c>
      <c r="AF11">
        <f>IF($AE11="","",INDEX($B$5:$B$24,$AE11)&amp;" ("&amp;IF(INDEX($I$5:$I$24,$AE11)&lt;0,"−","+")&amp;FIXED(ABS(INDEX($I$5:$I$24,$AE11)),2)&amp;")")</f>
        <v/>
      </c>
      <c r="AG11">
        <f>IF($AE11="",NA(),INDEX($Y$5:$Y$24,$AE11))</f>
        <v/>
      </c>
      <c r="AH11">
        <f>IF($AE11="",NA(),IF(INDEX($Y$5:$Y$24,$AE11)+INDEX($Z$5:$Z$24,$AE11)&gt;INDEX($AA$5:$AA$24,$AE11),NA(),INDEX($Z$5:$Z$24,$AE11)))</f>
        <v/>
      </c>
      <c r="AI11">
        <f>IF($AE11="",NA(),IF(INDEX($Y$5:$Y$24,$AE11)+INDEX($Z$5:$Z$24,$AE11)&gt;INDEX($AA$5:$AA$24,$AE11),INDEX($Z$5:$Z$24,$AE11),NA()))</f>
        <v/>
      </c>
      <c r="AJ11">
        <f>IF($AE11="",NA(),INDEX($AA$5:$AA$24,$AE11))</f>
        <v/>
      </c>
    </row>
    <row r="12">
      <c r="A12">
        <f>IF($U12="","",8)</f>
        <v/>
      </c>
      <c r="B12">
        <f>IF($U12="","",INDEX(posID,$U12))</f>
        <v/>
      </c>
      <c r="C12">
        <f>IF($U12="","",INDEX(posNome,$U12))</f>
        <v/>
      </c>
      <c r="D12" s="58">
        <f>IF($U12="","",INDEX(posScore,$U12))</f>
        <v/>
      </c>
      <c r="E12" s="58">
        <f>IF($U12="","",IFERROR(INDEX(posScorePrec,$U12),"—"))</f>
        <v/>
      </c>
      <c r="F12" s="59">
        <f>IF(AND(ISNUMBER(D12),ISNUMBER(E12)),D12-E12,"")</f>
        <v/>
      </c>
      <c r="G12">
        <f>IF($U12="","",IFERROR(INDEX(RR_Esito,MATCH(cicloCorrente&amp;"|"&amp;B12,RR_Chiave,0))&amp;"",""))</f>
        <v/>
      </c>
      <c r="H12">
        <f>IF($U12="","",INDEX(Radar_Mosca!$L$5:$L$24,$U12))</f>
        <v/>
      </c>
      <c r="I12" s="58">
        <f>IF($U12="","",IFERROR(INDEX(Radar_Mosca!$K$5:$K$24,$U12),""))</f>
        <v/>
      </c>
      <c r="J12">
        <f>IF($U12="","",INDEX(ANA_Owner,$U12)&amp;"")</f>
        <v/>
      </c>
      <c r="K12">
        <f>IF($U12="","",B12&amp;" "&amp;IF(ISNUMBER(F12),IF(F12&gt;0,"▲",IF(F12&lt;0,"▼","●")),"○")&amp;"  "&amp;LEFT(C12,34)&amp;IF(LEN(C12)&gt;34,"…",""))</f>
        <v/>
      </c>
      <c r="T12">
        <f>IF(ISNUMBER(INDEX(posScore,8)),INDEX(posScore,8)-8/100000,"")</f>
        <v/>
      </c>
      <c r="U12">
        <f>IFERROR(MATCH(_xlfn.AGGREGATE(14,6,$T$5:$T$24,8),$T$5:$T$24,0),"")</f>
        <v/>
      </c>
      <c r="V12" s="60">
        <f>IF($U12="",NA(),IF(LEFT(H12,9)="AGIRE ORA",D12,0))</f>
        <v/>
      </c>
      <c r="W12" s="60">
        <f>IF($U12="",NA(),IF(LEFT(H12,11)="Agire entro",D12,0))</f>
        <v/>
      </c>
      <c r="X12" s="60">
        <f>IF($U12="",NA(),IF(OR(LEFT(H12,9)="AGIRE ORA",LEFT(H12,11)="Agire entro"),0,D12))</f>
        <v/>
      </c>
      <c r="Y12">
        <f>IF($U12="",NA(),INDEX(Radar_Mosca!$I$5:$I$24,$U12))</f>
        <v/>
      </c>
      <c r="Z12">
        <f>IF($U12="",NA(),INDEX(Radar_Mosca!$J$5:$J$24,$U12))</f>
        <v/>
      </c>
      <c r="AA12">
        <f>IF($U12="",NA(),INDEX(Radar_Mosca!$H$5:$H$24,$U12))</f>
        <v/>
      </c>
      <c r="AB12">
        <f>IF(LEFT(H12,9)="AGIRE ORA",B12,"")</f>
        <v/>
      </c>
      <c r="AD12">
        <f>IF(ISNUMBER(I12),I12+8/100000,"")</f>
        <v/>
      </c>
      <c r="AE12">
        <f>IFERROR(MATCH(_xlfn.AGGREGATE(15,6,$AD$5:$AD$24,8),$AD$5:$AD$24,0),"")</f>
        <v/>
      </c>
      <c r="AF12">
        <f>IF($AE12="","",INDEX($B$5:$B$24,$AE12)&amp;" ("&amp;IF(INDEX($I$5:$I$24,$AE12)&lt;0,"−","+")&amp;FIXED(ABS(INDEX($I$5:$I$24,$AE12)),2)&amp;")")</f>
        <v/>
      </c>
      <c r="AG12">
        <f>IF($AE12="",NA(),INDEX($Y$5:$Y$24,$AE12))</f>
        <v/>
      </c>
      <c r="AH12">
        <f>IF($AE12="",NA(),IF(INDEX($Y$5:$Y$24,$AE12)+INDEX($Z$5:$Z$24,$AE12)&gt;INDEX($AA$5:$AA$24,$AE12),NA(),INDEX($Z$5:$Z$24,$AE12)))</f>
        <v/>
      </c>
      <c r="AI12">
        <f>IF($AE12="",NA(),IF(INDEX($Y$5:$Y$24,$AE12)+INDEX($Z$5:$Z$24,$AE12)&gt;INDEX($AA$5:$AA$24,$AE12),INDEX($Z$5:$Z$24,$AE12),NA()))</f>
        <v/>
      </c>
      <c r="AJ12">
        <f>IF($AE12="",NA(),INDEX($AA$5:$AA$24,$AE12))</f>
        <v/>
      </c>
    </row>
    <row r="13">
      <c r="A13">
        <f>IF($U13="","",9)</f>
        <v/>
      </c>
      <c r="B13">
        <f>IF($U13="","",INDEX(posID,$U13))</f>
        <v/>
      </c>
      <c r="C13">
        <f>IF($U13="","",INDEX(posNome,$U13))</f>
        <v/>
      </c>
      <c r="D13" s="58">
        <f>IF($U13="","",INDEX(posScore,$U13))</f>
        <v/>
      </c>
      <c r="E13" s="58">
        <f>IF($U13="","",IFERROR(INDEX(posScorePrec,$U13),"—"))</f>
        <v/>
      </c>
      <c r="F13" s="59">
        <f>IF(AND(ISNUMBER(D13),ISNUMBER(E13)),D13-E13,"")</f>
        <v/>
      </c>
      <c r="G13">
        <f>IF($U13="","",IFERROR(INDEX(RR_Esito,MATCH(cicloCorrente&amp;"|"&amp;B13,RR_Chiave,0))&amp;"",""))</f>
        <v/>
      </c>
      <c r="H13">
        <f>IF($U13="","",INDEX(Radar_Mosca!$L$5:$L$24,$U13))</f>
        <v/>
      </c>
      <c r="I13" s="58">
        <f>IF($U13="","",IFERROR(INDEX(Radar_Mosca!$K$5:$K$24,$U13),""))</f>
        <v/>
      </c>
      <c r="J13">
        <f>IF($U13="","",INDEX(ANA_Owner,$U13)&amp;"")</f>
        <v/>
      </c>
      <c r="K13">
        <f>IF($U13="","",B13&amp;" "&amp;IF(ISNUMBER(F13),IF(F13&gt;0,"▲",IF(F13&lt;0,"▼","●")),"○")&amp;"  "&amp;LEFT(C13,34)&amp;IF(LEN(C13)&gt;34,"…",""))</f>
        <v/>
      </c>
      <c r="T13">
        <f>IF(ISNUMBER(INDEX(posScore,9)),INDEX(posScore,9)-9/100000,"")</f>
        <v/>
      </c>
      <c r="U13">
        <f>IFERROR(MATCH(_xlfn.AGGREGATE(14,6,$T$5:$T$24,9),$T$5:$T$24,0),"")</f>
        <v/>
      </c>
      <c r="V13" s="60">
        <f>IF($U13="",NA(),IF(LEFT(H13,9)="AGIRE ORA",D13,0))</f>
        <v/>
      </c>
      <c r="W13" s="60">
        <f>IF($U13="",NA(),IF(LEFT(H13,11)="Agire entro",D13,0))</f>
        <v/>
      </c>
      <c r="X13" s="60">
        <f>IF($U13="",NA(),IF(OR(LEFT(H13,9)="AGIRE ORA",LEFT(H13,11)="Agire entro"),0,D13))</f>
        <v/>
      </c>
      <c r="Y13">
        <f>IF($U13="",NA(),INDEX(Radar_Mosca!$I$5:$I$24,$U13))</f>
        <v/>
      </c>
      <c r="Z13">
        <f>IF($U13="",NA(),INDEX(Radar_Mosca!$J$5:$J$24,$U13))</f>
        <v/>
      </c>
      <c r="AA13">
        <f>IF($U13="",NA(),INDEX(Radar_Mosca!$H$5:$H$24,$U13))</f>
        <v/>
      </c>
      <c r="AB13">
        <f>IF(LEFT(H13,9)="AGIRE ORA",B13,"")</f>
        <v/>
      </c>
      <c r="AD13">
        <f>IF(ISNUMBER(I13),I13+9/100000,"")</f>
        <v/>
      </c>
      <c r="AE13">
        <f>IFERROR(MATCH(_xlfn.AGGREGATE(15,6,$AD$5:$AD$24,9),$AD$5:$AD$24,0),"")</f>
        <v/>
      </c>
      <c r="AF13">
        <f>IF($AE13="","",INDEX($B$5:$B$24,$AE13)&amp;" ("&amp;IF(INDEX($I$5:$I$24,$AE13)&lt;0,"−","+")&amp;FIXED(ABS(INDEX($I$5:$I$24,$AE13)),2)&amp;")")</f>
        <v/>
      </c>
      <c r="AG13">
        <f>IF($AE13="",NA(),INDEX($Y$5:$Y$24,$AE13))</f>
        <v/>
      </c>
      <c r="AH13">
        <f>IF($AE13="",NA(),IF(INDEX($Y$5:$Y$24,$AE13)+INDEX($Z$5:$Z$24,$AE13)&gt;INDEX($AA$5:$AA$24,$AE13),NA(),INDEX($Z$5:$Z$24,$AE13)))</f>
        <v/>
      </c>
      <c r="AI13">
        <f>IF($AE13="",NA(),IF(INDEX($Y$5:$Y$24,$AE13)+INDEX($Z$5:$Z$24,$AE13)&gt;INDEX($AA$5:$AA$24,$AE13),INDEX($Z$5:$Z$24,$AE13),NA()))</f>
        <v/>
      </c>
      <c r="AJ13">
        <f>IF($AE13="",NA(),INDEX($AA$5:$AA$24,$AE13))</f>
        <v/>
      </c>
    </row>
    <row r="14">
      <c r="A14">
        <f>IF($U14="","",10)</f>
        <v/>
      </c>
      <c r="B14">
        <f>IF($U14="","",INDEX(posID,$U14))</f>
        <v/>
      </c>
      <c r="C14">
        <f>IF($U14="","",INDEX(posNome,$U14))</f>
        <v/>
      </c>
      <c r="D14" s="58">
        <f>IF($U14="","",INDEX(posScore,$U14))</f>
        <v/>
      </c>
      <c r="E14" s="58">
        <f>IF($U14="","",IFERROR(INDEX(posScorePrec,$U14),"—"))</f>
        <v/>
      </c>
      <c r="F14" s="59">
        <f>IF(AND(ISNUMBER(D14),ISNUMBER(E14)),D14-E14,"")</f>
        <v/>
      </c>
      <c r="G14">
        <f>IF($U14="","",IFERROR(INDEX(RR_Esito,MATCH(cicloCorrente&amp;"|"&amp;B14,RR_Chiave,0))&amp;"",""))</f>
        <v/>
      </c>
      <c r="H14">
        <f>IF($U14="","",INDEX(Radar_Mosca!$L$5:$L$24,$U14))</f>
        <v/>
      </c>
      <c r="I14" s="58">
        <f>IF($U14="","",IFERROR(INDEX(Radar_Mosca!$K$5:$K$24,$U14),""))</f>
        <v/>
      </c>
      <c r="J14">
        <f>IF($U14="","",INDEX(ANA_Owner,$U14)&amp;"")</f>
        <v/>
      </c>
      <c r="K14">
        <f>IF($U14="","",B14&amp;" "&amp;IF(ISNUMBER(F14),IF(F14&gt;0,"▲",IF(F14&lt;0,"▼","●")),"○")&amp;"  "&amp;LEFT(C14,34)&amp;IF(LEN(C14)&gt;34,"…",""))</f>
        <v/>
      </c>
      <c r="T14">
        <f>IF(ISNUMBER(INDEX(posScore,10)),INDEX(posScore,10)-10/100000,"")</f>
        <v/>
      </c>
      <c r="U14">
        <f>IFERROR(MATCH(_xlfn.AGGREGATE(14,6,$T$5:$T$24,10),$T$5:$T$24,0),"")</f>
        <v/>
      </c>
      <c r="V14" s="60">
        <f>IF($U14="",NA(),IF(LEFT(H14,9)="AGIRE ORA",D14,0))</f>
        <v/>
      </c>
      <c r="W14" s="60">
        <f>IF($U14="",NA(),IF(LEFT(H14,11)="Agire entro",D14,0))</f>
        <v/>
      </c>
      <c r="X14" s="60">
        <f>IF($U14="",NA(),IF(OR(LEFT(H14,9)="AGIRE ORA",LEFT(H14,11)="Agire entro"),0,D14))</f>
        <v/>
      </c>
      <c r="Y14">
        <f>IF($U14="",NA(),INDEX(Radar_Mosca!$I$5:$I$24,$U14))</f>
        <v/>
      </c>
      <c r="Z14">
        <f>IF($U14="",NA(),INDEX(Radar_Mosca!$J$5:$J$24,$U14))</f>
        <v/>
      </c>
      <c r="AA14">
        <f>IF($U14="",NA(),INDEX(Radar_Mosca!$H$5:$H$24,$U14))</f>
        <v/>
      </c>
      <c r="AB14">
        <f>IF(LEFT(H14,9)="AGIRE ORA",B14,"")</f>
        <v/>
      </c>
      <c r="AD14">
        <f>IF(ISNUMBER(I14),I14+10/100000,"")</f>
        <v/>
      </c>
      <c r="AE14">
        <f>IFERROR(MATCH(_xlfn.AGGREGATE(15,6,$AD$5:$AD$24,10),$AD$5:$AD$24,0),"")</f>
        <v/>
      </c>
      <c r="AF14">
        <f>IF($AE14="","",INDEX($B$5:$B$24,$AE14)&amp;" ("&amp;IF(INDEX($I$5:$I$24,$AE14)&lt;0,"−","+")&amp;FIXED(ABS(INDEX($I$5:$I$24,$AE14)),2)&amp;")")</f>
        <v/>
      </c>
      <c r="AG14">
        <f>IF($AE14="",NA(),INDEX($Y$5:$Y$24,$AE14))</f>
        <v/>
      </c>
      <c r="AH14">
        <f>IF($AE14="",NA(),IF(INDEX($Y$5:$Y$24,$AE14)+INDEX($Z$5:$Z$24,$AE14)&gt;INDEX($AA$5:$AA$24,$AE14),NA(),INDEX($Z$5:$Z$24,$AE14)))</f>
        <v/>
      </c>
      <c r="AI14">
        <f>IF($AE14="",NA(),IF(INDEX($Y$5:$Y$24,$AE14)+INDEX($Z$5:$Z$24,$AE14)&gt;INDEX($AA$5:$AA$24,$AE14),INDEX($Z$5:$Z$24,$AE14),NA()))</f>
        <v/>
      </c>
      <c r="AJ14">
        <f>IF($AE14="",NA(),INDEX($AA$5:$AA$24,$AE14))</f>
        <v/>
      </c>
    </row>
    <row r="15">
      <c r="A15">
        <f>IF($U15="","",11)</f>
        <v/>
      </c>
      <c r="B15">
        <f>IF($U15="","",INDEX(posID,$U15))</f>
        <v/>
      </c>
      <c r="C15">
        <f>IF($U15="","",INDEX(posNome,$U15))</f>
        <v/>
      </c>
      <c r="D15" s="58">
        <f>IF($U15="","",INDEX(posScore,$U15))</f>
        <v/>
      </c>
      <c r="E15" s="58">
        <f>IF($U15="","",IFERROR(INDEX(posScorePrec,$U15),"—"))</f>
        <v/>
      </c>
      <c r="F15" s="59">
        <f>IF(AND(ISNUMBER(D15),ISNUMBER(E15)),D15-E15,"")</f>
        <v/>
      </c>
      <c r="G15">
        <f>IF($U15="","",IFERROR(INDEX(RR_Esito,MATCH(cicloCorrente&amp;"|"&amp;B15,RR_Chiave,0))&amp;"",""))</f>
        <v/>
      </c>
      <c r="H15">
        <f>IF($U15="","",INDEX(Radar_Mosca!$L$5:$L$24,$U15))</f>
        <v/>
      </c>
      <c r="I15" s="58">
        <f>IF($U15="","",IFERROR(INDEX(Radar_Mosca!$K$5:$K$24,$U15),""))</f>
        <v/>
      </c>
      <c r="J15">
        <f>IF($U15="","",INDEX(ANA_Owner,$U15)&amp;"")</f>
        <v/>
      </c>
      <c r="K15">
        <f>IF($U15="","",B15&amp;" "&amp;IF(ISNUMBER(F15),IF(F15&gt;0,"▲",IF(F15&lt;0,"▼","●")),"○")&amp;"  "&amp;LEFT(C15,34)&amp;IF(LEN(C15)&gt;34,"…",""))</f>
        <v/>
      </c>
      <c r="T15">
        <f>IF(ISNUMBER(INDEX(posScore,11)),INDEX(posScore,11)-11/100000,"")</f>
        <v/>
      </c>
      <c r="U15">
        <f>IFERROR(MATCH(_xlfn.AGGREGATE(14,6,$T$5:$T$24,11),$T$5:$T$24,0),"")</f>
        <v/>
      </c>
      <c r="V15" s="60">
        <f>IF($U15="",NA(),IF(LEFT(H15,9)="AGIRE ORA",D15,0))</f>
        <v/>
      </c>
      <c r="W15" s="60">
        <f>IF($U15="",NA(),IF(LEFT(H15,11)="Agire entro",D15,0))</f>
        <v/>
      </c>
      <c r="X15" s="60">
        <f>IF($U15="",NA(),IF(OR(LEFT(H15,9)="AGIRE ORA",LEFT(H15,11)="Agire entro"),0,D15))</f>
        <v/>
      </c>
      <c r="Y15">
        <f>IF($U15="",NA(),INDEX(Radar_Mosca!$I$5:$I$24,$U15))</f>
        <v/>
      </c>
      <c r="Z15">
        <f>IF($U15="",NA(),INDEX(Radar_Mosca!$J$5:$J$24,$U15))</f>
        <v/>
      </c>
      <c r="AA15">
        <f>IF($U15="",NA(),INDEX(Radar_Mosca!$H$5:$H$24,$U15))</f>
        <v/>
      </c>
      <c r="AB15">
        <f>IF(LEFT(H15,9)="AGIRE ORA",B15,"")</f>
        <v/>
      </c>
      <c r="AD15">
        <f>IF(ISNUMBER(I15),I15+11/100000,"")</f>
        <v/>
      </c>
      <c r="AE15">
        <f>IFERROR(MATCH(_xlfn.AGGREGATE(15,6,$AD$5:$AD$24,11),$AD$5:$AD$24,0),"")</f>
        <v/>
      </c>
      <c r="AF15">
        <f>IF($AE15="","",INDEX($B$5:$B$24,$AE15)&amp;" ("&amp;IF(INDEX($I$5:$I$24,$AE15)&lt;0,"−","+")&amp;FIXED(ABS(INDEX($I$5:$I$24,$AE15)),2)&amp;")")</f>
        <v/>
      </c>
      <c r="AG15">
        <f>IF($AE15="",NA(),INDEX($Y$5:$Y$24,$AE15))</f>
        <v/>
      </c>
      <c r="AH15">
        <f>IF($AE15="",NA(),IF(INDEX($Y$5:$Y$24,$AE15)+INDEX($Z$5:$Z$24,$AE15)&gt;INDEX($AA$5:$AA$24,$AE15),NA(),INDEX($Z$5:$Z$24,$AE15)))</f>
        <v/>
      </c>
      <c r="AI15">
        <f>IF($AE15="",NA(),IF(INDEX($Y$5:$Y$24,$AE15)+INDEX($Z$5:$Z$24,$AE15)&gt;INDEX($AA$5:$AA$24,$AE15),INDEX($Z$5:$Z$24,$AE15),NA()))</f>
        <v/>
      </c>
      <c r="AJ15">
        <f>IF($AE15="",NA(),INDEX($AA$5:$AA$24,$AE15))</f>
        <v/>
      </c>
    </row>
    <row r="16">
      <c r="A16">
        <f>IF($U16="","",12)</f>
        <v/>
      </c>
      <c r="B16">
        <f>IF($U16="","",INDEX(posID,$U16))</f>
        <v/>
      </c>
      <c r="C16">
        <f>IF($U16="","",INDEX(posNome,$U16))</f>
        <v/>
      </c>
      <c r="D16" s="58">
        <f>IF($U16="","",INDEX(posScore,$U16))</f>
        <v/>
      </c>
      <c r="E16" s="58">
        <f>IF($U16="","",IFERROR(INDEX(posScorePrec,$U16),"—"))</f>
        <v/>
      </c>
      <c r="F16" s="59">
        <f>IF(AND(ISNUMBER(D16),ISNUMBER(E16)),D16-E16,"")</f>
        <v/>
      </c>
      <c r="G16">
        <f>IF($U16="","",IFERROR(INDEX(RR_Esito,MATCH(cicloCorrente&amp;"|"&amp;B16,RR_Chiave,0))&amp;"",""))</f>
        <v/>
      </c>
      <c r="H16">
        <f>IF($U16="","",INDEX(Radar_Mosca!$L$5:$L$24,$U16))</f>
        <v/>
      </c>
      <c r="I16" s="58">
        <f>IF($U16="","",IFERROR(INDEX(Radar_Mosca!$K$5:$K$24,$U16),""))</f>
        <v/>
      </c>
      <c r="J16">
        <f>IF($U16="","",INDEX(ANA_Owner,$U16)&amp;"")</f>
        <v/>
      </c>
      <c r="K16">
        <f>IF($U16="","",B16&amp;" "&amp;IF(ISNUMBER(F16),IF(F16&gt;0,"▲",IF(F16&lt;0,"▼","●")),"○")&amp;"  "&amp;LEFT(C16,34)&amp;IF(LEN(C16)&gt;34,"…",""))</f>
        <v/>
      </c>
      <c r="T16">
        <f>IF(ISNUMBER(INDEX(posScore,12)),INDEX(posScore,12)-12/100000,"")</f>
        <v/>
      </c>
      <c r="U16">
        <f>IFERROR(MATCH(_xlfn.AGGREGATE(14,6,$T$5:$T$24,12),$T$5:$T$24,0),"")</f>
        <v/>
      </c>
      <c r="V16" s="60">
        <f>IF($U16="",NA(),IF(LEFT(H16,9)="AGIRE ORA",D16,0))</f>
        <v/>
      </c>
      <c r="W16" s="60">
        <f>IF($U16="",NA(),IF(LEFT(H16,11)="Agire entro",D16,0))</f>
        <v/>
      </c>
      <c r="X16" s="60">
        <f>IF($U16="",NA(),IF(OR(LEFT(H16,9)="AGIRE ORA",LEFT(H16,11)="Agire entro"),0,D16))</f>
        <v/>
      </c>
      <c r="Y16">
        <f>IF($U16="",NA(),INDEX(Radar_Mosca!$I$5:$I$24,$U16))</f>
        <v/>
      </c>
      <c r="Z16">
        <f>IF($U16="",NA(),INDEX(Radar_Mosca!$J$5:$J$24,$U16))</f>
        <v/>
      </c>
      <c r="AA16">
        <f>IF($U16="",NA(),INDEX(Radar_Mosca!$H$5:$H$24,$U16))</f>
        <v/>
      </c>
      <c r="AB16">
        <f>IF(LEFT(H16,9)="AGIRE ORA",B16,"")</f>
        <v/>
      </c>
      <c r="AD16">
        <f>IF(ISNUMBER(I16),I16+12/100000,"")</f>
        <v/>
      </c>
      <c r="AE16">
        <f>IFERROR(MATCH(_xlfn.AGGREGATE(15,6,$AD$5:$AD$24,12),$AD$5:$AD$24,0),"")</f>
        <v/>
      </c>
      <c r="AF16">
        <f>IF($AE16="","",INDEX($B$5:$B$24,$AE16)&amp;" ("&amp;IF(INDEX($I$5:$I$24,$AE16)&lt;0,"−","+")&amp;FIXED(ABS(INDEX($I$5:$I$24,$AE16)),2)&amp;")")</f>
        <v/>
      </c>
      <c r="AG16">
        <f>IF($AE16="",NA(),INDEX($Y$5:$Y$24,$AE16))</f>
        <v/>
      </c>
      <c r="AH16">
        <f>IF($AE16="",NA(),IF(INDEX($Y$5:$Y$24,$AE16)+INDEX($Z$5:$Z$24,$AE16)&gt;INDEX($AA$5:$AA$24,$AE16),NA(),INDEX($Z$5:$Z$24,$AE16)))</f>
        <v/>
      </c>
      <c r="AI16">
        <f>IF($AE16="",NA(),IF(INDEX($Y$5:$Y$24,$AE16)+INDEX($Z$5:$Z$24,$AE16)&gt;INDEX($AA$5:$AA$24,$AE16),INDEX($Z$5:$Z$24,$AE16),NA()))</f>
        <v/>
      </c>
      <c r="AJ16">
        <f>IF($AE16="",NA(),INDEX($AA$5:$AA$24,$AE16))</f>
        <v/>
      </c>
    </row>
    <row r="17">
      <c r="A17">
        <f>IF($U17="","",13)</f>
        <v/>
      </c>
      <c r="B17">
        <f>IF($U17="","",INDEX(posID,$U17))</f>
        <v/>
      </c>
      <c r="C17">
        <f>IF($U17="","",INDEX(posNome,$U17))</f>
        <v/>
      </c>
      <c r="D17" s="58">
        <f>IF($U17="","",INDEX(posScore,$U17))</f>
        <v/>
      </c>
      <c r="E17" s="58">
        <f>IF($U17="","",IFERROR(INDEX(posScorePrec,$U17),"—"))</f>
        <v/>
      </c>
      <c r="F17" s="59">
        <f>IF(AND(ISNUMBER(D17),ISNUMBER(E17)),D17-E17,"")</f>
        <v/>
      </c>
      <c r="G17">
        <f>IF($U17="","",IFERROR(INDEX(RR_Esito,MATCH(cicloCorrente&amp;"|"&amp;B17,RR_Chiave,0))&amp;"",""))</f>
        <v/>
      </c>
      <c r="H17">
        <f>IF($U17="","",INDEX(Radar_Mosca!$L$5:$L$24,$U17))</f>
        <v/>
      </c>
      <c r="I17" s="58">
        <f>IF($U17="","",IFERROR(INDEX(Radar_Mosca!$K$5:$K$24,$U17),""))</f>
        <v/>
      </c>
      <c r="J17">
        <f>IF($U17="","",INDEX(ANA_Owner,$U17)&amp;"")</f>
        <v/>
      </c>
      <c r="K17">
        <f>IF($U17="","",B17&amp;" "&amp;IF(ISNUMBER(F17),IF(F17&gt;0,"▲",IF(F17&lt;0,"▼","●")),"○")&amp;"  "&amp;LEFT(C17,34)&amp;IF(LEN(C17)&gt;34,"…",""))</f>
        <v/>
      </c>
      <c r="T17">
        <f>IF(ISNUMBER(INDEX(posScore,13)),INDEX(posScore,13)-13/100000,"")</f>
        <v/>
      </c>
      <c r="U17">
        <f>IFERROR(MATCH(_xlfn.AGGREGATE(14,6,$T$5:$T$24,13),$T$5:$T$24,0),"")</f>
        <v/>
      </c>
      <c r="V17" s="60">
        <f>IF($U17="",NA(),IF(LEFT(H17,9)="AGIRE ORA",D17,0))</f>
        <v/>
      </c>
      <c r="W17" s="60">
        <f>IF($U17="",NA(),IF(LEFT(H17,11)="Agire entro",D17,0))</f>
        <v/>
      </c>
      <c r="X17" s="60">
        <f>IF($U17="",NA(),IF(OR(LEFT(H17,9)="AGIRE ORA",LEFT(H17,11)="Agire entro"),0,D17))</f>
        <v/>
      </c>
      <c r="Y17">
        <f>IF($U17="",NA(),INDEX(Radar_Mosca!$I$5:$I$24,$U17))</f>
        <v/>
      </c>
      <c r="Z17">
        <f>IF($U17="",NA(),INDEX(Radar_Mosca!$J$5:$J$24,$U17))</f>
        <v/>
      </c>
      <c r="AA17">
        <f>IF($U17="",NA(),INDEX(Radar_Mosca!$H$5:$H$24,$U17))</f>
        <v/>
      </c>
      <c r="AB17">
        <f>IF(LEFT(H17,9)="AGIRE ORA",B17,"")</f>
        <v/>
      </c>
      <c r="AD17">
        <f>IF(ISNUMBER(I17),I17+13/100000,"")</f>
        <v/>
      </c>
      <c r="AE17">
        <f>IFERROR(MATCH(_xlfn.AGGREGATE(15,6,$AD$5:$AD$24,13),$AD$5:$AD$24,0),"")</f>
        <v/>
      </c>
      <c r="AF17">
        <f>IF($AE17="","",INDEX($B$5:$B$24,$AE17)&amp;" ("&amp;IF(INDEX($I$5:$I$24,$AE17)&lt;0,"−","+")&amp;FIXED(ABS(INDEX($I$5:$I$24,$AE17)),2)&amp;")")</f>
        <v/>
      </c>
      <c r="AG17">
        <f>IF($AE17="",NA(),INDEX($Y$5:$Y$24,$AE17))</f>
        <v/>
      </c>
      <c r="AH17">
        <f>IF($AE17="",NA(),IF(INDEX($Y$5:$Y$24,$AE17)+INDEX($Z$5:$Z$24,$AE17)&gt;INDEX($AA$5:$AA$24,$AE17),NA(),INDEX($Z$5:$Z$24,$AE17)))</f>
        <v/>
      </c>
      <c r="AI17">
        <f>IF($AE17="",NA(),IF(INDEX($Y$5:$Y$24,$AE17)+INDEX($Z$5:$Z$24,$AE17)&gt;INDEX($AA$5:$AA$24,$AE17),INDEX($Z$5:$Z$24,$AE17),NA()))</f>
        <v/>
      </c>
      <c r="AJ17">
        <f>IF($AE17="",NA(),INDEX($AA$5:$AA$24,$AE17))</f>
        <v/>
      </c>
    </row>
    <row r="18">
      <c r="A18">
        <f>IF($U18="","",14)</f>
        <v/>
      </c>
      <c r="B18">
        <f>IF($U18="","",INDEX(posID,$U18))</f>
        <v/>
      </c>
      <c r="C18">
        <f>IF($U18="","",INDEX(posNome,$U18))</f>
        <v/>
      </c>
      <c r="D18" s="58">
        <f>IF($U18="","",INDEX(posScore,$U18))</f>
        <v/>
      </c>
      <c r="E18" s="58">
        <f>IF($U18="","",IFERROR(INDEX(posScorePrec,$U18),"—"))</f>
        <v/>
      </c>
      <c r="F18" s="59">
        <f>IF(AND(ISNUMBER(D18),ISNUMBER(E18)),D18-E18,"")</f>
        <v/>
      </c>
      <c r="G18">
        <f>IF($U18="","",IFERROR(INDEX(RR_Esito,MATCH(cicloCorrente&amp;"|"&amp;B18,RR_Chiave,0))&amp;"",""))</f>
        <v/>
      </c>
      <c r="H18">
        <f>IF($U18="","",INDEX(Radar_Mosca!$L$5:$L$24,$U18))</f>
        <v/>
      </c>
      <c r="I18" s="58">
        <f>IF($U18="","",IFERROR(INDEX(Radar_Mosca!$K$5:$K$24,$U18),""))</f>
        <v/>
      </c>
      <c r="J18">
        <f>IF($U18="","",INDEX(ANA_Owner,$U18)&amp;"")</f>
        <v/>
      </c>
      <c r="K18">
        <f>IF($U18="","",B18&amp;" "&amp;IF(ISNUMBER(F18),IF(F18&gt;0,"▲",IF(F18&lt;0,"▼","●")),"○")&amp;"  "&amp;LEFT(C18,34)&amp;IF(LEN(C18)&gt;34,"…",""))</f>
        <v/>
      </c>
      <c r="T18">
        <f>IF(ISNUMBER(INDEX(posScore,14)),INDEX(posScore,14)-14/100000,"")</f>
        <v/>
      </c>
      <c r="U18">
        <f>IFERROR(MATCH(_xlfn.AGGREGATE(14,6,$T$5:$T$24,14),$T$5:$T$24,0),"")</f>
        <v/>
      </c>
      <c r="V18" s="60">
        <f>IF($U18="",NA(),IF(LEFT(H18,9)="AGIRE ORA",D18,0))</f>
        <v/>
      </c>
      <c r="W18" s="60">
        <f>IF($U18="",NA(),IF(LEFT(H18,11)="Agire entro",D18,0))</f>
        <v/>
      </c>
      <c r="X18" s="60">
        <f>IF($U18="",NA(),IF(OR(LEFT(H18,9)="AGIRE ORA",LEFT(H18,11)="Agire entro"),0,D18))</f>
        <v/>
      </c>
      <c r="Y18">
        <f>IF($U18="",NA(),INDEX(Radar_Mosca!$I$5:$I$24,$U18))</f>
        <v/>
      </c>
      <c r="Z18">
        <f>IF($U18="",NA(),INDEX(Radar_Mosca!$J$5:$J$24,$U18))</f>
        <v/>
      </c>
      <c r="AA18">
        <f>IF($U18="",NA(),INDEX(Radar_Mosca!$H$5:$H$24,$U18))</f>
        <v/>
      </c>
      <c r="AB18">
        <f>IF(LEFT(H18,9)="AGIRE ORA",B18,"")</f>
        <v/>
      </c>
      <c r="AD18">
        <f>IF(ISNUMBER(I18),I18+14/100000,"")</f>
        <v/>
      </c>
      <c r="AE18">
        <f>IFERROR(MATCH(_xlfn.AGGREGATE(15,6,$AD$5:$AD$24,14),$AD$5:$AD$24,0),"")</f>
        <v/>
      </c>
      <c r="AF18">
        <f>IF($AE18="","",INDEX($B$5:$B$24,$AE18)&amp;" ("&amp;IF(INDEX($I$5:$I$24,$AE18)&lt;0,"−","+")&amp;FIXED(ABS(INDEX($I$5:$I$24,$AE18)),2)&amp;")")</f>
        <v/>
      </c>
      <c r="AG18">
        <f>IF($AE18="",NA(),INDEX($Y$5:$Y$24,$AE18))</f>
        <v/>
      </c>
      <c r="AH18">
        <f>IF($AE18="",NA(),IF(INDEX($Y$5:$Y$24,$AE18)+INDEX($Z$5:$Z$24,$AE18)&gt;INDEX($AA$5:$AA$24,$AE18),NA(),INDEX($Z$5:$Z$24,$AE18)))</f>
        <v/>
      </c>
      <c r="AI18">
        <f>IF($AE18="",NA(),IF(INDEX($Y$5:$Y$24,$AE18)+INDEX($Z$5:$Z$24,$AE18)&gt;INDEX($AA$5:$AA$24,$AE18),INDEX($Z$5:$Z$24,$AE18),NA()))</f>
        <v/>
      </c>
      <c r="AJ18">
        <f>IF($AE18="",NA(),INDEX($AA$5:$AA$24,$AE18))</f>
        <v/>
      </c>
    </row>
    <row r="19">
      <c r="A19">
        <f>IF($U19="","",15)</f>
        <v/>
      </c>
      <c r="B19">
        <f>IF($U19="","",INDEX(posID,$U19))</f>
        <v/>
      </c>
      <c r="C19">
        <f>IF($U19="","",INDEX(posNome,$U19))</f>
        <v/>
      </c>
      <c r="D19" s="58">
        <f>IF($U19="","",INDEX(posScore,$U19))</f>
        <v/>
      </c>
      <c r="E19" s="58">
        <f>IF($U19="","",IFERROR(INDEX(posScorePrec,$U19),"—"))</f>
        <v/>
      </c>
      <c r="F19" s="59">
        <f>IF(AND(ISNUMBER(D19),ISNUMBER(E19)),D19-E19,"")</f>
        <v/>
      </c>
      <c r="G19">
        <f>IF($U19="","",IFERROR(INDEX(RR_Esito,MATCH(cicloCorrente&amp;"|"&amp;B19,RR_Chiave,0))&amp;"",""))</f>
        <v/>
      </c>
      <c r="H19">
        <f>IF($U19="","",INDEX(Radar_Mosca!$L$5:$L$24,$U19))</f>
        <v/>
      </c>
      <c r="I19" s="58">
        <f>IF($U19="","",IFERROR(INDEX(Radar_Mosca!$K$5:$K$24,$U19),""))</f>
        <v/>
      </c>
      <c r="J19">
        <f>IF($U19="","",INDEX(ANA_Owner,$U19)&amp;"")</f>
        <v/>
      </c>
      <c r="K19">
        <f>IF($U19="","",B19&amp;" "&amp;IF(ISNUMBER(F19),IF(F19&gt;0,"▲",IF(F19&lt;0,"▼","●")),"○")&amp;"  "&amp;LEFT(C19,34)&amp;IF(LEN(C19)&gt;34,"…",""))</f>
        <v/>
      </c>
      <c r="T19">
        <f>IF(ISNUMBER(INDEX(posScore,15)),INDEX(posScore,15)-15/100000,"")</f>
        <v/>
      </c>
      <c r="U19">
        <f>IFERROR(MATCH(_xlfn.AGGREGATE(14,6,$T$5:$T$24,15),$T$5:$T$24,0),"")</f>
        <v/>
      </c>
      <c r="V19" s="60">
        <f>IF($U19="",NA(),IF(LEFT(H19,9)="AGIRE ORA",D19,0))</f>
        <v/>
      </c>
      <c r="W19" s="60">
        <f>IF($U19="",NA(),IF(LEFT(H19,11)="Agire entro",D19,0))</f>
        <v/>
      </c>
      <c r="X19" s="60">
        <f>IF($U19="",NA(),IF(OR(LEFT(H19,9)="AGIRE ORA",LEFT(H19,11)="Agire entro"),0,D19))</f>
        <v/>
      </c>
      <c r="Y19">
        <f>IF($U19="",NA(),INDEX(Radar_Mosca!$I$5:$I$24,$U19))</f>
        <v/>
      </c>
      <c r="Z19">
        <f>IF($U19="",NA(),INDEX(Radar_Mosca!$J$5:$J$24,$U19))</f>
        <v/>
      </c>
      <c r="AA19">
        <f>IF($U19="",NA(),INDEX(Radar_Mosca!$H$5:$H$24,$U19))</f>
        <v/>
      </c>
      <c r="AB19">
        <f>IF(LEFT(H19,9)="AGIRE ORA",B19,"")</f>
        <v/>
      </c>
      <c r="AD19">
        <f>IF(ISNUMBER(I19),I19+15/100000,"")</f>
        <v/>
      </c>
      <c r="AE19">
        <f>IFERROR(MATCH(_xlfn.AGGREGATE(15,6,$AD$5:$AD$24,15),$AD$5:$AD$24,0),"")</f>
        <v/>
      </c>
      <c r="AF19">
        <f>IF($AE19="","",INDEX($B$5:$B$24,$AE19)&amp;" ("&amp;IF(INDEX($I$5:$I$24,$AE19)&lt;0,"−","+")&amp;FIXED(ABS(INDEX($I$5:$I$24,$AE19)),2)&amp;")")</f>
        <v/>
      </c>
      <c r="AG19">
        <f>IF($AE19="",NA(),INDEX($Y$5:$Y$24,$AE19))</f>
        <v/>
      </c>
      <c r="AH19">
        <f>IF($AE19="",NA(),IF(INDEX($Y$5:$Y$24,$AE19)+INDEX($Z$5:$Z$24,$AE19)&gt;INDEX($AA$5:$AA$24,$AE19),NA(),INDEX($Z$5:$Z$24,$AE19)))</f>
        <v/>
      </c>
      <c r="AI19">
        <f>IF($AE19="",NA(),IF(INDEX($Y$5:$Y$24,$AE19)+INDEX($Z$5:$Z$24,$AE19)&gt;INDEX($AA$5:$AA$24,$AE19),INDEX($Z$5:$Z$24,$AE19),NA()))</f>
        <v/>
      </c>
      <c r="AJ19">
        <f>IF($AE19="",NA(),INDEX($AA$5:$AA$24,$AE19))</f>
        <v/>
      </c>
    </row>
    <row r="20">
      <c r="A20">
        <f>IF($U20="","",16)</f>
        <v/>
      </c>
      <c r="B20">
        <f>IF($U20="","",INDEX(posID,$U20))</f>
        <v/>
      </c>
      <c r="C20">
        <f>IF($U20="","",INDEX(posNome,$U20))</f>
        <v/>
      </c>
      <c r="D20" s="58">
        <f>IF($U20="","",INDEX(posScore,$U20))</f>
        <v/>
      </c>
      <c r="E20" s="58">
        <f>IF($U20="","",IFERROR(INDEX(posScorePrec,$U20),"—"))</f>
        <v/>
      </c>
      <c r="F20" s="59">
        <f>IF(AND(ISNUMBER(D20),ISNUMBER(E20)),D20-E20,"")</f>
        <v/>
      </c>
      <c r="G20">
        <f>IF($U20="","",IFERROR(INDEX(RR_Esito,MATCH(cicloCorrente&amp;"|"&amp;B20,RR_Chiave,0))&amp;"",""))</f>
        <v/>
      </c>
      <c r="H20">
        <f>IF($U20="","",INDEX(Radar_Mosca!$L$5:$L$24,$U20))</f>
        <v/>
      </c>
      <c r="I20" s="58">
        <f>IF($U20="","",IFERROR(INDEX(Radar_Mosca!$K$5:$K$24,$U20),""))</f>
        <v/>
      </c>
      <c r="J20">
        <f>IF($U20="","",INDEX(ANA_Owner,$U20)&amp;"")</f>
        <v/>
      </c>
      <c r="K20">
        <f>IF($U20="","",B20&amp;" "&amp;IF(ISNUMBER(F20),IF(F20&gt;0,"▲",IF(F20&lt;0,"▼","●")),"○")&amp;"  "&amp;LEFT(C20,34)&amp;IF(LEN(C20)&gt;34,"…",""))</f>
        <v/>
      </c>
      <c r="T20">
        <f>IF(ISNUMBER(INDEX(posScore,16)),INDEX(posScore,16)-16/100000,"")</f>
        <v/>
      </c>
      <c r="U20">
        <f>IFERROR(MATCH(_xlfn.AGGREGATE(14,6,$T$5:$T$24,16),$T$5:$T$24,0),"")</f>
        <v/>
      </c>
      <c r="V20" s="60">
        <f>IF($U20="",NA(),IF(LEFT(H20,9)="AGIRE ORA",D20,0))</f>
        <v/>
      </c>
      <c r="W20" s="60">
        <f>IF($U20="",NA(),IF(LEFT(H20,11)="Agire entro",D20,0))</f>
        <v/>
      </c>
      <c r="X20" s="60">
        <f>IF($U20="",NA(),IF(OR(LEFT(H20,9)="AGIRE ORA",LEFT(H20,11)="Agire entro"),0,D20))</f>
        <v/>
      </c>
      <c r="Y20">
        <f>IF($U20="",NA(),INDEX(Radar_Mosca!$I$5:$I$24,$U20))</f>
        <v/>
      </c>
      <c r="Z20">
        <f>IF($U20="",NA(),INDEX(Radar_Mosca!$J$5:$J$24,$U20))</f>
        <v/>
      </c>
      <c r="AA20">
        <f>IF($U20="",NA(),INDEX(Radar_Mosca!$H$5:$H$24,$U20))</f>
        <v/>
      </c>
      <c r="AB20">
        <f>IF(LEFT(H20,9)="AGIRE ORA",B20,"")</f>
        <v/>
      </c>
      <c r="AD20">
        <f>IF(ISNUMBER(I20),I20+16/100000,"")</f>
        <v/>
      </c>
      <c r="AE20">
        <f>IFERROR(MATCH(_xlfn.AGGREGATE(15,6,$AD$5:$AD$24,16),$AD$5:$AD$24,0),"")</f>
        <v/>
      </c>
      <c r="AF20">
        <f>IF($AE20="","",INDEX($B$5:$B$24,$AE20)&amp;" ("&amp;IF(INDEX($I$5:$I$24,$AE20)&lt;0,"−","+")&amp;FIXED(ABS(INDEX($I$5:$I$24,$AE20)),2)&amp;")")</f>
        <v/>
      </c>
      <c r="AG20">
        <f>IF($AE20="",NA(),INDEX($Y$5:$Y$24,$AE20))</f>
        <v/>
      </c>
      <c r="AH20">
        <f>IF($AE20="",NA(),IF(INDEX($Y$5:$Y$24,$AE20)+INDEX($Z$5:$Z$24,$AE20)&gt;INDEX($AA$5:$AA$24,$AE20),NA(),INDEX($Z$5:$Z$24,$AE20)))</f>
        <v/>
      </c>
      <c r="AI20">
        <f>IF($AE20="",NA(),IF(INDEX($Y$5:$Y$24,$AE20)+INDEX($Z$5:$Z$24,$AE20)&gt;INDEX($AA$5:$AA$24,$AE20),INDEX($Z$5:$Z$24,$AE20),NA()))</f>
        <v/>
      </c>
      <c r="AJ20">
        <f>IF($AE20="",NA(),INDEX($AA$5:$AA$24,$AE20))</f>
        <v/>
      </c>
    </row>
    <row r="21">
      <c r="A21">
        <f>IF($U21="","",17)</f>
        <v/>
      </c>
      <c r="B21">
        <f>IF($U21="","",INDEX(posID,$U21))</f>
        <v/>
      </c>
      <c r="C21">
        <f>IF($U21="","",INDEX(posNome,$U21))</f>
        <v/>
      </c>
      <c r="D21" s="58">
        <f>IF($U21="","",INDEX(posScore,$U21))</f>
        <v/>
      </c>
      <c r="E21" s="58">
        <f>IF($U21="","",IFERROR(INDEX(posScorePrec,$U21),"—"))</f>
        <v/>
      </c>
      <c r="F21" s="59">
        <f>IF(AND(ISNUMBER(D21),ISNUMBER(E21)),D21-E21,"")</f>
        <v/>
      </c>
      <c r="G21">
        <f>IF($U21="","",IFERROR(INDEX(RR_Esito,MATCH(cicloCorrente&amp;"|"&amp;B21,RR_Chiave,0))&amp;"",""))</f>
        <v/>
      </c>
      <c r="H21">
        <f>IF($U21="","",INDEX(Radar_Mosca!$L$5:$L$24,$U21))</f>
        <v/>
      </c>
      <c r="I21" s="58">
        <f>IF($U21="","",IFERROR(INDEX(Radar_Mosca!$K$5:$K$24,$U21),""))</f>
        <v/>
      </c>
      <c r="J21">
        <f>IF($U21="","",INDEX(ANA_Owner,$U21)&amp;"")</f>
        <v/>
      </c>
      <c r="K21">
        <f>IF($U21="","",B21&amp;" "&amp;IF(ISNUMBER(F21),IF(F21&gt;0,"▲",IF(F21&lt;0,"▼","●")),"○")&amp;"  "&amp;LEFT(C21,34)&amp;IF(LEN(C21)&gt;34,"…",""))</f>
        <v/>
      </c>
      <c r="T21">
        <f>IF(ISNUMBER(INDEX(posScore,17)),INDEX(posScore,17)-17/100000,"")</f>
        <v/>
      </c>
      <c r="U21">
        <f>IFERROR(MATCH(_xlfn.AGGREGATE(14,6,$T$5:$T$24,17),$T$5:$T$24,0),"")</f>
        <v/>
      </c>
      <c r="V21" s="60">
        <f>IF($U21="",NA(),IF(LEFT(H21,9)="AGIRE ORA",D21,0))</f>
        <v/>
      </c>
      <c r="W21" s="60">
        <f>IF($U21="",NA(),IF(LEFT(H21,11)="Agire entro",D21,0))</f>
        <v/>
      </c>
      <c r="X21" s="60">
        <f>IF($U21="",NA(),IF(OR(LEFT(H21,9)="AGIRE ORA",LEFT(H21,11)="Agire entro"),0,D21))</f>
        <v/>
      </c>
      <c r="Y21">
        <f>IF($U21="",NA(),INDEX(Radar_Mosca!$I$5:$I$24,$U21))</f>
        <v/>
      </c>
      <c r="Z21">
        <f>IF($U21="",NA(),INDEX(Radar_Mosca!$J$5:$J$24,$U21))</f>
        <v/>
      </c>
      <c r="AA21">
        <f>IF($U21="",NA(),INDEX(Radar_Mosca!$H$5:$H$24,$U21))</f>
        <v/>
      </c>
      <c r="AB21">
        <f>IF(LEFT(H21,9)="AGIRE ORA",B21,"")</f>
        <v/>
      </c>
      <c r="AD21">
        <f>IF(ISNUMBER(I21),I21+17/100000,"")</f>
        <v/>
      </c>
      <c r="AE21">
        <f>IFERROR(MATCH(_xlfn.AGGREGATE(15,6,$AD$5:$AD$24,17),$AD$5:$AD$24,0),"")</f>
        <v/>
      </c>
      <c r="AF21">
        <f>IF($AE21="","",INDEX($B$5:$B$24,$AE21)&amp;" ("&amp;IF(INDEX($I$5:$I$24,$AE21)&lt;0,"−","+")&amp;FIXED(ABS(INDEX($I$5:$I$24,$AE21)),2)&amp;")")</f>
        <v/>
      </c>
      <c r="AG21">
        <f>IF($AE21="",NA(),INDEX($Y$5:$Y$24,$AE21))</f>
        <v/>
      </c>
      <c r="AH21">
        <f>IF($AE21="",NA(),IF(INDEX($Y$5:$Y$24,$AE21)+INDEX($Z$5:$Z$24,$AE21)&gt;INDEX($AA$5:$AA$24,$AE21),NA(),INDEX($Z$5:$Z$24,$AE21)))</f>
        <v/>
      </c>
      <c r="AI21">
        <f>IF($AE21="",NA(),IF(INDEX($Y$5:$Y$24,$AE21)+INDEX($Z$5:$Z$24,$AE21)&gt;INDEX($AA$5:$AA$24,$AE21),INDEX($Z$5:$Z$24,$AE21),NA()))</f>
        <v/>
      </c>
      <c r="AJ21">
        <f>IF($AE21="",NA(),INDEX($AA$5:$AA$24,$AE21))</f>
        <v/>
      </c>
    </row>
    <row r="22">
      <c r="A22">
        <f>IF($U22="","",18)</f>
        <v/>
      </c>
      <c r="B22">
        <f>IF($U22="","",INDEX(posID,$U22))</f>
        <v/>
      </c>
      <c r="C22">
        <f>IF($U22="","",INDEX(posNome,$U22))</f>
        <v/>
      </c>
      <c r="D22" s="58">
        <f>IF($U22="","",INDEX(posScore,$U22))</f>
        <v/>
      </c>
      <c r="E22" s="58">
        <f>IF($U22="","",IFERROR(INDEX(posScorePrec,$U22),"—"))</f>
        <v/>
      </c>
      <c r="F22" s="59">
        <f>IF(AND(ISNUMBER(D22),ISNUMBER(E22)),D22-E22,"")</f>
        <v/>
      </c>
      <c r="G22">
        <f>IF($U22="","",IFERROR(INDEX(RR_Esito,MATCH(cicloCorrente&amp;"|"&amp;B22,RR_Chiave,0))&amp;"",""))</f>
        <v/>
      </c>
      <c r="H22">
        <f>IF($U22="","",INDEX(Radar_Mosca!$L$5:$L$24,$U22))</f>
        <v/>
      </c>
      <c r="I22" s="58">
        <f>IF($U22="","",IFERROR(INDEX(Radar_Mosca!$K$5:$K$24,$U22),""))</f>
        <v/>
      </c>
      <c r="J22">
        <f>IF($U22="","",INDEX(ANA_Owner,$U22)&amp;"")</f>
        <v/>
      </c>
      <c r="K22">
        <f>IF($U22="","",B22&amp;" "&amp;IF(ISNUMBER(F22),IF(F22&gt;0,"▲",IF(F22&lt;0,"▼","●")),"○")&amp;"  "&amp;LEFT(C22,34)&amp;IF(LEN(C22)&gt;34,"…",""))</f>
        <v/>
      </c>
      <c r="T22">
        <f>IF(ISNUMBER(INDEX(posScore,18)),INDEX(posScore,18)-18/100000,"")</f>
        <v/>
      </c>
      <c r="U22">
        <f>IFERROR(MATCH(_xlfn.AGGREGATE(14,6,$T$5:$T$24,18),$T$5:$T$24,0),"")</f>
        <v/>
      </c>
      <c r="V22" s="60">
        <f>IF($U22="",NA(),IF(LEFT(H22,9)="AGIRE ORA",D22,0))</f>
        <v/>
      </c>
      <c r="W22" s="60">
        <f>IF($U22="",NA(),IF(LEFT(H22,11)="Agire entro",D22,0))</f>
        <v/>
      </c>
      <c r="X22" s="60">
        <f>IF($U22="",NA(),IF(OR(LEFT(H22,9)="AGIRE ORA",LEFT(H22,11)="Agire entro"),0,D22))</f>
        <v/>
      </c>
      <c r="Y22">
        <f>IF($U22="",NA(),INDEX(Radar_Mosca!$I$5:$I$24,$U22))</f>
        <v/>
      </c>
      <c r="Z22">
        <f>IF($U22="",NA(),INDEX(Radar_Mosca!$J$5:$J$24,$U22))</f>
        <v/>
      </c>
      <c r="AA22">
        <f>IF($U22="",NA(),INDEX(Radar_Mosca!$H$5:$H$24,$U22))</f>
        <v/>
      </c>
      <c r="AB22">
        <f>IF(LEFT(H22,9)="AGIRE ORA",B22,"")</f>
        <v/>
      </c>
      <c r="AD22">
        <f>IF(ISNUMBER(I22),I22+18/100000,"")</f>
        <v/>
      </c>
      <c r="AE22">
        <f>IFERROR(MATCH(_xlfn.AGGREGATE(15,6,$AD$5:$AD$24,18),$AD$5:$AD$24,0),"")</f>
        <v/>
      </c>
      <c r="AF22">
        <f>IF($AE22="","",INDEX($B$5:$B$24,$AE22)&amp;" ("&amp;IF(INDEX($I$5:$I$24,$AE22)&lt;0,"−","+")&amp;FIXED(ABS(INDEX($I$5:$I$24,$AE22)),2)&amp;")")</f>
        <v/>
      </c>
      <c r="AG22">
        <f>IF($AE22="",NA(),INDEX($Y$5:$Y$24,$AE22))</f>
        <v/>
      </c>
      <c r="AH22">
        <f>IF($AE22="",NA(),IF(INDEX($Y$5:$Y$24,$AE22)+INDEX($Z$5:$Z$24,$AE22)&gt;INDEX($AA$5:$AA$24,$AE22),NA(),INDEX($Z$5:$Z$24,$AE22)))</f>
        <v/>
      </c>
      <c r="AI22">
        <f>IF($AE22="",NA(),IF(INDEX($Y$5:$Y$24,$AE22)+INDEX($Z$5:$Z$24,$AE22)&gt;INDEX($AA$5:$AA$24,$AE22),INDEX($Z$5:$Z$24,$AE22),NA()))</f>
        <v/>
      </c>
      <c r="AJ22">
        <f>IF($AE22="",NA(),INDEX($AA$5:$AA$24,$AE22))</f>
        <v/>
      </c>
    </row>
    <row r="23">
      <c r="A23">
        <f>IF($U23="","",19)</f>
        <v/>
      </c>
      <c r="B23">
        <f>IF($U23="","",INDEX(posID,$U23))</f>
        <v/>
      </c>
      <c r="C23">
        <f>IF($U23="","",INDEX(posNome,$U23))</f>
        <v/>
      </c>
      <c r="D23" s="58">
        <f>IF($U23="","",INDEX(posScore,$U23))</f>
        <v/>
      </c>
      <c r="E23" s="58">
        <f>IF($U23="","",IFERROR(INDEX(posScorePrec,$U23),"—"))</f>
        <v/>
      </c>
      <c r="F23" s="59">
        <f>IF(AND(ISNUMBER(D23),ISNUMBER(E23)),D23-E23,"")</f>
        <v/>
      </c>
      <c r="G23">
        <f>IF($U23="","",IFERROR(INDEX(RR_Esito,MATCH(cicloCorrente&amp;"|"&amp;B23,RR_Chiave,0))&amp;"",""))</f>
        <v/>
      </c>
      <c r="H23">
        <f>IF($U23="","",INDEX(Radar_Mosca!$L$5:$L$24,$U23))</f>
        <v/>
      </c>
      <c r="I23" s="58">
        <f>IF($U23="","",IFERROR(INDEX(Radar_Mosca!$K$5:$K$24,$U23),""))</f>
        <v/>
      </c>
      <c r="J23">
        <f>IF($U23="","",INDEX(ANA_Owner,$U23)&amp;"")</f>
        <v/>
      </c>
      <c r="K23">
        <f>IF($U23="","",B23&amp;" "&amp;IF(ISNUMBER(F23),IF(F23&gt;0,"▲",IF(F23&lt;0,"▼","●")),"○")&amp;"  "&amp;LEFT(C23,34)&amp;IF(LEN(C23)&gt;34,"…",""))</f>
        <v/>
      </c>
      <c r="T23">
        <f>IF(ISNUMBER(INDEX(posScore,19)),INDEX(posScore,19)-19/100000,"")</f>
        <v/>
      </c>
      <c r="U23">
        <f>IFERROR(MATCH(_xlfn.AGGREGATE(14,6,$T$5:$T$24,19),$T$5:$T$24,0),"")</f>
        <v/>
      </c>
      <c r="V23" s="60">
        <f>IF($U23="",NA(),IF(LEFT(H23,9)="AGIRE ORA",D23,0))</f>
        <v/>
      </c>
      <c r="W23" s="60">
        <f>IF($U23="",NA(),IF(LEFT(H23,11)="Agire entro",D23,0))</f>
        <v/>
      </c>
      <c r="X23" s="60">
        <f>IF($U23="",NA(),IF(OR(LEFT(H23,9)="AGIRE ORA",LEFT(H23,11)="Agire entro"),0,D23))</f>
        <v/>
      </c>
      <c r="Y23">
        <f>IF($U23="",NA(),INDEX(Radar_Mosca!$I$5:$I$24,$U23))</f>
        <v/>
      </c>
      <c r="Z23">
        <f>IF($U23="",NA(),INDEX(Radar_Mosca!$J$5:$J$24,$U23))</f>
        <v/>
      </c>
      <c r="AA23">
        <f>IF($U23="",NA(),INDEX(Radar_Mosca!$H$5:$H$24,$U23))</f>
        <v/>
      </c>
      <c r="AB23">
        <f>IF(LEFT(H23,9)="AGIRE ORA",B23,"")</f>
        <v/>
      </c>
      <c r="AD23">
        <f>IF(ISNUMBER(I23),I23+19/100000,"")</f>
        <v/>
      </c>
      <c r="AE23">
        <f>IFERROR(MATCH(_xlfn.AGGREGATE(15,6,$AD$5:$AD$24,19),$AD$5:$AD$24,0),"")</f>
        <v/>
      </c>
      <c r="AF23">
        <f>IF($AE23="","",INDEX($B$5:$B$24,$AE23)&amp;" ("&amp;IF(INDEX($I$5:$I$24,$AE23)&lt;0,"−","+")&amp;FIXED(ABS(INDEX($I$5:$I$24,$AE23)),2)&amp;")")</f>
        <v/>
      </c>
      <c r="AG23">
        <f>IF($AE23="",NA(),INDEX($Y$5:$Y$24,$AE23))</f>
        <v/>
      </c>
      <c r="AH23">
        <f>IF($AE23="",NA(),IF(INDEX($Y$5:$Y$24,$AE23)+INDEX($Z$5:$Z$24,$AE23)&gt;INDEX($AA$5:$AA$24,$AE23),NA(),INDEX($Z$5:$Z$24,$AE23)))</f>
        <v/>
      </c>
      <c r="AI23">
        <f>IF($AE23="",NA(),IF(INDEX($Y$5:$Y$24,$AE23)+INDEX($Z$5:$Z$24,$AE23)&gt;INDEX($AA$5:$AA$24,$AE23),INDEX($Z$5:$Z$24,$AE23),NA()))</f>
        <v/>
      </c>
      <c r="AJ23">
        <f>IF($AE23="",NA(),INDEX($AA$5:$AA$24,$AE23))</f>
        <v/>
      </c>
    </row>
    <row r="24">
      <c r="A24">
        <f>IF($U24="","",20)</f>
        <v/>
      </c>
      <c r="B24">
        <f>IF($U24="","",INDEX(posID,$U24))</f>
        <v/>
      </c>
      <c r="C24">
        <f>IF($U24="","",INDEX(posNome,$U24))</f>
        <v/>
      </c>
      <c r="D24" s="58">
        <f>IF($U24="","",INDEX(posScore,$U24))</f>
        <v/>
      </c>
      <c r="E24" s="58">
        <f>IF($U24="","",IFERROR(INDEX(posScorePrec,$U24),"—"))</f>
        <v/>
      </c>
      <c r="F24" s="59">
        <f>IF(AND(ISNUMBER(D24),ISNUMBER(E24)),D24-E24,"")</f>
        <v/>
      </c>
      <c r="G24">
        <f>IF($U24="","",IFERROR(INDEX(RR_Esito,MATCH(cicloCorrente&amp;"|"&amp;B24,RR_Chiave,0))&amp;"",""))</f>
        <v/>
      </c>
      <c r="H24">
        <f>IF($U24="","",INDEX(Radar_Mosca!$L$5:$L$24,$U24))</f>
        <v/>
      </c>
      <c r="I24" s="58">
        <f>IF($U24="","",IFERROR(INDEX(Radar_Mosca!$K$5:$K$24,$U24),""))</f>
        <v/>
      </c>
      <c r="J24">
        <f>IF($U24="","",INDEX(ANA_Owner,$U24)&amp;"")</f>
        <v/>
      </c>
      <c r="K24">
        <f>IF($U24="","",B24&amp;" "&amp;IF(ISNUMBER(F24),IF(F24&gt;0,"▲",IF(F24&lt;0,"▼","●")),"○")&amp;"  "&amp;LEFT(C24,34)&amp;IF(LEN(C24)&gt;34,"…",""))</f>
        <v/>
      </c>
      <c r="T24">
        <f>IF(ISNUMBER(INDEX(posScore,20)),INDEX(posScore,20)-20/100000,"")</f>
        <v/>
      </c>
      <c r="U24">
        <f>IFERROR(MATCH(_xlfn.AGGREGATE(14,6,$T$5:$T$24,20),$T$5:$T$24,0),"")</f>
        <v/>
      </c>
      <c r="V24" s="60">
        <f>IF($U24="",NA(),IF(LEFT(H24,9)="AGIRE ORA",D24,0))</f>
        <v/>
      </c>
      <c r="W24" s="60">
        <f>IF($U24="",NA(),IF(LEFT(H24,11)="Agire entro",D24,0))</f>
        <v/>
      </c>
      <c r="X24" s="60">
        <f>IF($U24="",NA(),IF(OR(LEFT(H24,9)="AGIRE ORA",LEFT(H24,11)="Agire entro"),0,D24))</f>
        <v/>
      </c>
      <c r="Y24">
        <f>IF($U24="",NA(),INDEX(Radar_Mosca!$I$5:$I$24,$U24))</f>
        <v/>
      </c>
      <c r="Z24">
        <f>IF($U24="",NA(),INDEX(Radar_Mosca!$J$5:$J$24,$U24))</f>
        <v/>
      </c>
      <c r="AA24">
        <f>IF($U24="",NA(),INDEX(Radar_Mosca!$H$5:$H$24,$U24))</f>
        <v/>
      </c>
      <c r="AB24">
        <f>IF(LEFT(H24,9)="AGIRE ORA",B24,"")</f>
        <v/>
      </c>
      <c r="AD24">
        <f>IF(ISNUMBER(I24),I24+20/100000,"")</f>
        <v/>
      </c>
      <c r="AE24">
        <f>IFERROR(MATCH(_xlfn.AGGREGATE(15,6,$AD$5:$AD$24,20),$AD$5:$AD$24,0),"")</f>
        <v/>
      </c>
      <c r="AF24">
        <f>IF($AE24="","",INDEX($B$5:$B$24,$AE24)&amp;" ("&amp;IF(INDEX($I$5:$I$24,$AE24)&lt;0,"−","+")&amp;FIXED(ABS(INDEX($I$5:$I$24,$AE24)),2)&amp;")")</f>
        <v/>
      </c>
      <c r="AG24">
        <f>IF($AE24="",NA(),INDEX($Y$5:$Y$24,$AE24))</f>
        <v/>
      </c>
      <c r="AH24">
        <f>IF($AE24="",NA(),IF(INDEX($Y$5:$Y$24,$AE24)+INDEX($Z$5:$Z$24,$AE24)&gt;INDEX($AA$5:$AA$24,$AE24),NA(),INDEX($Z$5:$Z$24,$AE24)))</f>
        <v/>
      </c>
      <c r="AI24">
        <f>IF($AE24="",NA(),IF(INDEX($Y$5:$Y$24,$AE24)+INDEX($Z$5:$Z$24,$AE24)&gt;INDEX($AA$5:$AA$24,$AE24),INDEX($Z$5:$Z$24,$AE24),NA()))</f>
        <v/>
      </c>
      <c r="AJ24">
        <f>IF($AE24="",NA(),INDEX($AA$5:$AA$24,$AE24))</f>
        <v/>
      </c>
    </row>
    <row r="53" ht="30" customHeight="1">
      <c r="A53" s="61" t="inlineStr">
        <is>
          <t>Come si legge: a sinistra un rischio per barra, dal piu' alto per score composito; colore = urgenza, freccia = variazione sul ciclo prima. A destra la lente di Mosca, dal piu' in ritardo: colonna = tempo necessario X + Y, rombo = tempo disponibile Z; la parte rossa sfora (tra parentesi il margine).</t>
        </is>
      </c>
    </row>
    <row r="54" ht="26" customHeight="1">
      <c r="A54" s="56" t="inlineStr">
        <is>
          <t>Legenda — X = anni per decidere e avviare la mitigazione (un trimestre); Y = anni per mitigare (azioni o adeguamento strutturale); Z = anni prima che il rischio possa manifestarsi (dalla Prossimita); AGIRE ORA = X + Y &gt; Z. Frecce: ▲ score in aumento, ▼ in diminuzione, ● invariato, ○ nuovo. NFR-nn = codice del rischio; ◆ = tema all'attenzione del supervisore (BCE, EBA, Banca d'Italia), indicato dal validatore.</t>
        </is>
      </c>
    </row>
  </sheetData>
  <mergeCells count="4">
    <mergeCell ref="A2:K2"/>
    <mergeCell ref="A54:K54"/>
    <mergeCell ref="A53:K53"/>
    <mergeCell ref="A1:K1"/>
  </mergeCells>
  <conditionalFormatting sqref="H5:H24">
    <cfRule type="expression" priority="1" dxfId="4">
      <formula>LEFT(H5,9)="AGIRE ORA"</formula>
    </cfRule>
    <cfRule type="expression" priority="2" dxfId="5">
      <formula>OR(LEFT(H5,11)="Agire entro",LEFT(H5,12)="Entro l'anno")</formula>
    </cfRule>
    <cfRule type="expression" priority="3" dxfId="6">
      <formula>LEFT(H5,7)="Margine"</formula>
    </cfRule>
  </conditionalFormatting>
  <conditionalFormatting sqref="F5:F24">
    <cfRule type="expression" priority="4" dxfId="2">
      <formula>AND(ISNUMBER(F5),F5&gt;0)</formula>
    </cfRule>
    <cfRule type="expression" priority="5" dxfId="3">
      <formula>AND(ISNUMBER(F5),F5&lt;0)</formula>
    </cfRule>
  </conditionalFormatting>
  <pageMargins left="0.4" right="0.4" top="1" bottom="1" header="0.5" footer="0.5"/>
  <pageSetup orientation="landscape" paperSize="9" fitToHeight="1" fitToWidth="1"/>
  <headerFooter>
    <oddHeader>&amp;L&amp;A&amp;CUso interno&amp;RHorizon Scan NFR</oddHeader>
    <oddFooter>&amp;L&amp;F&amp;RPagina &amp;P di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tabColor rgb="001F3864"/>
    <outlinePr summaryBelow="1" summaryRight="1"/>
    <pageSetUpPr fitToPage="1"/>
  </sheetPr>
  <dimension ref="A1:CP77"/>
  <sheetViews>
    <sheetView showGridLines="0" workbookViewId="0">
      <selection activeCell="A1" sqref="A1"/>
    </sheetView>
  </sheetViews>
  <sheetFormatPr baseColWidth="8" defaultRowHeight="15"/>
  <cols>
    <col width="9" customWidth="1" min="1" max="1"/>
    <col width="40" customWidth="1" min="2" max="2"/>
    <col width="9" customWidth="1" min="3" max="3"/>
    <col width="10" customWidth="1" min="4" max="4"/>
    <col width="11" customWidth="1" min="5" max="5"/>
    <col width="7" customWidth="1" min="6" max="6"/>
    <col width="11" customWidth="1" min="7" max="7"/>
    <col width="13" customWidth="1" min="8" max="8"/>
    <col width="11" customWidth="1" min="9" max="9"/>
    <col width="11" customWidth="1" min="10" max="10"/>
    <col width="11" customWidth="1" min="11" max="11"/>
    <col width="20" customWidth="1" min="12" max="12"/>
    <col width="9" customWidth="1" min="21" max="21"/>
    <col width="9" customWidth="1" min="22" max="22"/>
    <col width="9" customWidth="1" min="23" max="23"/>
    <col width="9" customWidth="1" min="24" max="24"/>
    <col width="9" customWidth="1" min="25" max="25"/>
    <col width="9" customWidth="1" min="26" max="26"/>
    <col width="16" customWidth="1" min="27" max="27"/>
    <col width="44"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 hidden="1" width="13" customWidth="1" min="89" max="89"/>
    <col hidden="1" width="13" customWidth="1" min="90" max="90"/>
    <col hidden="1" width="13" customWidth="1" min="91" max="91"/>
    <col hidden="1" width="13" customWidth="1" min="92" max="92"/>
    <col hidden="1" width="13" customWidth="1" min="93" max="93"/>
    <col hidden="1" width="13" customWidth="1" min="94" max="94"/>
  </cols>
  <sheetData>
    <row r="1" ht="28" customHeight="1">
      <c r="A1" s="1">
        <f>"Horizon Scan NFR — Radar di Mosca: quanto presto agire, e quanto e' grande ogni rischio   ·   "&amp;etichettaCiclo</f>
        <v/>
      </c>
      <c r="B1" s="2" t="n"/>
      <c r="C1" s="2" t="n"/>
      <c r="D1" s="2" t="n"/>
      <c r="E1" s="2" t="n"/>
      <c r="F1" s="2" t="n"/>
      <c r="G1" s="2" t="n"/>
      <c r="H1" s="2" t="n"/>
      <c r="I1" s="2" t="n"/>
      <c r="J1" s="2" t="n"/>
      <c r="K1" s="2" t="n"/>
      <c r="L1" s="2" t="n"/>
    </row>
    <row r="2" ht="45.5" customHeight="1">
      <c r="A2" s="13" t="inlineStr">
        <is>
          <r>
            <rPr>
              <rFont val="Calibri"/>
              <b val="1"/>
              <color rgb="001F4E79"/>
              <sz val="10"/>
            </rPr>
            <t>CICLO TRIMESTRALE — calcolato dal foglio: Z dalla Prossimita', Y dalle azioni o dagli anni di adeguamento.</t>
          </r>
          <r>
            <rPr>
              <rFont val="Calibri"/>
              <color rgb="00262626"/>
              <sz val="10"/>
            </rPr>
            <t xml:space="preserve">
Come si legge: piu' vicino al centro = agire prima. Dentro il cerchio rosso (X + Y &gt; Z) si e' gia' in ritardo anche se l'evento non e' imminente. Area del cerchio = Probabilita x Impatto; colore = livello di allerta (rosso attivazione, giallo attenzione, verde monitoraggio: colonne U-AB); ◆ = tema all'attenzione del supervisore; settore = categoria di rischio. Parametri: foglio Parametri, righe 47-63.</t>
          </r>
        </is>
      </c>
    </row>
    <row r="3">
      <c r="AD3" t="inlineStr">
        <is>
          <t>Appoggio del grafico: non modificare</t>
        </is>
      </c>
      <c r="AU3" t="inlineStr">
        <is>
          <t>Attivazione</t>
        </is>
      </c>
      <c r="AV3" t="inlineStr">
        <is>
          <t>Attivazione</t>
        </is>
      </c>
      <c r="AW3" t="inlineStr">
        <is>
          <t>Attivazione</t>
        </is>
      </c>
      <c r="AX3" t="inlineStr">
        <is>
          <t>Attivazione</t>
        </is>
      </c>
      <c r="AY3" t="inlineStr">
        <is>
          <t>Attivazione</t>
        </is>
      </c>
      <c r="AZ3" t="inlineStr">
        <is>
          <t>Attivazione</t>
        </is>
      </c>
      <c r="BA3" t="inlineStr">
        <is>
          <t>Attivazione</t>
        </is>
      </c>
      <c r="BB3" t="inlineStr">
        <is>
          <t>Attivazione</t>
        </is>
      </c>
      <c r="BC3" t="inlineStr">
        <is>
          <t>Attivazione</t>
        </is>
      </c>
      <c r="BD3" t="inlineStr">
        <is>
          <t>Attivazione</t>
        </is>
      </c>
      <c r="BE3" t="inlineStr">
        <is>
          <t>Attivazione</t>
        </is>
      </c>
      <c r="BF3" t="inlineStr">
        <is>
          <t>Attivazione</t>
        </is>
      </c>
      <c r="BG3" t="inlineStr">
        <is>
          <t>Attivazione</t>
        </is>
      </c>
      <c r="BH3" t="inlineStr">
        <is>
          <t>Attivazione</t>
        </is>
      </c>
      <c r="BI3" t="inlineStr">
        <is>
          <t>Attenzione</t>
        </is>
      </c>
      <c r="BJ3" t="inlineStr">
        <is>
          <t>Attenzione</t>
        </is>
      </c>
      <c r="BK3" t="inlineStr">
        <is>
          <t>Attenzione</t>
        </is>
      </c>
      <c r="BL3" t="inlineStr">
        <is>
          <t>Attenzione</t>
        </is>
      </c>
      <c r="BM3" t="inlineStr">
        <is>
          <t>Attenzione</t>
        </is>
      </c>
      <c r="BN3" t="inlineStr">
        <is>
          <t>Attenzione</t>
        </is>
      </c>
      <c r="BO3" t="inlineStr">
        <is>
          <t>Attenzione</t>
        </is>
      </c>
      <c r="BP3" t="inlineStr">
        <is>
          <t>Attenzione</t>
        </is>
      </c>
      <c r="BQ3" t="inlineStr">
        <is>
          <t>Attenzione</t>
        </is>
      </c>
      <c r="BR3" t="inlineStr">
        <is>
          <t>Attenzione</t>
        </is>
      </c>
      <c r="BS3" t="inlineStr">
        <is>
          <t>Attenzione</t>
        </is>
      </c>
      <c r="BT3" t="inlineStr">
        <is>
          <t>Attenzione</t>
        </is>
      </c>
      <c r="BU3" t="inlineStr">
        <is>
          <t>Attenzione</t>
        </is>
      </c>
      <c r="BV3" t="inlineStr">
        <is>
          <t>Attenzione</t>
        </is>
      </c>
      <c r="BW3" t="inlineStr">
        <is>
          <t>Monitoraggio</t>
        </is>
      </c>
      <c r="BX3" t="inlineStr">
        <is>
          <t>Monitoraggio</t>
        </is>
      </c>
      <c r="BY3" t="inlineStr">
        <is>
          <t>Monitoraggio</t>
        </is>
      </c>
      <c r="BZ3" t="inlineStr">
        <is>
          <t>Monitoraggio</t>
        </is>
      </c>
      <c r="CA3" t="inlineStr">
        <is>
          <t>Monitoraggio</t>
        </is>
      </c>
      <c r="CB3" t="inlineStr">
        <is>
          <t>Monitoraggio</t>
        </is>
      </c>
      <c r="CC3" t="inlineStr">
        <is>
          <t>Monitoraggio</t>
        </is>
      </c>
      <c r="CD3" t="inlineStr">
        <is>
          <t>Monitoraggio</t>
        </is>
      </c>
      <c r="CE3" t="inlineStr">
        <is>
          <t>Monitoraggio</t>
        </is>
      </c>
      <c r="CF3" t="inlineStr">
        <is>
          <t>Monitoraggio</t>
        </is>
      </c>
      <c r="CG3" t="inlineStr">
        <is>
          <t>Monitoraggio</t>
        </is>
      </c>
      <c r="CH3" t="inlineStr">
        <is>
          <t>Monitoraggio</t>
        </is>
      </c>
      <c r="CI3" t="inlineStr">
        <is>
          <t>Monitoraggio</t>
        </is>
      </c>
      <c r="CJ3" t="inlineStr">
        <is>
          <t>Monitoraggio</t>
        </is>
      </c>
    </row>
    <row r="4" ht="45" customHeight="1">
      <c r="A4" s="57" t="inlineStr">
        <is>
          <t>ID</t>
        </is>
      </c>
      <c r="B4" s="57" t="inlineStr">
        <is>
          <t>Nome</t>
        </is>
      </c>
      <c r="C4" s="57" t="inlineStr">
        <is>
          <t>Categoria</t>
        </is>
      </c>
      <c r="D4" s="57" t="inlineStr">
        <is>
          <t>Impatto</t>
        </is>
      </c>
      <c r="E4" s="57" t="inlineStr">
        <is>
          <t>Probabilita</t>
        </is>
      </c>
      <c r="F4" s="57" t="inlineStr">
        <is>
          <t>P x I</t>
        </is>
      </c>
      <c r="G4" s="57" t="inlineStr">
        <is>
          <t>Prossimita</t>
        </is>
      </c>
      <c r="H4" s="57" t="inlineStr">
        <is>
          <t>Z anni alla manifestazione</t>
        </is>
      </c>
      <c r="I4" s="57" t="inlineStr">
        <is>
          <t>X anni per decidere</t>
        </is>
      </c>
      <c r="J4" s="57" t="inlineStr">
        <is>
          <t>Y anni per mitigare (azioni o adeguamento)</t>
        </is>
      </c>
      <c r="K4" s="57" t="inlineStr">
        <is>
          <t>Margine Z-(X+Y)</t>
        </is>
      </c>
      <c r="L4" s="57" t="inlineStr">
        <is>
          <t>Urgenza</t>
        </is>
      </c>
      <c r="M4" s="57" t="inlineStr">
        <is>
          <t>Settore</t>
        </is>
      </c>
      <c r="N4" s="57" t="inlineStr">
        <is>
          <t>Posizione nel settore</t>
        </is>
      </c>
      <c r="O4" s="57" t="inlineStr">
        <is>
          <t>Rischi nel settore</t>
        </is>
      </c>
      <c r="P4" s="57" t="inlineStr">
        <is>
          <t>Angolo</t>
        </is>
      </c>
      <c r="Q4" s="57" t="inlineStr">
        <is>
          <t>Raggio</t>
        </is>
      </c>
      <c r="R4" s="57" t="inlineStr">
        <is>
          <t>x</t>
        </is>
      </c>
      <c r="S4" s="57" t="inlineStr">
        <is>
          <t>y</t>
        </is>
      </c>
      <c r="T4" s="57" t="inlineStr">
        <is>
          <t>Attenzione del supervisore</t>
        </is>
      </c>
      <c r="U4" s="57" t="inlineStr">
        <is>
          <t>F1 AGIRE ORA</t>
        </is>
      </c>
      <c r="V4" s="57" t="inlineStr">
        <is>
          <t>F2 KRI in rosso</t>
        </is>
      </c>
      <c r="W4" s="57" t="inlineStr">
        <is>
          <t>F3 notizie ▲</t>
        </is>
      </c>
      <c r="X4" s="57" t="inlineStr">
        <is>
          <t>A1 P x I alta</t>
        </is>
      </c>
      <c r="Y4" s="57" t="inlineStr">
        <is>
          <t>A2 presidio assente</t>
        </is>
      </c>
      <c r="Z4" s="57" t="inlineStr">
        <is>
          <t>A3 KRI in ambra o rosso</t>
        </is>
      </c>
      <c r="AA4" s="57" t="inlineStr">
        <is>
          <t>Livello di allerta</t>
        </is>
      </c>
      <c r="AB4" s="57" t="inlineStr">
        <is>
          <t>Motivo del livello</t>
        </is>
      </c>
      <c r="AU4" t="n">
        <v>1</v>
      </c>
      <c r="AV4" t="n">
        <v>2</v>
      </c>
      <c r="AW4" t="n">
        <v>3</v>
      </c>
      <c r="AX4" t="n">
        <v>4</v>
      </c>
      <c r="AY4" t="n">
        <v>5</v>
      </c>
      <c r="AZ4" t="n">
        <v>6</v>
      </c>
      <c r="BA4" t="n">
        <v>8</v>
      </c>
      <c r="BB4" t="n">
        <v>9</v>
      </c>
      <c r="BC4" t="n">
        <v>10</v>
      </c>
      <c r="BD4" t="n">
        <v>12</v>
      </c>
      <c r="BE4" t="n">
        <v>15</v>
      </c>
      <c r="BF4" t="n">
        <v>16</v>
      </c>
      <c r="BG4" t="n">
        <v>20</v>
      </c>
      <c r="BH4" t="n">
        <v>25</v>
      </c>
      <c r="BI4" t="n">
        <v>1</v>
      </c>
      <c r="BJ4" t="n">
        <v>2</v>
      </c>
      <c r="BK4" t="n">
        <v>3</v>
      </c>
      <c r="BL4" t="n">
        <v>4</v>
      </c>
      <c r="BM4" t="n">
        <v>5</v>
      </c>
      <c r="BN4" t="n">
        <v>6</v>
      </c>
      <c r="BO4" t="n">
        <v>8</v>
      </c>
      <c r="BP4" t="n">
        <v>9</v>
      </c>
      <c r="BQ4" t="n">
        <v>10</v>
      </c>
      <c r="BR4" t="n">
        <v>12</v>
      </c>
      <c r="BS4" t="n">
        <v>15</v>
      </c>
      <c r="BT4" t="n">
        <v>16</v>
      </c>
      <c r="BU4" t="n">
        <v>20</v>
      </c>
      <c r="BV4" t="n">
        <v>25</v>
      </c>
      <c r="BW4" t="n">
        <v>1</v>
      </c>
      <c r="BX4" t="n">
        <v>2</v>
      </c>
      <c r="BY4" t="n">
        <v>3</v>
      </c>
      <c r="BZ4" t="n">
        <v>4</v>
      </c>
      <c r="CA4" t="n">
        <v>5</v>
      </c>
      <c r="CB4" t="n">
        <v>6</v>
      </c>
      <c r="CC4" t="n">
        <v>8</v>
      </c>
      <c r="CD4" t="n">
        <v>9</v>
      </c>
      <c r="CE4" t="n">
        <v>10</v>
      </c>
      <c r="CF4" t="n">
        <v>12</v>
      </c>
      <c r="CG4" t="n">
        <v>15</v>
      </c>
      <c r="CH4" t="n">
        <v>16</v>
      </c>
      <c r="CI4" t="n">
        <v>20</v>
      </c>
      <c r="CJ4" t="n">
        <v>25</v>
      </c>
    </row>
    <row r="5">
      <c r="A5">
        <f>IF(Parametri!$H4="","",Parametri!$H4)</f>
        <v/>
      </c>
      <c r="B5">
        <f>IF($A5="","",Parametri!$I4)</f>
        <v/>
      </c>
      <c r="C5">
        <f>IF($A5="","",Parametri!$J4)</f>
        <v/>
      </c>
      <c r="D5">
        <f>IF($A5="",NA(),IF(COUNTIFS(RR_ID_Rischio,$A5,RR_Ciclo,cicloCorrente)=0,NA(),SUMIFS(RR_Impatto,RR_ID_Rischio,$A5,RR_Ciclo,cicloCorrente)))</f>
        <v/>
      </c>
      <c r="E5">
        <f>IF($A5="",NA(),IF(COUNTIFS(RR_ID_Rischio,$A5,RR_Ciclo,cicloCorrente)=0,NA(),SUMIFS(RR_Probabilita,RR_ID_Rischio,$A5,RR_Ciclo,cicloCorrente)))</f>
        <v/>
      </c>
      <c r="F5">
        <f>IF(AND(ISNUMBER(D5),ISNUMBER(E5)),D5*E5,NA())</f>
        <v/>
      </c>
      <c r="G5">
        <f>IF($A5="",NA(),IF(COUNTIFS(RR_ID_Rischio,$A5,RR_Ciclo,cicloCorrente)=0,NA(),SUMIFS(RR_Prossimita,RR_ID_Rischio,$A5,RR_Ciclo,cicloCorrente)))</f>
        <v/>
      </c>
      <c r="H5" s="58">
        <f>IF(ISNUMBER(G5),INDEX(anniProssimita,G5),NA())</f>
        <v/>
      </c>
      <c r="I5" s="58">
        <f>IF($A5="",NA(),moscaX)</f>
        <v/>
      </c>
      <c r="J5" s="58">
        <f>IF($A5="",NA(),MAX(IF(COUNTIFS(AZ_ID_Rischio,$A5,AZ_Ciclo,$AC5,AZ_Stato,"&lt;&gt;Respinta",AZ_Mesi_Orizzonte,"&gt;0")=0,moscaYDefault,_xlfn.MAXIFS(AZ_Mesi_Orizzonte,AZ_ID_Rischio,$A5,AZ_Ciclo,$AC5,AZ_Stato,"&lt;&gt;Respinta")/12),N(Parametri!$M4)))</f>
        <v/>
      </c>
      <c r="K5" s="58">
        <f>IF(AND(ISNUMBER(H5),ISNUMBER(J5)),H5-(I5+J5),NA())</f>
        <v/>
      </c>
      <c r="L5">
        <f>IF(NOT(ISNUMBER(K5)),"",IF(K5&lt;0,"AGIRE ORA: X+Y &gt; Z",IF(K5&lt;1,"Agire entro l'anno","Margine "&amp;ROUND(K5,1)&amp;IF(ROUND(K5,1)=1," anno"," anni"))))</f>
        <v/>
      </c>
      <c r="M5">
        <f>IF($A5="",NA(),MATCH(C5,codiciL1,0)-1)</f>
        <v/>
      </c>
      <c r="N5">
        <f>IF($A5="",NA(),COUNTIF($C$4:C4,C5))</f>
        <v/>
      </c>
      <c r="O5">
        <f>IF($A5="",NA(),COUNTIF(ANA_Event_Type,C5))</f>
        <v/>
      </c>
      <c r="P5" s="58">
        <f>IF($A5="",NA(),2*PI()*(M5+(N5+0.5)/O5)/ROWS(codiciL1))</f>
        <v/>
      </c>
      <c r="Q5" s="58">
        <f>IF(ISNUMBER(K5),MAX(0.6,MIN(6,K5+2)),NA())</f>
        <v/>
      </c>
      <c r="R5" s="58">
        <f>IF(AND(ISNUMBER(Q5),ISNUMBER(P5)),Q5*SIN(P5),NA())</f>
        <v/>
      </c>
      <c r="S5" s="58">
        <f>IF(AND(ISNUMBER(Q5),ISNUMBER(P5)),Q5*COS(P5),NA())</f>
        <v/>
      </c>
      <c r="T5">
        <f>IF($A5="","",IF(Parametri!$N4="Sì","Sì",""))</f>
        <v/>
      </c>
      <c r="U5">
        <f>IF(OR($A5="",NOT(ISNUMBER(K5))),"",IF(K5&lt;0,1,0))</f>
        <v/>
      </c>
      <c r="V5">
        <f>IF(OR($A5="",NOT(ISNUMBER(K5))),"",IF(COUNTIFS(KRI_ID_Rischio,$A5,KRI_Ciclo,cicloCorrente,KRI_In_Vigore,"Sì",KRI_Stato,"Rosso")&gt;0,1,0))</f>
        <v/>
      </c>
      <c r="W5">
        <f>IF(OR($A5="",NOT(ISNUMBER(K5))),"",IF(N(INDEX(posNetti,1))&gt;=sogliaDirezione,1,0))</f>
        <v/>
      </c>
      <c r="X5">
        <f>IF(OR($A5="",NOT(ISNUMBER(K5))),"",IF(AND(ISNUMBER(F5),F5&gt;=livelloPxI),1,0))</f>
        <v/>
      </c>
      <c r="Y5">
        <f>IF(OR($A5="",NOT(ISNUMBER(K5))),"",IF(Parametri!$O4="Assente",1,0))</f>
        <v/>
      </c>
      <c r="Z5">
        <f>IF(OR($A5="",NOT(ISNUMBER(K5))),"",IF(AND(COUNTIFS(KRI_ID_Rischio,$A5,KRI_Ciclo,cicloCorrente,KRI_In_Vigore,"Sì")&gt;0,COUNTIFS(KRI_ID_Rischio,$A5,KRI_Ciclo,cicloCorrente,KRI_In_Vigore,"Sì",KRI_Stato,"Rosso")+COUNTIFS(KRI_ID_Rischio,$A5,KRI_Ciclo,cicloCorrente,KRI_In_Vigore,"Sì",KRI_Stato,"Ambra")&gt;=livelloQuotaKRI*COUNTIFS(KRI_ID_Rischio,$A5,KRI_Ciclo,cicloCorrente,KRI_In_Vigore,"Sì")),1,0))</f>
        <v/>
      </c>
      <c r="AA5">
        <f>IF(OR($A5="",NOT(ISNUMBER(K5))),"",IF((U5+V5+W5)&gt;=livelloForti,"Attivazione",IF(OR((U5+V5+W5)&gt;=1,AND(K5&lt;livelloMargine,(X5+Y5+Z5)&gt;=1)),"Attenzione","Monitoraggio")))</f>
        <v/>
      </c>
      <c r="AB5">
        <f>IF(AA5="","",IF(AA5="Monitoraggio","nessun segnale forte",_xlfn.TEXTJOIN("; ",TRUE,IF(U5=1,"AGIRE ORA",""),IF(V5=1,"KRI in rosso",""),IF(W5=1,"notizie in peggioramento",""),IF((U5+V5+W5)=0,"margine sotto l'anno con "&amp;_xlfn.TEXTJOIN(", ",TRUE,IF(X5=1,"P x I alta",""),IF(Y5=1,"presidio dei controlli assente",""),IF(Z5=1,"KRI in ambra o rosso","")),""))))</f>
        <v/>
      </c>
      <c r="AC5">
        <f>IF($A5="","",IFERROR(IF(INDEX(RR_Periodo_Valutazione,MATCH(cicloCorrente&amp;"|"&amp;$A5,RR_Chiave,0))="",cicloCorrente,INDEX(RR_Periodo_Valutazione,MATCH(cicloCorrente&amp;"|"&amp;$A5,RR_Chiave,0))&amp;""),cicloCorrente))</f>
        <v/>
      </c>
      <c r="AD5">
        <f>2*PI()*0/72</f>
        <v/>
      </c>
      <c r="AE5">
        <f>2*SIN($AD5)</f>
        <v/>
      </c>
      <c r="AF5">
        <f>2*COS($AD5)</f>
        <v/>
      </c>
      <c r="AG5">
        <f>3*SIN($AD5)</f>
        <v/>
      </c>
      <c r="AH5">
        <f>3*COS($AD5)</f>
        <v/>
      </c>
      <c r="AI5">
        <f>4*SIN($AD5)</f>
        <v/>
      </c>
      <c r="AJ5">
        <f>4*COS($AD5)</f>
        <v/>
      </c>
      <c r="AK5">
        <f>5*SIN($AD5)</f>
        <v/>
      </c>
      <c r="AL5">
        <f>5*COS($AD5)</f>
        <v/>
      </c>
      <c r="AN5" t="n">
        <v>0</v>
      </c>
      <c r="AO5" t="n">
        <v>0</v>
      </c>
      <c r="AQ5" t="inlineStr">
        <is>
          <t>9.1
Condotta</t>
        </is>
      </c>
      <c r="AR5">
        <f>6.95*SIN(2*PI()*(0+0.5)/ROWS(codiciL1))</f>
        <v/>
      </c>
      <c r="AS5">
        <f>6.95*COS(2*PI()*(0+0.5)/ROWS(codiciL1))</f>
        <v/>
      </c>
      <c r="AU5">
        <f>IF(AND(ISNUMBER($F5),ISNUMBER($S5)),IF(AND($F5=AU$4,$AA5=AU$3),$S5,NA()),NA())</f>
        <v/>
      </c>
      <c r="AV5">
        <f>IF(AND(ISNUMBER($F5),ISNUMBER($S5)),IF(AND($F5=AV$4,$AA5=AV$3),$S5,NA()),NA())</f>
        <v/>
      </c>
      <c r="AW5">
        <f>IF(AND(ISNUMBER($F5),ISNUMBER($S5)),IF(AND($F5=AW$4,$AA5=AW$3),$S5,NA()),NA())</f>
        <v/>
      </c>
      <c r="AX5">
        <f>IF(AND(ISNUMBER($F5),ISNUMBER($S5)),IF(AND($F5=AX$4,$AA5=AX$3),$S5,NA()),NA())</f>
        <v/>
      </c>
      <c r="AY5">
        <f>IF(AND(ISNUMBER($F5),ISNUMBER($S5)),IF(AND($F5=AY$4,$AA5=AY$3),$S5,NA()),NA())</f>
        <v/>
      </c>
      <c r="AZ5">
        <f>IF(AND(ISNUMBER($F5),ISNUMBER($S5)),IF(AND($F5=AZ$4,$AA5=AZ$3),$S5,NA()),NA())</f>
        <v/>
      </c>
      <c r="BA5">
        <f>IF(AND(ISNUMBER($F5),ISNUMBER($S5)),IF(AND($F5=BA$4,$AA5=BA$3),$S5,NA()),NA())</f>
        <v/>
      </c>
      <c r="BB5">
        <f>IF(AND(ISNUMBER($F5),ISNUMBER($S5)),IF(AND($F5=BB$4,$AA5=BB$3),$S5,NA()),NA())</f>
        <v/>
      </c>
      <c r="BC5">
        <f>IF(AND(ISNUMBER($F5),ISNUMBER($S5)),IF(AND($F5=BC$4,$AA5=BC$3),$S5,NA()),NA())</f>
        <v/>
      </c>
      <c r="BD5">
        <f>IF(AND(ISNUMBER($F5),ISNUMBER($S5)),IF(AND($F5=BD$4,$AA5=BD$3),$S5,NA()),NA())</f>
        <v/>
      </c>
      <c r="BE5">
        <f>IF(AND(ISNUMBER($F5),ISNUMBER($S5)),IF(AND($F5=BE$4,$AA5=BE$3),$S5,NA()),NA())</f>
        <v/>
      </c>
      <c r="BF5">
        <f>IF(AND(ISNUMBER($F5),ISNUMBER($S5)),IF(AND($F5=BF$4,$AA5=BF$3),$S5,NA()),NA())</f>
        <v/>
      </c>
      <c r="BG5">
        <f>IF(AND(ISNUMBER($F5),ISNUMBER($S5)),IF(AND($F5=BG$4,$AA5=BG$3),$S5,NA()),NA())</f>
        <v/>
      </c>
      <c r="BH5">
        <f>IF(AND(ISNUMBER($F5),ISNUMBER($S5)),IF(AND($F5=BH$4,$AA5=BH$3),$S5,NA()),NA())</f>
        <v/>
      </c>
      <c r="BI5">
        <f>IF(AND(ISNUMBER($F5),ISNUMBER($S5)),IF(AND($F5=BI$4,$AA5=BI$3),$S5,NA()),NA())</f>
        <v/>
      </c>
      <c r="BJ5">
        <f>IF(AND(ISNUMBER($F5),ISNUMBER($S5)),IF(AND($F5=BJ$4,$AA5=BJ$3),$S5,NA()),NA())</f>
        <v/>
      </c>
      <c r="BK5">
        <f>IF(AND(ISNUMBER($F5),ISNUMBER($S5)),IF(AND($F5=BK$4,$AA5=BK$3),$S5,NA()),NA())</f>
        <v/>
      </c>
      <c r="BL5">
        <f>IF(AND(ISNUMBER($F5),ISNUMBER($S5)),IF(AND($F5=BL$4,$AA5=BL$3),$S5,NA()),NA())</f>
        <v/>
      </c>
      <c r="BM5">
        <f>IF(AND(ISNUMBER($F5),ISNUMBER($S5)),IF(AND($F5=BM$4,$AA5=BM$3),$S5,NA()),NA())</f>
        <v/>
      </c>
      <c r="BN5">
        <f>IF(AND(ISNUMBER($F5),ISNUMBER($S5)),IF(AND($F5=BN$4,$AA5=BN$3),$S5,NA()),NA())</f>
        <v/>
      </c>
      <c r="BO5">
        <f>IF(AND(ISNUMBER($F5),ISNUMBER($S5)),IF(AND($F5=BO$4,$AA5=BO$3),$S5,NA()),NA())</f>
        <v/>
      </c>
      <c r="BP5">
        <f>IF(AND(ISNUMBER($F5),ISNUMBER($S5)),IF(AND($F5=BP$4,$AA5=BP$3),$S5,NA()),NA())</f>
        <v/>
      </c>
      <c r="BQ5">
        <f>IF(AND(ISNUMBER($F5),ISNUMBER($S5)),IF(AND($F5=BQ$4,$AA5=BQ$3),$S5,NA()),NA())</f>
        <v/>
      </c>
      <c r="BR5">
        <f>IF(AND(ISNUMBER($F5),ISNUMBER($S5)),IF(AND($F5=BR$4,$AA5=BR$3),$S5,NA()),NA())</f>
        <v/>
      </c>
      <c r="BS5">
        <f>IF(AND(ISNUMBER($F5),ISNUMBER($S5)),IF(AND($F5=BS$4,$AA5=BS$3),$S5,NA()),NA())</f>
        <v/>
      </c>
      <c r="BT5">
        <f>IF(AND(ISNUMBER($F5),ISNUMBER($S5)),IF(AND($F5=BT$4,$AA5=BT$3),$S5,NA()),NA())</f>
        <v/>
      </c>
      <c r="BU5">
        <f>IF(AND(ISNUMBER($F5),ISNUMBER($S5)),IF(AND($F5=BU$4,$AA5=BU$3),$S5,NA()),NA())</f>
        <v/>
      </c>
      <c r="BV5">
        <f>IF(AND(ISNUMBER($F5),ISNUMBER($S5)),IF(AND($F5=BV$4,$AA5=BV$3),$S5,NA()),NA())</f>
        <v/>
      </c>
      <c r="BW5">
        <f>IF(AND(ISNUMBER($F5),ISNUMBER($S5)),IF(AND($F5=BW$4,$AA5=BW$3),$S5,NA()),NA())</f>
        <v/>
      </c>
      <c r="BX5">
        <f>IF(AND(ISNUMBER($F5),ISNUMBER($S5)),IF(AND($F5=BX$4,$AA5=BX$3),$S5,NA()),NA())</f>
        <v/>
      </c>
      <c r="BY5">
        <f>IF(AND(ISNUMBER($F5),ISNUMBER($S5)),IF(AND($F5=BY$4,$AA5=BY$3),$S5,NA()),NA())</f>
        <v/>
      </c>
      <c r="BZ5">
        <f>IF(AND(ISNUMBER($F5),ISNUMBER($S5)),IF(AND($F5=BZ$4,$AA5=BZ$3),$S5,NA()),NA())</f>
        <v/>
      </c>
      <c r="CA5">
        <f>IF(AND(ISNUMBER($F5),ISNUMBER($S5)),IF(AND($F5=CA$4,$AA5=CA$3),$S5,NA()),NA())</f>
        <v/>
      </c>
      <c r="CB5">
        <f>IF(AND(ISNUMBER($F5),ISNUMBER($S5)),IF(AND($F5=CB$4,$AA5=CB$3),$S5,NA()),NA())</f>
        <v/>
      </c>
      <c r="CC5">
        <f>IF(AND(ISNUMBER($F5),ISNUMBER($S5)),IF(AND($F5=CC$4,$AA5=CC$3),$S5,NA()),NA())</f>
        <v/>
      </c>
      <c r="CD5">
        <f>IF(AND(ISNUMBER($F5),ISNUMBER($S5)),IF(AND($F5=CD$4,$AA5=CD$3),$S5,NA()),NA())</f>
        <v/>
      </c>
      <c r="CE5">
        <f>IF(AND(ISNUMBER($F5),ISNUMBER($S5)),IF(AND($F5=CE$4,$AA5=CE$3),$S5,NA()),NA())</f>
        <v/>
      </c>
      <c r="CF5">
        <f>IF(AND(ISNUMBER($F5),ISNUMBER($S5)),IF(AND($F5=CF$4,$AA5=CF$3),$S5,NA()),NA())</f>
        <v/>
      </c>
      <c r="CG5">
        <f>IF(AND(ISNUMBER($F5),ISNUMBER($S5)),IF(AND($F5=CG$4,$AA5=CG$3),$S5,NA()),NA())</f>
        <v/>
      </c>
      <c r="CH5">
        <f>IF(AND(ISNUMBER($F5),ISNUMBER($S5)),IF(AND($F5=CH$4,$AA5=CH$3),$S5,NA()),NA())</f>
        <v/>
      </c>
      <c r="CI5">
        <f>IF(AND(ISNUMBER($F5),ISNUMBER($S5)),IF(AND($F5=CI$4,$AA5=CI$3),$S5,NA()),NA())</f>
        <v/>
      </c>
      <c r="CJ5">
        <f>IF(AND(ISNUMBER($F5),ISNUMBER($S5)),IF(AND($F5=CJ$4,$AA5=CJ$3),$S5,NA()),NA())</f>
        <v/>
      </c>
      <c r="CK5">
        <f>IF(ISNUMBER($R5),$R5,NA())</f>
        <v/>
      </c>
      <c r="CL5">
        <f>IF($A5="","",$A5&amp;IF($T5="Sì"," ◆",""))</f>
        <v/>
      </c>
      <c r="CM5">
        <f>IF(ISNUMBER($S5),$S5,NA())</f>
        <v/>
      </c>
      <c r="CN5" t="inlineStr">
        <is>
          <t>Attivazione</t>
        </is>
      </c>
      <c r="CO5" t="n">
        <v>-6.9</v>
      </c>
      <c r="CP5" t="n">
        <v>-8.049999999999999</v>
      </c>
    </row>
    <row r="6">
      <c r="A6">
        <f>IF(Parametri!$H5="","",Parametri!$H5)</f>
        <v/>
      </c>
      <c r="B6">
        <f>IF($A6="","",Parametri!$I5)</f>
        <v/>
      </c>
      <c r="C6">
        <f>IF($A6="","",Parametri!$J5)</f>
        <v/>
      </c>
      <c r="D6">
        <f>IF($A6="",NA(),IF(COUNTIFS(RR_ID_Rischio,$A6,RR_Ciclo,cicloCorrente)=0,NA(),SUMIFS(RR_Impatto,RR_ID_Rischio,$A6,RR_Ciclo,cicloCorrente)))</f>
        <v/>
      </c>
      <c r="E6">
        <f>IF($A6="",NA(),IF(COUNTIFS(RR_ID_Rischio,$A6,RR_Ciclo,cicloCorrente)=0,NA(),SUMIFS(RR_Probabilita,RR_ID_Rischio,$A6,RR_Ciclo,cicloCorrente)))</f>
        <v/>
      </c>
      <c r="F6">
        <f>IF(AND(ISNUMBER(D6),ISNUMBER(E6)),D6*E6,NA())</f>
        <v/>
      </c>
      <c r="G6">
        <f>IF($A6="",NA(),IF(COUNTIFS(RR_ID_Rischio,$A6,RR_Ciclo,cicloCorrente)=0,NA(),SUMIFS(RR_Prossimita,RR_ID_Rischio,$A6,RR_Ciclo,cicloCorrente)))</f>
        <v/>
      </c>
      <c r="H6" s="58">
        <f>IF(ISNUMBER(G6),INDEX(anniProssimita,G6),NA())</f>
        <v/>
      </c>
      <c r="I6" s="58">
        <f>IF($A6="",NA(),moscaX)</f>
        <v/>
      </c>
      <c r="J6" s="58">
        <f>IF($A6="",NA(),MAX(IF(COUNTIFS(AZ_ID_Rischio,$A6,AZ_Ciclo,$AC6,AZ_Stato,"&lt;&gt;Respinta",AZ_Mesi_Orizzonte,"&gt;0")=0,moscaYDefault,_xlfn.MAXIFS(AZ_Mesi_Orizzonte,AZ_ID_Rischio,$A6,AZ_Ciclo,$AC6,AZ_Stato,"&lt;&gt;Respinta")/12),N(Parametri!$M5)))</f>
        <v/>
      </c>
      <c r="K6" s="58">
        <f>IF(AND(ISNUMBER(H6),ISNUMBER(J6)),H6-(I6+J6),NA())</f>
        <v/>
      </c>
      <c r="L6">
        <f>IF(NOT(ISNUMBER(K6)),"",IF(K6&lt;0,"AGIRE ORA: X+Y &gt; Z",IF(K6&lt;1,"Agire entro l'anno","Margine "&amp;ROUND(K6,1)&amp;IF(ROUND(K6,1)=1," anno"," anni"))))</f>
        <v/>
      </c>
      <c r="M6">
        <f>IF($A6="",NA(),MATCH(C6,codiciL1,0)-1)</f>
        <v/>
      </c>
      <c r="N6">
        <f>IF($A6="",NA(),COUNTIF($C$4:C5,C6))</f>
        <v/>
      </c>
      <c r="O6">
        <f>IF($A6="",NA(),COUNTIF(ANA_Event_Type,C6))</f>
        <v/>
      </c>
      <c r="P6" s="58">
        <f>IF($A6="",NA(),2*PI()*(M6+(N6+0.5)/O6)/ROWS(codiciL1))</f>
        <v/>
      </c>
      <c r="Q6" s="58">
        <f>IF(ISNUMBER(K6),MAX(0.6,MIN(6,K6+2)),NA())</f>
        <v/>
      </c>
      <c r="R6" s="58">
        <f>IF(AND(ISNUMBER(Q6),ISNUMBER(P6)),Q6*SIN(P6),NA())</f>
        <v/>
      </c>
      <c r="S6" s="58">
        <f>IF(AND(ISNUMBER(Q6),ISNUMBER(P6)),Q6*COS(P6),NA())</f>
        <v/>
      </c>
      <c r="T6">
        <f>IF($A6="","",IF(Parametri!$N5="Sì","Sì",""))</f>
        <v/>
      </c>
      <c r="U6">
        <f>IF(OR($A6="",NOT(ISNUMBER(K6))),"",IF(K6&lt;0,1,0))</f>
        <v/>
      </c>
      <c r="V6">
        <f>IF(OR($A6="",NOT(ISNUMBER(K6))),"",IF(COUNTIFS(KRI_ID_Rischio,$A6,KRI_Ciclo,cicloCorrente,KRI_In_Vigore,"Sì",KRI_Stato,"Rosso")&gt;0,1,0))</f>
        <v/>
      </c>
      <c r="W6">
        <f>IF(OR($A6="",NOT(ISNUMBER(K6))),"",IF(N(INDEX(posNetti,2))&gt;=sogliaDirezione,1,0))</f>
        <v/>
      </c>
      <c r="X6">
        <f>IF(OR($A6="",NOT(ISNUMBER(K6))),"",IF(AND(ISNUMBER(F6),F6&gt;=livelloPxI),1,0))</f>
        <v/>
      </c>
      <c r="Y6">
        <f>IF(OR($A6="",NOT(ISNUMBER(K6))),"",IF(Parametri!$O5="Assente",1,0))</f>
        <v/>
      </c>
      <c r="Z6">
        <f>IF(OR($A6="",NOT(ISNUMBER(K6))),"",IF(AND(COUNTIFS(KRI_ID_Rischio,$A6,KRI_Ciclo,cicloCorrente,KRI_In_Vigore,"Sì")&gt;0,COUNTIFS(KRI_ID_Rischio,$A6,KRI_Ciclo,cicloCorrente,KRI_In_Vigore,"Sì",KRI_Stato,"Rosso")+COUNTIFS(KRI_ID_Rischio,$A6,KRI_Ciclo,cicloCorrente,KRI_In_Vigore,"Sì",KRI_Stato,"Ambra")&gt;=livelloQuotaKRI*COUNTIFS(KRI_ID_Rischio,$A6,KRI_Ciclo,cicloCorrente,KRI_In_Vigore,"Sì")),1,0))</f>
        <v/>
      </c>
      <c r="AA6">
        <f>IF(OR($A6="",NOT(ISNUMBER(K6))),"",IF((U6+V6+W6)&gt;=livelloForti,"Attivazione",IF(OR((U6+V6+W6)&gt;=1,AND(K6&lt;livelloMargine,(X6+Y6+Z6)&gt;=1)),"Attenzione","Monitoraggio")))</f>
        <v/>
      </c>
      <c r="AB6">
        <f>IF(AA6="","",IF(AA6="Monitoraggio","nessun segnale forte",_xlfn.TEXTJOIN("; ",TRUE,IF(U6=1,"AGIRE ORA",""),IF(V6=1,"KRI in rosso",""),IF(W6=1,"notizie in peggioramento",""),IF((U6+V6+W6)=0,"margine sotto l'anno con "&amp;_xlfn.TEXTJOIN(", ",TRUE,IF(X6=1,"P x I alta",""),IF(Y6=1,"presidio dei controlli assente",""),IF(Z6=1,"KRI in ambra o rosso","")),""))))</f>
        <v/>
      </c>
      <c r="AC6">
        <f>IF($A6="","",IFERROR(IF(INDEX(RR_Periodo_Valutazione,MATCH(cicloCorrente&amp;"|"&amp;$A6,RR_Chiave,0))="",cicloCorrente,INDEX(RR_Periodo_Valutazione,MATCH(cicloCorrente&amp;"|"&amp;$A6,RR_Chiave,0))&amp;""),cicloCorrente))</f>
        <v/>
      </c>
      <c r="AD6">
        <f>2*PI()*1/72</f>
        <v/>
      </c>
      <c r="AE6">
        <f>2*SIN($AD6)</f>
        <v/>
      </c>
      <c r="AF6">
        <f>2*COS($AD6)</f>
        <v/>
      </c>
      <c r="AG6">
        <f>3*SIN($AD6)</f>
        <v/>
      </c>
      <c r="AH6">
        <f>3*COS($AD6)</f>
        <v/>
      </c>
      <c r="AI6">
        <f>4*SIN($AD6)</f>
        <v/>
      </c>
      <c r="AJ6">
        <f>4*COS($AD6)</f>
        <v/>
      </c>
      <c r="AK6">
        <f>5*SIN($AD6)</f>
        <v/>
      </c>
      <c r="AL6">
        <f>5*COS($AD6)</f>
        <v/>
      </c>
      <c r="AN6">
        <f>6.3*SIN(2*PI()*0/ROWS(codiciL1))</f>
        <v/>
      </c>
      <c r="AO6">
        <f>6.3*COS(2*PI()*0/ROWS(codiciL1))</f>
        <v/>
      </c>
      <c r="AQ6" t="inlineStr">
        <is>
          <t>9.4
Legale</t>
        </is>
      </c>
      <c r="AR6">
        <f>6.95*SIN(2*PI()*(1+0.5)/ROWS(codiciL1))</f>
        <v/>
      </c>
      <c r="AS6">
        <f>6.95*COS(2*PI()*(1+0.5)/ROWS(codiciL1))</f>
        <v/>
      </c>
      <c r="AU6">
        <f>IF(AND(ISNUMBER($F6),ISNUMBER($S6)),IF(AND($F6=AU$4,$AA6=AU$3),$S6,NA()),NA())</f>
        <v/>
      </c>
      <c r="AV6">
        <f>IF(AND(ISNUMBER($F6),ISNUMBER($S6)),IF(AND($F6=AV$4,$AA6=AV$3),$S6,NA()),NA())</f>
        <v/>
      </c>
      <c r="AW6">
        <f>IF(AND(ISNUMBER($F6),ISNUMBER($S6)),IF(AND($F6=AW$4,$AA6=AW$3),$S6,NA()),NA())</f>
        <v/>
      </c>
      <c r="AX6">
        <f>IF(AND(ISNUMBER($F6),ISNUMBER($S6)),IF(AND($F6=AX$4,$AA6=AX$3),$S6,NA()),NA())</f>
        <v/>
      </c>
      <c r="AY6">
        <f>IF(AND(ISNUMBER($F6),ISNUMBER($S6)),IF(AND($F6=AY$4,$AA6=AY$3),$S6,NA()),NA())</f>
        <v/>
      </c>
      <c r="AZ6">
        <f>IF(AND(ISNUMBER($F6),ISNUMBER($S6)),IF(AND($F6=AZ$4,$AA6=AZ$3),$S6,NA()),NA())</f>
        <v/>
      </c>
      <c r="BA6">
        <f>IF(AND(ISNUMBER($F6),ISNUMBER($S6)),IF(AND($F6=BA$4,$AA6=BA$3),$S6,NA()),NA())</f>
        <v/>
      </c>
      <c r="BB6">
        <f>IF(AND(ISNUMBER($F6),ISNUMBER($S6)),IF(AND($F6=BB$4,$AA6=BB$3),$S6,NA()),NA())</f>
        <v/>
      </c>
      <c r="BC6">
        <f>IF(AND(ISNUMBER($F6),ISNUMBER($S6)),IF(AND($F6=BC$4,$AA6=BC$3),$S6,NA()),NA())</f>
        <v/>
      </c>
      <c r="BD6">
        <f>IF(AND(ISNUMBER($F6),ISNUMBER($S6)),IF(AND($F6=BD$4,$AA6=BD$3),$S6,NA()),NA())</f>
        <v/>
      </c>
      <c r="BE6">
        <f>IF(AND(ISNUMBER($F6),ISNUMBER($S6)),IF(AND($F6=BE$4,$AA6=BE$3),$S6,NA()),NA())</f>
        <v/>
      </c>
      <c r="BF6">
        <f>IF(AND(ISNUMBER($F6),ISNUMBER($S6)),IF(AND($F6=BF$4,$AA6=BF$3),$S6,NA()),NA())</f>
        <v/>
      </c>
      <c r="BG6">
        <f>IF(AND(ISNUMBER($F6),ISNUMBER($S6)),IF(AND($F6=BG$4,$AA6=BG$3),$S6,NA()),NA())</f>
        <v/>
      </c>
      <c r="BH6">
        <f>IF(AND(ISNUMBER($F6),ISNUMBER($S6)),IF(AND($F6=BH$4,$AA6=BH$3),$S6,NA()),NA())</f>
        <v/>
      </c>
      <c r="BI6">
        <f>IF(AND(ISNUMBER($F6),ISNUMBER($S6)),IF(AND($F6=BI$4,$AA6=BI$3),$S6,NA()),NA())</f>
        <v/>
      </c>
      <c r="BJ6">
        <f>IF(AND(ISNUMBER($F6),ISNUMBER($S6)),IF(AND($F6=BJ$4,$AA6=BJ$3),$S6,NA()),NA())</f>
        <v/>
      </c>
      <c r="BK6">
        <f>IF(AND(ISNUMBER($F6),ISNUMBER($S6)),IF(AND($F6=BK$4,$AA6=BK$3),$S6,NA()),NA())</f>
        <v/>
      </c>
      <c r="BL6">
        <f>IF(AND(ISNUMBER($F6),ISNUMBER($S6)),IF(AND($F6=BL$4,$AA6=BL$3),$S6,NA()),NA())</f>
        <v/>
      </c>
      <c r="BM6">
        <f>IF(AND(ISNUMBER($F6),ISNUMBER($S6)),IF(AND($F6=BM$4,$AA6=BM$3),$S6,NA()),NA())</f>
        <v/>
      </c>
      <c r="BN6">
        <f>IF(AND(ISNUMBER($F6),ISNUMBER($S6)),IF(AND($F6=BN$4,$AA6=BN$3),$S6,NA()),NA())</f>
        <v/>
      </c>
      <c r="BO6">
        <f>IF(AND(ISNUMBER($F6),ISNUMBER($S6)),IF(AND($F6=BO$4,$AA6=BO$3),$S6,NA()),NA())</f>
        <v/>
      </c>
      <c r="BP6">
        <f>IF(AND(ISNUMBER($F6),ISNUMBER($S6)),IF(AND($F6=BP$4,$AA6=BP$3),$S6,NA()),NA())</f>
        <v/>
      </c>
      <c r="BQ6">
        <f>IF(AND(ISNUMBER($F6),ISNUMBER($S6)),IF(AND($F6=BQ$4,$AA6=BQ$3),$S6,NA()),NA())</f>
        <v/>
      </c>
      <c r="BR6">
        <f>IF(AND(ISNUMBER($F6),ISNUMBER($S6)),IF(AND($F6=BR$4,$AA6=BR$3),$S6,NA()),NA())</f>
        <v/>
      </c>
      <c r="BS6">
        <f>IF(AND(ISNUMBER($F6),ISNUMBER($S6)),IF(AND($F6=BS$4,$AA6=BS$3),$S6,NA()),NA())</f>
        <v/>
      </c>
      <c r="BT6">
        <f>IF(AND(ISNUMBER($F6),ISNUMBER($S6)),IF(AND($F6=BT$4,$AA6=BT$3),$S6,NA()),NA())</f>
        <v/>
      </c>
      <c r="BU6">
        <f>IF(AND(ISNUMBER($F6),ISNUMBER($S6)),IF(AND($F6=BU$4,$AA6=BU$3),$S6,NA()),NA())</f>
        <v/>
      </c>
      <c r="BV6">
        <f>IF(AND(ISNUMBER($F6),ISNUMBER($S6)),IF(AND($F6=BV$4,$AA6=BV$3),$S6,NA()),NA())</f>
        <v/>
      </c>
      <c r="BW6">
        <f>IF(AND(ISNUMBER($F6),ISNUMBER($S6)),IF(AND($F6=BW$4,$AA6=BW$3),$S6,NA()),NA())</f>
        <v/>
      </c>
      <c r="BX6">
        <f>IF(AND(ISNUMBER($F6),ISNUMBER($S6)),IF(AND($F6=BX$4,$AA6=BX$3),$S6,NA()),NA())</f>
        <v/>
      </c>
      <c r="BY6">
        <f>IF(AND(ISNUMBER($F6),ISNUMBER($S6)),IF(AND($F6=BY$4,$AA6=BY$3),$S6,NA()),NA())</f>
        <v/>
      </c>
      <c r="BZ6">
        <f>IF(AND(ISNUMBER($F6),ISNUMBER($S6)),IF(AND($F6=BZ$4,$AA6=BZ$3),$S6,NA()),NA())</f>
        <v/>
      </c>
      <c r="CA6">
        <f>IF(AND(ISNUMBER($F6),ISNUMBER($S6)),IF(AND($F6=CA$4,$AA6=CA$3),$S6,NA()),NA())</f>
        <v/>
      </c>
      <c r="CB6">
        <f>IF(AND(ISNUMBER($F6),ISNUMBER($S6)),IF(AND($F6=CB$4,$AA6=CB$3),$S6,NA()),NA())</f>
        <v/>
      </c>
      <c r="CC6">
        <f>IF(AND(ISNUMBER($F6),ISNUMBER($S6)),IF(AND($F6=CC$4,$AA6=CC$3),$S6,NA()),NA())</f>
        <v/>
      </c>
      <c r="CD6">
        <f>IF(AND(ISNUMBER($F6),ISNUMBER($S6)),IF(AND($F6=CD$4,$AA6=CD$3),$S6,NA()),NA())</f>
        <v/>
      </c>
      <c r="CE6">
        <f>IF(AND(ISNUMBER($F6),ISNUMBER($S6)),IF(AND($F6=CE$4,$AA6=CE$3),$S6,NA()),NA())</f>
        <v/>
      </c>
      <c r="CF6">
        <f>IF(AND(ISNUMBER($F6),ISNUMBER($S6)),IF(AND($F6=CF$4,$AA6=CF$3),$S6,NA()),NA())</f>
        <v/>
      </c>
      <c r="CG6">
        <f>IF(AND(ISNUMBER($F6),ISNUMBER($S6)),IF(AND($F6=CG$4,$AA6=CG$3),$S6,NA()),NA())</f>
        <v/>
      </c>
      <c r="CH6">
        <f>IF(AND(ISNUMBER($F6),ISNUMBER($S6)),IF(AND($F6=CH$4,$AA6=CH$3),$S6,NA()),NA())</f>
        <v/>
      </c>
      <c r="CI6">
        <f>IF(AND(ISNUMBER($F6),ISNUMBER($S6)),IF(AND($F6=CI$4,$AA6=CI$3),$S6,NA()),NA())</f>
        <v/>
      </c>
      <c r="CJ6">
        <f>IF(AND(ISNUMBER($F6),ISNUMBER($S6)),IF(AND($F6=CJ$4,$AA6=CJ$3),$S6,NA()),NA())</f>
        <v/>
      </c>
      <c r="CK6">
        <f>IF(ISNUMBER($R6),$R6,NA())</f>
        <v/>
      </c>
      <c r="CL6">
        <f>IF($A6="","",$A6&amp;IF($T6="Sì"," ◆",""))</f>
        <v/>
      </c>
      <c r="CM6">
        <f>IF(ISNUMBER($S6),$S6,NA())</f>
        <v/>
      </c>
      <c r="CN6" t="inlineStr">
        <is>
          <t>Attenzione</t>
        </is>
      </c>
      <c r="CO6" t="n">
        <v>-6.9</v>
      </c>
      <c r="CP6" t="n">
        <v>-8.649999999999999</v>
      </c>
    </row>
    <row r="7">
      <c r="A7">
        <f>IF(Parametri!$H6="","",Parametri!$H6)</f>
        <v/>
      </c>
      <c r="B7">
        <f>IF($A7="","",Parametri!$I6)</f>
        <v/>
      </c>
      <c r="C7">
        <f>IF($A7="","",Parametri!$J6)</f>
        <v/>
      </c>
      <c r="D7">
        <f>IF($A7="",NA(),IF(COUNTIFS(RR_ID_Rischio,$A7,RR_Ciclo,cicloCorrente)=0,NA(),SUMIFS(RR_Impatto,RR_ID_Rischio,$A7,RR_Ciclo,cicloCorrente)))</f>
        <v/>
      </c>
      <c r="E7">
        <f>IF($A7="",NA(),IF(COUNTIFS(RR_ID_Rischio,$A7,RR_Ciclo,cicloCorrente)=0,NA(),SUMIFS(RR_Probabilita,RR_ID_Rischio,$A7,RR_Ciclo,cicloCorrente)))</f>
        <v/>
      </c>
      <c r="F7">
        <f>IF(AND(ISNUMBER(D7),ISNUMBER(E7)),D7*E7,NA())</f>
        <v/>
      </c>
      <c r="G7">
        <f>IF($A7="",NA(),IF(COUNTIFS(RR_ID_Rischio,$A7,RR_Ciclo,cicloCorrente)=0,NA(),SUMIFS(RR_Prossimita,RR_ID_Rischio,$A7,RR_Ciclo,cicloCorrente)))</f>
        <v/>
      </c>
      <c r="H7" s="58">
        <f>IF(ISNUMBER(G7),INDEX(anniProssimita,G7),NA())</f>
        <v/>
      </c>
      <c r="I7" s="58">
        <f>IF($A7="",NA(),moscaX)</f>
        <v/>
      </c>
      <c r="J7" s="58">
        <f>IF($A7="",NA(),MAX(IF(COUNTIFS(AZ_ID_Rischio,$A7,AZ_Ciclo,$AC7,AZ_Stato,"&lt;&gt;Respinta",AZ_Mesi_Orizzonte,"&gt;0")=0,moscaYDefault,_xlfn.MAXIFS(AZ_Mesi_Orizzonte,AZ_ID_Rischio,$A7,AZ_Ciclo,$AC7,AZ_Stato,"&lt;&gt;Respinta")/12),N(Parametri!$M6)))</f>
        <v/>
      </c>
      <c r="K7" s="58">
        <f>IF(AND(ISNUMBER(H7),ISNUMBER(J7)),H7-(I7+J7),NA())</f>
        <v/>
      </c>
      <c r="L7">
        <f>IF(NOT(ISNUMBER(K7)),"",IF(K7&lt;0,"AGIRE ORA: X+Y &gt; Z",IF(K7&lt;1,"Agire entro l'anno","Margine "&amp;ROUND(K7,1)&amp;IF(ROUND(K7,1)=1," anno"," anni"))))</f>
        <v/>
      </c>
      <c r="M7">
        <f>IF($A7="",NA(),MATCH(C7,codiciL1,0)-1)</f>
        <v/>
      </c>
      <c r="N7">
        <f>IF($A7="",NA(),COUNTIF($C$4:C6,C7))</f>
        <v/>
      </c>
      <c r="O7">
        <f>IF($A7="",NA(),COUNTIF(ANA_Event_Type,C7))</f>
        <v/>
      </c>
      <c r="P7" s="58">
        <f>IF($A7="",NA(),2*PI()*(M7+(N7+0.5)/O7)/ROWS(codiciL1))</f>
        <v/>
      </c>
      <c r="Q7" s="58">
        <f>IF(ISNUMBER(K7),MAX(0.6,MIN(6,K7+2)),NA())</f>
        <v/>
      </c>
      <c r="R7" s="58">
        <f>IF(AND(ISNUMBER(Q7),ISNUMBER(P7)),Q7*SIN(P7),NA())</f>
        <v/>
      </c>
      <c r="S7" s="58">
        <f>IF(AND(ISNUMBER(Q7),ISNUMBER(P7)),Q7*COS(P7),NA())</f>
        <v/>
      </c>
      <c r="T7">
        <f>IF($A7="","",IF(Parametri!$N6="Sì","Sì",""))</f>
        <v/>
      </c>
      <c r="U7">
        <f>IF(OR($A7="",NOT(ISNUMBER(K7))),"",IF(K7&lt;0,1,0))</f>
        <v/>
      </c>
      <c r="V7">
        <f>IF(OR($A7="",NOT(ISNUMBER(K7))),"",IF(COUNTIFS(KRI_ID_Rischio,$A7,KRI_Ciclo,cicloCorrente,KRI_In_Vigore,"Sì",KRI_Stato,"Rosso")&gt;0,1,0))</f>
        <v/>
      </c>
      <c r="W7">
        <f>IF(OR($A7="",NOT(ISNUMBER(K7))),"",IF(N(INDEX(posNetti,3))&gt;=sogliaDirezione,1,0))</f>
        <v/>
      </c>
      <c r="X7">
        <f>IF(OR($A7="",NOT(ISNUMBER(K7))),"",IF(AND(ISNUMBER(F7),F7&gt;=livelloPxI),1,0))</f>
        <v/>
      </c>
      <c r="Y7">
        <f>IF(OR($A7="",NOT(ISNUMBER(K7))),"",IF(Parametri!$O6="Assente",1,0))</f>
        <v/>
      </c>
      <c r="Z7">
        <f>IF(OR($A7="",NOT(ISNUMBER(K7))),"",IF(AND(COUNTIFS(KRI_ID_Rischio,$A7,KRI_Ciclo,cicloCorrente,KRI_In_Vigore,"Sì")&gt;0,COUNTIFS(KRI_ID_Rischio,$A7,KRI_Ciclo,cicloCorrente,KRI_In_Vigore,"Sì",KRI_Stato,"Rosso")+COUNTIFS(KRI_ID_Rischio,$A7,KRI_Ciclo,cicloCorrente,KRI_In_Vigore,"Sì",KRI_Stato,"Ambra")&gt;=livelloQuotaKRI*COUNTIFS(KRI_ID_Rischio,$A7,KRI_Ciclo,cicloCorrente,KRI_In_Vigore,"Sì")),1,0))</f>
        <v/>
      </c>
      <c r="AA7">
        <f>IF(OR($A7="",NOT(ISNUMBER(K7))),"",IF((U7+V7+W7)&gt;=livelloForti,"Attivazione",IF(OR((U7+V7+W7)&gt;=1,AND(K7&lt;livelloMargine,(X7+Y7+Z7)&gt;=1)),"Attenzione","Monitoraggio")))</f>
        <v/>
      </c>
      <c r="AB7">
        <f>IF(AA7="","",IF(AA7="Monitoraggio","nessun segnale forte",_xlfn.TEXTJOIN("; ",TRUE,IF(U7=1,"AGIRE ORA",""),IF(V7=1,"KRI in rosso",""),IF(W7=1,"notizie in peggioramento",""),IF((U7+V7+W7)=0,"margine sotto l'anno con "&amp;_xlfn.TEXTJOIN(", ",TRUE,IF(X7=1,"P x I alta",""),IF(Y7=1,"presidio dei controlli assente",""),IF(Z7=1,"KRI in ambra o rosso","")),""))))</f>
        <v/>
      </c>
      <c r="AC7">
        <f>IF($A7="","",IFERROR(IF(INDEX(RR_Periodo_Valutazione,MATCH(cicloCorrente&amp;"|"&amp;$A7,RR_Chiave,0))="",cicloCorrente,INDEX(RR_Periodo_Valutazione,MATCH(cicloCorrente&amp;"|"&amp;$A7,RR_Chiave,0))&amp;""),cicloCorrente))</f>
        <v/>
      </c>
      <c r="AD7">
        <f>2*PI()*2/72</f>
        <v/>
      </c>
      <c r="AE7">
        <f>2*SIN($AD7)</f>
        <v/>
      </c>
      <c r="AF7">
        <f>2*COS($AD7)</f>
        <v/>
      </c>
      <c r="AG7">
        <f>3*SIN($AD7)</f>
        <v/>
      </c>
      <c r="AH7">
        <f>3*COS($AD7)</f>
        <v/>
      </c>
      <c r="AI7">
        <f>4*SIN($AD7)</f>
        <v/>
      </c>
      <c r="AJ7">
        <f>4*COS($AD7)</f>
        <v/>
      </c>
      <c r="AK7">
        <f>5*SIN($AD7)</f>
        <v/>
      </c>
      <c r="AL7">
        <f>5*COS($AD7)</f>
        <v/>
      </c>
      <c r="AN7" t="n">
        <v>0</v>
      </c>
      <c r="AO7" t="n">
        <v>0</v>
      </c>
      <c r="AQ7" t="inlineStr">
        <is>
          <t>9.5
Fiscale</t>
        </is>
      </c>
      <c r="AR7">
        <f>6.95*SIN(2*PI()*(2+0.5)/ROWS(codiciL1))</f>
        <v/>
      </c>
      <c r="AS7">
        <f>6.95*COS(2*PI()*(2+0.5)/ROWS(codiciL1))</f>
        <v/>
      </c>
      <c r="AU7">
        <f>IF(AND(ISNUMBER($F7),ISNUMBER($S7)),IF(AND($F7=AU$4,$AA7=AU$3),$S7,NA()),NA())</f>
        <v/>
      </c>
      <c r="AV7">
        <f>IF(AND(ISNUMBER($F7),ISNUMBER($S7)),IF(AND($F7=AV$4,$AA7=AV$3),$S7,NA()),NA())</f>
        <v/>
      </c>
      <c r="AW7">
        <f>IF(AND(ISNUMBER($F7),ISNUMBER($S7)),IF(AND($F7=AW$4,$AA7=AW$3),$S7,NA()),NA())</f>
        <v/>
      </c>
      <c r="AX7">
        <f>IF(AND(ISNUMBER($F7),ISNUMBER($S7)),IF(AND($F7=AX$4,$AA7=AX$3),$S7,NA()),NA())</f>
        <v/>
      </c>
      <c r="AY7">
        <f>IF(AND(ISNUMBER($F7),ISNUMBER($S7)),IF(AND($F7=AY$4,$AA7=AY$3),$S7,NA()),NA())</f>
        <v/>
      </c>
      <c r="AZ7">
        <f>IF(AND(ISNUMBER($F7),ISNUMBER($S7)),IF(AND($F7=AZ$4,$AA7=AZ$3),$S7,NA()),NA())</f>
        <v/>
      </c>
      <c r="BA7">
        <f>IF(AND(ISNUMBER($F7),ISNUMBER($S7)),IF(AND($F7=BA$4,$AA7=BA$3),$S7,NA()),NA())</f>
        <v/>
      </c>
      <c r="BB7">
        <f>IF(AND(ISNUMBER($F7),ISNUMBER($S7)),IF(AND($F7=BB$4,$AA7=BB$3),$S7,NA()),NA())</f>
        <v/>
      </c>
      <c r="BC7">
        <f>IF(AND(ISNUMBER($F7),ISNUMBER($S7)),IF(AND($F7=BC$4,$AA7=BC$3),$S7,NA()),NA())</f>
        <v/>
      </c>
      <c r="BD7">
        <f>IF(AND(ISNUMBER($F7),ISNUMBER($S7)),IF(AND($F7=BD$4,$AA7=BD$3),$S7,NA()),NA())</f>
        <v/>
      </c>
      <c r="BE7">
        <f>IF(AND(ISNUMBER($F7),ISNUMBER($S7)),IF(AND($F7=BE$4,$AA7=BE$3),$S7,NA()),NA())</f>
        <v/>
      </c>
      <c r="BF7">
        <f>IF(AND(ISNUMBER($F7),ISNUMBER($S7)),IF(AND($F7=BF$4,$AA7=BF$3),$S7,NA()),NA())</f>
        <v/>
      </c>
      <c r="BG7">
        <f>IF(AND(ISNUMBER($F7),ISNUMBER($S7)),IF(AND($F7=BG$4,$AA7=BG$3),$S7,NA()),NA())</f>
        <v/>
      </c>
      <c r="BH7">
        <f>IF(AND(ISNUMBER($F7),ISNUMBER($S7)),IF(AND($F7=BH$4,$AA7=BH$3),$S7,NA()),NA())</f>
        <v/>
      </c>
      <c r="BI7">
        <f>IF(AND(ISNUMBER($F7),ISNUMBER($S7)),IF(AND($F7=BI$4,$AA7=BI$3),$S7,NA()),NA())</f>
        <v/>
      </c>
      <c r="BJ7">
        <f>IF(AND(ISNUMBER($F7),ISNUMBER($S7)),IF(AND($F7=BJ$4,$AA7=BJ$3),$S7,NA()),NA())</f>
        <v/>
      </c>
      <c r="BK7">
        <f>IF(AND(ISNUMBER($F7),ISNUMBER($S7)),IF(AND($F7=BK$4,$AA7=BK$3),$S7,NA()),NA())</f>
        <v/>
      </c>
      <c r="BL7">
        <f>IF(AND(ISNUMBER($F7),ISNUMBER($S7)),IF(AND($F7=BL$4,$AA7=BL$3),$S7,NA()),NA())</f>
        <v/>
      </c>
      <c r="BM7">
        <f>IF(AND(ISNUMBER($F7),ISNUMBER($S7)),IF(AND($F7=BM$4,$AA7=BM$3),$S7,NA()),NA())</f>
        <v/>
      </c>
      <c r="BN7">
        <f>IF(AND(ISNUMBER($F7),ISNUMBER($S7)),IF(AND($F7=BN$4,$AA7=BN$3),$S7,NA()),NA())</f>
        <v/>
      </c>
      <c r="BO7">
        <f>IF(AND(ISNUMBER($F7),ISNUMBER($S7)),IF(AND($F7=BO$4,$AA7=BO$3),$S7,NA()),NA())</f>
        <v/>
      </c>
      <c r="BP7">
        <f>IF(AND(ISNUMBER($F7),ISNUMBER($S7)),IF(AND($F7=BP$4,$AA7=BP$3),$S7,NA()),NA())</f>
        <v/>
      </c>
      <c r="BQ7">
        <f>IF(AND(ISNUMBER($F7),ISNUMBER($S7)),IF(AND($F7=BQ$4,$AA7=BQ$3),$S7,NA()),NA())</f>
        <v/>
      </c>
      <c r="BR7">
        <f>IF(AND(ISNUMBER($F7),ISNUMBER($S7)),IF(AND($F7=BR$4,$AA7=BR$3),$S7,NA()),NA())</f>
        <v/>
      </c>
      <c r="BS7">
        <f>IF(AND(ISNUMBER($F7),ISNUMBER($S7)),IF(AND($F7=BS$4,$AA7=BS$3),$S7,NA()),NA())</f>
        <v/>
      </c>
      <c r="BT7">
        <f>IF(AND(ISNUMBER($F7),ISNUMBER($S7)),IF(AND($F7=BT$4,$AA7=BT$3),$S7,NA()),NA())</f>
        <v/>
      </c>
      <c r="BU7">
        <f>IF(AND(ISNUMBER($F7),ISNUMBER($S7)),IF(AND($F7=BU$4,$AA7=BU$3),$S7,NA()),NA())</f>
        <v/>
      </c>
      <c r="BV7">
        <f>IF(AND(ISNUMBER($F7),ISNUMBER($S7)),IF(AND($F7=BV$4,$AA7=BV$3),$S7,NA()),NA())</f>
        <v/>
      </c>
      <c r="BW7">
        <f>IF(AND(ISNUMBER($F7),ISNUMBER($S7)),IF(AND($F7=BW$4,$AA7=BW$3),$S7,NA()),NA())</f>
        <v/>
      </c>
      <c r="BX7">
        <f>IF(AND(ISNUMBER($F7),ISNUMBER($S7)),IF(AND($F7=BX$4,$AA7=BX$3),$S7,NA()),NA())</f>
        <v/>
      </c>
      <c r="BY7">
        <f>IF(AND(ISNUMBER($F7),ISNUMBER($S7)),IF(AND($F7=BY$4,$AA7=BY$3),$S7,NA()),NA())</f>
        <v/>
      </c>
      <c r="BZ7">
        <f>IF(AND(ISNUMBER($F7),ISNUMBER($S7)),IF(AND($F7=BZ$4,$AA7=BZ$3),$S7,NA()),NA())</f>
        <v/>
      </c>
      <c r="CA7">
        <f>IF(AND(ISNUMBER($F7),ISNUMBER($S7)),IF(AND($F7=CA$4,$AA7=CA$3),$S7,NA()),NA())</f>
        <v/>
      </c>
      <c r="CB7">
        <f>IF(AND(ISNUMBER($F7),ISNUMBER($S7)),IF(AND($F7=CB$4,$AA7=CB$3),$S7,NA()),NA())</f>
        <v/>
      </c>
      <c r="CC7">
        <f>IF(AND(ISNUMBER($F7),ISNUMBER($S7)),IF(AND($F7=CC$4,$AA7=CC$3),$S7,NA()),NA())</f>
        <v/>
      </c>
      <c r="CD7">
        <f>IF(AND(ISNUMBER($F7),ISNUMBER($S7)),IF(AND($F7=CD$4,$AA7=CD$3),$S7,NA()),NA())</f>
        <v/>
      </c>
      <c r="CE7">
        <f>IF(AND(ISNUMBER($F7),ISNUMBER($S7)),IF(AND($F7=CE$4,$AA7=CE$3),$S7,NA()),NA())</f>
        <v/>
      </c>
      <c r="CF7">
        <f>IF(AND(ISNUMBER($F7),ISNUMBER($S7)),IF(AND($F7=CF$4,$AA7=CF$3),$S7,NA()),NA())</f>
        <v/>
      </c>
      <c r="CG7">
        <f>IF(AND(ISNUMBER($F7),ISNUMBER($S7)),IF(AND($F7=CG$4,$AA7=CG$3),$S7,NA()),NA())</f>
        <v/>
      </c>
      <c r="CH7">
        <f>IF(AND(ISNUMBER($F7),ISNUMBER($S7)),IF(AND($F7=CH$4,$AA7=CH$3),$S7,NA()),NA())</f>
        <v/>
      </c>
      <c r="CI7">
        <f>IF(AND(ISNUMBER($F7),ISNUMBER($S7)),IF(AND($F7=CI$4,$AA7=CI$3),$S7,NA()),NA())</f>
        <v/>
      </c>
      <c r="CJ7">
        <f>IF(AND(ISNUMBER($F7),ISNUMBER($S7)),IF(AND($F7=CJ$4,$AA7=CJ$3),$S7,NA()),NA())</f>
        <v/>
      </c>
      <c r="CK7">
        <f>IF(ISNUMBER($R7),$R7,NA())</f>
        <v/>
      </c>
      <c r="CL7">
        <f>IF($A7="","",$A7&amp;IF($T7="Sì"," ◆",""))</f>
        <v/>
      </c>
      <c r="CM7">
        <f>IF(ISNUMBER($S7),$S7,NA())</f>
        <v/>
      </c>
      <c r="CN7" t="inlineStr">
        <is>
          <t>Monitoraggio</t>
        </is>
      </c>
      <c r="CO7" t="n">
        <v>-6.9</v>
      </c>
      <c r="CP7" t="n">
        <v>-9.249999999999998</v>
      </c>
    </row>
    <row r="8">
      <c r="A8">
        <f>IF(Parametri!$H7="","",Parametri!$H7)</f>
        <v/>
      </c>
      <c r="B8">
        <f>IF($A8="","",Parametri!$I7)</f>
        <v/>
      </c>
      <c r="C8">
        <f>IF($A8="","",Parametri!$J7)</f>
        <v/>
      </c>
      <c r="D8">
        <f>IF($A8="",NA(),IF(COUNTIFS(RR_ID_Rischio,$A8,RR_Ciclo,cicloCorrente)=0,NA(),SUMIFS(RR_Impatto,RR_ID_Rischio,$A8,RR_Ciclo,cicloCorrente)))</f>
        <v/>
      </c>
      <c r="E8">
        <f>IF($A8="",NA(),IF(COUNTIFS(RR_ID_Rischio,$A8,RR_Ciclo,cicloCorrente)=0,NA(),SUMIFS(RR_Probabilita,RR_ID_Rischio,$A8,RR_Ciclo,cicloCorrente)))</f>
        <v/>
      </c>
      <c r="F8">
        <f>IF(AND(ISNUMBER(D8),ISNUMBER(E8)),D8*E8,NA())</f>
        <v/>
      </c>
      <c r="G8">
        <f>IF($A8="",NA(),IF(COUNTIFS(RR_ID_Rischio,$A8,RR_Ciclo,cicloCorrente)=0,NA(),SUMIFS(RR_Prossimita,RR_ID_Rischio,$A8,RR_Ciclo,cicloCorrente)))</f>
        <v/>
      </c>
      <c r="H8" s="58">
        <f>IF(ISNUMBER(G8),INDEX(anniProssimita,G8),NA())</f>
        <v/>
      </c>
      <c r="I8" s="58">
        <f>IF($A8="",NA(),moscaX)</f>
        <v/>
      </c>
      <c r="J8" s="58">
        <f>IF($A8="",NA(),MAX(IF(COUNTIFS(AZ_ID_Rischio,$A8,AZ_Ciclo,$AC8,AZ_Stato,"&lt;&gt;Respinta",AZ_Mesi_Orizzonte,"&gt;0")=0,moscaYDefault,_xlfn.MAXIFS(AZ_Mesi_Orizzonte,AZ_ID_Rischio,$A8,AZ_Ciclo,$AC8,AZ_Stato,"&lt;&gt;Respinta")/12),N(Parametri!$M7)))</f>
        <v/>
      </c>
      <c r="K8" s="58">
        <f>IF(AND(ISNUMBER(H8),ISNUMBER(J8)),H8-(I8+J8),NA())</f>
        <v/>
      </c>
      <c r="L8">
        <f>IF(NOT(ISNUMBER(K8)),"",IF(K8&lt;0,"AGIRE ORA: X+Y &gt; Z",IF(K8&lt;1,"Agire entro l'anno","Margine "&amp;ROUND(K8,1)&amp;IF(ROUND(K8,1)=1," anno"," anni"))))</f>
        <v/>
      </c>
      <c r="M8">
        <f>IF($A8="",NA(),MATCH(C8,codiciL1,0)-1)</f>
        <v/>
      </c>
      <c r="N8">
        <f>IF($A8="",NA(),COUNTIF($C$4:C7,C8))</f>
        <v/>
      </c>
      <c r="O8">
        <f>IF($A8="",NA(),COUNTIF(ANA_Event_Type,C8))</f>
        <v/>
      </c>
      <c r="P8" s="58">
        <f>IF($A8="",NA(),2*PI()*(M8+(N8+0.5)/O8)/ROWS(codiciL1))</f>
        <v/>
      </c>
      <c r="Q8" s="58">
        <f>IF(ISNUMBER(K8),MAX(0.6,MIN(6,K8+2)),NA())</f>
        <v/>
      </c>
      <c r="R8" s="58">
        <f>IF(AND(ISNUMBER(Q8),ISNUMBER(P8)),Q8*SIN(P8),NA())</f>
        <v/>
      </c>
      <c r="S8" s="58">
        <f>IF(AND(ISNUMBER(Q8),ISNUMBER(P8)),Q8*COS(P8),NA())</f>
        <v/>
      </c>
      <c r="T8">
        <f>IF($A8="","",IF(Parametri!$N7="Sì","Sì",""))</f>
        <v/>
      </c>
      <c r="U8">
        <f>IF(OR($A8="",NOT(ISNUMBER(K8))),"",IF(K8&lt;0,1,0))</f>
        <v/>
      </c>
      <c r="V8">
        <f>IF(OR($A8="",NOT(ISNUMBER(K8))),"",IF(COUNTIFS(KRI_ID_Rischio,$A8,KRI_Ciclo,cicloCorrente,KRI_In_Vigore,"Sì",KRI_Stato,"Rosso")&gt;0,1,0))</f>
        <v/>
      </c>
      <c r="W8">
        <f>IF(OR($A8="",NOT(ISNUMBER(K8))),"",IF(N(INDEX(posNetti,4))&gt;=sogliaDirezione,1,0))</f>
        <v/>
      </c>
      <c r="X8">
        <f>IF(OR($A8="",NOT(ISNUMBER(K8))),"",IF(AND(ISNUMBER(F8),F8&gt;=livelloPxI),1,0))</f>
        <v/>
      </c>
      <c r="Y8">
        <f>IF(OR($A8="",NOT(ISNUMBER(K8))),"",IF(Parametri!$O7="Assente",1,0))</f>
        <v/>
      </c>
      <c r="Z8">
        <f>IF(OR($A8="",NOT(ISNUMBER(K8))),"",IF(AND(COUNTIFS(KRI_ID_Rischio,$A8,KRI_Ciclo,cicloCorrente,KRI_In_Vigore,"Sì")&gt;0,COUNTIFS(KRI_ID_Rischio,$A8,KRI_Ciclo,cicloCorrente,KRI_In_Vigore,"Sì",KRI_Stato,"Rosso")+COUNTIFS(KRI_ID_Rischio,$A8,KRI_Ciclo,cicloCorrente,KRI_In_Vigore,"Sì",KRI_Stato,"Ambra")&gt;=livelloQuotaKRI*COUNTIFS(KRI_ID_Rischio,$A8,KRI_Ciclo,cicloCorrente,KRI_In_Vigore,"Sì")),1,0))</f>
        <v/>
      </c>
      <c r="AA8">
        <f>IF(OR($A8="",NOT(ISNUMBER(K8))),"",IF((U8+V8+W8)&gt;=livelloForti,"Attivazione",IF(OR((U8+V8+W8)&gt;=1,AND(K8&lt;livelloMargine,(X8+Y8+Z8)&gt;=1)),"Attenzione","Monitoraggio")))</f>
        <v/>
      </c>
      <c r="AB8">
        <f>IF(AA8="","",IF(AA8="Monitoraggio","nessun segnale forte",_xlfn.TEXTJOIN("; ",TRUE,IF(U8=1,"AGIRE ORA",""),IF(V8=1,"KRI in rosso",""),IF(W8=1,"notizie in peggioramento",""),IF((U8+V8+W8)=0,"margine sotto l'anno con "&amp;_xlfn.TEXTJOIN(", ",TRUE,IF(X8=1,"P x I alta",""),IF(Y8=1,"presidio dei controlli assente",""),IF(Z8=1,"KRI in ambra o rosso","")),""))))</f>
        <v/>
      </c>
      <c r="AC8">
        <f>IF($A8="","",IFERROR(IF(INDEX(RR_Periodo_Valutazione,MATCH(cicloCorrente&amp;"|"&amp;$A8,RR_Chiave,0))="",cicloCorrente,INDEX(RR_Periodo_Valutazione,MATCH(cicloCorrente&amp;"|"&amp;$A8,RR_Chiave,0))&amp;""),cicloCorrente))</f>
        <v/>
      </c>
      <c r="AD8">
        <f>2*PI()*3/72</f>
        <v/>
      </c>
      <c r="AE8">
        <f>2*SIN($AD8)</f>
        <v/>
      </c>
      <c r="AF8">
        <f>2*COS($AD8)</f>
        <v/>
      </c>
      <c r="AG8">
        <f>3*SIN($AD8)</f>
        <v/>
      </c>
      <c r="AH8">
        <f>3*COS($AD8)</f>
        <v/>
      </c>
      <c r="AI8">
        <f>4*SIN($AD8)</f>
        <v/>
      </c>
      <c r="AJ8">
        <f>4*COS($AD8)</f>
        <v/>
      </c>
      <c r="AK8">
        <f>5*SIN($AD8)</f>
        <v/>
      </c>
      <c r="AL8">
        <f>5*COS($AD8)</f>
        <v/>
      </c>
      <c r="AN8">
        <f>6.3*SIN(2*PI()*1/ROWS(codiciL1))</f>
        <v/>
      </c>
      <c r="AO8">
        <f>6.3*COS(2*PI()*1/ROWS(codiciL1))</f>
        <v/>
      </c>
      <c r="AQ8" t="inlineStr">
        <is>
          <t>9.6
Tecnologico</t>
        </is>
      </c>
      <c r="AR8">
        <f>6.95*SIN(2*PI()*(3+0.5)/ROWS(codiciL1))</f>
        <v/>
      </c>
      <c r="AS8">
        <f>6.95*COS(2*PI()*(3+0.5)/ROWS(codiciL1))</f>
        <v/>
      </c>
      <c r="AU8">
        <f>IF(AND(ISNUMBER($F8),ISNUMBER($S8)),IF(AND($F8=AU$4,$AA8=AU$3),$S8,NA()),NA())</f>
        <v/>
      </c>
      <c r="AV8">
        <f>IF(AND(ISNUMBER($F8),ISNUMBER($S8)),IF(AND($F8=AV$4,$AA8=AV$3),$S8,NA()),NA())</f>
        <v/>
      </c>
      <c r="AW8">
        <f>IF(AND(ISNUMBER($F8),ISNUMBER($S8)),IF(AND($F8=AW$4,$AA8=AW$3),$S8,NA()),NA())</f>
        <v/>
      </c>
      <c r="AX8">
        <f>IF(AND(ISNUMBER($F8),ISNUMBER($S8)),IF(AND($F8=AX$4,$AA8=AX$3),$S8,NA()),NA())</f>
        <v/>
      </c>
      <c r="AY8">
        <f>IF(AND(ISNUMBER($F8),ISNUMBER($S8)),IF(AND($F8=AY$4,$AA8=AY$3),$S8,NA()),NA())</f>
        <v/>
      </c>
      <c r="AZ8">
        <f>IF(AND(ISNUMBER($F8),ISNUMBER($S8)),IF(AND($F8=AZ$4,$AA8=AZ$3),$S8,NA()),NA())</f>
        <v/>
      </c>
      <c r="BA8">
        <f>IF(AND(ISNUMBER($F8),ISNUMBER($S8)),IF(AND($F8=BA$4,$AA8=BA$3),$S8,NA()),NA())</f>
        <v/>
      </c>
      <c r="BB8">
        <f>IF(AND(ISNUMBER($F8),ISNUMBER($S8)),IF(AND($F8=BB$4,$AA8=BB$3),$S8,NA()),NA())</f>
        <v/>
      </c>
      <c r="BC8">
        <f>IF(AND(ISNUMBER($F8),ISNUMBER($S8)),IF(AND($F8=BC$4,$AA8=BC$3),$S8,NA()),NA())</f>
        <v/>
      </c>
      <c r="BD8">
        <f>IF(AND(ISNUMBER($F8),ISNUMBER($S8)),IF(AND($F8=BD$4,$AA8=BD$3),$S8,NA()),NA())</f>
        <v/>
      </c>
      <c r="BE8">
        <f>IF(AND(ISNUMBER($F8),ISNUMBER($S8)),IF(AND($F8=BE$4,$AA8=BE$3),$S8,NA()),NA())</f>
        <v/>
      </c>
      <c r="BF8">
        <f>IF(AND(ISNUMBER($F8),ISNUMBER($S8)),IF(AND($F8=BF$4,$AA8=BF$3),$S8,NA()),NA())</f>
        <v/>
      </c>
      <c r="BG8">
        <f>IF(AND(ISNUMBER($F8),ISNUMBER($S8)),IF(AND($F8=BG$4,$AA8=BG$3),$S8,NA()),NA())</f>
        <v/>
      </c>
      <c r="BH8">
        <f>IF(AND(ISNUMBER($F8),ISNUMBER($S8)),IF(AND($F8=BH$4,$AA8=BH$3),$S8,NA()),NA())</f>
        <v/>
      </c>
      <c r="BI8">
        <f>IF(AND(ISNUMBER($F8),ISNUMBER($S8)),IF(AND($F8=BI$4,$AA8=BI$3),$S8,NA()),NA())</f>
        <v/>
      </c>
      <c r="BJ8">
        <f>IF(AND(ISNUMBER($F8),ISNUMBER($S8)),IF(AND($F8=BJ$4,$AA8=BJ$3),$S8,NA()),NA())</f>
        <v/>
      </c>
      <c r="BK8">
        <f>IF(AND(ISNUMBER($F8),ISNUMBER($S8)),IF(AND($F8=BK$4,$AA8=BK$3),$S8,NA()),NA())</f>
        <v/>
      </c>
      <c r="BL8">
        <f>IF(AND(ISNUMBER($F8),ISNUMBER($S8)),IF(AND($F8=BL$4,$AA8=BL$3),$S8,NA()),NA())</f>
        <v/>
      </c>
      <c r="BM8">
        <f>IF(AND(ISNUMBER($F8),ISNUMBER($S8)),IF(AND($F8=BM$4,$AA8=BM$3),$S8,NA()),NA())</f>
        <v/>
      </c>
      <c r="BN8">
        <f>IF(AND(ISNUMBER($F8),ISNUMBER($S8)),IF(AND($F8=BN$4,$AA8=BN$3),$S8,NA()),NA())</f>
        <v/>
      </c>
      <c r="BO8">
        <f>IF(AND(ISNUMBER($F8),ISNUMBER($S8)),IF(AND($F8=BO$4,$AA8=BO$3),$S8,NA()),NA())</f>
        <v/>
      </c>
      <c r="BP8">
        <f>IF(AND(ISNUMBER($F8),ISNUMBER($S8)),IF(AND($F8=BP$4,$AA8=BP$3),$S8,NA()),NA())</f>
        <v/>
      </c>
      <c r="BQ8">
        <f>IF(AND(ISNUMBER($F8),ISNUMBER($S8)),IF(AND($F8=BQ$4,$AA8=BQ$3),$S8,NA()),NA())</f>
        <v/>
      </c>
      <c r="BR8">
        <f>IF(AND(ISNUMBER($F8),ISNUMBER($S8)),IF(AND($F8=BR$4,$AA8=BR$3),$S8,NA()),NA())</f>
        <v/>
      </c>
      <c r="BS8">
        <f>IF(AND(ISNUMBER($F8),ISNUMBER($S8)),IF(AND($F8=BS$4,$AA8=BS$3),$S8,NA()),NA())</f>
        <v/>
      </c>
      <c r="BT8">
        <f>IF(AND(ISNUMBER($F8),ISNUMBER($S8)),IF(AND($F8=BT$4,$AA8=BT$3),$S8,NA()),NA())</f>
        <v/>
      </c>
      <c r="BU8">
        <f>IF(AND(ISNUMBER($F8),ISNUMBER($S8)),IF(AND($F8=BU$4,$AA8=BU$3),$S8,NA()),NA())</f>
        <v/>
      </c>
      <c r="BV8">
        <f>IF(AND(ISNUMBER($F8),ISNUMBER($S8)),IF(AND($F8=BV$4,$AA8=BV$3),$S8,NA()),NA())</f>
        <v/>
      </c>
      <c r="BW8">
        <f>IF(AND(ISNUMBER($F8),ISNUMBER($S8)),IF(AND($F8=BW$4,$AA8=BW$3),$S8,NA()),NA())</f>
        <v/>
      </c>
      <c r="BX8">
        <f>IF(AND(ISNUMBER($F8),ISNUMBER($S8)),IF(AND($F8=BX$4,$AA8=BX$3),$S8,NA()),NA())</f>
        <v/>
      </c>
      <c r="BY8">
        <f>IF(AND(ISNUMBER($F8),ISNUMBER($S8)),IF(AND($F8=BY$4,$AA8=BY$3),$S8,NA()),NA())</f>
        <v/>
      </c>
      <c r="BZ8">
        <f>IF(AND(ISNUMBER($F8),ISNUMBER($S8)),IF(AND($F8=BZ$4,$AA8=BZ$3),$S8,NA()),NA())</f>
        <v/>
      </c>
      <c r="CA8">
        <f>IF(AND(ISNUMBER($F8),ISNUMBER($S8)),IF(AND($F8=CA$4,$AA8=CA$3),$S8,NA()),NA())</f>
        <v/>
      </c>
      <c r="CB8">
        <f>IF(AND(ISNUMBER($F8),ISNUMBER($S8)),IF(AND($F8=CB$4,$AA8=CB$3),$S8,NA()),NA())</f>
        <v/>
      </c>
      <c r="CC8">
        <f>IF(AND(ISNUMBER($F8),ISNUMBER($S8)),IF(AND($F8=CC$4,$AA8=CC$3),$S8,NA()),NA())</f>
        <v/>
      </c>
      <c r="CD8">
        <f>IF(AND(ISNUMBER($F8),ISNUMBER($S8)),IF(AND($F8=CD$4,$AA8=CD$3),$S8,NA()),NA())</f>
        <v/>
      </c>
      <c r="CE8">
        <f>IF(AND(ISNUMBER($F8),ISNUMBER($S8)),IF(AND($F8=CE$4,$AA8=CE$3),$S8,NA()),NA())</f>
        <v/>
      </c>
      <c r="CF8">
        <f>IF(AND(ISNUMBER($F8),ISNUMBER($S8)),IF(AND($F8=CF$4,$AA8=CF$3),$S8,NA()),NA())</f>
        <v/>
      </c>
      <c r="CG8">
        <f>IF(AND(ISNUMBER($F8),ISNUMBER($S8)),IF(AND($F8=CG$4,$AA8=CG$3),$S8,NA()),NA())</f>
        <v/>
      </c>
      <c r="CH8">
        <f>IF(AND(ISNUMBER($F8),ISNUMBER($S8)),IF(AND($F8=CH$4,$AA8=CH$3),$S8,NA()),NA())</f>
        <v/>
      </c>
      <c r="CI8">
        <f>IF(AND(ISNUMBER($F8),ISNUMBER($S8)),IF(AND($F8=CI$4,$AA8=CI$3),$S8,NA()),NA())</f>
        <v/>
      </c>
      <c r="CJ8">
        <f>IF(AND(ISNUMBER($F8),ISNUMBER($S8)),IF(AND($F8=CJ$4,$AA8=CJ$3),$S8,NA()),NA())</f>
        <v/>
      </c>
      <c r="CK8">
        <f>IF(ISNUMBER($R8),$R8,NA())</f>
        <v/>
      </c>
      <c r="CL8">
        <f>IF($A8="","",$A8&amp;IF($T8="Sì"," ◆",""))</f>
        <v/>
      </c>
      <c r="CM8">
        <f>IF(ISNUMBER($S8),$S8,NA())</f>
        <v/>
      </c>
      <c r="CN8" t="inlineStr">
        <is>
          <t>dentro il cerchio rosso: AGIRE ORA (X + Y &gt; Z)</t>
        </is>
      </c>
      <c r="CO8" t="n">
        <v>-7.35</v>
      </c>
      <c r="CP8" t="n">
        <v>-9.85</v>
      </c>
    </row>
    <row r="9">
      <c r="A9">
        <f>IF(Parametri!$H8="","",Parametri!$H8)</f>
        <v/>
      </c>
      <c r="B9">
        <f>IF($A9="","",Parametri!$I8)</f>
        <v/>
      </c>
      <c r="C9">
        <f>IF($A9="","",Parametri!$J8)</f>
        <v/>
      </c>
      <c r="D9">
        <f>IF($A9="",NA(),IF(COUNTIFS(RR_ID_Rischio,$A9,RR_Ciclo,cicloCorrente)=0,NA(),SUMIFS(RR_Impatto,RR_ID_Rischio,$A9,RR_Ciclo,cicloCorrente)))</f>
        <v/>
      </c>
      <c r="E9">
        <f>IF($A9="",NA(),IF(COUNTIFS(RR_ID_Rischio,$A9,RR_Ciclo,cicloCorrente)=0,NA(),SUMIFS(RR_Probabilita,RR_ID_Rischio,$A9,RR_Ciclo,cicloCorrente)))</f>
        <v/>
      </c>
      <c r="F9">
        <f>IF(AND(ISNUMBER(D9),ISNUMBER(E9)),D9*E9,NA())</f>
        <v/>
      </c>
      <c r="G9">
        <f>IF($A9="",NA(),IF(COUNTIFS(RR_ID_Rischio,$A9,RR_Ciclo,cicloCorrente)=0,NA(),SUMIFS(RR_Prossimita,RR_ID_Rischio,$A9,RR_Ciclo,cicloCorrente)))</f>
        <v/>
      </c>
      <c r="H9" s="58">
        <f>IF(ISNUMBER(G9),INDEX(anniProssimita,G9),NA())</f>
        <v/>
      </c>
      <c r="I9" s="58">
        <f>IF($A9="",NA(),moscaX)</f>
        <v/>
      </c>
      <c r="J9" s="58">
        <f>IF($A9="",NA(),MAX(IF(COUNTIFS(AZ_ID_Rischio,$A9,AZ_Ciclo,$AC9,AZ_Stato,"&lt;&gt;Respinta",AZ_Mesi_Orizzonte,"&gt;0")=0,moscaYDefault,_xlfn.MAXIFS(AZ_Mesi_Orizzonte,AZ_ID_Rischio,$A9,AZ_Ciclo,$AC9,AZ_Stato,"&lt;&gt;Respinta")/12),N(Parametri!$M8)))</f>
        <v/>
      </c>
      <c r="K9" s="58">
        <f>IF(AND(ISNUMBER(H9),ISNUMBER(J9)),H9-(I9+J9),NA())</f>
        <v/>
      </c>
      <c r="L9">
        <f>IF(NOT(ISNUMBER(K9)),"",IF(K9&lt;0,"AGIRE ORA: X+Y &gt; Z",IF(K9&lt;1,"Agire entro l'anno","Margine "&amp;ROUND(K9,1)&amp;IF(ROUND(K9,1)=1," anno"," anni"))))</f>
        <v/>
      </c>
      <c r="M9">
        <f>IF($A9="",NA(),MATCH(C9,codiciL1,0)-1)</f>
        <v/>
      </c>
      <c r="N9">
        <f>IF($A9="",NA(),COUNTIF($C$4:C8,C9))</f>
        <v/>
      </c>
      <c r="O9">
        <f>IF($A9="",NA(),COUNTIF(ANA_Event_Type,C9))</f>
        <v/>
      </c>
      <c r="P9" s="58">
        <f>IF($A9="",NA(),2*PI()*(M9+(N9+0.5)/O9)/ROWS(codiciL1))</f>
        <v/>
      </c>
      <c r="Q9" s="58">
        <f>IF(ISNUMBER(K9),MAX(0.6,MIN(6,K9+2)),NA())</f>
        <v/>
      </c>
      <c r="R9" s="58">
        <f>IF(AND(ISNUMBER(Q9),ISNUMBER(P9)),Q9*SIN(P9),NA())</f>
        <v/>
      </c>
      <c r="S9" s="58">
        <f>IF(AND(ISNUMBER(Q9),ISNUMBER(P9)),Q9*COS(P9),NA())</f>
        <v/>
      </c>
      <c r="T9">
        <f>IF($A9="","",IF(Parametri!$N8="Sì","Sì",""))</f>
        <v/>
      </c>
      <c r="U9">
        <f>IF(OR($A9="",NOT(ISNUMBER(K9))),"",IF(K9&lt;0,1,0))</f>
        <v/>
      </c>
      <c r="V9">
        <f>IF(OR($A9="",NOT(ISNUMBER(K9))),"",IF(COUNTIFS(KRI_ID_Rischio,$A9,KRI_Ciclo,cicloCorrente,KRI_In_Vigore,"Sì",KRI_Stato,"Rosso")&gt;0,1,0))</f>
        <v/>
      </c>
      <c r="W9">
        <f>IF(OR($A9="",NOT(ISNUMBER(K9))),"",IF(N(INDEX(posNetti,5))&gt;=sogliaDirezione,1,0))</f>
        <v/>
      </c>
      <c r="X9">
        <f>IF(OR($A9="",NOT(ISNUMBER(K9))),"",IF(AND(ISNUMBER(F9),F9&gt;=livelloPxI),1,0))</f>
        <v/>
      </c>
      <c r="Y9">
        <f>IF(OR($A9="",NOT(ISNUMBER(K9))),"",IF(Parametri!$O8="Assente",1,0))</f>
        <v/>
      </c>
      <c r="Z9">
        <f>IF(OR($A9="",NOT(ISNUMBER(K9))),"",IF(AND(COUNTIFS(KRI_ID_Rischio,$A9,KRI_Ciclo,cicloCorrente,KRI_In_Vigore,"Sì")&gt;0,COUNTIFS(KRI_ID_Rischio,$A9,KRI_Ciclo,cicloCorrente,KRI_In_Vigore,"Sì",KRI_Stato,"Rosso")+COUNTIFS(KRI_ID_Rischio,$A9,KRI_Ciclo,cicloCorrente,KRI_In_Vigore,"Sì",KRI_Stato,"Ambra")&gt;=livelloQuotaKRI*COUNTIFS(KRI_ID_Rischio,$A9,KRI_Ciclo,cicloCorrente,KRI_In_Vigore,"Sì")),1,0))</f>
        <v/>
      </c>
      <c r="AA9">
        <f>IF(OR($A9="",NOT(ISNUMBER(K9))),"",IF((U9+V9+W9)&gt;=livelloForti,"Attivazione",IF(OR((U9+V9+W9)&gt;=1,AND(K9&lt;livelloMargine,(X9+Y9+Z9)&gt;=1)),"Attenzione","Monitoraggio")))</f>
        <v/>
      </c>
      <c r="AB9">
        <f>IF(AA9="","",IF(AA9="Monitoraggio","nessun segnale forte",_xlfn.TEXTJOIN("; ",TRUE,IF(U9=1,"AGIRE ORA",""),IF(V9=1,"KRI in rosso",""),IF(W9=1,"notizie in peggioramento",""),IF((U9+V9+W9)=0,"margine sotto l'anno con "&amp;_xlfn.TEXTJOIN(", ",TRUE,IF(X9=1,"P x I alta",""),IF(Y9=1,"presidio dei controlli assente",""),IF(Z9=1,"KRI in ambra o rosso","")),""))))</f>
        <v/>
      </c>
      <c r="AC9">
        <f>IF($A9="","",IFERROR(IF(INDEX(RR_Periodo_Valutazione,MATCH(cicloCorrente&amp;"|"&amp;$A9,RR_Chiave,0))="",cicloCorrente,INDEX(RR_Periodo_Valutazione,MATCH(cicloCorrente&amp;"|"&amp;$A9,RR_Chiave,0))&amp;""),cicloCorrente))</f>
        <v/>
      </c>
      <c r="AD9">
        <f>2*PI()*4/72</f>
        <v/>
      </c>
      <c r="AE9">
        <f>2*SIN($AD9)</f>
        <v/>
      </c>
      <c r="AF9">
        <f>2*COS($AD9)</f>
        <v/>
      </c>
      <c r="AG9">
        <f>3*SIN($AD9)</f>
        <v/>
      </c>
      <c r="AH9">
        <f>3*COS($AD9)</f>
        <v/>
      </c>
      <c r="AI9">
        <f>4*SIN($AD9)</f>
        <v/>
      </c>
      <c r="AJ9">
        <f>4*COS($AD9)</f>
        <v/>
      </c>
      <c r="AK9">
        <f>5*SIN($AD9)</f>
        <v/>
      </c>
      <c r="AL9">
        <f>5*COS($AD9)</f>
        <v/>
      </c>
      <c r="AN9" t="n">
        <v>0</v>
      </c>
      <c r="AO9" t="n">
        <v>0</v>
      </c>
      <c r="AQ9" t="inlineStr">
        <is>
          <t>9.7
Sicurezza informatica</t>
        </is>
      </c>
      <c r="AR9">
        <f>6.95*SIN(2*PI()*(4+0.5)/ROWS(codiciL1))</f>
        <v/>
      </c>
      <c r="AS9">
        <f>6.95*COS(2*PI()*(4+0.5)/ROWS(codiciL1))</f>
        <v/>
      </c>
      <c r="AU9">
        <f>IF(AND(ISNUMBER($F9),ISNUMBER($S9)),IF(AND($F9=AU$4,$AA9=AU$3),$S9,NA()),NA())</f>
        <v/>
      </c>
      <c r="AV9">
        <f>IF(AND(ISNUMBER($F9),ISNUMBER($S9)),IF(AND($F9=AV$4,$AA9=AV$3),$S9,NA()),NA())</f>
        <v/>
      </c>
      <c r="AW9">
        <f>IF(AND(ISNUMBER($F9),ISNUMBER($S9)),IF(AND($F9=AW$4,$AA9=AW$3),$S9,NA()),NA())</f>
        <v/>
      </c>
      <c r="AX9">
        <f>IF(AND(ISNUMBER($F9),ISNUMBER($S9)),IF(AND($F9=AX$4,$AA9=AX$3),$S9,NA()),NA())</f>
        <v/>
      </c>
      <c r="AY9">
        <f>IF(AND(ISNUMBER($F9),ISNUMBER($S9)),IF(AND($F9=AY$4,$AA9=AY$3),$S9,NA()),NA())</f>
        <v/>
      </c>
      <c r="AZ9">
        <f>IF(AND(ISNUMBER($F9),ISNUMBER($S9)),IF(AND($F9=AZ$4,$AA9=AZ$3),$S9,NA()),NA())</f>
        <v/>
      </c>
      <c r="BA9">
        <f>IF(AND(ISNUMBER($F9),ISNUMBER($S9)),IF(AND($F9=BA$4,$AA9=BA$3),$S9,NA()),NA())</f>
        <v/>
      </c>
      <c r="BB9">
        <f>IF(AND(ISNUMBER($F9),ISNUMBER($S9)),IF(AND($F9=BB$4,$AA9=BB$3),$S9,NA()),NA())</f>
        <v/>
      </c>
      <c r="BC9">
        <f>IF(AND(ISNUMBER($F9),ISNUMBER($S9)),IF(AND($F9=BC$4,$AA9=BC$3),$S9,NA()),NA())</f>
        <v/>
      </c>
      <c r="BD9">
        <f>IF(AND(ISNUMBER($F9),ISNUMBER($S9)),IF(AND($F9=BD$4,$AA9=BD$3),$S9,NA()),NA())</f>
        <v/>
      </c>
      <c r="BE9">
        <f>IF(AND(ISNUMBER($F9),ISNUMBER($S9)),IF(AND($F9=BE$4,$AA9=BE$3),$S9,NA()),NA())</f>
        <v/>
      </c>
      <c r="BF9">
        <f>IF(AND(ISNUMBER($F9),ISNUMBER($S9)),IF(AND($F9=BF$4,$AA9=BF$3),$S9,NA()),NA())</f>
        <v/>
      </c>
      <c r="BG9">
        <f>IF(AND(ISNUMBER($F9),ISNUMBER($S9)),IF(AND($F9=BG$4,$AA9=BG$3),$S9,NA()),NA())</f>
        <v/>
      </c>
      <c r="BH9">
        <f>IF(AND(ISNUMBER($F9),ISNUMBER($S9)),IF(AND($F9=BH$4,$AA9=BH$3),$S9,NA()),NA())</f>
        <v/>
      </c>
      <c r="BI9">
        <f>IF(AND(ISNUMBER($F9),ISNUMBER($S9)),IF(AND($F9=BI$4,$AA9=BI$3),$S9,NA()),NA())</f>
        <v/>
      </c>
      <c r="BJ9">
        <f>IF(AND(ISNUMBER($F9),ISNUMBER($S9)),IF(AND($F9=BJ$4,$AA9=BJ$3),$S9,NA()),NA())</f>
        <v/>
      </c>
      <c r="BK9">
        <f>IF(AND(ISNUMBER($F9),ISNUMBER($S9)),IF(AND($F9=BK$4,$AA9=BK$3),$S9,NA()),NA())</f>
        <v/>
      </c>
      <c r="BL9">
        <f>IF(AND(ISNUMBER($F9),ISNUMBER($S9)),IF(AND($F9=BL$4,$AA9=BL$3),$S9,NA()),NA())</f>
        <v/>
      </c>
      <c r="BM9">
        <f>IF(AND(ISNUMBER($F9),ISNUMBER($S9)),IF(AND($F9=BM$4,$AA9=BM$3),$S9,NA()),NA())</f>
        <v/>
      </c>
      <c r="BN9">
        <f>IF(AND(ISNUMBER($F9),ISNUMBER($S9)),IF(AND($F9=BN$4,$AA9=BN$3),$S9,NA()),NA())</f>
        <v/>
      </c>
      <c r="BO9">
        <f>IF(AND(ISNUMBER($F9),ISNUMBER($S9)),IF(AND($F9=BO$4,$AA9=BO$3),$S9,NA()),NA())</f>
        <v/>
      </c>
      <c r="BP9">
        <f>IF(AND(ISNUMBER($F9),ISNUMBER($S9)),IF(AND($F9=BP$4,$AA9=BP$3),$S9,NA()),NA())</f>
        <v/>
      </c>
      <c r="BQ9">
        <f>IF(AND(ISNUMBER($F9),ISNUMBER($S9)),IF(AND($F9=BQ$4,$AA9=BQ$3),$S9,NA()),NA())</f>
        <v/>
      </c>
      <c r="BR9">
        <f>IF(AND(ISNUMBER($F9),ISNUMBER($S9)),IF(AND($F9=BR$4,$AA9=BR$3),$S9,NA()),NA())</f>
        <v/>
      </c>
      <c r="BS9">
        <f>IF(AND(ISNUMBER($F9),ISNUMBER($S9)),IF(AND($F9=BS$4,$AA9=BS$3),$S9,NA()),NA())</f>
        <v/>
      </c>
      <c r="BT9">
        <f>IF(AND(ISNUMBER($F9),ISNUMBER($S9)),IF(AND($F9=BT$4,$AA9=BT$3),$S9,NA()),NA())</f>
        <v/>
      </c>
      <c r="BU9">
        <f>IF(AND(ISNUMBER($F9),ISNUMBER($S9)),IF(AND($F9=BU$4,$AA9=BU$3),$S9,NA()),NA())</f>
        <v/>
      </c>
      <c r="BV9">
        <f>IF(AND(ISNUMBER($F9),ISNUMBER($S9)),IF(AND($F9=BV$4,$AA9=BV$3),$S9,NA()),NA())</f>
        <v/>
      </c>
      <c r="BW9">
        <f>IF(AND(ISNUMBER($F9),ISNUMBER($S9)),IF(AND($F9=BW$4,$AA9=BW$3),$S9,NA()),NA())</f>
        <v/>
      </c>
      <c r="BX9">
        <f>IF(AND(ISNUMBER($F9),ISNUMBER($S9)),IF(AND($F9=BX$4,$AA9=BX$3),$S9,NA()),NA())</f>
        <v/>
      </c>
      <c r="BY9">
        <f>IF(AND(ISNUMBER($F9),ISNUMBER($S9)),IF(AND($F9=BY$4,$AA9=BY$3),$S9,NA()),NA())</f>
        <v/>
      </c>
      <c r="BZ9">
        <f>IF(AND(ISNUMBER($F9),ISNUMBER($S9)),IF(AND($F9=BZ$4,$AA9=BZ$3),$S9,NA()),NA())</f>
        <v/>
      </c>
      <c r="CA9">
        <f>IF(AND(ISNUMBER($F9),ISNUMBER($S9)),IF(AND($F9=CA$4,$AA9=CA$3),$S9,NA()),NA())</f>
        <v/>
      </c>
      <c r="CB9">
        <f>IF(AND(ISNUMBER($F9),ISNUMBER($S9)),IF(AND($F9=CB$4,$AA9=CB$3),$S9,NA()),NA())</f>
        <v/>
      </c>
      <c r="CC9">
        <f>IF(AND(ISNUMBER($F9),ISNUMBER($S9)),IF(AND($F9=CC$4,$AA9=CC$3),$S9,NA()),NA())</f>
        <v/>
      </c>
      <c r="CD9">
        <f>IF(AND(ISNUMBER($F9),ISNUMBER($S9)),IF(AND($F9=CD$4,$AA9=CD$3),$S9,NA()),NA())</f>
        <v/>
      </c>
      <c r="CE9">
        <f>IF(AND(ISNUMBER($F9),ISNUMBER($S9)),IF(AND($F9=CE$4,$AA9=CE$3),$S9,NA()),NA())</f>
        <v/>
      </c>
      <c r="CF9">
        <f>IF(AND(ISNUMBER($F9),ISNUMBER($S9)),IF(AND($F9=CF$4,$AA9=CF$3),$S9,NA()),NA())</f>
        <v/>
      </c>
      <c r="CG9">
        <f>IF(AND(ISNUMBER($F9),ISNUMBER($S9)),IF(AND($F9=CG$4,$AA9=CG$3),$S9,NA()),NA())</f>
        <v/>
      </c>
      <c r="CH9">
        <f>IF(AND(ISNUMBER($F9),ISNUMBER($S9)),IF(AND($F9=CH$4,$AA9=CH$3),$S9,NA()),NA())</f>
        <v/>
      </c>
      <c r="CI9">
        <f>IF(AND(ISNUMBER($F9),ISNUMBER($S9)),IF(AND($F9=CI$4,$AA9=CI$3),$S9,NA()),NA())</f>
        <v/>
      </c>
      <c r="CJ9">
        <f>IF(AND(ISNUMBER($F9),ISNUMBER($S9)),IF(AND($F9=CJ$4,$AA9=CJ$3),$S9,NA()),NA())</f>
        <v/>
      </c>
      <c r="CK9">
        <f>IF(ISNUMBER($R9),$R9,NA())</f>
        <v/>
      </c>
      <c r="CL9">
        <f>IF($A9="","",$A9&amp;IF($T9="Sì"," ◆",""))</f>
        <v/>
      </c>
      <c r="CM9">
        <f>IF(ISNUMBER($S9),$S9,NA())</f>
        <v/>
      </c>
      <c r="CN9" t="inlineStr"/>
      <c r="CO9" t="n">
        <v>-6.45</v>
      </c>
      <c r="CP9" t="n">
        <v>-9.85</v>
      </c>
    </row>
    <row r="10">
      <c r="A10">
        <f>IF(Parametri!$H9="","",Parametri!$H9)</f>
        <v/>
      </c>
      <c r="B10">
        <f>IF($A10="","",Parametri!$I9)</f>
        <v/>
      </c>
      <c r="C10">
        <f>IF($A10="","",Parametri!$J9)</f>
        <v/>
      </c>
      <c r="D10">
        <f>IF($A10="",NA(),IF(COUNTIFS(RR_ID_Rischio,$A10,RR_Ciclo,cicloCorrente)=0,NA(),SUMIFS(RR_Impatto,RR_ID_Rischio,$A10,RR_Ciclo,cicloCorrente)))</f>
        <v/>
      </c>
      <c r="E10">
        <f>IF($A10="",NA(),IF(COUNTIFS(RR_ID_Rischio,$A10,RR_Ciclo,cicloCorrente)=0,NA(),SUMIFS(RR_Probabilita,RR_ID_Rischio,$A10,RR_Ciclo,cicloCorrente)))</f>
        <v/>
      </c>
      <c r="F10">
        <f>IF(AND(ISNUMBER(D10),ISNUMBER(E10)),D10*E10,NA())</f>
        <v/>
      </c>
      <c r="G10">
        <f>IF($A10="",NA(),IF(COUNTIFS(RR_ID_Rischio,$A10,RR_Ciclo,cicloCorrente)=0,NA(),SUMIFS(RR_Prossimita,RR_ID_Rischio,$A10,RR_Ciclo,cicloCorrente)))</f>
        <v/>
      </c>
      <c r="H10" s="58">
        <f>IF(ISNUMBER(G10),INDEX(anniProssimita,G10),NA())</f>
        <v/>
      </c>
      <c r="I10" s="58">
        <f>IF($A10="",NA(),moscaX)</f>
        <v/>
      </c>
      <c r="J10" s="58">
        <f>IF($A10="",NA(),MAX(IF(COUNTIFS(AZ_ID_Rischio,$A10,AZ_Ciclo,$AC10,AZ_Stato,"&lt;&gt;Respinta",AZ_Mesi_Orizzonte,"&gt;0")=0,moscaYDefault,_xlfn.MAXIFS(AZ_Mesi_Orizzonte,AZ_ID_Rischio,$A10,AZ_Ciclo,$AC10,AZ_Stato,"&lt;&gt;Respinta")/12),N(Parametri!$M9)))</f>
        <v/>
      </c>
      <c r="K10" s="58">
        <f>IF(AND(ISNUMBER(H10),ISNUMBER(J10)),H10-(I10+J10),NA())</f>
        <v/>
      </c>
      <c r="L10">
        <f>IF(NOT(ISNUMBER(K10)),"",IF(K10&lt;0,"AGIRE ORA: X+Y &gt; Z",IF(K10&lt;1,"Agire entro l'anno","Margine "&amp;ROUND(K10,1)&amp;IF(ROUND(K10,1)=1," anno"," anni"))))</f>
        <v/>
      </c>
      <c r="M10">
        <f>IF($A10="",NA(),MATCH(C10,codiciL1,0)-1)</f>
        <v/>
      </c>
      <c r="N10">
        <f>IF($A10="",NA(),COUNTIF($C$4:C9,C10))</f>
        <v/>
      </c>
      <c r="O10">
        <f>IF($A10="",NA(),COUNTIF(ANA_Event_Type,C10))</f>
        <v/>
      </c>
      <c r="P10" s="58">
        <f>IF($A10="",NA(),2*PI()*(M10+(N10+0.5)/O10)/ROWS(codiciL1))</f>
        <v/>
      </c>
      <c r="Q10" s="58">
        <f>IF(ISNUMBER(K10),MAX(0.6,MIN(6,K10+2)),NA())</f>
        <v/>
      </c>
      <c r="R10" s="58">
        <f>IF(AND(ISNUMBER(Q10),ISNUMBER(P10)),Q10*SIN(P10),NA())</f>
        <v/>
      </c>
      <c r="S10" s="58">
        <f>IF(AND(ISNUMBER(Q10),ISNUMBER(P10)),Q10*COS(P10),NA())</f>
        <v/>
      </c>
      <c r="T10">
        <f>IF($A10="","",IF(Parametri!$N9="Sì","Sì",""))</f>
        <v/>
      </c>
      <c r="U10">
        <f>IF(OR($A10="",NOT(ISNUMBER(K10))),"",IF(K10&lt;0,1,0))</f>
        <v/>
      </c>
      <c r="V10">
        <f>IF(OR($A10="",NOT(ISNUMBER(K10))),"",IF(COUNTIFS(KRI_ID_Rischio,$A10,KRI_Ciclo,cicloCorrente,KRI_In_Vigore,"Sì",KRI_Stato,"Rosso")&gt;0,1,0))</f>
        <v/>
      </c>
      <c r="W10">
        <f>IF(OR($A10="",NOT(ISNUMBER(K10))),"",IF(N(INDEX(posNetti,6))&gt;=sogliaDirezione,1,0))</f>
        <v/>
      </c>
      <c r="X10">
        <f>IF(OR($A10="",NOT(ISNUMBER(K10))),"",IF(AND(ISNUMBER(F10),F10&gt;=livelloPxI),1,0))</f>
        <v/>
      </c>
      <c r="Y10">
        <f>IF(OR($A10="",NOT(ISNUMBER(K10))),"",IF(Parametri!$O9="Assente",1,0))</f>
        <v/>
      </c>
      <c r="Z10">
        <f>IF(OR($A10="",NOT(ISNUMBER(K10))),"",IF(AND(COUNTIFS(KRI_ID_Rischio,$A10,KRI_Ciclo,cicloCorrente,KRI_In_Vigore,"Sì")&gt;0,COUNTIFS(KRI_ID_Rischio,$A10,KRI_Ciclo,cicloCorrente,KRI_In_Vigore,"Sì",KRI_Stato,"Rosso")+COUNTIFS(KRI_ID_Rischio,$A10,KRI_Ciclo,cicloCorrente,KRI_In_Vigore,"Sì",KRI_Stato,"Ambra")&gt;=livelloQuotaKRI*COUNTIFS(KRI_ID_Rischio,$A10,KRI_Ciclo,cicloCorrente,KRI_In_Vigore,"Sì")),1,0))</f>
        <v/>
      </c>
      <c r="AA10">
        <f>IF(OR($A10="",NOT(ISNUMBER(K10))),"",IF((U10+V10+W10)&gt;=livelloForti,"Attivazione",IF(OR((U10+V10+W10)&gt;=1,AND(K10&lt;livelloMargine,(X10+Y10+Z10)&gt;=1)),"Attenzione","Monitoraggio")))</f>
        <v/>
      </c>
      <c r="AB10">
        <f>IF(AA10="","",IF(AA10="Monitoraggio","nessun segnale forte",_xlfn.TEXTJOIN("; ",TRUE,IF(U10=1,"AGIRE ORA",""),IF(V10=1,"KRI in rosso",""),IF(W10=1,"notizie in peggioramento",""),IF((U10+V10+W10)=0,"margine sotto l'anno con "&amp;_xlfn.TEXTJOIN(", ",TRUE,IF(X10=1,"P x I alta",""),IF(Y10=1,"presidio dei controlli assente",""),IF(Z10=1,"KRI in ambra o rosso","")),""))))</f>
        <v/>
      </c>
      <c r="AC10">
        <f>IF($A10="","",IFERROR(IF(INDEX(RR_Periodo_Valutazione,MATCH(cicloCorrente&amp;"|"&amp;$A10,RR_Chiave,0))="",cicloCorrente,INDEX(RR_Periodo_Valutazione,MATCH(cicloCorrente&amp;"|"&amp;$A10,RR_Chiave,0))&amp;""),cicloCorrente))</f>
        <v/>
      </c>
      <c r="AD10">
        <f>2*PI()*5/72</f>
        <v/>
      </c>
      <c r="AE10">
        <f>2*SIN($AD10)</f>
        <v/>
      </c>
      <c r="AF10">
        <f>2*COS($AD10)</f>
        <v/>
      </c>
      <c r="AG10">
        <f>3*SIN($AD10)</f>
        <v/>
      </c>
      <c r="AH10">
        <f>3*COS($AD10)</f>
        <v/>
      </c>
      <c r="AI10">
        <f>4*SIN($AD10)</f>
        <v/>
      </c>
      <c r="AJ10">
        <f>4*COS($AD10)</f>
        <v/>
      </c>
      <c r="AK10">
        <f>5*SIN($AD10)</f>
        <v/>
      </c>
      <c r="AL10">
        <f>5*COS($AD10)</f>
        <v/>
      </c>
      <c r="AN10">
        <f>6.3*SIN(2*PI()*2/ROWS(codiciL1))</f>
        <v/>
      </c>
      <c r="AO10">
        <f>6.3*COS(2*PI()*2/ROWS(codiciL1))</f>
        <v/>
      </c>
      <c r="AQ10" t="inlineStr">
        <is>
          <t>9.8
Sicurezza fisica</t>
        </is>
      </c>
      <c r="AR10">
        <f>6.95*SIN(2*PI()*(5+0.5)/ROWS(codiciL1))</f>
        <v/>
      </c>
      <c r="AS10">
        <f>6.95*COS(2*PI()*(5+0.5)/ROWS(codiciL1))</f>
        <v/>
      </c>
      <c r="AU10">
        <f>IF(AND(ISNUMBER($F10),ISNUMBER($S10)),IF(AND($F10=AU$4,$AA10=AU$3),$S10,NA()),NA())</f>
        <v/>
      </c>
      <c r="AV10">
        <f>IF(AND(ISNUMBER($F10),ISNUMBER($S10)),IF(AND($F10=AV$4,$AA10=AV$3),$S10,NA()),NA())</f>
        <v/>
      </c>
      <c r="AW10">
        <f>IF(AND(ISNUMBER($F10),ISNUMBER($S10)),IF(AND($F10=AW$4,$AA10=AW$3),$S10,NA()),NA())</f>
        <v/>
      </c>
      <c r="AX10">
        <f>IF(AND(ISNUMBER($F10),ISNUMBER($S10)),IF(AND($F10=AX$4,$AA10=AX$3),$S10,NA()),NA())</f>
        <v/>
      </c>
      <c r="AY10">
        <f>IF(AND(ISNUMBER($F10),ISNUMBER($S10)),IF(AND($F10=AY$4,$AA10=AY$3),$S10,NA()),NA())</f>
        <v/>
      </c>
      <c r="AZ10">
        <f>IF(AND(ISNUMBER($F10),ISNUMBER($S10)),IF(AND($F10=AZ$4,$AA10=AZ$3),$S10,NA()),NA())</f>
        <v/>
      </c>
      <c r="BA10">
        <f>IF(AND(ISNUMBER($F10),ISNUMBER($S10)),IF(AND($F10=BA$4,$AA10=BA$3),$S10,NA()),NA())</f>
        <v/>
      </c>
      <c r="BB10">
        <f>IF(AND(ISNUMBER($F10),ISNUMBER($S10)),IF(AND($F10=BB$4,$AA10=BB$3),$S10,NA()),NA())</f>
        <v/>
      </c>
      <c r="BC10">
        <f>IF(AND(ISNUMBER($F10),ISNUMBER($S10)),IF(AND($F10=BC$4,$AA10=BC$3),$S10,NA()),NA())</f>
        <v/>
      </c>
      <c r="BD10">
        <f>IF(AND(ISNUMBER($F10),ISNUMBER($S10)),IF(AND($F10=BD$4,$AA10=BD$3),$S10,NA()),NA())</f>
        <v/>
      </c>
      <c r="BE10">
        <f>IF(AND(ISNUMBER($F10),ISNUMBER($S10)),IF(AND($F10=BE$4,$AA10=BE$3),$S10,NA()),NA())</f>
        <v/>
      </c>
      <c r="BF10">
        <f>IF(AND(ISNUMBER($F10),ISNUMBER($S10)),IF(AND($F10=BF$4,$AA10=BF$3),$S10,NA()),NA())</f>
        <v/>
      </c>
      <c r="BG10">
        <f>IF(AND(ISNUMBER($F10),ISNUMBER($S10)),IF(AND($F10=BG$4,$AA10=BG$3),$S10,NA()),NA())</f>
        <v/>
      </c>
      <c r="BH10">
        <f>IF(AND(ISNUMBER($F10),ISNUMBER($S10)),IF(AND($F10=BH$4,$AA10=BH$3),$S10,NA()),NA())</f>
        <v/>
      </c>
      <c r="BI10">
        <f>IF(AND(ISNUMBER($F10),ISNUMBER($S10)),IF(AND($F10=BI$4,$AA10=BI$3),$S10,NA()),NA())</f>
        <v/>
      </c>
      <c r="BJ10">
        <f>IF(AND(ISNUMBER($F10),ISNUMBER($S10)),IF(AND($F10=BJ$4,$AA10=BJ$3),$S10,NA()),NA())</f>
        <v/>
      </c>
      <c r="BK10">
        <f>IF(AND(ISNUMBER($F10),ISNUMBER($S10)),IF(AND($F10=BK$4,$AA10=BK$3),$S10,NA()),NA())</f>
        <v/>
      </c>
      <c r="BL10">
        <f>IF(AND(ISNUMBER($F10),ISNUMBER($S10)),IF(AND($F10=BL$4,$AA10=BL$3),$S10,NA()),NA())</f>
        <v/>
      </c>
      <c r="BM10">
        <f>IF(AND(ISNUMBER($F10),ISNUMBER($S10)),IF(AND($F10=BM$4,$AA10=BM$3),$S10,NA()),NA())</f>
        <v/>
      </c>
      <c r="BN10">
        <f>IF(AND(ISNUMBER($F10),ISNUMBER($S10)),IF(AND($F10=BN$4,$AA10=BN$3),$S10,NA()),NA())</f>
        <v/>
      </c>
      <c r="BO10">
        <f>IF(AND(ISNUMBER($F10),ISNUMBER($S10)),IF(AND($F10=BO$4,$AA10=BO$3),$S10,NA()),NA())</f>
        <v/>
      </c>
      <c r="BP10">
        <f>IF(AND(ISNUMBER($F10),ISNUMBER($S10)),IF(AND($F10=BP$4,$AA10=BP$3),$S10,NA()),NA())</f>
        <v/>
      </c>
      <c r="BQ10">
        <f>IF(AND(ISNUMBER($F10),ISNUMBER($S10)),IF(AND($F10=BQ$4,$AA10=BQ$3),$S10,NA()),NA())</f>
        <v/>
      </c>
      <c r="BR10">
        <f>IF(AND(ISNUMBER($F10),ISNUMBER($S10)),IF(AND($F10=BR$4,$AA10=BR$3),$S10,NA()),NA())</f>
        <v/>
      </c>
      <c r="BS10">
        <f>IF(AND(ISNUMBER($F10),ISNUMBER($S10)),IF(AND($F10=BS$4,$AA10=BS$3),$S10,NA()),NA())</f>
        <v/>
      </c>
      <c r="BT10">
        <f>IF(AND(ISNUMBER($F10),ISNUMBER($S10)),IF(AND($F10=BT$4,$AA10=BT$3),$S10,NA()),NA())</f>
        <v/>
      </c>
      <c r="BU10">
        <f>IF(AND(ISNUMBER($F10),ISNUMBER($S10)),IF(AND($F10=BU$4,$AA10=BU$3),$S10,NA()),NA())</f>
        <v/>
      </c>
      <c r="BV10">
        <f>IF(AND(ISNUMBER($F10),ISNUMBER($S10)),IF(AND($F10=BV$4,$AA10=BV$3),$S10,NA()),NA())</f>
        <v/>
      </c>
      <c r="BW10">
        <f>IF(AND(ISNUMBER($F10),ISNUMBER($S10)),IF(AND($F10=BW$4,$AA10=BW$3),$S10,NA()),NA())</f>
        <v/>
      </c>
      <c r="BX10">
        <f>IF(AND(ISNUMBER($F10),ISNUMBER($S10)),IF(AND($F10=BX$4,$AA10=BX$3),$S10,NA()),NA())</f>
        <v/>
      </c>
      <c r="BY10">
        <f>IF(AND(ISNUMBER($F10),ISNUMBER($S10)),IF(AND($F10=BY$4,$AA10=BY$3),$S10,NA()),NA())</f>
        <v/>
      </c>
      <c r="BZ10">
        <f>IF(AND(ISNUMBER($F10),ISNUMBER($S10)),IF(AND($F10=BZ$4,$AA10=BZ$3),$S10,NA()),NA())</f>
        <v/>
      </c>
      <c r="CA10">
        <f>IF(AND(ISNUMBER($F10),ISNUMBER($S10)),IF(AND($F10=CA$4,$AA10=CA$3),$S10,NA()),NA())</f>
        <v/>
      </c>
      <c r="CB10">
        <f>IF(AND(ISNUMBER($F10),ISNUMBER($S10)),IF(AND($F10=CB$4,$AA10=CB$3),$S10,NA()),NA())</f>
        <v/>
      </c>
      <c r="CC10">
        <f>IF(AND(ISNUMBER($F10),ISNUMBER($S10)),IF(AND($F10=CC$4,$AA10=CC$3),$S10,NA()),NA())</f>
        <v/>
      </c>
      <c r="CD10">
        <f>IF(AND(ISNUMBER($F10),ISNUMBER($S10)),IF(AND($F10=CD$4,$AA10=CD$3),$S10,NA()),NA())</f>
        <v/>
      </c>
      <c r="CE10">
        <f>IF(AND(ISNUMBER($F10),ISNUMBER($S10)),IF(AND($F10=CE$4,$AA10=CE$3),$S10,NA()),NA())</f>
        <v/>
      </c>
      <c r="CF10">
        <f>IF(AND(ISNUMBER($F10),ISNUMBER($S10)),IF(AND($F10=CF$4,$AA10=CF$3),$S10,NA()),NA())</f>
        <v/>
      </c>
      <c r="CG10">
        <f>IF(AND(ISNUMBER($F10),ISNUMBER($S10)),IF(AND($F10=CG$4,$AA10=CG$3),$S10,NA()),NA())</f>
        <v/>
      </c>
      <c r="CH10">
        <f>IF(AND(ISNUMBER($F10),ISNUMBER($S10)),IF(AND($F10=CH$4,$AA10=CH$3),$S10,NA()),NA())</f>
        <v/>
      </c>
      <c r="CI10">
        <f>IF(AND(ISNUMBER($F10),ISNUMBER($S10)),IF(AND($F10=CI$4,$AA10=CI$3),$S10,NA()),NA())</f>
        <v/>
      </c>
      <c r="CJ10">
        <f>IF(AND(ISNUMBER($F10),ISNUMBER($S10)),IF(AND($F10=CJ$4,$AA10=CJ$3),$S10,NA()),NA())</f>
        <v/>
      </c>
      <c r="CK10">
        <f>IF(ISNUMBER($R10),$R10,NA())</f>
        <v/>
      </c>
      <c r="CL10">
        <f>IF($A10="","",$A10&amp;IF($T10="Sì"," ◆",""))</f>
        <v/>
      </c>
      <c r="CM10">
        <f>IF(ISNUMBER($S10),$S10,NA())</f>
        <v/>
      </c>
      <c r="CN10" t="inlineStr">
        <is>
          <t>Area del cerchio = P x I</t>
        </is>
      </c>
      <c r="CO10" t="n">
        <v>4.4</v>
      </c>
      <c r="CP10" t="n">
        <v>-8.049999999999999</v>
      </c>
    </row>
    <row r="11">
      <c r="A11">
        <f>IF(Parametri!$H10="","",Parametri!$H10)</f>
        <v/>
      </c>
      <c r="B11">
        <f>IF($A11="","",Parametri!$I10)</f>
        <v/>
      </c>
      <c r="C11">
        <f>IF($A11="","",Parametri!$J10)</f>
        <v/>
      </c>
      <c r="D11">
        <f>IF($A11="",NA(),IF(COUNTIFS(RR_ID_Rischio,$A11,RR_Ciclo,cicloCorrente)=0,NA(),SUMIFS(RR_Impatto,RR_ID_Rischio,$A11,RR_Ciclo,cicloCorrente)))</f>
        <v/>
      </c>
      <c r="E11">
        <f>IF($A11="",NA(),IF(COUNTIFS(RR_ID_Rischio,$A11,RR_Ciclo,cicloCorrente)=0,NA(),SUMIFS(RR_Probabilita,RR_ID_Rischio,$A11,RR_Ciclo,cicloCorrente)))</f>
        <v/>
      </c>
      <c r="F11">
        <f>IF(AND(ISNUMBER(D11),ISNUMBER(E11)),D11*E11,NA())</f>
        <v/>
      </c>
      <c r="G11">
        <f>IF($A11="",NA(),IF(COUNTIFS(RR_ID_Rischio,$A11,RR_Ciclo,cicloCorrente)=0,NA(),SUMIFS(RR_Prossimita,RR_ID_Rischio,$A11,RR_Ciclo,cicloCorrente)))</f>
        <v/>
      </c>
      <c r="H11" s="58">
        <f>IF(ISNUMBER(G11),INDEX(anniProssimita,G11),NA())</f>
        <v/>
      </c>
      <c r="I11" s="58">
        <f>IF($A11="",NA(),moscaX)</f>
        <v/>
      </c>
      <c r="J11" s="58">
        <f>IF($A11="",NA(),MAX(IF(COUNTIFS(AZ_ID_Rischio,$A11,AZ_Ciclo,$AC11,AZ_Stato,"&lt;&gt;Respinta",AZ_Mesi_Orizzonte,"&gt;0")=0,moscaYDefault,_xlfn.MAXIFS(AZ_Mesi_Orizzonte,AZ_ID_Rischio,$A11,AZ_Ciclo,$AC11,AZ_Stato,"&lt;&gt;Respinta")/12),N(Parametri!$M10)))</f>
        <v/>
      </c>
      <c r="K11" s="58">
        <f>IF(AND(ISNUMBER(H11),ISNUMBER(J11)),H11-(I11+J11),NA())</f>
        <v/>
      </c>
      <c r="L11">
        <f>IF(NOT(ISNUMBER(K11)),"",IF(K11&lt;0,"AGIRE ORA: X+Y &gt; Z",IF(K11&lt;1,"Agire entro l'anno","Margine "&amp;ROUND(K11,1)&amp;IF(ROUND(K11,1)=1," anno"," anni"))))</f>
        <v/>
      </c>
      <c r="M11">
        <f>IF($A11="",NA(),MATCH(C11,codiciL1,0)-1)</f>
        <v/>
      </c>
      <c r="N11">
        <f>IF($A11="",NA(),COUNTIF($C$4:C10,C11))</f>
        <v/>
      </c>
      <c r="O11">
        <f>IF($A11="",NA(),COUNTIF(ANA_Event_Type,C11))</f>
        <v/>
      </c>
      <c r="P11" s="58">
        <f>IF($A11="",NA(),2*PI()*(M11+(N11+0.5)/O11)/ROWS(codiciL1))</f>
        <v/>
      </c>
      <c r="Q11" s="58">
        <f>IF(ISNUMBER(K11),MAX(0.6,MIN(6,K11+2)),NA())</f>
        <v/>
      </c>
      <c r="R11" s="58">
        <f>IF(AND(ISNUMBER(Q11),ISNUMBER(P11)),Q11*SIN(P11),NA())</f>
        <v/>
      </c>
      <c r="S11" s="58">
        <f>IF(AND(ISNUMBER(Q11),ISNUMBER(P11)),Q11*COS(P11),NA())</f>
        <v/>
      </c>
      <c r="T11">
        <f>IF($A11="","",IF(Parametri!$N10="Sì","Sì",""))</f>
        <v/>
      </c>
      <c r="U11">
        <f>IF(OR($A11="",NOT(ISNUMBER(K11))),"",IF(K11&lt;0,1,0))</f>
        <v/>
      </c>
      <c r="V11">
        <f>IF(OR($A11="",NOT(ISNUMBER(K11))),"",IF(COUNTIFS(KRI_ID_Rischio,$A11,KRI_Ciclo,cicloCorrente,KRI_In_Vigore,"Sì",KRI_Stato,"Rosso")&gt;0,1,0))</f>
        <v/>
      </c>
      <c r="W11">
        <f>IF(OR($A11="",NOT(ISNUMBER(K11))),"",IF(N(INDEX(posNetti,7))&gt;=sogliaDirezione,1,0))</f>
        <v/>
      </c>
      <c r="X11">
        <f>IF(OR($A11="",NOT(ISNUMBER(K11))),"",IF(AND(ISNUMBER(F11),F11&gt;=livelloPxI),1,0))</f>
        <v/>
      </c>
      <c r="Y11">
        <f>IF(OR($A11="",NOT(ISNUMBER(K11))),"",IF(Parametri!$O10="Assente",1,0))</f>
        <v/>
      </c>
      <c r="Z11">
        <f>IF(OR($A11="",NOT(ISNUMBER(K11))),"",IF(AND(COUNTIFS(KRI_ID_Rischio,$A11,KRI_Ciclo,cicloCorrente,KRI_In_Vigore,"Sì")&gt;0,COUNTIFS(KRI_ID_Rischio,$A11,KRI_Ciclo,cicloCorrente,KRI_In_Vigore,"Sì",KRI_Stato,"Rosso")+COUNTIFS(KRI_ID_Rischio,$A11,KRI_Ciclo,cicloCorrente,KRI_In_Vigore,"Sì",KRI_Stato,"Ambra")&gt;=livelloQuotaKRI*COUNTIFS(KRI_ID_Rischio,$A11,KRI_Ciclo,cicloCorrente,KRI_In_Vigore,"Sì")),1,0))</f>
        <v/>
      </c>
      <c r="AA11">
        <f>IF(OR($A11="",NOT(ISNUMBER(K11))),"",IF((U11+V11+W11)&gt;=livelloForti,"Attivazione",IF(OR((U11+V11+W11)&gt;=1,AND(K11&lt;livelloMargine,(X11+Y11+Z11)&gt;=1)),"Attenzione","Monitoraggio")))</f>
        <v/>
      </c>
      <c r="AB11">
        <f>IF(AA11="","",IF(AA11="Monitoraggio","nessun segnale forte",_xlfn.TEXTJOIN("; ",TRUE,IF(U11=1,"AGIRE ORA",""),IF(V11=1,"KRI in rosso",""),IF(W11=1,"notizie in peggioramento",""),IF((U11+V11+W11)=0,"margine sotto l'anno con "&amp;_xlfn.TEXTJOIN(", ",TRUE,IF(X11=1,"P x I alta",""),IF(Y11=1,"presidio dei controlli assente",""),IF(Z11=1,"KRI in ambra o rosso","")),""))))</f>
        <v/>
      </c>
      <c r="AC11">
        <f>IF($A11="","",IFERROR(IF(INDEX(RR_Periodo_Valutazione,MATCH(cicloCorrente&amp;"|"&amp;$A11,RR_Chiave,0))="",cicloCorrente,INDEX(RR_Periodo_Valutazione,MATCH(cicloCorrente&amp;"|"&amp;$A11,RR_Chiave,0))&amp;""),cicloCorrente))</f>
        <v/>
      </c>
      <c r="AD11">
        <f>2*PI()*6/72</f>
        <v/>
      </c>
      <c r="AE11">
        <f>2*SIN($AD11)</f>
        <v/>
      </c>
      <c r="AF11">
        <f>2*COS($AD11)</f>
        <v/>
      </c>
      <c r="AG11">
        <f>3*SIN($AD11)</f>
        <v/>
      </c>
      <c r="AH11">
        <f>3*COS($AD11)</f>
        <v/>
      </c>
      <c r="AI11">
        <f>4*SIN($AD11)</f>
        <v/>
      </c>
      <c r="AJ11">
        <f>4*COS($AD11)</f>
        <v/>
      </c>
      <c r="AK11">
        <f>5*SIN($AD11)</f>
        <v/>
      </c>
      <c r="AL11">
        <f>5*COS($AD11)</f>
        <v/>
      </c>
      <c r="AN11" t="n">
        <v>0</v>
      </c>
      <c r="AO11" t="n">
        <v>0</v>
      </c>
      <c r="AQ11" t="inlineStr">
        <is>
          <t>9.9
Terze parti</t>
        </is>
      </c>
      <c r="AR11">
        <f>6.95*SIN(2*PI()*(6+0.5)/ROWS(codiciL1))</f>
        <v/>
      </c>
      <c r="AS11">
        <f>6.95*COS(2*PI()*(6+0.5)/ROWS(codiciL1))</f>
        <v/>
      </c>
      <c r="AU11">
        <f>IF(AND(ISNUMBER($F11),ISNUMBER($S11)),IF(AND($F11=AU$4,$AA11=AU$3),$S11,NA()),NA())</f>
        <v/>
      </c>
      <c r="AV11">
        <f>IF(AND(ISNUMBER($F11),ISNUMBER($S11)),IF(AND($F11=AV$4,$AA11=AV$3),$S11,NA()),NA())</f>
        <v/>
      </c>
      <c r="AW11">
        <f>IF(AND(ISNUMBER($F11),ISNUMBER($S11)),IF(AND($F11=AW$4,$AA11=AW$3),$S11,NA()),NA())</f>
        <v/>
      </c>
      <c r="AX11">
        <f>IF(AND(ISNUMBER($F11),ISNUMBER($S11)),IF(AND($F11=AX$4,$AA11=AX$3),$S11,NA()),NA())</f>
        <v/>
      </c>
      <c r="AY11">
        <f>IF(AND(ISNUMBER($F11),ISNUMBER($S11)),IF(AND($F11=AY$4,$AA11=AY$3),$S11,NA()),NA())</f>
        <v/>
      </c>
      <c r="AZ11">
        <f>IF(AND(ISNUMBER($F11),ISNUMBER($S11)),IF(AND($F11=AZ$4,$AA11=AZ$3),$S11,NA()),NA())</f>
        <v/>
      </c>
      <c r="BA11">
        <f>IF(AND(ISNUMBER($F11),ISNUMBER($S11)),IF(AND($F11=BA$4,$AA11=BA$3),$S11,NA()),NA())</f>
        <v/>
      </c>
      <c r="BB11">
        <f>IF(AND(ISNUMBER($F11),ISNUMBER($S11)),IF(AND($F11=BB$4,$AA11=BB$3),$S11,NA()),NA())</f>
        <v/>
      </c>
      <c r="BC11">
        <f>IF(AND(ISNUMBER($F11),ISNUMBER($S11)),IF(AND($F11=BC$4,$AA11=BC$3),$S11,NA()),NA())</f>
        <v/>
      </c>
      <c r="BD11">
        <f>IF(AND(ISNUMBER($F11),ISNUMBER($S11)),IF(AND($F11=BD$4,$AA11=BD$3),$S11,NA()),NA())</f>
        <v/>
      </c>
      <c r="BE11">
        <f>IF(AND(ISNUMBER($F11),ISNUMBER($S11)),IF(AND($F11=BE$4,$AA11=BE$3),$S11,NA()),NA())</f>
        <v/>
      </c>
      <c r="BF11">
        <f>IF(AND(ISNUMBER($F11),ISNUMBER($S11)),IF(AND($F11=BF$4,$AA11=BF$3),$S11,NA()),NA())</f>
        <v/>
      </c>
      <c r="BG11">
        <f>IF(AND(ISNUMBER($F11),ISNUMBER($S11)),IF(AND($F11=BG$4,$AA11=BG$3),$S11,NA()),NA())</f>
        <v/>
      </c>
      <c r="BH11">
        <f>IF(AND(ISNUMBER($F11),ISNUMBER($S11)),IF(AND($F11=BH$4,$AA11=BH$3),$S11,NA()),NA())</f>
        <v/>
      </c>
      <c r="BI11">
        <f>IF(AND(ISNUMBER($F11),ISNUMBER($S11)),IF(AND($F11=BI$4,$AA11=BI$3),$S11,NA()),NA())</f>
        <v/>
      </c>
      <c r="BJ11">
        <f>IF(AND(ISNUMBER($F11),ISNUMBER($S11)),IF(AND($F11=BJ$4,$AA11=BJ$3),$S11,NA()),NA())</f>
        <v/>
      </c>
      <c r="BK11">
        <f>IF(AND(ISNUMBER($F11),ISNUMBER($S11)),IF(AND($F11=BK$4,$AA11=BK$3),$S11,NA()),NA())</f>
        <v/>
      </c>
      <c r="BL11">
        <f>IF(AND(ISNUMBER($F11),ISNUMBER($S11)),IF(AND($F11=BL$4,$AA11=BL$3),$S11,NA()),NA())</f>
        <v/>
      </c>
      <c r="BM11">
        <f>IF(AND(ISNUMBER($F11),ISNUMBER($S11)),IF(AND($F11=BM$4,$AA11=BM$3),$S11,NA()),NA())</f>
        <v/>
      </c>
      <c r="BN11">
        <f>IF(AND(ISNUMBER($F11),ISNUMBER($S11)),IF(AND($F11=BN$4,$AA11=BN$3),$S11,NA()),NA())</f>
        <v/>
      </c>
      <c r="BO11">
        <f>IF(AND(ISNUMBER($F11),ISNUMBER($S11)),IF(AND($F11=BO$4,$AA11=BO$3),$S11,NA()),NA())</f>
        <v/>
      </c>
      <c r="BP11">
        <f>IF(AND(ISNUMBER($F11),ISNUMBER($S11)),IF(AND($F11=BP$4,$AA11=BP$3),$S11,NA()),NA())</f>
        <v/>
      </c>
      <c r="BQ11">
        <f>IF(AND(ISNUMBER($F11),ISNUMBER($S11)),IF(AND($F11=BQ$4,$AA11=BQ$3),$S11,NA()),NA())</f>
        <v/>
      </c>
      <c r="BR11">
        <f>IF(AND(ISNUMBER($F11),ISNUMBER($S11)),IF(AND($F11=BR$4,$AA11=BR$3),$S11,NA()),NA())</f>
        <v/>
      </c>
      <c r="BS11">
        <f>IF(AND(ISNUMBER($F11),ISNUMBER($S11)),IF(AND($F11=BS$4,$AA11=BS$3),$S11,NA()),NA())</f>
        <v/>
      </c>
      <c r="BT11">
        <f>IF(AND(ISNUMBER($F11),ISNUMBER($S11)),IF(AND($F11=BT$4,$AA11=BT$3),$S11,NA()),NA())</f>
        <v/>
      </c>
      <c r="BU11">
        <f>IF(AND(ISNUMBER($F11),ISNUMBER($S11)),IF(AND($F11=BU$4,$AA11=BU$3),$S11,NA()),NA())</f>
        <v/>
      </c>
      <c r="BV11">
        <f>IF(AND(ISNUMBER($F11),ISNUMBER($S11)),IF(AND($F11=BV$4,$AA11=BV$3),$S11,NA()),NA())</f>
        <v/>
      </c>
      <c r="BW11">
        <f>IF(AND(ISNUMBER($F11),ISNUMBER($S11)),IF(AND($F11=BW$4,$AA11=BW$3),$S11,NA()),NA())</f>
        <v/>
      </c>
      <c r="BX11">
        <f>IF(AND(ISNUMBER($F11),ISNUMBER($S11)),IF(AND($F11=BX$4,$AA11=BX$3),$S11,NA()),NA())</f>
        <v/>
      </c>
      <c r="BY11">
        <f>IF(AND(ISNUMBER($F11),ISNUMBER($S11)),IF(AND($F11=BY$4,$AA11=BY$3),$S11,NA()),NA())</f>
        <v/>
      </c>
      <c r="BZ11">
        <f>IF(AND(ISNUMBER($F11),ISNUMBER($S11)),IF(AND($F11=BZ$4,$AA11=BZ$3),$S11,NA()),NA())</f>
        <v/>
      </c>
      <c r="CA11">
        <f>IF(AND(ISNUMBER($F11),ISNUMBER($S11)),IF(AND($F11=CA$4,$AA11=CA$3),$S11,NA()),NA())</f>
        <v/>
      </c>
      <c r="CB11">
        <f>IF(AND(ISNUMBER($F11),ISNUMBER($S11)),IF(AND($F11=CB$4,$AA11=CB$3),$S11,NA()),NA())</f>
        <v/>
      </c>
      <c r="CC11">
        <f>IF(AND(ISNUMBER($F11),ISNUMBER($S11)),IF(AND($F11=CC$4,$AA11=CC$3),$S11,NA()),NA())</f>
        <v/>
      </c>
      <c r="CD11">
        <f>IF(AND(ISNUMBER($F11),ISNUMBER($S11)),IF(AND($F11=CD$4,$AA11=CD$3),$S11,NA()),NA())</f>
        <v/>
      </c>
      <c r="CE11">
        <f>IF(AND(ISNUMBER($F11),ISNUMBER($S11)),IF(AND($F11=CE$4,$AA11=CE$3),$S11,NA()),NA())</f>
        <v/>
      </c>
      <c r="CF11">
        <f>IF(AND(ISNUMBER($F11),ISNUMBER($S11)),IF(AND($F11=CF$4,$AA11=CF$3),$S11,NA()),NA())</f>
        <v/>
      </c>
      <c r="CG11">
        <f>IF(AND(ISNUMBER($F11),ISNUMBER($S11)),IF(AND($F11=CG$4,$AA11=CG$3),$S11,NA()),NA())</f>
        <v/>
      </c>
      <c r="CH11">
        <f>IF(AND(ISNUMBER($F11),ISNUMBER($S11)),IF(AND($F11=CH$4,$AA11=CH$3),$S11,NA()),NA())</f>
        <v/>
      </c>
      <c r="CI11">
        <f>IF(AND(ISNUMBER($F11),ISNUMBER($S11)),IF(AND($F11=CI$4,$AA11=CI$3),$S11,NA()),NA())</f>
        <v/>
      </c>
      <c r="CJ11">
        <f>IF(AND(ISNUMBER($F11),ISNUMBER($S11)),IF(AND($F11=CJ$4,$AA11=CJ$3),$S11,NA()),NA())</f>
        <v/>
      </c>
      <c r="CK11">
        <f>IF(ISNUMBER($R11),$R11,NA())</f>
        <v/>
      </c>
      <c r="CL11">
        <f>IF($A11="","",$A11&amp;IF($T11="Sì"," ◆",""))</f>
        <v/>
      </c>
      <c r="CM11">
        <f>IF(ISNUMBER($S11),$S11,NA())</f>
        <v/>
      </c>
      <c r="CN11" t="inlineStr">
        <is>
          <t>4</t>
        </is>
      </c>
      <c r="CO11" t="n">
        <v>3.5</v>
      </c>
      <c r="CP11" t="n">
        <v>-9.1</v>
      </c>
    </row>
    <row r="12">
      <c r="A12">
        <f>IF(Parametri!$H11="","",Parametri!$H11)</f>
        <v/>
      </c>
      <c r="B12">
        <f>IF($A12="","",Parametri!$I11)</f>
        <v/>
      </c>
      <c r="C12">
        <f>IF($A12="","",Parametri!$J11)</f>
        <v/>
      </c>
      <c r="D12">
        <f>IF($A12="",NA(),IF(COUNTIFS(RR_ID_Rischio,$A12,RR_Ciclo,cicloCorrente)=0,NA(),SUMIFS(RR_Impatto,RR_ID_Rischio,$A12,RR_Ciclo,cicloCorrente)))</f>
        <v/>
      </c>
      <c r="E12">
        <f>IF($A12="",NA(),IF(COUNTIFS(RR_ID_Rischio,$A12,RR_Ciclo,cicloCorrente)=0,NA(),SUMIFS(RR_Probabilita,RR_ID_Rischio,$A12,RR_Ciclo,cicloCorrente)))</f>
        <v/>
      </c>
      <c r="F12">
        <f>IF(AND(ISNUMBER(D12),ISNUMBER(E12)),D12*E12,NA())</f>
        <v/>
      </c>
      <c r="G12">
        <f>IF($A12="",NA(),IF(COUNTIFS(RR_ID_Rischio,$A12,RR_Ciclo,cicloCorrente)=0,NA(),SUMIFS(RR_Prossimita,RR_ID_Rischio,$A12,RR_Ciclo,cicloCorrente)))</f>
        <v/>
      </c>
      <c r="H12" s="58">
        <f>IF(ISNUMBER(G12),INDEX(anniProssimita,G12),NA())</f>
        <v/>
      </c>
      <c r="I12" s="58">
        <f>IF($A12="",NA(),moscaX)</f>
        <v/>
      </c>
      <c r="J12" s="58">
        <f>IF($A12="",NA(),MAX(IF(COUNTIFS(AZ_ID_Rischio,$A12,AZ_Ciclo,$AC12,AZ_Stato,"&lt;&gt;Respinta",AZ_Mesi_Orizzonte,"&gt;0")=0,moscaYDefault,_xlfn.MAXIFS(AZ_Mesi_Orizzonte,AZ_ID_Rischio,$A12,AZ_Ciclo,$AC12,AZ_Stato,"&lt;&gt;Respinta")/12),N(Parametri!$M11)))</f>
        <v/>
      </c>
      <c r="K12" s="58">
        <f>IF(AND(ISNUMBER(H12),ISNUMBER(J12)),H12-(I12+J12),NA())</f>
        <v/>
      </c>
      <c r="L12">
        <f>IF(NOT(ISNUMBER(K12)),"",IF(K12&lt;0,"AGIRE ORA: X+Y &gt; Z",IF(K12&lt;1,"Agire entro l'anno","Margine "&amp;ROUND(K12,1)&amp;IF(ROUND(K12,1)=1," anno"," anni"))))</f>
        <v/>
      </c>
      <c r="M12">
        <f>IF($A12="",NA(),MATCH(C12,codiciL1,0)-1)</f>
        <v/>
      </c>
      <c r="N12">
        <f>IF($A12="",NA(),COUNTIF($C$4:C11,C12))</f>
        <v/>
      </c>
      <c r="O12">
        <f>IF($A12="",NA(),COUNTIF(ANA_Event_Type,C12))</f>
        <v/>
      </c>
      <c r="P12" s="58">
        <f>IF($A12="",NA(),2*PI()*(M12+(N12+0.5)/O12)/ROWS(codiciL1))</f>
        <v/>
      </c>
      <c r="Q12" s="58">
        <f>IF(ISNUMBER(K12),MAX(0.6,MIN(6,K12+2)),NA())</f>
        <v/>
      </c>
      <c r="R12" s="58">
        <f>IF(AND(ISNUMBER(Q12),ISNUMBER(P12)),Q12*SIN(P12),NA())</f>
        <v/>
      </c>
      <c r="S12" s="58">
        <f>IF(AND(ISNUMBER(Q12),ISNUMBER(P12)),Q12*COS(P12),NA())</f>
        <v/>
      </c>
      <c r="T12">
        <f>IF($A12="","",IF(Parametri!$N11="Sì","Sì",""))</f>
        <v/>
      </c>
      <c r="U12">
        <f>IF(OR($A12="",NOT(ISNUMBER(K12))),"",IF(K12&lt;0,1,0))</f>
        <v/>
      </c>
      <c r="V12">
        <f>IF(OR($A12="",NOT(ISNUMBER(K12))),"",IF(COUNTIFS(KRI_ID_Rischio,$A12,KRI_Ciclo,cicloCorrente,KRI_In_Vigore,"Sì",KRI_Stato,"Rosso")&gt;0,1,0))</f>
        <v/>
      </c>
      <c r="W12">
        <f>IF(OR($A12="",NOT(ISNUMBER(K12))),"",IF(N(INDEX(posNetti,8))&gt;=sogliaDirezione,1,0))</f>
        <v/>
      </c>
      <c r="X12">
        <f>IF(OR($A12="",NOT(ISNUMBER(K12))),"",IF(AND(ISNUMBER(F12),F12&gt;=livelloPxI),1,0))</f>
        <v/>
      </c>
      <c r="Y12">
        <f>IF(OR($A12="",NOT(ISNUMBER(K12))),"",IF(Parametri!$O11="Assente",1,0))</f>
        <v/>
      </c>
      <c r="Z12">
        <f>IF(OR($A12="",NOT(ISNUMBER(K12))),"",IF(AND(COUNTIFS(KRI_ID_Rischio,$A12,KRI_Ciclo,cicloCorrente,KRI_In_Vigore,"Sì")&gt;0,COUNTIFS(KRI_ID_Rischio,$A12,KRI_Ciclo,cicloCorrente,KRI_In_Vigore,"Sì",KRI_Stato,"Rosso")+COUNTIFS(KRI_ID_Rischio,$A12,KRI_Ciclo,cicloCorrente,KRI_In_Vigore,"Sì",KRI_Stato,"Ambra")&gt;=livelloQuotaKRI*COUNTIFS(KRI_ID_Rischio,$A12,KRI_Ciclo,cicloCorrente,KRI_In_Vigore,"Sì")),1,0))</f>
        <v/>
      </c>
      <c r="AA12">
        <f>IF(OR($A12="",NOT(ISNUMBER(K12))),"",IF((U12+V12+W12)&gt;=livelloForti,"Attivazione",IF(OR((U12+V12+W12)&gt;=1,AND(K12&lt;livelloMargine,(X12+Y12+Z12)&gt;=1)),"Attenzione","Monitoraggio")))</f>
        <v/>
      </c>
      <c r="AB12">
        <f>IF(AA12="","",IF(AA12="Monitoraggio","nessun segnale forte",_xlfn.TEXTJOIN("; ",TRUE,IF(U12=1,"AGIRE ORA",""),IF(V12=1,"KRI in rosso",""),IF(W12=1,"notizie in peggioramento",""),IF((U12+V12+W12)=0,"margine sotto l'anno con "&amp;_xlfn.TEXTJOIN(", ",TRUE,IF(X12=1,"P x I alta",""),IF(Y12=1,"presidio dei controlli assente",""),IF(Z12=1,"KRI in ambra o rosso","")),""))))</f>
        <v/>
      </c>
      <c r="AC12">
        <f>IF($A12="","",IFERROR(IF(INDEX(RR_Periodo_Valutazione,MATCH(cicloCorrente&amp;"|"&amp;$A12,RR_Chiave,0))="",cicloCorrente,INDEX(RR_Periodo_Valutazione,MATCH(cicloCorrente&amp;"|"&amp;$A12,RR_Chiave,0))&amp;""),cicloCorrente))</f>
        <v/>
      </c>
      <c r="AD12">
        <f>2*PI()*7/72</f>
        <v/>
      </c>
      <c r="AE12">
        <f>2*SIN($AD12)</f>
        <v/>
      </c>
      <c r="AF12">
        <f>2*COS($AD12)</f>
        <v/>
      </c>
      <c r="AG12">
        <f>3*SIN($AD12)</f>
        <v/>
      </c>
      <c r="AH12">
        <f>3*COS($AD12)</f>
        <v/>
      </c>
      <c r="AI12">
        <f>4*SIN($AD12)</f>
        <v/>
      </c>
      <c r="AJ12">
        <f>4*COS($AD12)</f>
        <v/>
      </c>
      <c r="AK12">
        <f>5*SIN($AD12)</f>
        <v/>
      </c>
      <c r="AL12">
        <f>5*COS($AD12)</f>
        <v/>
      </c>
      <c r="AN12">
        <f>6.3*SIN(2*PI()*3/ROWS(codiciL1))</f>
        <v/>
      </c>
      <c r="AO12">
        <f>6.3*COS(2*PI()*3/ROWS(codiciL1))</f>
        <v/>
      </c>
      <c r="AQ12" t="inlineStr">
        <is>
          <t>9.11
Employer</t>
        </is>
      </c>
      <c r="AR12">
        <f>6.95*SIN(2*PI()*(7+0.5)/ROWS(codiciL1))</f>
        <v/>
      </c>
      <c r="AS12">
        <f>6.95*COS(2*PI()*(7+0.5)/ROWS(codiciL1))</f>
        <v/>
      </c>
      <c r="AU12">
        <f>IF(AND(ISNUMBER($F12),ISNUMBER($S12)),IF(AND($F12=AU$4,$AA12=AU$3),$S12,NA()),NA())</f>
        <v/>
      </c>
      <c r="AV12">
        <f>IF(AND(ISNUMBER($F12),ISNUMBER($S12)),IF(AND($F12=AV$4,$AA12=AV$3),$S12,NA()),NA())</f>
        <v/>
      </c>
      <c r="AW12">
        <f>IF(AND(ISNUMBER($F12),ISNUMBER($S12)),IF(AND($F12=AW$4,$AA12=AW$3),$S12,NA()),NA())</f>
        <v/>
      </c>
      <c r="AX12">
        <f>IF(AND(ISNUMBER($F12),ISNUMBER($S12)),IF(AND($F12=AX$4,$AA12=AX$3),$S12,NA()),NA())</f>
        <v/>
      </c>
      <c r="AY12">
        <f>IF(AND(ISNUMBER($F12),ISNUMBER($S12)),IF(AND($F12=AY$4,$AA12=AY$3),$S12,NA()),NA())</f>
        <v/>
      </c>
      <c r="AZ12">
        <f>IF(AND(ISNUMBER($F12),ISNUMBER($S12)),IF(AND($F12=AZ$4,$AA12=AZ$3),$S12,NA()),NA())</f>
        <v/>
      </c>
      <c r="BA12">
        <f>IF(AND(ISNUMBER($F12),ISNUMBER($S12)),IF(AND($F12=BA$4,$AA12=BA$3),$S12,NA()),NA())</f>
        <v/>
      </c>
      <c r="BB12">
        <f>IF(AND(ISNUMBER($F12),ISNUMBER($S12)),IF(AND($F12=BB$4,$AA12=BB$3),$S12,NA()),NA())</f>
        <v/>
      </c>
      <c r="BC12">
        <f>IF(AND(ISNUMBER($F12),ISNUMBER($S12)),IF(AND($F12=BC$4,$AA12=BC$3),$S12,NA()),NA())</f>
        <v/>
      </c>
      <c r="BD12">
        <f>IF(AND(ISNUMBER($F12),ISNUMBER($S12)),IF(AND($F12=BD$4,$AA12=BD$3),$S12,NA()),NA())</f>
        <v/>
      </c>
      <c r="BE12">
        <f>IF(AND(ISNUMBER($F12),ISNUMBER($S12)),IF(AND($F12=BE$4,$AA12=BE$3),$S12,NA()),NA())</f>
        <v/>
      </c>
      <c r="BF12">
        <f>IF(AND(ISNUMBER($F12),ISNUMBER($S12)),IF(AND($F12=BF$4,$AA12=BF$3),$S12,NA()),NA())</f>
        <v/>
      </c>
      <c r="BG12">
        <f>IF(AND(ISNUMBER($F12),ISNUMBER($S12)),IF(AND($F12=BG$4,$AA12=BG$3),$S12,NA()),NA())</f>
        <v/>
      </c>
      <c r="BH12">
        <f>IF(AND(ISNUMBER($F12),ISNUMBER($S12)),IF(AND($F12=BH$4,$AA12=BH$3),$S12,NA()),NA())</f>
        <v/>
      </c>
      <c r="BI12">
        <f>IF(AND(ISNUMBER($F12),ISNUMBER($S12)),IF(AND($F12=BI$4,$AA12=BI$3),$S12,NA()),NA())</f>
        <v/>
      </c>
      <c r="BJ12">
        <f>IF(AND(ISNUMBER($F12),ISNUMBER($S12)),IF(AND($F12=BJ$4,$AA12=BJ$3),$S12,NA()),NA())</f>
        <v/>
      </c>
      <c r="BK12">
        <f>IF(AND(ISNUMBER($F12),ISNUMBER($S12)),IF(AND($F12=BK$4,$AA12=BK$3),$S12,NA()),NA())</f>
        <v/>
      </c>
      <c r="BL12">
        <f>IF(AND(ISNUMBER($F12),ISNUMBER($S12)),IF(AND($F12=BL$4,$AA12=BL$3),$S12,NA()),NA())</f>
        <v/>
      </c>
      <c r="BM12">
        <f>IF(AND(ISNUMBER($F12),ISNUMBER($S12)),IF(AND($F12=BM$4,$AA12=BM$3),$S12,NA()),NA())</f>
        <v/>
      </c>
      <c r="BN12">
        <f>IF(AND(ISNUMBER($F12),ISNUMBER($S12)),IF(AND($F12=BN$4,$AA12=BN$3),$S12,NA()),NA())</f>
        <v/>
      </c>
      <c r="BO12">
        <f>IF(AND(ISNUMBER($F12),ISNUMBER($S12)),IF(AND($F12=BO$4,$AA12=BO$3),$S12,NA()),NA())</f>
        <v/>
      </c>
      <c r="BP12">
        <f>IF(AND(ISNUMBER($F12),ISNUMBER($S12)),IF(AND($F12=BP$4,$AA12=BP$3),$S12,NA()),NA())</f>
        <v/>
      </c>
      <c r="BQ12">
        <f>IF(AND(ISNUMBER($F12),ISNUMBER($S12)),IF(AND($F12=BQ$4,$AA12=BQ$3),$S12,NA()),NA())</f>
        <v/>
      </c>
      <c r="BR12">
        <f>IF(AND(ISNUMBER($F12),ISNUMBER($S12)),IF(AND($F12=BR$4,$AA12=BR$3),$S12,NA()),NA())</f>
        <v/>
      </c>
      <c r="BS12">
        <f>IF(AND(ISNUMBER($F12),ISNUMBER($S12)),IF(AND($F12=BS$4,$AA12=BS$3),$S12,NA()),NA())</f>
        <v/>
      </c>
      <c r="BT12">
        <f>IF(AND(ISNUMBER($F12),ISNUMBER($S12)),IF(AND($F12=BT$4,$AA12=BT$3),$S12,NA()),NA())</f>
        <v/>
      </c>
      <c r="BU12">
        <f>IF(AND(ISNUMBER($F12),ISNUMBER($S12)),IF(AND($F12=BU$4,$AA12=BU$3),$S12,NA()),NA())</f>
        <v/>
      </c>
      <c r="BV12">
        <f>IF(AND(ISNUMBER($F12),ISNUMBER($S12)),IF(AND($F12=BV$4,$AA12=BV$3),$S12,NA()),NA())</f>
        <v/>
      </c>
      <c r="BW12">
        <f>IF(AND(ISNUMBER($F12),ISNUMBER($S12)),IF(AND($F12=BW$4,$AA12=BW$3),$S12,NA()),NA())</f>
        <v/>
      </c>
      <c r="BX12">
        <f>IF(AND(ISNUMBER($F12),ISNUMBER($S12)),IF(AND($F12=BX$4,$AA12=BX$3),$S12,NA()),NA())</f>
        <v/>
      </c>
      <c r="BY12">
        <f>IF(AND(ISNUMBER($F12),ISNUMBER($S12)),IF(AND($F12=BY$4,$AA12=BY$3),$S12,NA()),NA())</f>
        <v/>
      </c>
      <c r="BZ12">
        <f>IF(AND(ISNUMBER($F12),ISNUMBER($S12)),IF(AND($F12=BZ$4,$AA12=BZ$3),$S12,NA()),NA())</f>
        <v/>
      </c>
      <c r="CA12">
        <f>IF(AND(ISNUMBER($F12),ISNUMBER($S12)),IF(AND($F12=CA$4,$AA12=CA$3),$S12,NA()),NA())</f>
        <v/>
      </c>
      <c r="CB12">
        <f>IF(AND(ISNUMBER($F12),ISNUMBER($S12)),IF(AND($F12=CB$4,$AA12=CB$3),$S12,NA()),NA())</f>
        <v/>
      </c>
      <c r="CC12">
        <f>IF(AND(ISNUMBER($F12),ISNUMBER($S12)),IF(AND($F12=CC$4,$AA12=CC$3),$S12,NA()),NA())</f>
        <v/>
      </c>
      <c r="CD12">
        <f>IF(AND(ISNUMBER($F12),ISNUMBER($S12)),IF(AND($F12=CD$4,$AA12=CD$3),$S12,NA()),NA())</f>
        <v/>
      </c>
      <c r="CE12">
        <f>IF(AND(ISNUMBER($F12),ISNUMBER($S12)),IF(AND($F12=CE$4,$AA12=CE$3),$S12,NA()),NA())</f>
        <v/>
      </c>
      <c r="CF12">
        <f>IF(AND(ISNUMBER($F12),ISNUMBER($S12)),IF(AND($F12=CF$4,$AA12=CF$3),$S12,NA()),NA())</f>
        <v/>
      </c>
      <c r="CG12">
        <f>IF(AND(ISNUMBER($F12),ISNUMBER($S12)),IF(AND($F12=CG$4,$AA12=CG$3),$S12,NA()),NA())</f>
        <v/>
      </c>
      <c r="CH12">
        <f>IF(AND(ISNUMBER($F12),ISNUMBER($S12)),IF(AND($F12=CH$4,$AA12=CH$3),$S12,NA()),NA())</f>
        <v/>
      </c>
      <c r="CI12">
        <f>IF(AND(ISNUMBER($F12),ISNUMBER($S12)),IF(AND($F12=CI$4,$AA12=CI$3),$S12,NA()),NA())</f>
        <v/>
      </c>
      <c r="CJ12">
        <f>IF(AND(ISNUMBER($F12),ISNUMBER($S12)),IF(AND($F12=CJ$4,$AA12=CJ$3),$S12,NA()),NA())</f>
        <v/>
      </c>
      <c r="CK12">
        <f>IF(ISNUMBER($R12),$R12,NA())</f>
        <v/>
      </c>
      <c r="CL12">
        <f>IF($A12="","",$A12&amp;IF($T12="Sì"," ◆",""))</f>
        <v/>
      </c>
      <c r="CM12">
        <f>IF(ISNUMBER($S12),$S12,NA())</f>
        <v/>
      </c>
      <c r="CN12" t="inlineStr">
        <is>
          <t>12</t>
        </is>
      </c>
      <c r="CO12" t="n">
        <v>4.8</v>
      </c>
      <c r="CP12" t="n">
        <v>-9.1</v>
      </c>
    </row>
    <row r="13">
      <c r="A13">
        <f>IF(Parametri!$H12="","",Parametri!$H12)</f>
        <v/>
      </c>
      <c r="B13">
        <f>IF($A13="","",Parametri!$I12)</f>
        <v/>
      </c>
      <c r="C13">
        <f>IF($A13="","",Parametri!$J12)</f>
        <v/>
      </c>
      <c r="D13">
        <f>IF($A13="",NA(),IF(COUNTIFS(RR_ID_Rischio,$A13,RR_Ciclo,cicloCorrente)=0,NA(),SUMIFS(RR_Impatto,RR_ID_Rischio,$A13,RR_Ciclo,cicloCorrente)))</f>
        <v/>
      </c>
      <c r="E13">
        <f>IF($A13="",NA(),IF(COUNTIFS(RR_ID_Rischio,$A13,RR_Ciclo,cicloCorrente)=0,NA(),SUMIFS(RR_Probabilita,RR_ID_Rischio,$A13,RR_Ciclo,cicloCorrente)))</f>
        <v/>
      </c>
      <c r="F13">
        <f>IF(AND(ISNUMBER(D13),ISNUMBER(E13)),D13*E13,NA())</f>
        <v/>
      </c>
      <c r="G13">
        <f>IF($A13="",NA(),IF(COUNTIFS(RR_ID_Rischio,$A13,RR_Ciclo,cicloCorrente)=0,NA(),SUMIFS(RR_Prossimita,RR_ID_Rischio,$A13,RR_Ciclo,cicloCorrente)))</f>
        <v/>
      </c>
      <c r="H13" s="58">
        <f>IF(ISNUMBER(G13),INDEX(anniProssimita,G13),NA())</f>
        <v/>
      </c>
      <c r="I13" s="58">
        <f>IF($A13="",NA(),moscaX)</f>
        <v/>
      </c>
      <c r="J13" s="58">
        <f>IF($A13="",NA(),MAX(IF(COUNTIFS(AZ_ID_Rischio,$A13,AZ_Ciclo,$AC13,AZ_Stato,"&lt;&gt;Respinta",AZ_Mesi_Orizzonte,"&gt;0")=0,moscaYDefault,_xlfn.MAXIFS(AZ_Mesi_Orizzonte,AZ_ID_Rischio,$A13,AZ_Ciclo,$AC13,AZ_Stato,"&lt;&gt;Respinta")/12),N(Parametri!$M12)))</f>
        <v/>
      </c>
      <c r="K13" s="58">
        <f>IF(AND(ISNUMBER(H13),ISNUMBER(J13)),H13-(I13+J13),NA())</f>
        <v/>
      </c>
      <c r="L13">
        <f>IF(NOT(ISNUMBER(K13)),"",IF(K13&lt;0,"AGIRE ORA: X+Y &gt; Z",IF(K13&lt;1,"Agire entro l'anno","Margine "&amp;ROUND(K13,1)&amp;IF(ROUND(K13,1)=1," anno"," anni"))))</f>
        <v/>
      </c>
      <c r="M13">
        <f>IF($A13="",NA(),MATCH(C13,codiciL1,0)-1)</f>
        <v/>
      </c>
      <c r="N13">
        <f>IF($A13="",NA(),COUNTIF($C$4:C12,C13))</f>
        <v/>
      </c>
      <c r="O13">
        <f>IF($A13="",NA(),COUNTIF(ANA_Event_Type,C13))</f>
        <v/>
      </c>
      <c r="P13" s="58">
        <f>IF($A13="",NA(),2*PI()*(M13+(N13+0.5)/O13)/ROWS(codiciL1))</f>
        <v/>
      </c>
      <c r="Q13" s="58">
        <f>IF(ISNUMBER(K13),MAX(0.6,MIN(6,K13+2)),NA())</f>
        <v/>
      </c>
      <c r="R13" s="58">
        <f>IF(AND(ISNUMBER(Q13),ISNUMBER(P13)),Q13*SIN(P13),NA())</f>
        <v/>
      </c>
      <c r="S13" s="58">
        <f>IF(AND(ISNUMBER(Q13),ISNUMBER(P13)),Q13*COS(P13),NA())</f>
        <v/>
      </c>
      <c r="T13">
        <f>IF($A13="","",IF(Parametri!$N12="Sì","Sì",""))</f>
        <v/>
      </c>
      <c r="U13">
        <f>IF(OR($A13="",NOT(ISNUMBER(K13))),"",IF(K13&lt;0,1,0))</f>
        <v/>
      </c>
      <c r="V13">
        <f>IF(OR($A13="",NOT(ISNUMBER(K13))),"",IF(COUNTIFS(KRI_ID_Rischio,$A13,KRI_Ciclo,cicloCorrente,KRI_In_Vigore,"Sì",KRI_Stato,"Rosso")&gt;0,1,0))</f>
        <v/>
      </c>
      <c r="W13">
        <f>IF(OR($A13="",NOT(ISNUMBER(K13))),"",IF(N(INDEX(posNetti,9))&gt;=sogliaDirezione,1,0))</f>
        <v/>
      </c>
      <c r="X13">
        <f>IF(OR($A13="",NOT(ISNUMBER(K13))),"",IF(AND(ISNUMBER(F13),F13&gt;=livelloPxI),1,0))</f>
        <v/>
      </c>
      <c r="Y13">
        <f>IF(OR($A13="",NOT(ISNUMBER(K13))),"",IF(Parametri!$O12="Assente",1,0))</f>
        <v/>
      </c>
      <c r="Z13">
        <f>IF(OR($A13="",NOT(ISNUMBER(K13))),"",IF(AND(COUNTIFS(KRI_ID_Rischio,$A13,KRI_Ciclo,cicloCorrente,KRI_In_Vigore,"Sì")&gt;0,COUNTIFS(KRI_ID_Rischio,$A13,KRI_Ciclo,cicloCorrente,KRI_In_Vigore,"Sì",KRI_Stato,"Rosso")+COUNTIFS(KRI_ID_Rischio,$A13,KRI_Ciclo,cicloCorrente,KRI_In_Vigore,"Sì",KRI_Stato,"Ambra")&gt;=livelloQuotaKRI*COUNTIFS(KRI_ID_Rischio,$A13,KRI_Ciclo,cicloCorrente,KRI_In_Vigore,"Sì")),1,0))</f>
        <v/>
      </c>
      <c r="AA13">
        <f>IF(OR($A13="",NOT(ISNUMBER(K13))),"",IF((U13+V13+W13)&gt;=livelloForti,"Attivazione",IF(OR((U13+V13+W13)&gt;=1,AND(K13&lt;livelloMargine,(X13+Y13+Z13)&gt;=1)),"Attenzione","Monitoraggio")))</f>
        <v/>
      </c>
      <c r="AB13">
        <f>IF(AA13="","",IF(AA13="Monitoraggio","nessun segnale forte",_xlfn.TEXTJOIN("; ",TRUE,IF(U13=1,"AGIRE ORA",""),IF(V13=1,"KRI in rosso",""),IF(W13=1,"notizie in peggioramento",""),IF((U13+V13+W13)=0,"margine sotto l'anno con "&amp;_xlfn.TEXTJOIN(", ",TRUE,IF(X13=1,"P x I alta",""),IF(Y13=1,"presidio dei controlli assente",""),IF(Z13=1,"KRI in ambra o rosso","")),""))))</f>
        <v/>
      </c>
      <c r="AC13">
        <f>IF($A13="","",IFERROR(IF(INDEX(RR_Periodo_Valutazione,MATCH(cicloCorrente&amp;"|"&amp;$A13,RR_Chiave,0))="",cicloCorrente,INDEX(RR_Periodo_Valutazione,MATCH(cicloCorrente&amp;"|"&amp;$A13,RR_Chiave,0))&amp;""),cicloCorrente))</f>
        <v/>
      </c>
      <c r="AD13">
        <f>2*PI()*8/72</f>
        <v/>
      </c>
      <c r="AE13">
        <f>2*SIN($AD13)</f>
        <v/>
      </c>
      <c r="AF13">
        <f>2*COS($AD13)</f>
        <v/>
      </c>
      <c r="AG13">
        <f>3*SIN($AD13)</f>
        <v/>
      </c>
      <c r="AH13">
        <f>3*COS($AD13)</f>
        <v/>
      </c>
      <c r="AI13">
        <f>4*SIN($AD13)</f>
        <v/>
      </c>
      <c r="AJ13">
        <f>4*COS($AD13)</f>
        <v/>
      </c>
      <c r="AK13">
        <f>5*SIN($AD13)</f>
        <v/>
      </c>
      <c r="AL13">
        <f>5*COS($AD13)</f>
        <v/>
      </c>
      <c r="AN13" t="n">
        <v>0</v>
      </c>
      <c r="AO13" t="n">
        <v>0</v>
      </c>
      <c r="AQ13" t="inlineStr">
        <is>
          <t>9.13
Processo</t>
        </is>
      </c>
      <c r="AR13">
        <f>6.95*SIN(2*PI()*(8+0.5)/ROWS(codiciL1))</f>
        <v/>
      </c>
      <c r="AS13">
        <f>6.95*COS(2*PI()*(8+0.5)/ROWS(codiciL1))</f>
        <v/>
      </c>
      <c r="AU13">
        <f>IF(AND(ISNUMBER($F13),ISNUMBER($S13)),IF(AND($F13=AU$4,$AA13=AU$3),$S13,NA()),NA())</f>
        <v/>
      </c>
      <c r="AV13">
        <f>IF(AND(ISNUMBER($F13),ISNUMBER($S13)),IF(AND($F13=AV$4,$AA13=AV$3),$S13,NA()),NA())</f>
        <v/>
      </c>
      <c r="AW13">
        <f>IF(AND(ISNUMBER($F13),ISNUMBER($S13)),IF(AND($F13=AW$4,$AA13=AW$3),$S13,NA()),NA())</f>
        <v/>
      </c>
      <c r="AX13">
        <f>IF(AND(ISNUMBER($F13),ISNUMBER($S13)),IF(AND($F13=AX$4,$AA13=AX$3),$S13,NA()),NA())</f>
        <v/>
      </c>
      <c r="AY13">
        <f>IF(AND(ISNUMBER($F13),ISNUMBER($S13)),IF(AND($F13=AY$4,$AA13=AY$3),$S13,NA()),NA())</f>
        <v/>
      </c>
      <c r="AZ13">
        <f>IF(AND(ISNUMBER($F13),ISNUMBER($S13)),IF(AND($F13=AZ$4,$AA13=AZ$3),$S13,NA()),NA())</f>
        <v/>
      </c>
      <c r="BA13">
        <f>IF(AND(ISNUMBER($F13),ISNUMBER($S13)),IF(AND($F13=BA$4,$AA13=BA$3),$S13,NA()),NA())</f>
        <v/>
      </c>
      <c r="BB13">
        <f>IF(AND(ISNUMBER($F13),ISNUMBER($S13)),IF(AND($F13=BB$4,$AA13=BB$3),$S13,NA()),NA())</f>
        <v/>
      </c>
      <c r="BC13">
        <f>IF(AND(ISNUMBER($F13),ISNUMBER($S13)),IF(AND($F13=BC$4,$AA13=BC$3),$S13,NA()),NA())</f>
        <v/>
      </c>
      <c r="BD13">
        <f>IF(AND(ISNUMBER($F13),ISNUMBER($S13)),IF(AND($F13=BD$4,$AA13=BD$3),$S13,NA()),NA())</f>
        <v/>
      </c>
      <c r="BE13">
        <f>IF(AND(ISNUMBER($F13),ISNUMBER($S13)),IF(AND($F13=BE$4,$AA13=BE$3),$S13,NA()),NA())</f>
        <v/>
      </c>
      <c r="BF13">
        <f>IF(AND(ISNUMBER($F13),ISNUMBER($S13)),IF(AND($F13=BF$4,$AA13=BF$3),$S13,NA()),NA())</f>
        <v/>
      </c>
      <c r="BG13">
        <f>IF(AND(ISNUMBER($F13),ISNUMBER($S13)),IF(AND($F13=BG$4,$AA13=BG$3),$S13,NA()),NA())</f>
        <v/>
      </c>
      <c r="BH13">
        <f>IF(AND(ISNUMBER($F13),ISNUMBER($S13)),IF(AND($F13=BH$4,$AA13=BH$3),$S13,NA()),NA())</f>
        <v/>
      </c>
      <c r="BI13">
        <f>IF(AND(ISNUMBER($F13),ISNUMBER($S13)),IF(AND($F13=BI$4,$AA13=BI$3),$S13,NA()),NA())</f>
        <v/>
      </c>
      <c r="BJ13">
        <f>IF(AND(ISNUMBER($F13),ISNUMBER($S13)),IF(AND($F13=BJ$4,$AA13=BJ$3),$S13,NA()),NA())</f>
        <v/>
      </c>
      <c r="BK13">
        <f>IF(AND(ISNUMBER($F13),ISNUMBER($S13)),IF(AND($F13=BK$4,$AA13=BK$3),$S13,NA()),NA())</f>
        <v/>
      </c>
      <c r="BL13">
        <f>IF(AND(ISNUMBER($F13),ISNUMBER($S13)),IF(AND($F13=BL$4,$AA13=BL$3),$S13,NA()),NA())</f>
        <v/>
      </c>
      <c r="BM13">
        <f>IF(AND(ISNUMBER($F13),ISNUMBER($S13)),IF(AND($F13=BM$4,$AA13=BM$3),$S13,NA()),NA())</f>
        <v/>
      </c>
      <c r="BN13">
        <f>IF(AND(ISNUMBER($F13),ISNUMBER($S13)),IF(AND($F13=BN$4,$AA13=BN$3),$S13,NA()),NA())</f>
        <v/>
      </c>
      <c r="BO13">
        <f>IF(AND(ISNUMBER($F13),ISNUMBER($S13)),IF(AND($F13=BO$4,$AA13=BO$3),$S13,NA()),NA())</f>
        <v/>
      </c>
      <c r="BP13">
        <f>IF(AND(ISNUMBER($F13),ISNUMBER($S13)),IF(AND($F13=BP$4,$AA13=BP$3),$S13,NA()),NA())</f>
        <v/>
      </c>
      <c r="BQ13">
        <f>IF(AND(ISNUMBER($F13),ISNUMBER($S13)),IF(AND($F13=BQ$4,$AA13=BQ$3),$S13,NA()),NA())</f>
        <v/>
      </c>
      <c r="BR13">
        <f>IF(AND(ISNUMBER($F13),ISNUMBER($S13)),IF(AND($F13=BR$4,$AA13=BR$3),$S13,NA()),NA())</f>
        <v/>
      </c>
      <c r="BS13">
        <f>IF(AND(ISNUMBER($F13),ISNUMBER($S13)),IF(AND($F13=BS$4,$AA13=BS$3),$S13,NA()),NA())</f>
        <v/>
      </c>
      <c r="BT13">
        <f>IF(AND(ISNUMBER($F13),ISNUMBER($S13)),IF(AND($F13=BT$4,$AA13=BT$3),$S13,NA()),NA())</f>
        <v/>
      </c>
      <c r="BU13">
        <f>IF(AND(ISNUMBER($F13),ISNUMBER($S13)),IF(AND($F13=BU$4,$AA13=BU$3),$S13,NA()),NA())</f>
        <v/>
      </c>
      <c r="BV13">
        <f>IF(AND(ISNUMBER($F13),ISNUMBER($S13)),IF(AND($F13=BV$4,$AA13=BV$3),$S13,NA()),NA())</f>
        <v/>
      </c>
      <c r="BW13">
        <f>IF(AND(ISNUMBER($F13),ISNUMBER($S13)),IF(AND($F13=BW$4,$AA13=BW$3),$S13,NA()),NA())</f>
        <v/>
      </c>
      <c r="BX13">
        <f>IF(AND(ISNUMBER($F13),ISNUMBER($S13)),IF(AND($F13=BX$4,$AA13=BX$3),$S13,NA()),NA())</f>
        <v/>
      </c>
      <c r="BY13">
        <f>IF(AND(ISNUMBER($F13),ISNUMBER($S13)),IF(AND($F13=BY$4,$AA13=BY$3),$S13,NA()),NA())</f>
        <v/>
      </c>
      <c r="BZ13">
        <f>IF(AND(ISNUMBER($F13),ISNUMBER($S13)),IF(AND($F13=BZ$4,$AA13=BZ$3),$S13,NA()),NA())</f>
        <v/>
      </c>
      <c r="CA13">
        <f>IF(AND(ISNUMBER($F13),ISNUMBER($S13)),IF(AND($F13=CA$4,$AA13=CA$3),$S13,NA()),NA())</f>
        <v/>
      </c>
      <c r="CB13">
        <f>IF(AND(ISNUMBER($F13),ISNUMBER($S13)),IF(AND($F13=CB$4,$AA13=CB$3),$S13,NA()),NA())</f>
        <v/>
      </c>
      <c r="CC13">
        <f>IF(AND(ISNUMBER($F13),ISNUMBER($S13)),IF(AND($F13=CC$4,$AA13=CC$3),$S13,NA()),NA())</f>
        <v/>
      </c>
      <c r="CD13">
        <f>IF(AND(ISNUMBER($F13),ISNUMBER($S13)),IF(AND($F13=CD$4,$AA13=CD$3),$S13,NA()),NA())</f>
        <v/>
      </c>
      <c r="CE13">
        <f>IF(AND(ISNUMBER($F13),ISNUMBER($S13)),IF(AND($F13=CE$4,$AA13=CE$3),$S13,NA()),NA())</f>
        <v/>
      </c>
      <c r="CF13">
        <f>IF(AND(ISNUMBER($F13),ISNUMBER($S13)),IF(AND($F13=CF$4,$AA13=CF$3),$S13,NA()),NA())</f>
        <v/>
      </c>
      <c r="CG13">
        <f>IF(AND(ISNUMBER($F13),ISNUMBER($S13)),IF(AND($F13=CG$4,$AA13=CG$3),$S13,NA()),NA())</f>
        <v/>
      </c>
      <c r="CH13">
        <f>IF(AND(ISNUMBER($F13),ISNUMBER($S13)),IF(AND($F13=CH$4,$AA13=CH$3),$S13,NA()),NA())</f>
        <v/>
      </c>
      <c r="CI13">
        <f>IF(AND(ISNUMBER($F13),ISNUMBER($S13)),IF(AND($F13=CI$4,$AA13=CI$3),$S13,NA()),NA())</f>
        <v/>
      </c>
      <c r="CJ13">
        <f>IF(AND(ISNUMBER($F13),ISNUMBER($S13)),IF(AND($F13=CJ$4,$AA13=CJ$3),$S13,NA()),NA())</f>
        <v/>
      </c>
      <c r="CK13">
        <f>IF(ISNUMBER($R13),$R13,NA())</f>
        <v/>
      </c>
      <c r="CL13">
        <f>IF($A13="","",$A13&amp;IF($T13="Sì"," ◆",""))</f>
        <v/>
      </c>
      <c r="CM13">
        <f>IF(ISNUMBER($S13),$S13,NA())</f>
        <v/>
      </c>
      <c r="CN13" t="inlineStr">
        <is>
          <t>25</t>
        </is>
      </c>
      <c r="CO13" t="n">
        <v>6.5</v>
      </c>
      <c r="CP13" t="n">
        <v>-9.1</v>
      </c>
    </row>
    <row r="14">
      <c r="A14">
        <f>IF(Parametri!$H13="","",Parametri!$H13)</f>
        <v/>
      </c>
      <c r="B14">
        <f>IF($A14="","",Parametri!$I13)</f>
        <v/>
      </c>
      <c r="C14">
        <f>IF($A14="","",Parametri!$J13)</f>
        <v/>
      </c>
      <c r="D14">
        <f>IF($A14="",NA(),IF(COUNTIFS(RR_ID_Rischio,$A14,RR_Ciclo,cicloCorrente)=0,NA(),SUMIFS(RR_Impatto,RR_ID_Rischio,$A14,RR_Ciclo,cicloCorrente)))</f>
        <v/>
      </c>
      <c r="E14">
        <f>IF($A14="",NA(),IF(COUNTIFS(RR_ID_Rischio,$A14,RR_Ciclo,cicloCorrente)=0,NA(),SUMIFS(RR_Probabilita,RR_ID_Rischio,$A14,RR_Ciclo,cicloCorrente)))</f>
        <v/>
      </c>
      <c r="F14">
        <f>IF(AND(ISNUMBER(D14),ISNUMBER(E14)),D14*E14,NA())</f>
        <v/>
      </c>
      <c r="G14">
        <f>IF($A14="",NA(),IF(COUNTIFS(RR_ID_Rischio,$A14,RR_Ciclo,cicloCorrente)=0,NA(),SUMIFS(RR_Prossimita,RR_ID_Rischio,$A14,RR_Ciclo,cicloCorrente)))</f>
        <v/>
      </c>
      <c r="H14" s="58">
        <f>IF(ISNUMBER(G14),INDEX(anniProssimita,G14),NA())</f>
        <v/>
      </c>
      <c r="I14" s="58">
        <f>IF($A14="",NA(),moscaX)</f>
        <v/>
      </c>
      <c r="J14" s="58">
        <f>IF($A14="",NA(),MAX(IF(COUNTIFS(AZ_ID_Rischio,$A14,AZ_Ciclo,$AC14,AZ_Stato,"&lt;&gt;Respinta",AZ_Mesi_Orizzonte,"&gt;0")=0,moscaYDefault,_xlfn.MAXIFS(AZ_Mesi_Orizzonte,AZ_ID_Rischio,$A14,AZ_Ciclo,$AC14,AZ_Stato,"&lt;&gt;Respinta")/12),N(Parametri!$M13)))</f>
        <v/>
      </c>
      <c r="K14" s="58">
        <f>IF(AND(ISNUMBER(H14),ISNUMBER(J14)),H14-(I14+J14),NA())</f>
        <v/>
      </c>
      <c r="L14">
        <f>IF(NOT(ISNUMBER(K14)),"",IF(K14&lt;0,"AGIRE ORA: X+Y &gt; Z",IF(K14&lt;1,"Agire entro l'anno","Margine "&amp;ROUND(K14,1)&amp;IF(ROUND(K14,1)=1," anno"," anni"))))</f>
        <v/>
      </c>
      <c r="M14">
        <f>IF($A14="",NA(),MATCH(C14,codiciL1,0)-1)</f>
        <v/>
      </c>
      <c r="N14">
        <f>IF($A14="",NA(),COUNTIF($C$4:C13,C14))</f>
        <v/>
      </c>
      <c r="O14">
        <f>IF($A14="",NA(),COUNTIF(ANA_Event_Type,C14))</f>
        <v/>
      </c>
      <c r="P14" s="58">
        <f>IF($A14="",NA(),2*PI()*(M14+(N14+0.5)/O14)/ROWS(codiciL1))</f>
        <v/>
      </c>
      <c r="Q14" s="58">
        <f>IF(ISNUMBER(K14),MAX(0.6,MIN(6,K14+2)),NA())</f>
        <v/>
      </c>
      <c r="R14" s="58">
        <f>IF(AND(ISNUMBER(Q14),ISNUMBER(P14)),Q14*SIN(P14),NA())</f>
        <v/>
      </c>
      <c r="S14" s="58">
        <f>IF(AND(ISNUMBER(Q14),ISNUMBER(P14)),Q14*COS(P14),NA())</f>
        <v/>
      </c>
      <c r="T14">
        <f>IF($A14="","",IF(Parametri!$N13="Sì","Sì",""))</f>
        <v/>
      </c>
      <c r="U14">
        <f>IF(OR($A14="",NOT(ISNUMBER(K14))),"",IF(K14&lt;0,1,0))</f>
        <v/>
      </c>
      <c r="V14">
        <f>IF(OR($A14="",NOT(ISNUMBER(K14))),"",IF(COUNTIFS(KRI_ID_Rischio,$A14,KRI_Ciclo,cicloCorrente,KRI_In_Vigore,"Sì",KRI_Stato,"Rosso")&gt;0,1,0))</f>
        <v/>
      </c>
      <c r="W14">
        <f>IF(OR($A14="",NOT(ISNUMBER(K14))),"",IF(N(INDEX(posNetti,10))&gt;=sogliaDirezione,1,0))</f>
        <v/>
      </c>
      <c r="X14">
        <f>IF(OR($A14="",NOT(ISNUMBER(K14))),"",IF(AND(ISNUMBER(F14),F14&gt;=livelloPxI),1,0))</f>
        <v/>
      </c>
      <c r="Y14">
        <f>IF(OR($A14="",NOT(ISNUMBER(K14))),"",IF(Parametri!$O13="Assente",1,0))</f>
        <v/>
      </c>
      <c r="Z14">
        <f>IF(OR($A14="",NOT(ISNUMBER(K14))),"",IF(AND(COUNTIFS(KRI_ID_Rischio,$A14,KRI_Ciclo,cicloCorrente,KRI_In_Vigore,"Sì")&gt;0,COUNTIFS(KRI_ID_Rischio,$A14,KRI_Ciclo,cicloCorrente,KRI_In_Vigore,"Sì",KRI_Stato,"Rosso")+COUNTIFS(KRI_ID_Rischio,$A14,KRI_Ciclo,cicloCorrente,KRI_In_Vigore,"Sì",KRI_Stato,"Ambra")&gt;=livelloQuotaKRI*COUNTIFS(KRI_ID_Rischio,$A14,KRI_Ciclo,cicloCorrente,KRI_In_Vigore,"Sì")),1,0))</f>
        <v/>
      </c>
      <c r="AA14">
        <f>IF(OR($A14="",NOT(ISNUMBER(K14))),"",IF((U14+V14+W14)&gt;=livelloForti,"Attivazione",IF(OR((U14+V14+W14)&gt;=1,AND(K14&lt;livelloMargine,(X14+Y14+Z14)&gt;=1)),"Attenzione","Monitoraggio")))</f>
        <v/>
      </c>
      <c r="AB14">
        <f>IF(AA14="","",IF(AA14="Monitoraggio","nessun segnale forte",_xlfn.TEXTJOIN("; ",TRUE,IF(U14=1,"AGIRE ORA",""),IF(V14=1,"KRI in rosso",""),IF(W14=1,"notizie in peggioramento",""),IF((U14+V14+W14)=0,"margine sotto l'anno con "&amp;_xlfn.TEXTJOIN(", ",TRUE,IF(X14=1,"P x I alta",""),IF(Y14=1,"presidio dei controlli assente",""),IF(Z14=1,"KRI in ambra o rosso","")),""))))</f>
        <v/>
      </c>
      <c r="AC14">
        <f>IF($A14="","",IFERROR(IF(INDEX(RR_Periodo_Valutazione,MATCH(cicloCorrente&amp;"|"&amp;$A14,RR_Chiave,0))="",cicloCorrente,INDEX(RR_Periodo_Valutazione,MATCH(cicloCorrente&amp;"|"&amp;$A14,RR_Chiave,0))&amp;""),cicloCorrente))</f>
        <v/>
      </c>
      <c r="AD14">
        <f>2*PI()*9/72</f>
        <v/>
      </c>
      <c r="AE14">
        <f>2*SIN($AD14)</f>
        <v/>
      </c>
      <c r="AF14">
        <f>2*COS($AD14)</f>
        <v/>
      </c>
      <c r="AG14">
        <f>3*SIN($AD14)</f>
        <v/>
      </c>
      <c r="AH14">
        <f>3*COS($AD14)</f>
        <v/>
      </c>
      <c r="AI14">
        <f>4*SIN($AD14)</f>
        <v/>
      </c>
      <c r="AJ14">
        <f>4*COS($AD14)</f>
        <v/>
      </c>
      <c r="AK14">
        <f>5*SIN($AD14)</f>
        <v/>
      </c>
      <c r="AL14">
        <f>5*COS($AD14)</f>
        <v/>
      </c>
      <c r="AN14">
        <f>6.3*SIN(2*PI()*4/ROWS(codiciL1))</f>
        <v/>
      </c>
      <c r="AO14">
        <f>6.3*COS(2*PI()*4/ROWS(codiciL1))</f>
        <v/>
      </c>
      <c r="AU14">
        <f>IF(AND(ISNUMBER($F14),ISNUMBER($S14)),IF(AND($F14=AU$4,$AA14=AU$3),$S14,NA()),NA())</f>
        <v/>
      </c>
      <c r="AV14">
        <f>IF(AND(ISNUMBER($F14),ISNUMBER($S14)),IF(AND($F14=AV$4,$AA14=AV$3),$S14,NA()),NA())</f>
        <v/>
      </c>
      <c r="AW14">
        <f>IF(AND(ISNUMBER($F14),ISNUMBER($S14)),IF(AND($F14=AW$4,$AA14=AW$3),$S14,NA()),NA())</f>
        <v/>
      </c>
      <c r="AX14">
        <f>IF(AND(ISNUMBER($F14),ISNUMBER($S14)),IF(AND($F14=AX$4,$AA14=AX$3),$S14,NA()),NA())</f>
        <v/>
      </c>
      <c r="AY14">
        <f>IF(AND(ISNUMBER($F14),ISNUMBER($S14)),IF(AND($F14=AY$4,$AA14=AY$3),$S14,NA()),NA())</f>
        <v/>
      </c>
      <c r="AZ14">
        <f>IF(AND(ISNUMBER($F14),ISNUMBER($S14)),IF(AND($F14=AZ$4,$AA14=AZ$3),$S14,NA()),NA())</f>
        <v/>
      </c>
      <c r="BA14">
        <f>IF(AND(ISNUMBER($F14),ISNUMBER($S14)),IF(AND($F14=BA$4,$AA14=BA$3),$S14,NA()),NA())</f>
        <v/>
      </c>
      <c r="BB14">
        <f>IF(AND(ISNUMBER($F14),ISNUMBER($S14)),IF(AND($F14=BB$4,$AA14=BB$3),$S14,NA()),NA())</f>
        <v/>
      </c>
      <c r="BC14">
        <f>IF(AND(ISNUMBER($F14),ISNUMBER($S14)),IF(AND($F14=BC$4,$AA14=BC$3),$S14,NA()),NA())</f>
        <v/>
      </c>
      <c r="BD14">
        <f>IF(AND(ISNUMBER($F14),ISNUMBER($S14)),IF(AND($F14=BD$4,$AA14=BD$3),$S14,NA()),NA())</f>
        <v/>
      </c>
      <c r="BE14">
        <f>IF(AND(ISNUMBER($F14),ISNUMBER($S14)),IF(AND($F14=BE$4,$AA14=BE$3),$S14,NA()),NA())</f>
        <v/>
      </c>
      <c r="BF14">
        <f>IF(AND(ISNUMBER($F14),ISNUMBER($S14)),IF(AND($F14=BF$4,$AA14=BF$3),$S14,NA()),NA())</f>
        <v/>
      </c>
      <c r="BG14">
        <f>IF(AND(ISNUMBER($F14),ISNUMBER($S14)),IF(AND($F14=BG$4,$AA14=BG$3),$S14,NA()),NA())</f>
        <v/>
      </c>
      <c r="BH14">
        <f>IF(AND(ISNUMBER($F14),ISNUMBER($S14)),IF(AND($F14=BH$4,$AA14=BH$3),$S14,NA()),NA())</f>
        <v/>
      </c>
      <c r="BI14">
        <f>IF(AND(ISNUMBER($F14),ISNUMBER($S14)),IF(AND($F14=BI$4,$AA14=BI$3),$S14,NA()),NA())</f>
        <v/>
      </c>
      <c r="BJ14">
        <f>IF(AND(ISNUMBER($F14),ISNUMBER($S14)),IF(AND($F14=BJ$4,$AA14=BJ$3),$S14,NA()),NA())</f>
        <v/>
      </c>
      <c r="BK14">
        <f>IF(AND(ISNUMBER($F14),ISNUMBER($S14)),IF(AND($F14=BK$4,$AA14=BK$3),$S14,NA()),NA())</f>
        <v/>
      </c>
      <c r="BL14">
        <f>IF(AND(ISNUMBER($F14),ISNUMBER($S14)),IF(AND($F14=BL$4,$AA14=BL$3),$S14,NA()),NA())</f>
        <v/>
      </c>
      <c r="BM14">
        <f>IF(AND(ISNUMBER($F14),ISNUMBER($S14)),IF(AND($F14=BM$4,$AA14=BM$3),$S14,NA()),NA())</f>
        <v/>
      </c>
      <c r="BN14">
        <f>IF(AND(ISNUMBER($F14),ISNUMBER($S14)),IF(AND($F14=BN$4,$AA14=BN$3),$S14,NA()),NA())</f>
        <v/>
      </c>
      <c r="BO14">
        <f>IF(AND(ISNUMBER($F14),ISNUMBER($S14)),IF(AND($F14=BO$4,$AA14=BO$3),$S14,NA()),NA())</f>
        <v/>
      </c>
      <c r="BP14">
        <f>IF(AND(ISNUMBER($F14),ISNUMBER($S14)),IF(AND($F14=BP$4,$AA14=BP$3),$S14,NA()),NA())</f>
        <v/>
      </c>
      <c r="BQ14">
        <f>IF(AND(ISNUMBER($F14),ISNUMBER($S14)),IF(AND($F14=BQ$4,$AA14=BQ$3),$S14,NA()),NA())</f>
        <v/>
      </c>
      <c r="BR14">
        <f>IF(AND(ISNUMBER($F14),ISNUMBER($S14)),IF(AND($F14=BR$4,$AA14=BR$3),$S14,NA()),NA())</f>
        <v/>
      </c>
      <c r="BS14">
        <f>IF(AND(ISNUMBER($F14),ISNUMBER($S14)),IF(AND($F14=BS$4,$AA14=BS$3),$S14,NA()),NA())</f>
        <v/>
      </c>
      <c r="BT14">
        <f>IF(AND(ISNUMBER($F14),ISNUMBER($S14)),IF(AND($F14=BT$4,$AA14=BT$3),$S14,NA()),NA())</f>
        <v/>
      </c>
      <c r="BU14">
        <f>IF(AND(ISNUMBER($F14),ISNUMBER($S14)),IF(AND($F14=BU$4,$AA14=BU$3),$S14,NA()),NA())</f>
        <v/>
      </c>
      <c r="BV14">
        <f>IF(AND(ISNUMBER($F14),ISNUMBER($S14)),IF(AND($F14=BV$4,$AA14=BV$3),$S14,NA()),NA())</f>
        <v/>
      </c>
      <c r="BW14">
        <f>IF(AND(ISNUMBER($F14),ISNUMBER($S14)),IF(AND($F14=BW$4,$AA14=BW$3),$S14,NA()),NA())</f>
        <v/>
      </c>
      <c r="BX14">
        <f>IF(AND(ISNUMBER($F14),ISNUMBER($S14)),IF(AND($F14=BX$4,$AA14=BX$3),$S14,NA()),NA())</f>
        <v/>
      </c>
      <c r="BY14">
        <f>IF(AND(ISNUMBER($F14),ISNUMBER($S14)),IF(AND($F14=BY$4,$AA14=BY$3),$S14,NA()),NA())</f>
        <v/>
      </c>
      <c r="BZ14">
        <f>IF(AND(ISNUMBER($F14),ISNUMBER($S14)),IF(AND($F14=BZ$4,$AA14=BZ$3),$S14,NA()),NA())</f>
        <v/>
      </c>
      <c r="CA14">
        <f>IF(AND(ISNUMBER($F14),ISNUMBER($S14)),IF(AND($F14=CA$4,$AA14=CA$3),$S14,NA()),NA())</f>
        <v/>
      </c>
      <c r="CB14">
        <f>IF(AND(ISNUMBER($F14),ISNUMBER($S14)),IF(AND($F14=CB$4,$AA14=CB$3),$S14,NA()),NA())</f>
        <v/>
      </c>
      <c r="CC14">
        <f>IF(AND(ISNUMBER($F14),ISNUMBER($S14)),IF(AND($F14=CC$4,$AA14=CC$3),$S14,NA()),NA())</f>
        <v/>
      </c>
      <c r="CD14">
        <f>IF(AND(ISNUMBER($F14),ISNUMBER($S14)),IF(AND($F14=CD$4,$AA14=CD$3),$S14,NA()),NA())</f>
        <v/>
      </c>
      <c r="CE14">
        <f>IF(AND(ISNUMBER($F14),ISNUMBER($S14)),IF(AND($F14=CE$4,$AA14=CE$3),$S14,NA()),NA())</f>
        <v/>
      </c>
      <c r="CF14">
        <f>IF(AND(ISNUMBER($F14),ISNUMBER($S14)),IF(AND($F14=CF$4,$AA14=CF$3),$S14,NA()),NA())</f>
        <v/>
      </c>
      <c r="CG14">
        <f>IF(AND(ISNUMBER($F14),ISNUMBER($S14)),IF(AND($F14=CG$4,$AA14=CG$3),$S14,NA()),NA())</f>
        <v/>
      </c>
      <c r="CH14">
        <f>IF(AND(ISNUMBER($F14),ISNUMBER($S14)),IF(AND($F14=CH$4,$AA14=CH$3),$S14,NA()),NA())</f>
        <v/>
      </c>
      <c r="CI14">
        <f>IF(AND(ISNUMBER($F14),ISNUMBER($S14)),IF(AND($F14=CI$4,$AA14=CI$3),$S14,NA()),NA())</f>
        <v/>
      </c>
      <c r="CJ14">
        <f>IF(AND(ISNUMBER($F14),ISNUMBER($S14)),IF(AND($F14=CJ$4,$AA14=CJ$3),$S14,NA()),NA())</f>
        <v/>
      </c>
      <c r="CK14">
        <f>IF(ISNUMBER($R14),$R14,NA())</f>
        <v/>
      </c>
      <c r="CL14">
        <f>IF($A14="","",$A14&amp;IF($T14="Sì"," ◆",""))</f>
        <v/>
      </c>
      <c r="CM14">
        <f>IF(ISNUMBER($S14),$S14,NA())</f>
        <v/>
      </c>
    </row>
    <row r="15">
      <c r="A15">
        <f>IF(Parametri!$H14="","",Parametri!$H14)</f>
        <v/>
      </c>
      <c r="B15">
        <f>IF($A15="","",Parametri!$I14)</f>
        <v/>
      </c>
      <c r="C15">
        <f>IF($A15="","",Parametri!$J14)</f>
        <v/>
      </c>
      <c r="D15">
        <f>IF($A15="",NA(),IF(COUNTIFS(RR_ID_Rischio,$A15,RR_Ciclo,cicloCorrente)=0,NA(),SUMIFS(RR_Impatto,RR_ID_Rischio,$A15,RR_Ciclo,cicloCorrente)))</f>
        <v/>
      </c>
      <c r="E15">
        <f>IF($A15="",NA(),IF(COUNTIFS(RR_ID_Rischio,$A15,RR_Ciclo,cicloCorrente)=0,NA(),SUMIFS(RR_Probabilita,RR_ID_Rischio,$A15,RR_Ciclo,cicloCorrente)))</f>
        <v/>
      </c>
      <c r="F15">
        <f>IF(AND(ISNUMBER(D15),ISNUMBER(E15)),D15*E15,NA())</f>
        <v/>
      </c>
      <c r="G15">
        <f>IF($A15="",NA(),IF(COUNTIFS(RR_ID_Rischio,$A15,RR_Ciclo,cicloCorrente)=0,NA(),SUMIFS(RR_Prossimita,RR_ID_Rischio,$A15,RR_Ciclo,cicloCorrente)))</f>
        <v/>
      </c>
      <c r="H15" s="58">
        <f>IF(ISNUMBER(G15),INDEX(anniProssimita,G15),NA())</f>
        <v/>
      </c>
      <c r="I15" s="58">
        <f>IF($A15="",NA(),moscaX)</f>
        <v/>
      </c>
      <c r="J15" s="58">
        <f>IF($A15="",NA(),MAX(IF(COUNTIFS(AZ_ID_Rischio,$A15,AZ_Ciclo,$AC15,AZ_Stato,"&lt;&gt;Respinta",AZ_Mesi_Orizzonte,"&gt;0")=0,moscaYDefault,_xlfn.MAXIFS(AZ_Mesi_Orizzonte,AZ_ID_Rischio,$A15,AZ_Ciclo,$AC15,AZ_Stato,"&lt;&gt;Respinta")/12),N(Parametri!$M14)))</f>
        <v/>
      </c>
      <c r="K15" s="58">
        <f>IF(AND(ISNUMBER(H15),ISNUMBER(J15)),H15-(I15+J15),NA())</f>
        <v/>
      </c>
      <c r="L15">
        <f>IF(NOT(ISNUMBER(K15)),"",IF(K15&lt;0,"AGIRE ORA: X+Y &gt; Z",IF(K15&lt;1,"Agire entro l'anno","Margine "&amp;ROUND(K15,1)&amp;IF(ROUND(K15,1)=1," anno"," anni"))))</f>
        <v/>
      </c>
      <c r="M15">
        <f>IF($A15="",NA(),MATCH(C15,codiciL1,0)-1)</f>
        <v/>
      </c>
      <c r="N15">
        <f>IF($A15="",NA(),COUNTIF($C$4:C14,C15))</f>
        <v/>
      </c>
      <c r="O15">
        <f>IF($A15="",NA(),COUNTIF(ANA_Event_Type,C15))</f>
        <v/>
      </c>
      <c r="P15" s="58">
        <f>IF($A15="",NA(),2*PI()*(M15+(N15+0.5)/O15)/ROWS(codiciL1))</f>
        <v/>
      </c>
      <c r="Q15" s="58">
        <f>IF(ISNUMBER(K15),MAX(0.6,MIN(6,K15+2)),NA())</f>
        <v/>
      </c>
      <c r="R15" s="58">
        <f>IF(AND(ISNUMBER(Q15),ISNUMBER(P15)),Q15*SIN(P15),NA())</f>
        <v/>
      </c>
      <c r="S15" s="58">
        <f>IF(AND(ISNUMBER(Q15),ISNUMBER(P15)),Q15*COS(P15),NA())</f>
        <v/>
      </c>
      <c r="T15">
        <f>IF($A15="","",IF(Parametri!$N14="Sì","Sì",""))</f>
        <v/>
      </c>
      <c r="U15">
        <f>IF(OR($A15="",NOT(ISNUMBER(K15))),"",IF(K15&lt;0,1,0))</f>
        <v/>
      </c>
      <c r="V15">
        <f>IF(OR($A15="",NOT(ISNUMBER(K15))),"",IF(COUNTIFS(KRI_ID_Rischio,$A15,KRI_Ciclo,cicloCorrente,KRI_In_Vigore,"Sì",KRI_Stato,"Rosso")&gt;0,1,0))</f>
        <v/>
      </c>
      <c r="W15">
        <f>IF(OR($A15="",NOT(ISNUMBER(K15))),"",IF(N(INDEX(posNetti,11))&gt;=sogliaDirezione,1,0))</f>
        <v/>
      </c>
      <c r="X15">
        <f>IF(OR($A15="",NOT(ISNUMBER(K15))),"",IF(AND(ISNUMBER(F15),F15&gt;=livelloPxI),1,0))</f>
        <v/>
      </c>
      <c r="Y15">
        <f>IF(OR($A15="",NOT(ISNUMBER(K15))),"",IF(Parametri!$O14="Assente",1,0))</f>
        <v/>
      </c>
      <c r="Z15">
        <f>IF(OR($A15="",NOT(ISNUMBER(K15))),"",IF(AND(COUNTIFS(KRI_ID_Rischio,$A15,KRI_Ciclo,cicloCorrente,KRI_In_Vigore,"Sì")&gt;0,COUNTIFS(KRI_ID_Rischio,$A15,KRI_Ciclo,cicloCorrente,KRI_In_Vigore,"Sì",KRI_Stato,"Rosso")+COUNTIFS(KRI_ID_Rischio,$A15,KRI_Ciclo,cicloCorrente,KRI_In_Vigore,"Sì",KRI_Stato,"Ambra")&gt;=livelloQuotaKRI*COUNTIFS(KRI_ID_Rischio,$A15,KRI_Ciclo,cicloCorrente,KRI_In_Vigore,"Sì")),1,0))</f>
        <v/>
      </c>
      <c r="AA15">
        <f>IF(OR($A15="",NOT(ISNUMBER(K15))),"",IF((U15+V15+W15)&gt;=livelloForti,"Attivazione",IF(OR((U15+V15+W15)&gt;=1,AND(K15&lt;livelloMargine,(X15+Y15+Z15)&gt;=1)),"Attenzione","Monitoraggio")))</f>
        <v/>
      </c>
      <c r="AB15">
        <f>IF(AA15="","",IF(AA15="Monitoraggio","nessun segnale forte",_xlfn.TEXTJOIN("; ",TRUE,IF(U15=1,"AGIRE ORA",""),IF(V15=1,"KRI in rosso",""),IF(W15=1,"notizie in peggioramento",""),IF((U15+V15+W15)=0,"margine sotto l'anno con "&amp;_xlfn.TEXTJOIN(", ",TRUE,IF(X15=1,"P x I alta",""),IF(Y15=1,"presidio dei controlli assente",""),IF(Z15=1,"KRI in ambra o rosso","")),""))))</f>
        <v/>
      </c>
      <c r="AC15">
        <f>IF($A15="","",IFERROR(IF(INDEX(RR_Periodo_Valutazione,MATCH(cicloCorrente&amp;"|"&amp;$A15,RR_Chiave,0))="",cicloCorrente,INDEX(RR_Periodo_Valutazione,MATCH(cicloCorrente&amp;"|"&amp;$A15,RR_Chiave,0))&amp;""),cicloCorrente))</f>
        <v/>
      </c>
      <c r="AD15">
        <f>2*PI()*10/72</f>
        <v/>
      </c>
      <c r="AE15">
        <f>2*SIN($AD15)</f>
        <v/>
      </c>
      <c r="AF15">
        <f>2*COS($AD15)</f>
        <v/>
      </c>
      <c r="AG15">
        <f>3*SIN($AD15)</f>
        <v/>
      </c>
      <c r="AH15">
        <f>3*COS($AD15)</f>
        <v/>
      </c>
      <c r="AI15">
        <f>4*SIN($AD15)</f>
        <v/>
      </c>
      <c r="AJ15">
        <f>4*COS($AD15)</f>
        <v/>
      </c>
      <c r="AK15">
        <f>5*SIN($AD15)</f>
        <v/>
      </c>
      <c r="AL15">
        <f>5*COS($AD15)</f>
        <v/>
      </c>
      <c r="AN15" t="n">
        <v>0</v>
      </c>
      <c r="AO15" t="n">
        <v>0</v>
      </c>
      <c r="AU15">
        <f>IF(AND(ISNUMBER($F15),ISNUMBER($S15)),IF(AND($F15=AU$4,$AA15=AU$3),$S15,NA()),NA())</f>
        <v/>
      </c>
      <c r="AV15">
        <f>IF(AND(ISNUMBER($F15),ISNUMBER($S15)),IF(AND($F15=AV$4,$AA15=AV$3),$S15,NA()),NA())</f>
        <v/>
      </c>
      <c r="AW15">
        <f>IF(AND(ISNUMBER($F15),ISNUMBER($S15)),IF(AND($F15=AW$4,$AA15=AW$3),$S15,NA()),NA())</f>
        <v/>
      </c>
      <c r="AX15">
        <f>IF(AND(ISNUMBER($F15),ISNUMBER($S15)),IF(AND($F15=AX$4,$AA15=AX$3),$S15,NA()),NA())</f>
        <v/>
      </c>
      <c r="AY15">
        <f>IF(AND(ISNUMBER($F15),ISNUMBER($S15)),IF(AND($F15=AY$4,$AA15=AY$3),$S15,NA()),NA())</f>
        <v/>
      </c>
      <c r="AZ15">
        <f>IF(AND(ISNUMBER($F15),ISNUMBER($S15)),IF(AND($F15=AZ$4,$AA15=AZ$3),$S15,NA()),NA())</f>
        <v/>
      </c>
      <c r="BA15">
        <f>IF(AND(ISNUMBER($F15),ISNUMBER($S15)),IF(AND($F15=BA$4,$AA15=BA$3),$S15,NA()),NA())</f>
        <v/>
      </c>
      <c r="BB15">
        <f>IF(AND(ISNUMBER($F15),ISNUMBER($S15)),IF(AND($F15=BB$4,$AA15=BB$3),$S15,NA()),NA())</f>
        <v/>
      </c>
      <c r="BC15">
        <f>IF(AND(ISNUMBER($F15),ISNUMBER($S15)),IF(AND($F15=BC$4,$AA15=BC$3),$S15,NA()),NA())</f>
        <v/>
      </c>
      <c r="BD15">
        <f>IF(AND(ISNUMBER($F15),ISNUMBER($S15)),IF(AND($F15=BD$4,$AA15=BD$3),$S15,NA()),NA())</f>
        <v/>
      </c>
      <c r="BE15">
        <f>IF(AND(ISNUMBER($F15),ISNUMBER($S15)),IF(AND($F15=BE$4,$AA15=BE$3),$S15,NA()),NA())</f>
        <v/>
      </c>
      <c r="BF15">
        <f>IF(AND(ISNUMBER($F15),ISNUMBER($S15)),IF(AND($F15=BF$4,$AA15=BF$3),$S15,NA()),NA())</f>
        <v/>
      </c>
      <c r="BG15">
        <f>IF(AND(ISNUMBER($F15),ISNUMBER($S15)),IF(AND($F15=BG$4,$AA15=BG$3),$S15,NA()),NA())</f>
        <v/>
      </c>
      <c r="BH15">
        <f>IF(AND(ISNUMBER($F15),ISNUMBER($S15)),IF(AND($F15=BH$4,$AA15=BH$3),$S15,NA()),NA())</f>
        <v/>
      </c>
      <c r="BI15">
        <f>IF(AND(ISNUMBER($F15),ISNUMBER($S15)),IF(AND($F15=BI$4,$AA15=BI$3),$S15,NA()),NA())</f>
        <v/>
      </c>
      <c r="BJ15">
        <f>IF(AND(ISNUMBER($F15),ISNUMBER($S15)),IF(AND($F15=BJ$4,$AA15=BJ$3),$S15,NA()),NA())</f>
        <v/>
      </c>
      <c r="BK15">
        <f>IF(AND(ISNUMBER($F15),ISNUMBER($S15)),IF(AND($F15=BK$4,$AA15=BK$3),$S15,NA()),NA())</f>
        <v/>
      </c>
      <c r="BL15">
        <f>IF(AND(ISNUMBER($F15),ISNUMBER($S15)),IF(AND($F15=BL$4,$AA15=BL$3),$S15,NA()),NA())</f>
        <v/>
      </c>
      <c r="BM15">
        <f>IF(AND(ISNUMBER($F15),ISNUMBER($S15)),IF(AND($F15=BM$4,$AA15=BM$3),$S15,NA()),NA())</f>
        <v/>
      </c>
      <c r="BN15">
        <f>IF(AND(ISNUMBER($F15),ISNUMBER($S15)),IF(AND($F15=BN$4,$AA15=BN$3),$S15,NA()),NA())</f>
        <v/>
      </c>
      <c r="BO15">
        <f>IF(AND(ISNUMBER($F15),ISNUMBER($S15)),IF(AND($F15=BO$4,$AA15=BO$3),$S15,NA()),NA())</f>
        <v/>
      </c>
      <c r="BP15">
        <f>IF(AND(ISNUMBER($F15),ISNUMBER($S15)),IF(AND($F15=BP$4,$AA15=BP$3),$S15,NA()),NA())</f>
        <v/>
      </c>
      <c r="BQ15">
        <f>IF(AND(ISNUMBER($F15),ISNUMBER($S15)),IF(AND($F15=BQ$4,$AA15=BQ$3),$S15,NA()),NA())</f>
        <v/>
      </c>
      <c r="BR15">
        <f>IF(AND(ISNUMBER($F15),ISNUMBER($S15)),IF(AND($F15=BR$4,$AA15=BR$3),$S15,NA()),NA())</f>
        <v/>
      </c>
      <c r="BS15">
        <f>IF(AND(ISNUMBER($F15),ISNUMBER($S15)),IF(AND($F15=BS$4,$AA15=BS$3),$S15,NA()),NA())</f>
        <v/>
      </c>
      <c r="BT15">
        <f>IF(AND(ISNUMBER($F15),ISNUMBER($S15)),IF(AND($F15=BT$4,$AA15=BT$3),$S15,NA()),NA())</f>
        <v/>
      </c>
      <c r="BU15">
        <f>IF(AND(ISNUMBER($F15),ISNUMBER($S15)),IF(AND($F15=BU$4,$AA15=BU$3),$S15,NA()),NA())</f>
        <v/>
      </c>
      <c r="BV15">
        <f>IF(AND(ISNUMBER($F15),ISNUMBER($S15)),IF(AND($F15=BV$4,$AA15=BV$3),$S15,NA()),NA())</f>
        <v/>
      </c>
      <c r="BW15">
        <f>IF(AND(ISNUMBER($F15),ISNUMBER($S15)),IF(AND($F15=BW$4,$AA15=BW$3),$S15,NA()),NA())</f>
        <v/>
      </c>
      <c r="BX15">
        <f>IF(AND(ISNUMBER($F15),ISNUMBER($S15)),IF(AND($F15=BX$4,$AA15=BX$3),$S15,NA()),NA())</f>
        <v/>
      </c>
      <c r="BY15">
        <f>IF(AND(ISNUMBER($F15),ISNUMBER($S15)),IF(AND($F15=BY$4,$AA15=BY$3),$S15,NA()),NA())</f>
        <v/>
      </c>
      <c r="BZ15">
        <f>IF(AND(ISNUMBER($F15),ISNUMBER($S15)),IF(AND($F15=BZ$4,$AA15=BZ$3),$S15,NA()),NA())</f>
        <v/>
      </c>
      <c r="CA15">
        <f>IF(AND(ISNUMBER($F15),ISNUMBER($S15)),IF(AND($F15=CA$4,$AA15=CA$3),$S15,NA()),NA())</f>
        <v/>
      </c>
      <c r="CB15">
        <f>IF(AND(ISNUMBER($F15),ISNUMBER($S15)),IF(AND($F15=CB$4,$AA15=CB$3),$S15,NA()),NA())</f>
        <v/>
      </c>
      <c r="CC15">
        <f>IF(AND(ISNUMBER($F15),ISNUMBER($S15)),IF(AND($F15=CC$4,$AA15=CC$3),$S15,NA()),NA())</f>
        <v/>
      </c>
      <c r="CD15">
        <f>IF(AND(ISNUMBER($F15),ISNUMBER($S15)),IF(AND($F15=CD$4,$AA15=CD$3),$S15,NA()),NA())</f>
        <v/>
      </c>
      <c r="CE15">
        <f>IF(AND(ISNUMBER($F15),ISNUMBER($S15)),IF(AND($F15=CE$4,$AA15=CE$3),$S15,NA()),NA())</f>
        <v/>
      </c>
      <c r="CF15">
        <f>IF(AND(ISNUMBER($F15),ISNUMBER($S15)),IF(AND($F15=CF$4,$AA15=CF$3),$S15,NA()),NA())</f>
        <v/>
      </c>
      <c r="CG15">
        <f>IF(AND(ISNUMBER($F15),ISNUMBER($S15)),IF(AND($F15=CG$4,$AA15=CG$3),$S15,NA()),NA())</f>
        <v/>
      </c>
      <c r="CH15">
        <f>IF(AND(ISNUMBER($F15),ISNUMBER($S15)),IF(AND($F15=CH$4,$AA15=CH$3),$S15,NA()),NA())</f>
        <v/>
      </c>
      <c r="CI15">
        <f>IF(AND(ISNUMBER($F15),ISNUMBER($S15)),IF(AND($F15=CI$4,$AA15=CI$3),$S15,NA()),NA())</f>
        <v/>
      </c>
      <c r="CJ15">
        <f>IF(AND(ISNUMBER($F15),ISNUMBER($S15)),IF(AND($F15=CJ$4,$AA15=CJ$3),$S15,NA()),NA())</f>
        <v/>
      </c>
      <c r="CK15">
        <f>IF(ISNUMBER($R15),$R15,NA())</f>
        <v/>
      </c>
      <c r="CL15">
        <f>IF($A15="","",$A15&amp;IF($T15="Sì"," ◆",""))</f>
        <v/>
      </c>
      <c r="CM15">
        <f>IF(ISNUMBER($S15),$S15,NA())</f>
        <v/>
      </c>
    </row>
    <row r="16">
      <c r="A16">
        <f>IF(Parametri!$H15="","",Parametri!$H15)</f>
        <v/>
      </c>
      <c r="B16">
        <f>IF($A16="","",Parametri!$I15)</f>
        <v/>
      </c>
      <c r="C16">
        <f>IF($A16="","",Parametri!$J15)</f>
        <v/>
      </c>
      <c r="D16">
        <f>IF($A16="",NA(),IF(COUNTIFS(RR_ID_Rischio,$A16,RR_Ciclo,cicloCorrente)=0,NA(),SUMIFS(RR_Impatto,RR_ID_Rischio,$A16,RR_Ciclo,cicloCorrente)))</f>
        <v/>
      </c>
      <c r="E16">
        <f>IF($A16="",NA(),IF(COUNTIFS(RR_ID_Rischio,$A16,RR_Ciclo,cicloCorrente)=0,NA(),SUMIFS(RR_Probabilita,RR_ID_Rischio,$A16,RR_Ciclo,cicloCorrente)))</f>
        <v/>
      </c>
      <c r="F16">
        <f>IF(AND(ISNUMBER(D16),ISNUMBER(E16)),D16*E16,NA())</f>
        <v/>
      </c>
      <c r="G16">
        <f>IF($A16="",NA(),IF(COUNTIFS(RR_ID_Rischio,$A16,RR_Ciclo,cicloCorrente)=0,NA(),SUMIFS(RR_Prossimita,RR_ID_Rischio,$A16,RR_Ciclo,cicloCorrente)))</f>
        <v/>
      </c>
      <c r="H16" s="58">
        <f>IF(ISNUMBER(G16),INDEX(anniProssimita,G16),NA())</f>
        <v/>
      </c>
      <c r="I16" s="58">
        <f>IF($A16="",NA(),moscaX)</f>
        <v/>
      </c>
      <c r="J16" s="58">
        <f>IF($A16="",NA(),MAX(IF(COUNTIFS(AZ_ID_Rischio,$A16,AZ_Ciclo,$AC16,AZ_Stato,"&lt;&gt;Respinta",AZ_Mesi_Orizzonte,"&gt;0")=0,moscaYDefault,_xlfn.MAXIFS(AZ_Mesi_Orizzonte,AZ_ID_Rischio,$A16,AZ_Ciclo,$AC16,AZ_Stato,"&lt;&gt;Respinta")/12),N(Parametri!$M15)))</f>
        <v/>
      </c>
      <c r="K16" s="58">
        <f>IF(AND(ISNUMBER(H16),ISNUMBER(J16)),H16-(I16+J16),NA())</f>
        <v/>
      </c>
      <c r="L16">
        <f>IF(NOT(ISNUMBER(K16)),"",IF(K16&lt;0,"AGIRE ORA: X+Y &gt; Z",IF(K16&lt;1,"Agire entro l'anno","Margine "&amp;ROUND(K16,1)&amp;IF(ROUND(K16,1)=1," anno"," anni"))))</f>
        <v/>
      </c>
      <c r="M16">
        <f>IF($A16="",NA(),MATCH(C16,codiciL1,0)-1)</f>
        <v/>
      </c>
      <c r="N16">
        <f>IF($A16="",NA(),COUNTIF($C$4:C15,C16))</f>
        <v/>
      </c>
      <c r="O16">
        <f>IF($A16="",NA(),COUNTIF(ANA_Event_Type,C16))</f>
        <v/>
      </c>
      <c r="P16" s="58">
        <f>IF($A16="",NA(),2*PI()*(M16+(N16+0.5)/O16)/ROWS(codiciL1))</f>
        <v/>
      </c>
      <c r="Q16" s="58">
        <f>IF(ISNUMBER(K16),MAX(0.6,MIN(6,K16+2)),NA())</f>
        <v/>
      </c>
      <c r="R16" s="58">
        <f>IF(AND(ISNUMBER(Q16),ISNUMBER(P16)),Q16*SIN(P16),NA())</f>
        <v/>
      </c>
      <c r="S16" s="58">
        <f>IF(AND(ISNUMBER(Q16),ISNUMBER(P16)),Q16*COS(P16),NA())</f>
        <v/>
      </c>
      <c r="T16">
        <f>IF($A16="","",IF(Parametri!$N15="Sì","Sì",""))</f>
        <v/>
      </c>
      <c r="U16">
        <f>IF(OR($A16="",NOT(ISNUMBER(K16))),"",IF(K16&lt;0,1,0))</f>
        <v/>
      </c>
      <c r="V16">
        <f>IF(OR($A16="",NOT(ISNUMBER(K16))),"",IF(COUNTIFS(KRI_ID_Rischio,$A16,KRI_Ciclo,cicloCorrente,KRI_In_Vigore,"Sì",KRI_Stato,"Rosso")&gt;0,1,0))</f>
        <v/>
      </c>
      <c r="W16">
        <f>IF(OR($A16="",NOT(ISNUMBER(K16))),"",IF(N(INDEX(posNetti,12))&gt;=sogliaDirezione,1,0))</f>
        <v/>
      </c>
      <c r="X16">
        <f>IF(OR($A16="",NOT(ISNUMBER(K16))),"",IF(AND(ISNUMBER(F16),F16&gt;=livelloPxI),1,0))</f>
        <v/>
      </c>
      <c r="Y16">
        <f>IF(OR($A16="",NOT(ISNUMBER(K16))),"",IF(Parametri!$O15="Assente",1,0))</f>
        <v/>
      </c>
      <c r="Z16">
        <f>IF(OR($A16="",NOT(ISNUMBER(K16))),"",IF(AND(COUNTIFS(KRI_ID_Rischio,$A16,KRI_Ciclo,cicloCorrente,KRI_In_Vigore,"Sì")&gt;0,COUNTIFS(KRI_ID_Rischio,$A16,KRI_Ciclo,cicloCorrente,KRI_In_Vigore,"Sì",KRI_Stato,"Rosso")+COUNTIFS(KRI_ID_Rischio,$A16,KRI_Ciclo,cicloCorrente,KRI_In_Vigore,"Sì",KRI_Stato,"Ambra")&gt;=livelloQuotaKRI*COUNTIFS(KRI_ID_Rischio,$A16,KRI_Ciclo,cicloCorrente,KRI_In_Vigore,"Sì")),1,0))</f>
        <v/>
      </c>
      <c r="AA16">
        <f>IF(OR($A16="",NOT(ISNUMBER(K16))),"",IF((U16+V16+W16)&gt;=livelloForti,"Attivazione",IF(OR((U16+V16+W16)&gt;=1,AND(K16&lt;livelloMargine,(X16+Y16+Z16)&gt;=1)),"Attenzione","Monitoraggio")))</f>
        <v/>
      </c>
      <c r="AB16">
        <f>IF(AA16="","",IF(AA16="Monitoraggio","nessun segnale forte",_xlfn.TEXTJOIN("; ",TRUE,IF(U16=1,"AGIRE ORA",""),IF(V16=1,"KRI in rosso",""),IF(W16=1,"notizie in peggioramento",""),IF((U16+V16+W16)=0,"margine sotto l'anno con "&amp;_xlfn.TEXTJOIN(", ",TRUE,IF(X16=1,"P x I alta",""),IF(Y16=1,"presidio dei controlli assente",""),IF(Z16=1,"KRI in ambra o rosso","")),""))))</f>
        <v/>
      </c>
      <c r="AC16">
        <f>IF($A16="","",IFERROR(IF(INDEX(RR_Periodo_Valutazione,MATCH(cicloCorrente&amp;"|"&amp;$A16,RR_Chiave,0))="",cicloCorrente,INDEX(RR_Periodo_Valutazione,MATCH(cicloCorrente&amp;"|"&amp;$A16,RR_Chiave,0))&amp;""),cicloCorrente))</f>
        <v/>
      </c>
      <c r="AD16">
        <f>2*PI()*11/72</f>
        <v/>
      </c>
      <c r="AE16">
        <f>2*SIN($AD16)</f>
        <v/>
      </c>
      <c r="AF16">
        <f>2*COS($AD16)</f>
        <v/>
      </c>
      <c r="AG16">
        <f>3*SIN($AD16)</f>
        <v/>
      </c>
      <c r="AH16">
        <f>3*COS($AD16)</f>
        <v/>
      </c>
      <c r="AI16">
        <f>4*SIN($AD16)</f>
        <v/>
      </c>
      <c r="AJ16">
        <f>4*COS($AD16)</f>
        <v/>
      </c>
      <c r="AK16">
        <f>5*SIN($AD16)</f>
        <v/>
      </c>
      <c r="AL16">
        <f>5*COS($AD16)</f>
        <v/>
      </c>
      <c r="AN16">
        <f>6.3*SIN(2*PI()*5/ROWS(codiciL1))</f>
        <v/>
      </c>
      <c r="AO16">
        <f>6.3*COS(2*PI()*5/ROWS(codiciL1))</f>
        <v/>
      </c>
      <c r="AU16">
        <f>IF(AND(ISNUMBER($F16),ISNUMBER($S16)),IF(AND($F16=AU$4,$AA16=AU$3),$S16,NA()),NA())</f>
        <v/>
      </c>
      <c r="AV16">
        <f>IF(AND(ISNUMBER($F16),ISNUMBER($S16)),IF(AND($F16=AV$4,$AA16=AV$3),$S16,NA()),NA())</f>
        <v/>
      </c>
      <c r="AW16">
        <f>IF(AND(ISNUMBER($F16),ISNUMBER($S16)),IF(AND($F16=AW$4,$AA16=AW$3),$S16,NA()),NA())</f>
        <v/>
      </c>
      <c r="AX16">
        <f>IF(AND(ISNUMBER($F16),ISNUMBER($S16)),IF(AND($F16=AX$4,$AA16=AX$3),$S16,NA()),NA())</f>
        <v/>
      </c>
      <c r="AY16">
        <f>IF(AND(ISNUMBER($F16),ISNUMBER($S16)),IF(AND($F16=AY$4,$AA16=AY$3),$S16,NA()),NA())</f>
        <v/>
      </c>
      <c r="AZ16">
        <f>IF(AND(ISNUMBER($F16),ISNUMBER($S16)),IF(AND($F16=AZ$4,$AA16=AZ$3),$S16,NA()),NA())</f>
        <v/>
      </c>
      <c r="BA16">
        <f>IF(AND(ISNUMBER($F16),ISNUMBER($S16)),IF(AND($F16=BA$4,$AA16=BA$3),$S16,NA()),NA())</f>
        <v/>
      </c>
      <c r="BB16">
        <f>IF(AND(ISNUMBER($F16),ISNUMBER($S16)),IF(AND($F16=BB$4,$AA16=BB$3),$S16,NA()),NA())</f>
        <v/>
      </c>
      <c r="BC16">
        <f>IF(AND(ISNUMBER($F16),ISNUMBER($S16)),IF(AND($F16=BC$4,$AA16=BC$3),$S16,NA()),NA())</f>
        <v/>
      </c>
      <c r="BD16">
        <f>IF(AND(ISNUMBER($F16),ISNUMBER($S16)),IF(AND($F16=BD$4,$AA16=BD$3),$S16,NA()),NA())</f>
        <v/>
      </c>
      <c r="BE16">
        <f>IF(AND(ISNUMBER($F16),ISNUMBER($S16)),IF(AND($F16=BE$4,$AA16=BE$3),$S16,NA()),NA())</f>
        <v/>
      </c>
      <c r="BF16">
        <f>IF(AND(ISNUMBER($F16),ISNUMBER($S16)),IF(AND($F16=BF$4,$AA16=BF$3),$S16,NA()),NA())</f>
        <v/>
      </c>
      <c r="BG16">
        <f>IF(AND(ISNUMBER($F16),ISNUMBER($S16)),IF(AND($F16=BG$4,$AA16=BG$3),$S16,NA()),NA())</f>
        <v/>
      </c>
      <c r="BH16">
        <f>IF(AND(ISNUMBER($F16),ISNUMBER($S16)),IF(AND($F16=BH$4,$AA16=BH$3),$S16,NA()),NA())</f>
        <v/>
      </c>
      <c r="BI16">
        <f>IF(AND(ISNUMBER($F16),ISNUMBER($S16)),IF(AND($F16=BI$4,$AA16=BI$3),$S16,NA()),NA())</f>
        <v/>
      </c>
      <c r="BJ16">
        <f>IF(AND(ISNUMBER($F16),ISNUMBER($S16)),IF(AND($F16=BJ$4,$AA16=BJ$3),$S16,NA()),NA())</f>
        <v/>
      </c>
      <c r="BK16">
        <f>IF(AND(ISNUMBER($F16),ISNUMBER($S16)),IF(AND($F16=BK$4,$AA16=BK$3),$S16,NA()),NA())</f>
        <v/>
      </c>
      <c r="BL16">
        <f>IF(AND(ISNUMBER($F16),ISNUMBER($S16)),IF(AND($F16=BL$4,$AA16=BL$3),$S16,NA()),NA())</f>
        <v/>
      </c>
      <c r="BM16">
        <f>IF(AND(ISNUMBER($F16),ISNUMBER($S16)),IF(AND($F16=BM$4,$AA16=BM$3),$S16,NA()),NA())</f>
        <v/>
      </c>
      <c r="BN16">
        <f>IF(AND(ISNUMBER($F16),ISNUMBER($S16)),IF(AND($F16=BN$4,$AA16=BN$3),$S16,NA()),NA())</f>
        <v/>
      </c>
      <c r="BO16">
        <f>IF(AND(ISNUMBER($F16),ISNUMBER($S16)),IF(AND($F16=BO$4,$AA16=BO$3),$S16,NA()),NA())</f>
        <v/>
      </c>
      <c r="BP16">
        <f>IF(AND(ISNUMBER($F16),ISNUMBER($S16)),IF(AND($F16=BP$4,$AA16=BP$3),$S16,NA()),NA())</f>
        <v/>
      </c>
      <c r="BQ16">
        <f>IF(AND(ISNUMBER($F16),ISNUMBER($S16)),IF(AND($F16=BQ$4,$AA16=BQ$3),$S16,NA()),NA())</f>
        <v/>
      </c>
      <c r="BR16">
        <f>IF(AND(ISNUMBER($F16),ISNUMBER($S16)),IF(AND($F16=BR$4,$AA16=BR$3),$S16,NA()),NA())</f>
        <v/>
      </c>
      <c r="BS16">
        <f>IF(AND(ISNUMBER($F16),ISNUMBER($S16)),IF(AND($F16=BS$4,$AA16=BS$3),$S16,NA()),NA())</f>
        <v/>
      </c>
      <c r="BT16">
        <f>IF(AND(ISNUMBER($F16),ISNUMBER($S16)),IF(AND($F16=BT$4,$AA16=BT$3),$S16,NA()),NA())</f>
        <v/>
      </c>
      <c r="BU16">
        <f>IF(AND(ISNUMBER($F16),ISNUMBER($S16)),IF(AND($F16=BU$4,$AA16=BU$3),$S16,NA()),NA())</f>
        <v/>
      </c>
      <c r="BV16">
        <f>IF(AND(ISNUMBER($F16),ISNUMBER($S16)),IF(AND($F16=BV$4,$AA16=BV$3),$S16,NA()),NA())</f>
        <v/>
      </c>
      <c r="BW16">
        <f>IF(AND(ISNUMBER($F16),ISNUMBER($S16)),IF(AND($F16=BW$4,$AA16=BW$3),$S16,NA()),NA())</f>
        <v/>
      </c>
      <c r="BX16">
        <f>IF(AND(ISNUMBER($F16),ISNUMBER($S16)),IF(AND($F16=BX$4,$AA16=BX$3),$S16,NA()),NA())</f>
        <v/>
      </c>
      <c r="BY16">
        <f>IF(AND(ISNUMBER($F16),ISNUMBER($S16)),IF(AND($F16=BY$4,$AA16=BY$3),$S16,NA()),NA())</f>
        <v/>
      </c>
      <c r="BZ16">
        <f>IF(AND(ISNUMBER($F16),ISNUMBER($S16)),IF(AND($F16=BZ$4,$AA16=BZ$3),$S16,NA()),NA())</f>
        <v/>
      </c>
      <c r="CA16">
        <f>IF(AND(ISNUMBER($F16),ISNUMBER($S16)),IF(AND($F16=CA$4,$AA16=CA$3),$S16,NA()),NA())</f>
        <v/>
      </c>
      <c r="CB16">
        <f>IF(AND(ISNUMBER($F16),ISNUMBER($S16)),IF(AND($F16=CB$4,$AA16=CB$3),$S16,NA()),NA())</f>
        <v/>
      </c>
      <c r="CC16">
        <f>IF(AND(ISNUMBER($F16),ISNUMBER($S16)),IF(AND($F16=CC$4,$AA16=CC$3),$S16,NA()),NA())</f>
        <v/>
      </c>
      <c r="CD16">
        <f>IF(AND(ISNUMBER($F16),ISNUMBER($S16)),IF(AND($F16=CD$4,$AA16=CD$3),$S16,NA()),NA())</f>
        <v/>
      </c>
      <c r="CE16">
        <f>IF(AND(ISNUMBER($F16),ISNUMBER($S16)),IF(AND($F16=CE$4,$AA16=CE$3),$S16,NA()),NA())</f>
        <v/>
      </c>
      <c r="CF16">
        <f>IF(AND(ISNUMBER($F16),ISNUMBER($S16)),IF(AND($F16=CF$4,$AA16=CF$3),$S16,NA()),NA())</f>
        <v/>
      </c>
      <c r="CG16">
        <f>IF(AND(ISNUMBER($F16),ISNUMBER($S16)),IF(AND($F16=CG$4,$AA16=CG$3),$S16,NA()),NA())</f>
        <v/>
      </c>
      <c r="CH16">
        <f>IF(AND(ISNUMBER($F16),ISNUMBER($S16)),IF(AND($F16=CH$4,$AA16=CH$3),$S16,NA()),NA())</f>
        <v/>
      </c>
      <c r="CI16">
        <f>IF(AND(ISNUMBER($F16),ISNUMBER($S16)),IF(AND($F16=CI$4,$AA16=CI$3),$S16,NA()),NA())</f>
        <v/>
      </c>
      <c r="CJ16">
        <f>IF(AND(ISNUMBER($F16),ISNUMBER($S16)),IF(AND($F16=CJ$4,$AA16=CJ$3),$S16,NA()),NA())</f>
        <v/>
      </c>
      <c r="CK16">
        <f>IF(ISNUMBER($R16),$R16,NA())</f>
        <v/>
      </c>
      <c r="CL16">
        <f>IF($A16="","",$A16&amp;IF($T16="Sì"," ◆",""))</f>
        <v/>
      </c>
      <c r="CM16">
        <f>IF(ISNUMBER($S16),$S16,NA())</f>
        <v/>
      </c>
    </row>
    <row r="17">
      <c r="A17">
        <f>IF(Parametri!$H16="","",Parametri!$H16)</f>
        <v/>
      </c>
      <c r="B17">
        <f>IF($A17="","",Parametri!$I16)</f>
        <v/>
      </c>
      <c r="C17">
        <f>IF($A17="","",Parametri!$J16)</f>
        <v/>
      </c>
      <c r="D17">
        <f>IF($A17="",NA(),IF(COUNTIFS(RR_ID_Rischio,$A17,RR_Ciclo,cicloCorrente)=0,NA(),SUMIFS(RR_Impatto,RR_ID_Rischio,$A17,RR_Ciclo,cicloCorrente)))</f>
        <v/>
      </c>
      <c r="E17">
        <f>IF($A17="",NA(),IF(COUNTIFS(RR_ID_Rischio,$A17,RR_Ciclo,cicloCorrente)=0,NA(),SUMIFS(RR_Probabilita,RR_ID_Rischio,$A17,RR_Ciclo,cicloCorrente)))</f>
        <v/>
      </c>
      <c r="F17">
        <f>IF(AND(ISNUMBER(D17),ISNUMBER(E17)),D17*E17,NA())</f>
        <v/>
      </c>
      <c r="G17">
        <f>IF($A17="",NA(),IF(COUNTIFS(RR_ID_Rischio,$A17,RR_Ciclo,cicloCorrente)=0,NA(),SUMIFS(RR_Prossimita,RR_ID_Rischio,$A17,RR_Ciclo,cicloCorrente)))</f>
        <v/>
      </c>
      <c r="H17" s="58">
        <f>IF(ISNUMBER(G17),INDEX(anniProssimita,G17),NA())</f>
        <v/>
      </c>
      <c r="I17" s="58">
        <f>IF($A17="",NA(),moscaX)</f>
        <v/>
      </c>
      <c r="J17" s="58">
        <f>IF($A17="",NA(),MAX(IF(COUNTIFS(AZ_ID_Rischio,$A17,AZ_Ciclo,$AC17,AZ_Stato,"&lt;&gt;Respinta",AZ_Mesi_Orizzonte,"&gt;0")=0,moscaYDefault,_xlfn.MAXIFS(AZ_Mesi_Orizzonte,AZ_ID_Rischio,$A17,AZ_Ciclo,$AC17,AZ_Stato,"&lt;&gt;Respinta")/12),N(Parametri!$M16)))</f>
        <v/>
      </c>
      <c r="K17" s="58">
        <f>IF(AND(ISNUMBER(H17),ISNUMBER(J17)),H17-(I17+J17),NA())</f>
        <v/>
      </c>
      <c r="L17">
        <f>IF(NOT(ISNUMBER(K17)),"",IF(K17&lt;0,"AGIRE ORA: X+Y &gt; Z",IF(K17&lt;1,"Agire entro l'anno","Margine "&amp;ROUND(K17,1)&amp;IF(ROUND(K17,1)=1," anno"," anni"))))</f>
        <v/>
      </c>
      <c r="M17">
        <f>IF($A17="",NA(),MATCH(C17,codiciL1,0)-1)</f>
        <v/>
      </c>
      <c r="N17">
        <f>IF($A17="",NA(),COUNTIF($C$4:C16,C17))</f>
        <v/>
      </c>
      <c r="O17">
        <f>IF($A17="",NA(),COUNTIF(ANA_Event_Type,C17))</f>
        <v/>
      </c>
      <c r="P17" s="58">
        <f>IF($A17="",NA(),2*PI()*(M17+(N17+0.5)/O17)/ROWS(codiciL1))</f>
        <v/>
      </c>
      <c r="Q17" s="58">
        <f>IF(ISNUMBER(K17),MAX(0.6,MIN(6,K17+2)),NA())</f>
        <v/>
      </c>
      <c r="R17" s="58">
        <f>IF(AND(ISNUMBER(Q17),ISNUMBER(P17)),Q17*SIN(P17),NA())</f>
        <v/>
      </c>
      <c r="S17" s="58">
        <f>IF(AND(ISNUMBER(Q17),ISNUMBER(P17)),Q17*COS(P17),NA())</f>
        <v/>
      </c>
      <c r="T17">
        <f>IF($A17="","",IF(Parametri!$N16="Sì","Sì",""))</f>
        <v/>
      </c>
      <c r="U17">
        <f>IF(OR($A17="",NOT(ISNUMBER(K17))),"",IF(K17&lt;0,1,0))</f>
        <v/>
      </c>
      <c r="V17">
        <f>IF(OR($A17="",NOT(ISNUMBER(K17))),"",IF(COUNTIFS(KRI_ID_Rischio,$A17,KRI_Ciclo,cicloCorrente,KRI_In_Vigore,"Sì",KRI_Stato,"Rosso")&gt;0,1,0))</f>
        <v/>
      </c>
      <c r="W17">
        <f>IF(OR($A17="",NOT(ISNUMBER(K17))),"",IF(N(INDEX(posNetti,13))&gt;=sogliaDirezione,1,0))</f>
        <v/>
      </c>
      <c r="X17">
        <f>IF(OR($A17="",NOT(ISNUMBER(K17))),"",IF(AND(ISNUMBER(F17),F17&gt;=livelloPxI),1,0))</f>
        <v/>
      </c>
      <c r="Y17">
        <f>IF(OR($A17="",NOT(ISNUMBER(K17))),"",IF(Parametri!$O16="Assente",1,0))</f>
        <v/>
      </c>
      <c r="Z17">
        <f>IF(OR($A17="",NOT(ISNUMBER(K17))),"",IF(AND(COUNTIFS(KRI_ID_Rischio,$A17,KRI_Ciclo,cicloCorrente,KRI_In_Vigore,"Sì")&gt;0,COUNTIFS(KRI_ID_Rischio,$A17,KRI_Ciclo,cicloCorrente,KRI_In_Vigore,"Sì",KRI_Stato,"Rosso")+COUNTIFS(KRI_ID_Rischio,$A17,KRI_Ciclo,cicloCorrente,KRI_In_Vigore,"Sì",KRI_Stato,"Ambra")&gt;=livelloQuotaKRI*COUNTIFS(KRI_ID_Rischio,$A17,KRI_Ciclo,cicloCorrente,KRI_In_Vigore,"Sì")),1,0))</f>
        <v/>
      </c>
      <c r="AA17">
        <f>IF(OR($A17="",NOT(ISNUMBER(K17))),"",IF((U17+V17+W17)&gt;=livelloForti,"Attivazione",IF(OR((U17+V17+W17)&gt;=1,AND(K17&lt;livelloMargine,(X17+Y17+Z17)&gt;=1)),"Attenzione","Monitoraggio")))</f>
        <v/>
      </c>
      <c r="AB17">
        <f>IF(AA17="","",IF(AA17="Monitoraggio","nessun segnale forte",_xlfn.TEXTJOIN("; ",TRUE,IF(U17=1,"AGIRE ORA",""),IF(V17=1,"KRI in rosso",""),IF(W17=1,"notizie in peggioramento",""),IF((U17+V17+W17)=0,"margine sotto l'anno con "&amp;_xlfn.TEXTJOIN(", ",TRUE,IF(X17=1,"P x I alta",""),IF(Y17=1,"presidio dei controlli assente",""),IF(Z17=1,"KRI in ambra o rosso","")),""))))</f>
        <v/>
      </c>
      <c r="AC17">
        <f>IF($A17="","",IFERROR(IF(INDEX(RR_Periodo_Valutazione,MATCH(cicloCorrente&amp;"|"&amp;$A17,RR_Chiave,0))="",cicloCorrente,INDEX(RR_Periodo_Valutazione,MATCH(cicloCorrente&amp;"|"&amp;$A17,RR_Chiave,0))&amp;""),cicloCorrente))</f>
        <v/>
      </c>
      <c r="AD17">
        <f>2*PI()*12/72</f>
        <v/>
      </c>
      <c r="AE17">
        <f>2*SIN($AD17)</f>
        <v/>
      </c>
      <c r="AF17">
        <f>2*COS($AD17)</f>
        <v/>
      </c>
      <c r="AG17">
        <f>3*SIN($AD17)</f>
        <v/>
      </c>
      <c r="AH17">
        <f>3*COS($AD17)</f>
        <v/>
      </c>
      <c r="AI17">
        <f>4*SIN($AD17)</f>
        <v/>
      </c>
      <c r="AJ17">
        <f>4*COS($AD17)</f>
        <v/>
      </c>
      <c r="AK17">
        <f>5*SIN($AD17)</f>
        <v/>
      </c>
      <c r="AL17">
        <f>5*COS($AD17)</f>
        <v/>
      </c>
      <c r="AN17" t="n">
        <v>0</v>
      </c>
      <c r="AO17" t="n">
        <v>0</v>
      </c>
      <c r="AU17">
        <f>IF(AND(ISNUMBER($F17),ISNUMBER($S17)),IF(AND($F17=AU$4,$AA17=AU$3),$S17,NA()),NA())</f>
        <v/>
      </c>
      <c r="AV17">
        <f>IF(AND(ISNUMBER($F17),ISNUMBER($S17)),IF(AND($F17=AV$4,$AA17=AV$3),$S17,NA()),NA())</f>
        <v/>
      </c>
      <c r="AW17">
        <f>IF(AND(ISNUMBER($F17),ISNUMBER($S17)),IF(AND($F17=AW$4,$AA17=AW$3),$S17,NA()),NA())</f>
        <v/>
      </c>
      <c r="AX17">
        <f>IF(AND(ISNUMBER($F17),ISNUMBER($S17)),IF(AND($F17=AX$4,$AA17=AX$3),$S17,NA()),NA())</f>
        <v/>
      </c>
      <c r="AY17">
        <f>IF(AND(ISNUMBER($F17),ISNUMBER($S17)),IF(AND($F17=AY$4,$AA17=AY$3),$S17,NA()),NA())</f>
        <v/>
      </c>
      <c r="AZ17">
        <f>IF(AND(ISNUMBER($F17),ISNUMBER($S17)),IF(AND($F17=AZ$4,$AA17=AZ$3),$S17,NA()),NA())</f>
        <v/>
      </c>
      <c r="BA17">
        <f>IF(AND(ISNUMBER($F17),ISNUMBER($S17)),IF(AND($F17=BA$4,$AA17=BA$3),$S17,NA()),NA())</f>
        <v/>
      </c>
      <c r="BB17">
        <f>IF(AND(ISNUMBER($F17),ISNUMBER($S17)),IF(AND($F17=BB$4,$AA17=BB$3),$S17,NA()),NA())</f>
        <v/>
      </c>
      <c r="BC17">
        <f>IF(AND(ISNUMBER($F17),ISNUMBER($S17)),IF(AND($F17=BC$4,$AA17=BC$3),$S17,NA()),NA())</f>
        <v/>
      </c>
      <c r="BD17">
        <f>IF(AND(ISNUMBER($F17),ISNUMBER($S17)),IF(AND($F17=BD$4,$AA17=BD$3),$S17,NA()),NA())</f>
        <v/>
      </c>
      <c r="BE17">
        <f>IF(AND(ISNUMBER($F17),ISNUMBER($S17)),IF(AND($F17=BE$4,$AA17=BE$3),$S17,NA()),NA())</f>
        <v/>
      </c>
      <c r="BF17">
        <f>IF(AND(ISNUMBER($F17),ISNUMBER($S17)),IF(AND($F17=BF$4,$AA17=BF$3),$S17,NA()),NA())</f>
        <v/>
      </c>
      <c r="BG17">
        <f>IF(AND(ISNUMBER($F17),ISNUMBER($S17)),IF(AND($F17=BG$4,$AA17=BG$3),$S17,NA()),NA())</f>
        <v/>
      </c>
      <c r="BH17">
        <f>IF(AND(ISNUMBER($F17),ISNUMBER($S17)),IF(AND($F17=BH$4,$AA17=BH$3),$S17,NA()),NA())</f>
        <v/>
      </c>
      <c r="BI17">
        <f>IF(AND(ISNUMBER($F17),ISNUMBER($S17)),IF(AND($F17=BI$4,$AA17=BI$3),$S17,NA()),NA())</f>
        <v/>
      </c>
      <c r="BJ17">
        <f>IF(AND(ISNUMBER($F17),ISNUMBER($S17)),IF(AND($F17=BJ$4,$AA17=BJ$3),$S17,NA()),NA())</f>
        <v/>
      </c>
      <c r="BK17">
        <f>IF(AND(ISNUMBER($F17),ISNUMBER($S17)),IF(AND($F17=BK$4,$AA17=BK$3),$S17,NA()),NA())</f>
        <v/>
      </c>
      <c r="BL17">
        <f>IF(AND(ISNUMBER($F17),ISNUMBER($S17)),IF(AND($F17=BL$4,$AA17=BL$3),$S17,NA()),NA())</f>
        <v/>
      </c>
      <c r="BM17">
        <f>IF(AND(ISNUMBER($F17),ISNUMBER($S17)),IF(AND($F17=BM$4,$AA17=BM$3),$S17,NA()),NA())</f>
        <v/>
      </c>
      <c r="BN17">
        <f>IF(AND(ISNUMBER($F17),ISNUMBER($S17)),IF(AND($F17=BN$4,$AA17=BN$3),$S17,NA()),NA())</f>
        <v/>
      </c>
      <c r="BO17">
        <f>IF(AND(ISNUMBER($F17),ISNUMBER($S17)),IF(AND($F17=BO$4,$AA17=BO$3),$S17,NA()),NA())</f>
        <v/>
      </c>
      <c r="BP17">
        <f>IF(AND(ISNUMBER($F17),ISNUMBER($S17)),IF(AND($F17=BP$4,$AA17=BP$3),$S17,NA()),NA())</f>
        <v/>
      </c>
      <c r="BQ17">
        <f>IF(AND(ISNUMBER($F17),ISNUMBER($S17)),IF(AND($F17=BQ$4,$AA17=BQ$3),$S17,NA()),NA())</f>
        <v/>
      </c>
      <c r="BR17">
        <f>IF(AND(ISNUMBER($F17),ISNUMBER($S17)),IF(AND($F17=BR$4,$AA17=BR$3),$S17,NA()),NA())</f>
        <v/>
      </c>
      <c r="BS17">
        <f>IF(AND(ISNUMBER($F17),ISNUMBER($S17)),IF(AND($F17=BS$4,$AA17=BS$3),$S17,NA()),NA())</f>
        <v/>
      </c>
      <c r="BT17">
        <f>IF(AND(ISNUMBER($F17),ISNUMBER($S17)),IF(AND($F17=BT$4,$AA17=BT$3),$S17,NA()),NA())</f>
        <v/>
      </c>
      <c r="BU17">
        <f>IF(AND(ISNUMBER($F17),ISNUMBER($S17)),IF(AND($F17=BU$4,$AA17=BU$3),$S17,NA()),NA())</f>
        <v/>
      </c>
      <c r="BV17">
        <f>IF(AND(ISNUMBER($F17),ISNUMBER($S17)),IF(AND($F17=BV$4,$AA17=BV$3),$S17,NA()),NA())</f>
        <v/>
      </c>
      <c r="BW17">
        <f>IF(AND(ISNUMBER($F17),ISNUMBER($S17)),IF(AND($F17=BW$4,$AA17=BW$3),$S17,NA()),NA())</f>
        <v/>
      </c>
      <c r="BX17">
        <f>IF(AND(ISNUMBER($F17),ISNUMBER($S17)),IF(AND($F17=BX$4,$AA17=BX$3),$S17,NA()),NA())</f>
        <v/>
      </c>
      <c r="BY17">
        <f>IF(AND(ISNUMBER($F17),ISNUMBER($S17)),IF(AND($F17=BY$4,$AA17=BY$3),$S17,NA()),NA())</f>
        <v/>
      </c>
      <c r="BZ17">
        <f>IF(AND(ISNUMBER($F17),ISNUMBER($S17)),IF(AND($F17=BZ$4,$AA17=BZ$3),$S17,NA()),NA())</f>
        <v/>
      </c>
      <c r="CA17">
        <f>IF(AND(ISNUMBER($F17),ISNUMBER($S17)),IF(AND($F17=CA$4,$AA17=CA$3),$S17,NA()),NA())</f>
        <v/>
      </c>
      <c r="CB17">
        <f>IF(AND(ISNUMBER($F17),ISNUMBER($S17)),IF(AND($F17=CB$4,$AA17=CB$3),$S17,NA()),NA())</f>
        <v/>
      </c>
      <c r="CC17">
        <f>IF(AND(ISNUMBER($F17),ISNUMBER($S17)),IF(AND($F17=CC$4,$AA17=CC$3),$S17,NA()),NA())</f>
        <v/>
      </c>
      <c r="CD17">
        <f>IF(AND(ISNUMBER($F17),ISNUMBER($S17)),IF(AND($F17=CD$4,$AA17=CD$3),$S17,NA()),NA())</f>
        <v/>
      </c>
      <c r="CE17">
        <f>IF(AND(ISNUMBER($F17),ISNUMBER($S17)),IF(AND($F17=CE$4,$AA17=CE$3),$S17,NA()),NA())</f>
        <v/>
      </c>
      <c r="CF17">
        <f>IF(AND(ISNUMBER($F17),ISNUMBER($S17)),IF(AND($F17=CF$4,$AA17=CF$3),$S17,NA()),NA())</f>
        <v/>
      </c>
      <c r="CG17">
        <f>IF(AND(ISNUMBER($F17),ISNUMBER($S17)),IF(AND($F17=CG$4,$AA17=CG$3),$S17,NA()),NA())</f>
        <v/>
      </c>
      <c r="CH17">
        <f>IF(AND(ISNUMBER($F17),ISNUMBER($S17)),IF(AND($F17=CH$4,$AA17=CH$3),$S17,NA()),NA())</f>
        <v/>
      </c>
      <c r="CI17">
        <f>IF(AND(ISNUMBER($F17),ISNUMBER($S17)),IF(AND($F17=CI$4,$AA17=CI$3),$S17,NA()),NA())</f>
        <v/>
      </c>
      <c r="CJ17">
        <f>IF(AND(ISNUMBER($F17),ISNUMBER($S17)),IF(AND($F17=CJ$4,$AA17=CJ$3),$S17,NA()),NA())</f>
        <v/>
      </c>
      <c r="CK17">
        <f>IF(ISNUMBER($R17),$R17,NA())</f>
        <v/>
      </c>
      <c r="CL17">
        <f>IF($A17="","",$A17&amp;IF($T17="Sì"," ◆",""))</f>
        <v/>
      </c>
      <c r="CM17">
        <f>IF(ISNUMBER($S17),$S17,NA())</f>
        <v/>
      </c>
    </row>
    <row r="18">
      <c r="A18">
        <f>IF(Parametri!$H17="","",Parametri!$H17)</f>
        <v/>
      </c>
      <c r="B18">
        <f>IF($A18="","",Parametri!$I17)</f>
        <v/>
      </c>
      <c r="C18">
        <f>IF($A18="","",Parametri!$J17)</f>
        <v/>
      </c>
      <c r="D18">
        <f>IF($A18="",NA(),IF(COUNTIFS(RR_ID_Rischio,$A18,RR_Ciclo,cicloCorrente)=0,NA(),SUMIFS(RR_Impatto,RR_ID_Rischio,$A18,RR_Ciclo,cicloCorrente)))</f>
        <v/>
      </c>
      <c r="E18">
        <f>IF($A18="",NA(),IF(COUNTIFS(RR_ID_Rischio,$A18,RR_Ciclo,cicloCorrente)=0,NA(),SUMIFS(RR_Probabilita,RR_ID_Rischio,$A18,RR_Ciclo,cicloCorrente)))</f>
        <v/>
      </c>
      <c r="F18">
        <f>IF(AND(ISNUMBER(D18),ISNUMBER(E18)),D18*E18,NA())</f>
        <v/>
      </c>
      <c r="G18">
        <f>IF($A18="",NA(),IF(COUNTIFS(RR_ID_Rischio,$A18,RR_Ciclo,cicloCorrente)=0,NA(),SUMIFS(RR_Prossimita,RR_ID_Rischio,$A18,RR_Ciclo,cicloCorrente)))</f>
        <v/>
      </c>
      <c r="H18" s="58">
        <f>IF(ISNUMBER(G18),INDEX(anniProssimita,G18),NA())</f>
        <v/>
      </c>
      <c r="I18" s="58">
        <f>IF($A18="",NA(),moscaX)</f>
        <v/>
      </c>
      <c r="J18" s="58">
        <f>IF($A18="",NA(),MAX(IF(COUNTIFS(AZ_ID_Rischio,$A18,AZ_Ciclo,$AC18,AZ_Stato,"&lt;&gt;Respinta",AZ_Mesi_Orizzonte,"&gt;0")=0,moscaYDefault,_xlfn.MAXIFS(AZ_Mesi_Orizzonte,AZ_ID_Rischio,$A18,AZ_Ciclo,$AC18,AZ_Stato,"&lt;&gt;Respinta")/12),N(Parametri!$M17)))</f>
        <v/>
      </c>
      <c r="K18" s="58">
        <f>IF(AND(ISNUMBER(H18),ISNUMBER(J18)),H18-(I18+J18),NA())</f>
        <v/>
      </c>
      <c r="L18">
        <f>IF(NOT(ISNUMBER(K18)),"",IF(K18&lt;0,"AGIRE ORA: X+Y &gt; Z",IF(K18&lt;1,"Agire entro l'anno","Margine "&amp;ROUND(K18,1)&amp;IF(ROUND(K18,1)=1," anno"," anni"))))</f>
        <v/>
      </c>
      <c r="M18">
        <f>IF($A18="",NA(),MATCH(C18,codiciL1,0)-1)</f>
        <v/>
      </c>
      <c r="N18">
        <f>IF($A18="",NA(),COUNTIF($C$4:C17,C18))</f>
        <v/>
      </c>
      <c r="O18">
        <f>IF($A18="",NA(),COUNTIF(ANA_Event_Type,C18))</f>
        <v/>
      </c>
      <c r="P18" s="58">
        <f>IF($A18="",NA(),2*PI()*(M18+(N18+0.5)/O18)/ROWS(codiciL1))</f>
        <v/>
      </c>
      <c r="Q18" s="58">
        <f>IF(ISNUMBER(K18),MAX(0.6,MIN(6,K18+2)),NA())</f>
        <v/>
      </c>
      <c r="R18" s="58">
        <f>IF(AND(ISNUMBER(Q18),ISNUMBER(P18)),Q18*SIN(P18),NA())</f>
        <v/>
      </c>
      <c r="S18" s="58">
        <f>IF(AND(ISNUMBER(Q18),ISNUMBER(P18)),Q18*COS(P18),NA())</f>
        <v/>
      </c>
      <c r="T18">
        <f>IF($A18="","",IF(Parametri!$N17="Sì","Sì",""))</f>
        <v/>
      </c>
      <c r="U18">
        <f>IF(OR($A18="",NOT(ISNUMBER(K18))),"",IF(K18&lt;0,1,0))</f>
        <v/>
      </c>
      <c r="V18">
        <f>IF(OR($A18="",NOT(ISNUMBER(K18))),"",IF(COUNTIFS(KRI_ID_Rischio,$A18,KRI_Ciclo,cicloCorrente,KRI_In_Vigore,"Sì",KRI_Stato,"Rosso")&gt;0,1,0))</f>
        <v/>
      </c>
      <c r="W18">
        <f>IF(OR($A18="",NOT(ISNUMBER(K18))),"",IF(N(INDEX(posNetti,14))&gt;=sogliaDirezione,1,0))</f>
        <v/>
      </c>
      <c r="X18">
        <f>IF(OR($A18="",NOT(ISNUMBER(K18))),"",IF(AND(ISNUMBER(F18),F18&gt;=livelloPxI),1,0))</f>
        <v/>
      </c>
      <c r="Y18">
        <f>IF(OR($A18="",NOT(ISNUMBER(K18))),"",IF(Parametri!$O17="Assente",1,0))</f>
        <v/>
      </c>
      <c r="Z18">
        <f>IF(OR($A18="",NOT(ISNUMBER(K18))),"",IF(AND(COUNTIFS(KRI_ID_Rischio,$A18,KRI_Ciclo,cicloCorrente,KRI_In_Vigore,"Sì")&gt;0,COUNTIFS(KRI_ID_Rischio,$A18,KRI_Ciclo,cicloCorrente,KRI_In_Vigore,"Sì",KRI_Stato,"Rosso")+COUNTIFS(KRI_ID_Rischio,$A18,KRI_Ciclo,cicloCorrente,KRI_In_Vigore,"Sì",KRI_Stato,"Ambra")&gt;=livelloQuotaKRI*COUNTIFS(KRI_ID_Rischio,$A18,KRI_Ciclo,cicloCorrente,KRI_In_Vigore,"Sì")),1,0))</f>
        <v/>
      </c>
      <c r="AA18">
        <f>IF(OR($A18="",NOT(ISNUMBER(K18))),"",IF((U18+V18+W18)&gt;=livelloForti,"Attivazione",IF(OR((U18+V18+W18)&gt;=1,AND(K18&lt;livelloMargine,(X18+Y18+Z18)&gt;=1)),"Attenzione","Monitoraggio")))</f>
        <v/>
      </c>
      <c r="AB18">
        <f>IF(AA18="","",IF(AA18="Monitoraggio","nessun segnale forte",_xlfn.TEXTJOIN("; ",TRUE,IF(U18=1,"AGIRE ORA",""),IF(V18=1,"KRI in rosso",""),IF(W18=1,"notizie in peggioramento",""),IF((U18+V18+W18)=0,"margine sotto l'anno con "&amp;_xlfn.TEXTJOIN(", ",TRUE,IF(X18=1,"P x I alta",""),IF(Y18=1,"presidio dei controlli assente",""),IF(Z18=1,"KRI in ambra o rosso","")),""))))</f>
        <v/>
      </c>
      <c r="AC18">
        <f>IF($A18="","",IFERROR(IF(INDEX(RR_Periodo_Valutazione,MATCH(cicloCorrente&amp;"|"&amp;$A18,RR_Chiave,0))="",cicloCorrente,INDEX(RR_Periodo_Valutazione,MATCH(cicloCorrente&amp;"|"&amp;$A18,RR_Chiave,0))&amp;""),cicloCorrente))</f>
        <v/>
      </c>
      <c r="AD18">
        <f>2*PI()*13/72</f>
        <v/>
      </c>
      <c r="AE18">
        <f>2*SIN($AD18)</f>
        <v/>
      </c>
      <c r="AF18">
        <f>2*COS($AD18)</f>
        <v/>
      </c>
      <c r="AG18">
        <f>3*SIN($AD18)</f>
        <v/>
      </c>
      <c r="AH18">
        <f>3*COS($AD18)</f>
        <v/>
      </c>
      <c r="AI18">
        <f>4*SIN($AD18)</f>
        <v/>
      </c>
      <c r="AJ18">
        <f>4*COS($AD18)</f>
        <v/>
      </c>
      <c r="AK18">
        <f>5*SIN($AD18)</f>
        <v/>
      </c>
      <c r="AL18">
        <f>5*COS($AD18)</f>
        <v/>
      </c>
      <c r="AN18">
        <f>6.3*SIN(2*PI()*6/ROWS(codiciL1))</f>
        <v/>
      </c>
      <c r="AO18">
        <f>6.3*COS(2*PI()*6/ROWS(codiciL1))</f>
        <v/>
      </c>
      <c r="AU18">
        <f>IF(AND(ISNUMBER($F18),ISNUMBER($S18)),IF(AND($F18=AU$4,$AA18=AU$3),$S18,NA()),NA())</f>
        <v/>
      </c>
      <c r="AV18">
        <f>IF(AND(ISNUMBER($F18),ISNUMBER($S18)),IF(AND($F18=AV$4,$AA18=AV$3),$S18,NA()),NA())</f>
        <v/>
      </c>
      <c r="AW18">
        <f>IF(AND(ISNUMBER($F18),ISNUMBER($S18)),IF(AND($F18=AW$4,$AA18=AW$3),$S18,NA()),NA())</f>
        <v/>
      </c>
      <c r="AX18">
        <f>IF(AND(ISNUMBER($F18),ISNUMBER($S18)),IF(AND($F18=AX$4,$AA18=AX$3),$S18,NA()),NA())</f>
        <v/>
      </c>
      <c r="AY18">
        <f>IF(AND(ISNUMBER($F18),ISNUMBER($S18)),IF(AND($F18=AY$4,$AA18=AY$3),$S18,NA()),NA())</f>
        <v/>
      </c>
      <c r="AZ18">
        <f>IF(AND(ISNUMBER($F18),ISNUMBER($S18)),IF(AND($F18=AZ$4,$AA18=AZ$3),$S18,NA()),NA())</f>
        <v/>
      </c>
      <c r="BA18">
        <f>IF(AND(ISNUMBER($F18),ISNUMBER($S18)),IF(AND($F18=BA$4,$AA18=BA$3),$S18,NA()),NA())</f>
        <v/>
      </c>
      <c r="BB18">
        <f>IF(AND(ISNUMBER($F18),ISNUMBER($S18)),IF(AND($F18=BB$4,$AA18=BB$3),$S18,NA()),NA())</f>
        <v/>
      </c>
      <c r="BC18">
        <f>IF(AND(ISNUMBER($F18),ISNUMBER($S18)),IF(AND($F18=BC$4,$AA18=BC$3),$S18,NA()),NA())</f>
        <v/>
      </c>
      <c r="BD18">
        <f>IF(AND(ISNUMBER($F18),ISNUMBER($S18)),IF(AND($F18=BD$4,$AA18=BD$3),$S18,NA()),NA())</f>
        <v/>
      </c>
      <c r="BE18">
        <f>IF(AND(ISNUMBER($F18),ISNUMBER($S18)),IF(AND($F18=BE$4,$AA18=BE$3),$S18,NA()),NA())</f>
        <v/>
      </c>
      <c r="BF18">
        <f>IF(AND(ISNUMBER($F18),ISNUMBER($S18)),IF(AND($F18=BF$4,$AA18=BF$3),$S18,NA()),NA())</f>
        <v/>
      </c>
      <c r="BG18">
        <f>IF(AND(ISNUMBER($F18),ISNUMBER($S18)),IF(AND($F18=BG$4,$AA18=BG$3),$S18,NA()),NA())</f>
        <v/>
      </c>
      <c r="BH18">
        <f>IF(AND(ISNUMBER($F18),ISNUMBER($S18)),IF(AND($F18=BH$4,$AA18=BH$3),$S18,NA()),NA())</f>
        <v/>
      </c>
      <c r="BI18">
        <f>IF(AND(ISNUMBER($F18),ISNUMBER($S18)),IF(AND($F18=BI$4,$AA18=BI$3),$S18,NA()),NA())</f>
        <v/>
      </c>
      <c r="BJ18">
        <f>IF(AND(ISNUMBER($F18),ISNUMBER($S18)),IF(AND($F18=BJ$4,$AA18=BJ$3),$S18,NA()),NA())</f>
        <v/>
      </c>
      <c r="BK18">
        <f>IF(AND(ISNUMBER($F18),ISNUMBER($S18)),IF(AND($F18=BK$4,$AA18=BK$3),$S18,NA()),NA())</f>
        <v/>
      </c>
      <c r="BL18">
        <f>IF(AND(ISNUMBER($F18),ISNUMBER($S18)),IF(AND($F18=BL$4,$AA18=BL$3),$S18,NA()),NA())</f>
        <v/>
      </c>
      <c r="BM18">
        <f>IF(AND(ISNUMBER($F18),ISNUMBER($S18)),IF(AND($F18=BM$4,$AA18=BM$3),$S18,NA()),NA())</f>
        <v/>
      </c>
      <c r="BN18">
        <f>IF(AND(ISNUMBER($F18),ISNUMBER($S18)),IF(AND($F18=BN$4,$AA18=BN$3),$S18,NA()),NA())</f>
        <v/>
      </c>
      <c r="BO18">
        <f>IF(AND(ISNUMBER($F18),ISNUMBER($S18)),IF(AND($F18=BO$4,$AA18=BO$3),$S18,NA()),NA())</f>
        <v/>
      </c>
      <c r="BP18">
        <f>IF(AND(ISNUMBER($F18),ISNUMBER($S18)),IF(AND($F18=BP$4,$AA18=BP$3),$S18,NA()),NA())</f>
        <v/>
      </c>
      <c r="BQ18">
        <f>IF(AND(ISNUMBER($F18),ISNUMBER($S18)),IF(AND($F18=BQ$4,$AA18=BQ$3),$S18,NA()),NA())</f>
        <v/>
      </c>
      <c r="BR18">
        <f>IF(AND(ISNUMBER($F18),ISNUMBER($S18)),IF(AND($F18=BR$4,$AA18=BR$3),$S18,NA()),NA())</f>
        <v/>
      </c>
      <c r="BS18">
        <f>IF(AND(ISNUMBER($F18),ISNUMBER($S18)),IF(AND($F18=BS$4,$AA18=BS$3),$S18,NA()),NA())</f>
        <v/>
      </c>
      <c r="BT18">
        <f>IF(AND(ISNUMBER($F18),ISNUMBER($S18)),IF(AND($F18=BT$4,$AA18=BT$3),$S18,NA()),NA())</f>
        <v/>
      </c>
      <c r="BU18">
        <f>IF(AND(ISNUMBER($F18),ISNUMBER($S18)),IF(AND($F18=BU$4,$AA18=BU$3),$S18,NA()),NA())</f>
        <v/>
      </c>
      <c r="BV18">
        <f>IF(AND(ISNUMBER($F18),ISNUMBER($S18)),IF(AND($F18=BV$4,$AA18=BV$3),$S18,NA()),NA())</f>
        <v/>
      </c>
      <c r="BW18">
        <f>IF(AND(ISNUMBER($F18),ISNUMBER($S18)),IF(AND($F18=BW$4,$AA18=BW$3),$S18,NA()),NA())</f>
        <v/>
      </c>
      <c r="BX18">
        <f>IF(AND(ISNUMBER($F18),ISNUMBER($S18)),IF(AND($F18=BX$4,$AA18=BX$3),$S18,NA()),NA())</f>
        <v/>
      </c>
      <c r="BY18">
        <f>IF(AND(ISNUMBER($F18),ISNUMBER($S18)),IF(AND($F18=BY$4,$AA18=BY$3),$S18,NA()),NA())</f>
        <v/>
      </c>
      <c r="BZ18">
        <f>IF(AND(ISNUMBER($F18),ISNUMBER($S18)),IF(AND($F18=BZ$4,$AA18=BZ$3),$S18,NA()),NA())</f>
        <v/>
      </c>
      <c r="CA18">
        <f>IF(AND(ISNUMBER($F18),ISNUMBER($S18)),IF(AND($F18=CA$4,$AA18=CA$3),$S18,NA()),NA())</f>
        <v/>
      </c>
      <c r="CB18">
        <f>IF(AND(ISNUMBER($F18),ISNUMBER($S18)),IF(AND($F18=CB$4,$AA18=CB$3),$S18,NA()),NA())</f>
        <v/>
      </c>
      <c r="CC18">
        <f>IF(AND(ISNUMBER($F18),ISNUMBER($S18)),IF(AND($F18=CC$4,$AA18=CC$3),$S18,NA()),NA())</f>
        <v/>
      </c>
      <c r="CD18">
        <f>IF(AND(ISNUMBER($F18),ISNUMBER($S18)),IF(AND($F18=CD$4,$AA18=CD$3),$S18,NA()),NA())</f>
        <v/>
      </c>
      <c r="CE18">
        <f>IF(AND(ISNUMBER($F18),ISNUMBER($S18)),IF(AND($F18=CE$4,$AA18=CE$3),$S18,NA()),NA())</f>
        <v/>
      </c>
      <c r="CF18">
        <f>IF(AND(ISNUMBER($F18),ISNUMBER($S18)),IF(AND($F18=CF$4,$AA18=CF$3),$S18,NA()),NA())</f>
        <v/>
      </c>
      <c r="CG18">
        <f>IF(AND(ISNUMBER($F18),ISNUMBER($S18)),IF(AND($F18=CG$4,$AA18=CG$3),$S18,NA()),NA())</f>
        <v/>
      </c>
      <c r="CH18">
        <f>IF(AND(ISNUMBER($F18),ISNUMBER($S18)),IF(AND($F18=CH$4,$AA18=CH$3),$S18,NA()),NA())</f>
        <v/>
      </c>
      <c r="CI18">
        <f>IF(AND(ISNUMBER($F18),ISNUMBER($S18)),IF(AND($F18=CI$4,$AA18=CI$3),$S18,NA()),NA())</f>
        <v/>
      </c>
      <c r="CJ18">
        <f>IF(AND(ISNUMBER($F18),ISNUMBER($S18)),IF(AND($F18=CJ$4,$AA18=CJ$3),$S18,NA()),NA())</f>
        <v/>
      </c>
      <c r="CK18">
        <f>IF(ISNUMBER($R18),$R18,NA())</f>
        <v/>
      </c>
      <c r="CL18">
        <f>IF($A18="","",$A18&amp;IF($T18="Sì"," ◆",""))</f>
        <v/>
      </c>
      <c r="CM18">
        <f>IF(ISNUMBER($S18),$S18,NA())</f>
        <v/>
      </c>
    </row>
    <row r="19">
      <c r="A19">
        <f>IF(Parametri!$H18="","",Parametri!$H18)</f>
        <v/>
      </c>
      <c r="B19">
        <f>IF($A19="","",Parametri!$I18)</f>
        <v/>
      </c>
      <c r="C19">
        <f>IF($A19="","",Parametri!$J18)</f>
        <v/>
      </c>
      <c r="D19">
        <f>IF($A19="",NA(),IF(COUNTIFS(RR_ID_Rischio,$A19,RR_Ciclo,cicloCorrente)=0,NA(),SUMIFS(RR_Impatto,RR_ID_Rischio,$A19,RR_Ciclo,cicloCorrente)))</f>
        <v/>
      </c>
      <c r="E19">
        <f>IF($A19="",NA(),IF(COUNTIFS(RR_ID_Rischio,$A19,RR_Ciclo,cicloCorrente)=0,NA(),SUMIFS(RR_Probabilita,RR_ID_Rischio,$A19,RR_Ciclo,cicloCorrente)))</f>
        <v/>
      </c>
      <c r="F19">
        <f>IF(AND(ISNUMBER(D19),ISNUMBER(E19)),D19*E19,NA())</f>
        <v/>
      </c>
      <c r="G19">
        <f>IF($A19="",NA(),IF(COUNTIFS(RR_ID_Rischio,$A19,RR_Ciclo,cicloCorrente)=0,NA(),SUMIFS(RR_Prossimita,RR_ID_Rischio,$A19,RR_Ciclo,cicloCorrente)))</f>
        <v/>
      </c>
      <c r="H19" s="58">
        <f>IF(ISNUMBER(G19),INDEX(anniProssimita,G19),NA())</f>
        <v/>
      </c>
      <c r="I19" s="58">
        <f>IF($A19="",NA(),moscaX)</f>
        <v/>
      </c>
      <c r="J19" s="58">
        <f>IF($A19="",NA(),MAX(IF(COUNTIFS(AZ_ID_Rischio,$A19,AZ_Ciclo,$AC19,AZ_Stato,"&lt;&gt;Respinta",AZ_Mesi_Orizzonte,"&gt;0")=0,moscaYDefault,_xlfn.MAXIFS(AZ_Mesi_Orizzonte,AZ_ID_Rischio,$A19,AZ_Ciclo,$AC19,AZ_Stato,"&lt;&gt;Respinta")/12),N(Parametri!$M18)))</f>
        <v/>
      </c>
      <c r="K19" s="58">
        <f>IF(AND(ISNUMBER(H19),ISNUMBER(J19)),H19-(I19+J19),NA())</f>
        <v/>
      </c>
      <c r="L19">
        <f>IF(NOT(ISNUMBER(K19)),"",IF(K19&lt;0,"AGIRE ORA: X+Y &gt; Z",IF(K19&lt;1,"Agire entro l'anno","Margine "&amp;ROUND(K19,1)&amp;IF(ROUND(K19,1)=1," anno"," anni"))))</f>
        <v/>
      </c>
      <c r="M19">
        <f>IF($A19="",NA(),MATCH(C19,codiciL1,0)-1)</f>
        <v/>
      </c>
      <c r="N19">
        <f>IF($A19="",NA(),COUNTIF($C$4:C18,C19))</f>
        <v/>
      </c>
      <c r="O19">
        <f>IF($A19="",NA(),COUNTIF(ANA_Event_Type,C19))</f>
        <v/>
      </c>
      <c r="P19" s="58">
        <f>IF($A19="",NA(),2*PI()*(M19+(N19+0.5)/O19)/ROWS(codiciL1))</f>
        <v/>
      </c>
      <c r="Q19" s="58">
        <f>IF(ISNUMBER(K19),MAX(0.6,MIN(6,K19+2)),NA())</f>
        <v/>
      </c>
      <c r="R19" s="58">
        <f>IF(AND(ISNUMBER(Q19),ISNUMBER(P19)),Q19*SIN(P19),NA())</f>
        <v/>
      </c>
      <c r="S19" s="58">
        <f>IF(AND(ISNUMBER(Q19),ISNUMBER(P19)),Q19*COS(P19),NA())</f>
        <v/>
      </c>
      <c r="T19">
        <f>IF($A19="","",IF(Parametri!$N18="Sì","Sì",""))</f>
        <v/>
      </c>
      <c r="U19">
        <f>IF(OR($A19="",NOT(ISNUMBER(K19))),"",IF(K19&lt;0,1,0))</f>
        <v/>
      </c>
      <c r="V19">
        <f>IF(OR($A19="",NOT(ISNUMBER(K19))),"",IF(COUNTIFS(KRI_ID_Rischio,$A19,KRI_Ciclo,cicloCorrente,KRI_In_Vigore,"Sì",KRI_Stato,"Rosso")&gt;0,1,0))</f>
        <v/>
      </c>
      <c r="W19">
        <f>IF(OR($A19="",NOT(ISNUMBER(K19))),"",IF(N(INDEX(posNetti,15))&gt;=sogliaDirezione,1,0))</f>
        <v/>
      </c>
      <c r="X19">
        <f>IF(OR($A19="",NOT(ISNUMBER(K19))),"",IF(AND(ISNUMBER(F19),F19&gt;=livelloPxI),1,0))</f>
        <v/>
      </c>
      <c r="Y19">
        <f>IF(OR($A19="",NOT(ISNUMBER(K19))),"",IF(Parametri!$O18="Assente",1,0))</f>
        <v/>
      </c>
      <c r="Z19">
        <f>IF(OR($A19="",NOT(ISNUMBER(K19))),"",IF(AND(COUNTIFS(KRI_ID_Rischio,$A19,KRI_Ciclo,cicloCorrente,KRI_In_Vigore,"Sì")&gt;0,COUNTIFS(KRI_ID_Rischio,$A19,KRI_Ciclo,cicloCorrente,KRI_In_Vigore,"Sì",KRI_Stato,"Rosso")+COUNTIFS(KRI_ID_Rischio,$A19,KRI_Ciclo,cicloCorrente,KRI_In_Vigore,"Sì",KRI_Stato,"Ambra")&gt;=livelloQuotaKRI*COUNTIFS(KRI_ID_Rischio,$A19,KRI_Ciclo,cicloCorrente,KRI_In_Vigore,"Sì")),1,0))</f>
        <v/>
      </c>
      <c r="AA19">
        <f>IF(OR($A19="",NOT(ISNUMBER(K19))),"",IF((U19+V19+W19)&gt;=livelloForti,"Attivazione",IF(OR((U19+V19+W19)&gt;=1,AND(K19&lt;livelloMargine,(X19+Y19+Z19)&gt;=1)),"Attenzione","Monitoraggio")))</f>
        <v/>
      </c>
      <c r="AB19">
        <f>IF(AA19="","",IF(AA19="Monitoraggio","nessun segnale forte",_xlfn.TEXTJOIN("; ",TRUE,IF(U19=1,"AGIRE ORA",""),IF(V19=1,"KRI in rosso",""),IF(W19=1,"notizie in peggioramento",""),IF((U19+V19+W19)=0,"margine sotto l'anno con "&amp;_xlfn.TEXTJOIN(", ",TRUE,IF(X19=1,"P x I alta",""),IF(Y19=1,"presidio dei controlli assente",""),IF(Z19=1,"KRI in ambra o rosso","")),""))))</f>
        <v/>
      </c>
      <c r="AC19">
        <f>IF($A19="","",IFERROR(IF(INDEX(RR_Periodo_Valutazione,MATCH(cicloCorrente&amp;"|"&amp;$A19,RR_Chiave,0))="",cicloCorrente,INDEX(RR_Periodo_Valutazione,MATCH(cicloCorrente&amp;"|"&amp;$A19,RR_Chiave,0))&amp;""),cicloCorrente))</f>
        <v/>
      </c>
      <c r="AD19">
        <f>2*PI()*14/72</f>
        <v/>
      </c>
      <c r="AE19">
        <f>2*SIN($AD19)</f>
        <v/>
      </c>
      <c r="AF19">
        <f>2*COS($AD19)</f>
        <v/>
      </c>
      <c r="AG19">
        <f>3*SIN($AD19)</f>
        <v/>
      </c>
      <c r="AH19">
        <f>3*COS($AD19)</f>
        <v/>
      </c>
      <c r="AI19">
        <f>4*SIN($AD19)</f>
        <v/>
      </c>
      <c r="AJ19">
        <f>4*COS($AD19)</f>
        <v/>
      </c>
      <c r="AK19">
        <f>5*SIN($AD19)</f>
        <v/>
      </c>
      <c r="AL19">
        <f>5*COS($AD19)</f>
        <v/>
      </c>
      <c r="AN19" t="n">
        <v>0</v>
      </c>
      <c r="AO19" t="n">
        <v>0</v>
      </c>
      <c r="AU19">
        <f>IF(AND(ISNUMBER($F19),ISNUMBER($S19)),IF(AND($F19=AU$4,$AA19=AU$3),$S19,NA()),NA())</f>
        <v/>
      </c>
      <c r="AV19">
        <f>IF(AND(ISNUMBER($F19),ISNUMBER($S19)),IF(AND($F19=AV$4,$AA19=AV$3),$S19,NA()),NA())</f>
        <v/>
      </c>
      <c r="AW19">
        <f>IF(AND(ISNUMBER($F19),ISNUMBER($S19)),IF(AND($F19=AW$4,$AA19=AW$3),$S19,NA()),NA())</f>
        <v/>
      </c>
      <c r="AX19">
        <f>IF(AND(ISNUMBER($F19),ISNUMBER($S19)),IF(AND($F19=AX$4,$AA19=AX$3),$S19,NA()),NA())</f>
        <v/>
      </c>
      <c r="AY19">
        <f>IF(AND(ISNUMBER($F19),ISNUMBER($S19)),IF(AND($F19=AY$4,$AA19=AY$3),$S19,NA()),NA())</f>
        <v/>
      </c>
      <c r="AZ19">
        <f>IF(AND(ISNUMBER($F19),ISNUMBER($S19)),IF(AND($F19=AZ$4,$AA19=AZ$3),$S19,NA()),NA())</f>
        <v/>
      </c>
      <c r="BA19">
        <f>IF(AND(ISNUMBER($F19),ISNUMBER($S19)),IF(AND($F19=BA$4,$AA19=BA$3),$S19,NA()),NA())</f>
        <v/>
      </c>
      <c r="BB19">
        <f>IF(AND(ISNUMBER($F19),ISNUMBER($S19)),IF(AND($F19=BB$4,$AA19=BB$3),$S19,NA()),NA())</f>
        <v/>
      </c>
      <c r="BC19">
        <f>IF(AND(ISNUMBER($F19),ISNUMBER($S19)),IF(AND($F19=BC$4,$AA19=BC$3),$S19,NA()),NA())</f>
        <v/>
      </c>
      <c r="BD19">
        <f>IF(AND(ISNUMBER($F19),ISNUMBER($S19)),IF(AND($F19=BD$4,$AA19=BD$3),$S19,NA()),NA())</f>
        <v/>
      </c>
      <c r="BE19">
        <f>IF(AND(ISNUMBER($F19),ISNUMBER($S19)),IF(AND($F19=BE$4,$AA19=BE$3),$S19,NA()),NA())</f>
        <v/>
      </c>
      <c r="BF19">
        <f>IF(AND(ISNUMBER($F19),ISNUMBER($S19)),IF(AND($F19=BF$4,$AA19=BF$3),$S19,NA()),NA())</f>
        <v/>
      </c>
      <c r="BG19">
        <f>IF(AND(ISNUMBER($F19),ISNUMBER($S19)),IF(AND($F19=BG$4,$AA19=BG$3),$S19,NA()),NA())</f>
        <v/>
      </c>
      <c r="BH19">
        <f>IF(AND(ISNUMBER($F19),ISNUMBER($S19)),IF(AND($F19=BH$4,$AA19=BH$3),$S19,NA()),NA())</f>
        <v/>
      </c>
      <c r="BI19">
        <f>IF(AND(ISNUMBER($F19),ISNUMBER($S19)),IF(AND($F19=BI$4,$AA19=BI$3),$S19,NA()),NA())</f>
        <v/>
      </c>
      <c r="BJ19">
        <f>IF(AND(ISNUMBER($F19),ISNUMBER($S19)),IF(AND($F19=BJ$4,$AA19=BJ$3),$S19,NA()),NA())</f>
        <v/>
      </c>
      <c r="BK19">
        <f>IF(AND(ISNUMBER($F19),ISNUMBER($S19)),IF(AND($F19=BK$4,$AA19=BK$3),$S19,NA()),NA())</f>
        <v/>
      </c>
      <c r="BL19">
        <f>IF(AND(ISNUMBER($F19),ISNUMBER($S19)),IF(AND($F19=BL$4,$AA19=BL$3),$S19,NA()),NA())</f>
        <v/>
      </c>
      <c r="BM19">
        <f>IF(AND(ISNUMBER($F19),ISNUMBER($S19)),IF(AND($F19=BM$4,$AA19=BM$3),$S19,NA()),NA())</f>
        <v/>
      </c>
      <c r="BN19">
        <f>IF(AND(ISNUMBER($F19),ISNUMBER($S19)),IF(AND($F19=BN$4,$AA19=BN$3),$S19,NA()),NA())</f>
        <v/>
      </c>
      <c r="BO19">
        <f>IF(AND(ISNUMBER($F19),ISNUMBER($S19)),IF(AND($F19=BO$4,$AA19=BO$3),$S19,NA()),NA())</f>
        <v/>
      </c>
      <c r="BP19">
        <f>IF(AND(ISNUMBER($F19),ISNUMBER($S19)),IF(AND($F19=BP$4,$AA19=BP$3),$S19,NA()),NA())</f>
        <v/>
      </c>
      <c r="BQ19">
        <f>IF(AND(ISNUMBER($F19),ISNUMBER($S19)),IF(AND($F19=BQ$4,$AA19=BQ$3),$S19,NA()),NA())</f>
        <v/>
      </c>
      <c r="BR19">
        <f>IF(AND(ISNUMBER($F19),ISNUMBER($S19)),IF(AND($F19=BR$4,$AA19=BR$3),$S19,NA()),NA())</f>
        <v/>
      </c>
      <c r="BS19">
        <f>IF(AND(ISNUMBER($F19),ISNUMBER($S19)),IF(AND($F19=BS$4,$AA19=BS$3),$S19,NA()),NA())</f>
        <v/>
      </c>
      <c r="BT19">
        <f>IF(AND(ISNUMBER($F19),ISNUMBER($S19)),IF(AND($F19=BT$4,$AA19=BT$3),$S19,NA()),NA())</f>
        <v/>
      </c>
      <c r="BU19">
        <f>IF(AND(ISNUMBER($F19),ISNUMBER($S19)),IF(AND($F19=BU$4,$AA19=BU$3),$S19,NA()),NA())</f>
        <v/>
      </c>
      <c r="BV19">
        <f>IF(AND(ISNUMBER($F19),ISNUMBER($S19)),IF(AND($F19=BV$4,$AA19=BV$3),$S19,NA()),NA())</f>
        <v/>
      </c>
      <c r="BW19">
        <f>IF(AND(ISNUMBER($F19),ISNUMBER($S19)),IF(AND($F19=BW$4,$AA19=BW$3),$S19,NA()),NA())</f>
        <v/>
      </c>
      <c r="BX19">
        <f>IF(AND(ISNUMBER($F19),ISNUMBER($S19)),IF(AND($F19=BX$4,$AA19=BX$3),$S19,NA()),NA())</f>
        <v/>
      </c>
      <c r="BY19">
        <f>IF(AND(ISNUMBER($F19),ISNUMBER($S19)),IF(AND($F19=BY$4,$AA19=BY$3),$S19,NA()),NA())</f>
        <v/>
      </c>
      <c r="BZ19">
        <f>IF(AND(ISNUMBER($F19),ISNUMBER($S19)),IF(AND($F19=BZ$4,$AA19=BZ$3),$S19,NA()),NA())</f>
        <v/>
      </c>
      <c r="CA19">
        <f>IF(AND(ISNUMBER($F19),ISNUMBER($S19)),IF(AND($F19=CA$4,$AA19=CA$3),$S19,NA()),NA())</f>
        <v/>
      </c>
      <c r="CB19">
        <f>IF(AND(ISNUMBER($F19),ISNUMBER($S19)),IF(AND($F19=CB$4,$AA19=CB$3),$S19,NA()),NA())</f>
        <v/>
      </c>
      <c r="CC19">
        <f>IF(AND(ISNUMBER($F19),ISNUMBER($S19)),IF(AND($F19=CC$4,$AA19=CC$3),$S19,NA()),NA())</f>
        <v/>
      </c>
      <c r="CD19">
        <f>IF(AND(ISNUMBER($F19),ISNUMBER($S19)),IF(AND($F19=CD$4,$AA19=CD$3),$S19,NA()),NA())</f>
        <v/>
      </c>
      <c r="CE19">
        <f>IF(AND(ISNUMBER($F19),ISNUMBER($S19)),IF(AND($F19=CE$4,$AA19=CE$3),$S19,NA()),NA())</f>
        <v/>
      </c>
      <c r="CF19">
        <f>IF(AND(ISNUMBER($F19),ISNUMBER($S19)),IF(AND($F19=CF$4,$AA19=CF$3),$S19,NA()),NA())</f>
        <v/>
      </c>
      <c r="CG19">
        <f>IF(AND(ISNUMBER($F19),ISNUMBER($S19)),IF(AND($F19=CG$4,$AA19=CG$3),$S19,NA()),NA())</f>
        <v/>
      </c>
      <c r="CH19">
        <f>IF(AND(ISNUMBER($F19),ISNUMBER($S19)),IF(AND($F19=CH$4,$AA19=CH$3),$S19,NA()),NA())</f>
        <v/>
      </c>
      <c r="CI19">
        <f>IF(AND(ISNUMBER($F19),ISNUMBER($S19)),IF(AND($F19=CI$4,$AA19=CI$3),$S19,NA()),NA())</f>
        <v/>
      </c>
      <c r="CJ19">
        <f>IF(AND(ISNUMBER($F19),ISNUMBER($S19)),IF(AND($F19=CJ$4,$AA19=CJ$3),$S19,NA()),NA())</f>
        <v/>
      </c>
      <c r="CK19">
        <f>IF(ISNUMBER($R19),$R19,NA())</f>
        <v/>
      </c>
      <c r="CL19">
        <f>IF($A19="","",$A19&amp;IF($T19="Sì"," ◆",""))</f>
        <v/>
      </c>
      <c r="CM19">
        <f>IF(ISNUMBER($S19),$S19,NA())</f>
        <v/>
      </c>
    </row>
    <row r="20">
      <c r="A20">
        <f>IF(Parametri!$H19="","",Parametri!$H19)</f>
        <v/>
      </c>
      <c r="B20">
        <f>IF($A20="","",Parametri!$I19)</f>
        <v/>
      </c>
      <c r="C20">
        <f>IF($A20="","",Parametri!$J19)</f>
        <v/>
      </c>
      <c r="D20">
        <f>IF($A20="",NA(),IF(COUNTIFS(RR_ID_Rischio,$A20,RR_Ciclo,cicloCorrente)=0,NA(),SUMIFS(RR_Impatto,RR_ID_Rischio,$A20,RR_Ciclo,cicloCorrente)))</f>
        <v/>
      </c>
      <c r="E20">
        <f>IF($A20="",NA(),IF(COUNTIFS(RR_ID_Rischio,$A20,RR_Ciclo,cicloCorrente)=0,NA(),SUMIFS(RR_Probabilita,RR_ID_Rischio,$A20,RR_Ciclo,cicloCorrente)))</f>
        <v/>
      </c>
      <c r="F20">
        <f>IF(AND(ISNUMBER(D20),ISNUMBER(E20)),D20*E20,NA())</f>
        <v/>
      </c>
      <c r="G20">
        <f>IF($A20="",NA(),IF(COUNTIFS(RR_ID_Rischio,$A20,RR_Ciclo,cicloCorrente)=0,NA(),SUMIFS(RR_Prossimita,RR_ID_Rischio,$A20,RR_Ciclo,cicloCorrente)))</f>
        <v/>
      </c>
      <c r="H20" s="58">
        <f>IF(ISNUMBER(G20),INDEX(anniProssimita,G20),NA())</f>
        <v/>
      </c>
      <c r="I20" s="58">
        <f>IF($A20="",NA(),moscaX)</f>
        <v/>
      </c>
      <c r="J20" s="58">
        <f>IF($A20="",NA(),MAX(IF(COUNTIFS(AZ_ID_Rischio,$A20,AZ_Ciclo,$AC20,AZ_Stato,"&lt;&gt;Respinta",AZ_Mesi_Orizzonte,"&gt;0")=0,moscaYDefault,_xlfn.MAXIFS(AZ_Mesi_Orizzonte,AZ_ID_Rischio,$A20,AZ_Ciclo,$AC20,AZ_Stato,"&lt;&gt;Respinta")/12),N(Parametri!$M19)))</f>
        <v/>
      </c>
      <c r="K20" s="58">
        <f>IF(AND(ISNUMBER(H20),ISNUMBER(J20)),H20-(I20+J20),NA())</f>
        <v/>
      </c>
      <c r="L20">
        <f>IF(NOT(ISNUMBER(K20)),"",IF(K20&lt;0,"AGIRE ORA: X+Y &gt; Z",IF(K20&lt;1,"Agire entro l'anno","Margine "&amp;ROUND(K20,1)&amp;IF(ROUND(K20,1)=1," anno"," anni"))))</f>
        <v/>
      </c>
      <c r="M20">
        <f>IF($A20="",NA(),MATCH(C20,codiciL1,0)-1)</f>
        <v/>
      </c>
      <c r="N20">
        <f>IF($A20="",NA(),COUNTIF($C$4:C19,C20))</f>
        <v/>
      </c>
      <c r="O20">
        <f>IF($A20="",NA(),COUNTIF(ANA_Event_Type,C20))</f>
        <v/>
      </c>
      <c r="P20" s="58">
        <f>IF($A20="",NA(),2*PI()*(M20+(N20+0.5)/O20)/ROWS(codiciL1))</f>
        <v/>
      </c>
      <c r="Q20" s="58">
        <f>IF(ISNUMBER(K20),MAX(0.6,MIN(6,K20+2)),NA())</f>
        <v/>
      </c>
      <c r="R20" s="58">
        <f>IF(AND(ISNUMBER(Q20),ISNUMBER(P20)),Q20*SIN(P20),NA())</f>
        <v/>
      </c>
      <c r="S20" s="58">
        <f>IF(AND(ISNUMBER(Q20),ISNUMBER(P20)),Q20*COS(P20),NA())</f>
        <v/>
      </c>
      <c r="T20">
        <f>IF($A20="","",IF(Parametri!$N19="Sì","Sì",""))</f>
        <v/>
      </c>
      <c r="U20">
        <f>IF(OR($A20="",NOT(ISNUMBER(K20))),"",IF(K20&lt;0,1,0))</f>
        <v/>
      </c>
      <c r="V20">
        <f>IF(OR($A20="",NOT(ISNUMBER(K20))),"",IF(COUNTIFS(KRI_ID_Rischio,$A20,KRI_Ciclo,cicloCorrente,KRI_In_Vigore,"Sì",KRI_Stato,"Rosso")&gt;0,1,0))</f>
        <v/>
      </c>
      <c r="W20">
        <f>IF(OR($A20="",NOT(ISNUMBER(K20))),"",IF(N(INDEX(posNetti,16))&gt;=sogliaDirezione,1,0))</f>
        <v/>
      </c>
      <c r="X20">
        <f>IF(OR($A20="",NOT(ISNUMBER(K20))),"",IF(AND(ISNUMBER(F20),F20&gt;=livelloPxI),1,0))</f>
        <v/>
      </c>
      <c r="Y20">
        <f>IF(OR($A20="",NOT(ISNUMBER(K20))),"",IF(Parametri!$O19="Assente",1,0))</f>
        <v/>
      </c>
      <c r="Z20">
        <f>IF(OR($A20="",NOT(ISNUMBER(K20))),"",IF(AND(COUNTIFS(KRI_ID_Rischio,$A20,KRI_Ciclo,cicloCorrente,KRI_In_Vigore,"Sì")&gt;0,COUNTIFS(KRI_ID_Rischio,$A20,KRI_Ciclo,cicloCorrente,KRI_In_Vigore,"Sì",KRI_Stato,"Rosso")+COUNTIFS(KRI_ID_Rischio,$A20,KRI_Ciclo,cicloCorrente,KRI_In_Vigore,"Sì",KRI_Stato,"Ambra")&gt;=livelloQuotaKRI*COUNTIFS(KRI_ID_Rischio,$A20,KRI_Ciclo,cicloCorrente,KRI_In_Vigore,"Sì")),1,0))</f>
        <v/>
      </c>
      <c r="AA20">
        <f>IF(OR($A20="",NOT(ISNUMBER(K20))),"",IF((U20+V20+W20)&gt;=livelloForti,"Attivazione",IF(OR((U20+V20+W20)&gt;=1,AND(K20&lt;livelloMargine,(X20+Y20+Z20)&gt;=1)),"Attenzione","Monitoraggio")))</f>
        <v/>
      </c>
      <c r="AB20">
        <f>IF(AA20="","",IF(AA20="Monitoraggio","nessun segnale forte",_xlfn.TEXTJOIN("; ",TRUE,IF(U20=1,"AGIRE ORA",""),IF(V20=1,"KRI in rosso",""),IF(W20=1,"notizie in peggioramento",""),IF((U20+V20+W20)=0,"margine sotto l'anno con "&amp;_xlfn.TEXTJOIN(", ",TRUE,IF(X20=1,"P x I alta",""),IF(Y20=1,"presidio dei controlli assente",""),IF(Z20=1,"KRI in ambra o rosso","")),""))))</f>
        <v/>
      </c>
      <c r="AC20">
        <f>IF($A20="","",IFERROR(IF(INDEX(RR_Periodo_Valutazione,MATCH(cicloCorrente&amp;"|"&amp;$A20,RR_Chiave,0))="",cicloCorrente,INDEX(RR_Periodo_Valutazione,MATCH(cicloCorrente&amp;"|"&amp;$A20,RR_Chiave,0))&amp;""),cicloCorrente))</f>
        <v/>
      </c>
      <c r="AD20">
        <f>2*PI()*15/72</f>
        <v/>
      </c>
      <c r="AE20">
        <f>2*SIN($AD20)</f>
        <v/>
      </c>
      <c r="AF20">
        <f>2*COS($AD20)</f>
        <v/>
      </c>
      <c r="AG20">
        <f>3*SIN($AD20)</f>
        <v/>
      </c>
      <c r="AH20">
        <f>3*COS($AD20)</f>
        <v/>
      </c>
      <c r="AI20">
        <f>4*SIN($AD20)</f>
        <v/>
      </c>
      <c r="AJ20">
        <f>4*COS($AD20)</f>
        <v/>
      </c>
      <c r="AK20">
        <f>5*SIN($AD20)</f>
        <v/>
      </c>
      <c r="AL20">
        <f>5*COS($AD20)</f>
        <v/>
      </c>
      <c r="AN20">
        <f>6.3*SIN(2*PI()*7/ROWS(codiciL1))</f>
        <v/>
      </c>
      <c r="AO20">
        <f>6.3*COS(2*PI()*7/ROWS(codiciL1))</f>
        <v/>
      </c>
      <c r="AU20">
        <f>IF(AND(ISNUMBER($F20),ISNUMBER($S20)),IF(AND($F20=AU$4,$AA20=AU$3),$S20,NA()),NA())</f>
        <v/>
      </c>
      <c r="AV20">
        <f>IF(AND(ISNUMBER($F20),ISNUMBER($S20)),IF(AND($F20=AV$4,$AA20=AV$3),$S20,NA()),NA())</f>
        <v/>
      </c>
      <c r="AW20">
        <f>IF(AND(ISNUMBER($F20),ISNUMBER($S20)),IF(AND($F20=AW$4,$AA20=AW$3),$S20,NA()),NA())</f>
        <v/>
      </c>
      <c r="AX20">
        <f>IF(AND(ISNUMBER($F20),ISNUMBER($S20)),IF(AND($F20=AX$4,$AA20=AX$3),$S20,NA()),NA())</f>
        <v/>
      </c>
      <c r="AY20">
        <f>IF(AND(ISNUMBER($F20),ISNUMBER($S20)),IF(AND($F20=AY$4,$AA20=AY$3),$S20,NA()),NA())</f>
        <v/>
      </c>
      <c r="AZ20">
        <f>IF(AND(ISNUMBER($F20),ISNUMBER($S20)),IF(AND($F20=AZ$4,$AA20=AZ$3),$S20,NA()),NA())</f>
        <v/>
      </c>
      <c r="BA20">
        <f>IF(AND(ISNUMBER($F20),ISNUMBER($S20)),IF(AND($F20=BA$4,$AA20=BA$3),$S20,NA()),NA())</f>
        <v/>
      </c>
      <c r="BB20">
        <f>IF(AND(ISNUMBER($F20),ISNUMBER($S20)),IF(AND($F20=BB$4,$AA20=BB$3),$S20,NA()),NA())</f>
        <v/>
      </c>
      <c r="BC20">
        <f>IF(AND(ISNUMBER($F20),ISNUMBER($S20)),IF(AND($F20=BC$4,$AA20=BC$3),$S20,NA()),NA())</f>
        <v/>
      </c>
      <c r="BD20">
        <f>IF(AND(ISNUMBER($F20),ISNUMBER($S20)),IF(AND($F20=BD$4,$AA20=BD$3),$S20,NA()),NA())</f>
        <v/>
      </c>
      <c r="BE20">
        <f>IF(AND(ISNUMBER($F20),ISNUMBER($S20)),IF(AND($F20=BE$4,$AA20=BE$3),$S20,NA()),NA())</f>
        <v/>
      </c>
      <c r="BF20">
        <f>IF(AND(ISNUMBER($F20),ISNUMBER($S20)),IF(AND($F20=BF$4,$AA20=BF$3),$S20,NA()),NA())</f>
        <v/>
      </c>
      <c r="BG20">
        <f>IF(AND(ISNUMBER($F20),ISNUMBER($S20)),IF(AND($F20=BG$4,$AA20=BG$3),$S20,NA()),NA())</f>
        <v/>
      </c>
      <c r="BH20">
        <f>IF(AND(ISNUMBER($F20),ISNUMBER($S20)),IF(AND($F20=BH$4,$AA20=BH$3),$S20,NA()),NA())</f>
        <v/>
      </c>
      <c r="BI20">
        <f>IF(AND(ISNUMBER($F20),ISNUMBER($S20)),IF(AND($F20=BI$4,$AA20=BI$3),$S20,NA()),NA())</f>
        <v/>
      </c>
      <c r="BJ20">
        <f>IF(AND(ISNUMBER($F20),ISNUMBER($S20)),IF(AND($F20=BJ$4,$AA20=BJ$3),$S20,NA()),NA())</f>
        <v/>
      </c>
      <c r="BK20">
        <f>IF(AND(ISNUMBER($F20),ISNUMBER($S20)),IF(AND($F20=BK$4,$AA20=BK$3),$S20,NA()),NA())</f>
        <v/>
      </c>
      <c r="BL20">
        <f>IF(AND(ISNUMBER($F20),ISNUMBER($S20)),IF(AND($F20=BL$4,$AA20=BL$3),$S20,NA()),NA())</f>
        <v/>
      </c>
      <c r="BM20">
        <f>IF(AND(ISNUMBER($F20),ISNUMBER($S20)),IF(AND($F20=BM$4,$AA20=BM$3),$S20,NA()),NA())</f>
        <v/>
      </c>
      <c r="BN20">
        <f>IF(AND(ISNUMBER($F20),ISNUMBER($S20)),IF(AND($F20=BN$4,$AA20=BN$3),$S20,NA()),NA())</f>
        <v/>
      </c>
      <c r="BO20">
        <f>IF(AND(ISNUMBER($F20),ISNUMBER($S20)),IF(AND($F20=BO$4,$AA20=BO$3),$S20,NA()),NA())</f>
        <v/>
      </c>
      <c r="BP20">
        <f>IF(AND(ISNUMBER($F20),ISNUMBER($S20)),IF(AND($F20=BP$4,$AA20=BP$3),$S20,NA()),NA())</f>
        <v/>
      </c>
      <c r="BQ20">
        <f>IF(AND(ISNUMBER($F20),ISNUMBER($S20)),IF(AND($F20=BQ$4,$AA20=BQ$3),$S20,NA()),NA())</f>
        <v/>
      </c>
      <c r="BR20">
        <f>IF(AND(ISNUMBER($F20),ISNUMBER($S20)),IF(AND($F20=BR$4,$AA20=BR$3),$S20,NA()),NA())</f>
        <v/>
      </c>
      <c r="BS20">
        <f>IF(AND(ISNUMBER($F20),ISNUMBER($S20)),IF(AND($F20=BS$4,$AA20=BS$3),$S20,NA()),NA())</f>
        <v/>
      </c>
      <c r="BT20">
        <f>IF(AND(ISNUMBER($F20),ISNUMBER($S20)),IF(AND($F20=BT$4,$AA20=BT$3),$S20,NA()),NA())</f>
        <v/>
      </c>
      <c r="BU20">
        <f>IF(AND(ISNUMBER($F20),ISNUMBER($S20)),IF(AND($F20=BU$4,$AA20=BU$3),$S20,NA()),NA())</f>
        <v/>
      </c>
      <c r="BV20">
        <f>IF(AND(ISNUMBER($F20),ISNUMBER($S20)),IF(AND($F20=BV$4,$AA20=BV$3),$S20,NA()),NA())</f>
        <v/>
      </c>
      <c r="BW20">
        <f>IF(AND(ISNUMBER($F20),ISNUMBER($S20)),IF(AND($F20=BW$4,$AA20=BW$3),$S20,NA()),NA())</f>
        <v/>
      </c>
      <c r="BX20">
        <f>IF(AND(ISNUMBER($F20),ISNUMBER($S20)),IF(AND($F20=BX$4,$AA20=BX$3),$S20,NA()),NA())</f>
        <v/>
      </c>
      <c r="BY20">
        <f>IF(AND(ISNUMBER($F20),ISNUMBER($S20)),IF(AND($F20=BY$4,$AA20=BY$3),$S20,NA()),NA())</f>
        <v/>
      </c>
      <c r="BZ20">
        <f>IF(AND(ISNUMBER($F20),ISNUMBER($S20)),IF(AND($F20=BZ$4,$AA20=BZ$3),$S20,NA()),NA())</f>
        <v/>
      </c>
      <c r="CA20">
        <f>IF(AND(ISNUMBER($F20),ISNUMBER($S20)),IF(AND($F20=CA$4,$AA20=CA$3),$S20,NA()),NA())</f>
        <v/>
      </c>
      <c r="CB20">
        <f>IF(AND(ISNUMBER($F20),ISNUMBER($S20)),IF(AND($F20=CB$4,$AA20=CB$3),$S20,NA()),NA())</f>
        <v/>
      </c>
      <c r="CC20">
        <f>IF(AND(ISNUMBER($F20),ISNUMBER($S20)),IF(AND($F20=CC$4,$AA20=CC$3),$S20,NA()),NA())</f>
        <v/>
      </c>
      <c r="CD20">
        <f>IF(AND(ISNUMBER($F20),ISNUMBER($S20)),IF(AND($F20=CD$4,$AA20=CD$3),$S20,NA()),NA())</f>
        <v/>
      </c>
      <c r="CE20">
        <f>IF(AND(ISNUMBER($F20),ISNUMBER($S20)),IF(AND($F20=CE$4,$AA20=CE$3),$S20,NA()),NA())</f>
        <v/>
      </c>
      <c r="CF20">
        <f>IF(AND(ISNUMBER($F20),ISNUMBER($S20)),IF(AND($F20=CF$4,$AA20=CF$3),$S20,NA()),NA())</f>
        <v/>
      </c>
      <c r="CG20">
        <f>IF(AND(ISNUMBER($F20),ISNUMBER($S20)),IF(AND($F20=CG$4,$AA20=CG$3),$S20,NA()),NA())</f>
        <v/>
      </c>
      <c r="CH20">
        <f>IF(AND(ISNUMBER($F20),ISNUMBER($S20)),IF(AND($F20=CH$4,$AA20=CH$3),$S20,NA()),NA())</f>
        <v/>
      </c>
      <c r="CI20">
        <f>IF(AND(ISNUMBER($F20),ISNUMBER($S20)),IF(AND($F20=CI$4,$AA20=CI$3),$S20,NA()),NA())</f>
        <v/>
      </c>
      <c r="CJ20">
        <f>IF(AND(ISNUMBER($F20),ISNUMBER($S20)),IF(AND($F20=CJ$4,$AA20=CJ$3),$S20,NA()),NA())</f>
        <v/>
      </c>
      <c r="CK20">
        <f>IF(ISNUMBER($R20),$R20,NA())</f>
        <v/>
      </c>
      <c r="CL20">
        <f>IF($A20="","",$A20&amp;IF($T20="Sì"," ◆",""))</f>
        <v/>
      </c>
      <c r="CM20">
        <f>IF(ISNUMBER($S20),$S20,NA())</f>
        <v/>
      </c>
    </row>
    <row r="21">
      <c r="A21">
        <f>IF(Parametri!$H20="","",Parametri!$H20)</f>
        <v/>
      </c>
      <c r="B21">
        <f>IF($A21="","",Parametri!$I20)</f>
        <v/>
      </c>
      <c r="C21">
        <f>IF($A21="","",Parametri!$J20)</f>
        <v/>
      </c>
      <c r="D21">
        <f>IF($A21="",NA(),IF(COUNTIFS(RR_ID_Rischio,$A21,RR_Ciclo,cicloCorrente)=0,NA(),SUMIFS(RR_Impatto,RR_ID_Rischio,$A21,RR_Ciclo,cicloCorrente)))</f>
        <v/>
      </c>
      <c r="E21">
        <f>IF($A21="",NA(),IF(COUNTIFS(RR_ID_Rischio,$A21,RR_Ciclo,cicloCorrente)=0,NA(),SUMIFS(RR_Probabilita,RR_ID_Rischio,$A21,RR_Ciclo,cicloCorrente)))</f>
        <v/>
      </c>
      <c r="F21">
        <f>IF(AND(ISNUMBER(D21),ISNUMBER(E21)),D21*E21,NA())</f>
        <v/>
      </c>
      <c r="G21">
        <f>IF($A21="",NA(),IF(COUNTIFS(RR_ID_Rischio,$A21,RR_Ciclo,cicloCorrente)=0,NA(),SUMIFS(RR_Prossimita,RR_ID_Rischio,$A21,RR_Ciclo,cicloCorrente)))</f>
        <v/>
      </c>
      <c r="H21" s="58">
        <f>IF(ISNUMBER(G21),INDEX(anniProssimita,G21),NA())</f>
        <v/>
      </c>
      <c r="I21" s="58">
        <f>IF($A21="",NA(),moscaX)</f>
        <v/>
      </c>
      <c r="J21" s="58">
        <f>IF($A21="",NA(),MAX(IF(COUNTIFS(AZ_ID_Rischio,$A21,AZ_Ciclo,$AC21,AZ_Stato,"&lt;&gt;Respinta",AZ_Mesi_Orizzonte,"&gt;0")=0,moscaYDefault,_xlfn.MAXIFS(AZ_Mesi_Orizzonte,AZ_ID_Rischio,$A21,AZ_Ciclo,$AC21,AZ_Stato,"&lt;&gt;Respinta")/12),N(Parametri!$M20)))</f>
        <v/>
      </c>
      <c r="K21" s="58">
        <f>IF(AND(ISNUMBER(H21),ISNUMBER(J21)),H21-(I21+J21),NA())</f>
        <v/>
      </c>
      <c r="L21">
        <f>IF(NOT(ISNUMBER(K21)),"",IF(K21&lt;0,"AGIRE ORA: X+Y &gt; Z",IF(K21&lt;1,"Agire entro l'anno","Margine "&amp;ROUND(K21,1)&amp;IF(ROUND(K21,1)=1," anno"," anni"))))</f>
        <v/>
      </c>
      <c r="M21">
        <f>IF($A21="",NA(),MATCH(C21,codiciL1,0)-1)</f>
        <v/>
      </c>
      <c r="N21">
        <f>IF($A21="",NA(),COUNTIF($C$4:C20,C21))</f>
        <v/>
      </c>
      <c r="O21">
        <f>IF($A21="",NA(),COUNTIF(ANA_Event_Type,C21))</f>
        <v/>
      </c>
      <c r="P21" s="58">
        <f>IF($A21="",NA(),2*PI()*(M21+(N21+0.5)/O21)/ROWS(codiciL1))</f>
        <v/>
      </c>
      <c r="Q21" s="58">
        <f>IF(ISNUMBER(K21),MAX(0.6,MIN(6,K21+2)),NA())</f>
        <v/>
      </c>
      <c r="R21" s="58">
        <f>IF(AND(ISNUMBER(Q21),ISNUMBER(P21)),Q21*SIN(P21),NA())</f>
        <v/>
      </c>
      <c r="S21" s="58">
        <f>IF(AND(ISNUMBER(Q21),ISNUMBER(P21)),Q21*COS(P21),NA())</f>
        <v/>
      </c>
      <c r="T21">
        <f>IF($A21="","",IF(Parametri!$N20="Sì","Sì",""))</f>
        <v/>
      </c>
      <c r="U21">
        <f>IF(OR($A21="",NOT(ISNUMBER(K21))),"",IF(K21&lt;0,1,0))</f>
        <v/>
      </c>
      <c r="V21">
        <f>IF(OR($A21="",NOT(ISNUMBER(K21))),"",IF(COUNTIFS(KRI_ID_Rischio,$A21,KRI_Ciclo,cicloCorrente,KRI_In_Vigore,"Sì",KRI_Stato,"Rosso")&gt;0,1,0))</f>
        <v/>
      </c>
      <c r="W21">
        <f>IF(OR($A21="",NOT(ISNUMBER(K21))),"",IF(N(INDEX(posNetti,17))&gt;=sogliaDirezione,1,0))</f>
        <v/>
      </c>
      <c r="X21">
        <f>IF(OR($A21="",NOT(ISNUMBER(K21))),"",IF(AND(ISNUMBER(F21),F21&gt;=livelloPxI),1,0))</f>
        <v/>
      </c>
      <c r="Y21">
        <f>IF(OR($A21="",NOT(ISNUMBER(K21))),"",IF(Parametri!$O20="Assente",1,0))</f>
        <v/>
      </c>
      <c r="Z21">
        <f>IF(OR($A21="",NOT(ISNUMBER(K21))),"",IF(AND(COUNTIFS(KRI_ID_Rischio,$A21,KRI_Ciclo,cicloCorrente,KRI_In_Vigore,"Sì")&gt;0,COUNTIFS(KRI_ID_Rischio,$A21,KRI_Ciclo,cicloCorrente,KRI_In_Vigore,"Sì",KRI_Stato,"Rosso")+COUNTIFS(KRI_ID_Rischio,$A21,KRI_Ciclo,cicloCorrente,KRI_In_Vigore,"Sì",KRI_Stato,"Ambra")&gt;=livelloQuotaKRI*COUNTIFS(KRI_ID_Rischio,$A21,KRI_Ciclo,cicloCorrente,KRI_In_Vigore,"Sì")),1,0))</f>
        <v/>
      </c>
      <c r="AA21">
        <f>IF(OR($A21="",NOT(ISNUMBER(K21))),"",IF((U21+V21+W21)&gt;=livelloForti,"Attivazione",IF(OR((U21+V21+W21)&gt;=1,AND(K21&lt;livelloMargine,(X21+Y21+Z21)&gt;=1)),"Attenzione","Monitoraggio")))</f>
        <v/>
      </c>
      <c r="AB21">
        <f>IF(AA21="","",IF(AA21="Monitoraggio","nessun segnale forte",_xlfn.TEXTJOIN("; ",TRUE,IF(U21=1,"AGIRE ORA",""),IF(V21=1,"KRI in rosso",""),IF(W21=1,"notizie in peggioramento",""),IF((U21+V21+W21)=0,"margine sotto l'anno con "&amp;_xlfn.TEXTJOIN(", ",TRUE,IF(X21=1,"P x I alta",""),IF(Y21=1,"presidio dei controlli assente",""),IF(Z21=1,"KRI in ambra o rosso","")),""))))</f>
        <v/>
      </c>
      <c r="AC21">
        <f>IF($A21="","",IFERROR(IF(INDEX(RR_Periodo_Valutazione,MATCH(cicloCorrente&amp;"|"&amp;$A21,RR_Chiave,0))="",cicloCorrente,INDEX(RR_Periodo_Valutazione,MATCH(cicloCorrente&amp;"|"&amp;$A21,RR_Chiave,0))&amp;""),cicloCorrente))</f>
        <v/>
      </c>
      <c r="AD21">
        <f>2*PI()*16/72</f>
        <v/>
      </c>
      <c r="AE21">
        <f>2*SIN($AD21)</f>
        <v/>
      </c>
      <c r="AF21">
        <f>2*COS($AD21)</f>
        <v/>
      </c>
      <c r="AG21">
        <f>3*SIN($AD21)</f>
        <v/>
      </c>
      <c r="AH21">
        <f>3*COS($AD21)</f>
        <v/>
      </c>
      <c r="AI21">
        <f>4*SIN($AD21)</f>
        <v/>
      </c>
      <c r="AJ21">
        <f>4*COS($AD21)</f>
        <v/>
      </c>
      <c r="AK21">
        <f>5*SIN($AD21)</f>
        <v/>
      </c>
      <c r="AL21">
        <f>5*COS($AD21)</f>
        <v/>
      </c>
      <c r="AN21" t="n">
        <v>0</v>
      </c>
      <c r="AO21" t="n">
        <v>0</v>
      </c>
      <c r="AU21">
        <f>IF(AND(ISNUMBER($F21),ISNUMBER($S21)),IF(AND($F21=AU$4,$AA21=AU$3),$S21,NA()),NA())</f>
        <v/>
      </c>
      <c r="AV21">
        <f>IF(AND(ISNUMBER($F21),ISNUMBER($S21)),IF(AND($F21=AV$4,$AA21=AV$3),$S21,NA()),NA())</f>
        <v/>
      </c>
      <c r="AW21">
        <f>IF(AND(ISNUMBER($F21),ISNUMBER($S21)),IF(AND($F21=AW$4,$AA21=AW$3),$S21,NA()),NA())</f>
        <v/>
      </c>
      <c r="AX21">
        <f>IF(AND(ISNUMBER($F21),ISNUMBER($S21)),IF(AND($F21=AX$4,$AA21=AX$3),$S21,NA()),NA())</f>
        <v/>
      </c>
      <c r="AY21">
        <f>IF(AND(ISNUMBER($F21),ISNUMBER($S21)),IF(AND($F21=AY$4,$AA21=AY$3),$S21,NA()),NA())</f>
        <v/>
      </c>
      <c r="AZ21">
        <f>IF(AND(ISNUMBER($F21),ISNUMBER($S21)),IF(AND($F21=AZ$4,$AA21=AZ$3),$S21,NA()),NA())</f>
        <v/>
      </c>
      <c r="BA21">
        <f>IF(AND(ISNUMBER($F21),ISNUMBER($S21)),IF(AND($F21=BA$4,$AA21=BA$3),$S21,NA()),NA())</f>
        <v/>
      </c>
      <c r="BB21">
        <f>IF(AND(ISNUMBER($F21),ISNUMBER($S21)),IF(AND($F21=BB$4,$AA21=BB$3),$S21,NA()),NA())</f>
        <v/>
      </c>
      <c r="BC21">
        <f>IF(AND(ISNUMBER($F21),ISNUMBER($S21)),IF(AND($F21=BC$4,$AA21=BC$3),$S21,NA()),NA())</f>
        <v/>
      </c>
      <c r="BD21">
        <f>IF(AND(ISNUMBER($F21),ISNUMBER($S21)),IF(AND($F21=BD$4,$AA21=BD$3),$S21,NA()),NA())</f>
        <v/>
      </c>
      <c r="BE21">
        <f>IF(AND(ISNUMBER($F21),ISNUMBER($S21)),IF(AND($F21=BE$4,$AA21=BE$3),$S21,NA()),NA())</f>
        <v/>
      </c>
      <c r="BF21">
        <f>IF(AND(ISNUMBER($F21),ISNUMBER($S21)),IF(AND($F21=BF$4,$AA21=BF$3),$S21,NA()),NA())</f>
        <v/>
      </c>
      <c r="BG21">
        <f>IF(AND(ISNUMBER($F21),ISNUMBER($S21)),IF(AND($F21=BG$4,$AA21=BG$3),$S21,NA()),NA())</f>
        <v/>
      </c>
      <c r="BH21">
        <f>IF(AND(ISNUMBER($F21),ISNUMBER($S21)),IF(AND($F21=BH$4,$AA21=BH$3),$S21,NA()),NA())</f>
        <v/>
      </c>
      <c r="BI21">
        <f>IF(AND(ISNUMBER($F21),ISNUMBER($S21)),IF(AND($F21=BI$4,$AA21=BI$3),$S21,NA()),NA())</f>
        <v/>
      </c>
      <c r="BJ21">
        <f>IF(AND(ISNUMBER($F21),ISNUMBER($S21)),IF(AND($F21=BJ$4,$AA21=BJ$3),$S21,NA()),NA())</f>
        <v/>
      </c>
      <c r="BK21">
        <f>IF(AND(ISNUMBER($F21),ISNUMBER($S21)),IF(AND($F21=BK$4,$AA21=BK$3),$S21,NA()),NA())</f>
        <v/>
      </c>
      <c r="BL21">
        <f>IF(AND(ISNUMBER($F21),ISNUMBER($S21)),IF(AND($F21=BL$4,$AA21=BL$3),$S21,NA()),NA())</f>
        <v/>
      </c>
      <c r="BM21">
        <f>IF(AND(ISNUMBER($F21),ISNUMBER($S21)),IF(AND($F21=BM$4,$AA21=BM$3),$S21,NA()),NA())</f>
        <v/>
      </c>
      <c r="BN21">
        <f>IF(AND(ISNUMBER($F21),ISNUMBER($S21)),IF(AND($F21=BN$4,$AA21=BN$3),$S21,NA()),NA())</f>
        <v/>
      </c>
      <c r="BO21">
        <f>IF(AND(ISNUMBER($F21),ISNUMBER($S21)),IF(AND($F21=BO$4,$AA21=BO$3),$S21,NA()),NA())</f>
        <v/>
      </c>
      <c r="BP21">
        <f>IF(AND(ISNUMBER($F21),ISNUMBER($S21)),IF(AND($F21=BP$4,$AA21=BP$3),$S21,NA()),NA())</f>
        <v/>
      </c>
      <c r="BQ21">
        <f>IF(AND(ISNUMBER($F21),ISNUMBER($S21)),IF(AND($F21=BQ$4,$AA21=BQ$3),$S21,NA()),NA())</f>
        <v/>
      </c>
      <c r="BR21">
        <f>IF(AND(ISNUMBER($F21),ISNUMBER($S21)),IF(AND($F21=BR$4,$AA21=BR$3),$S21,NA()),NA())</f>
        <v/>
      </c>
      <c r="BS21">
        <f>IF(AND(ISNUMBER($F21),ISNUMBER($S21)),IF(AND($F21=BS$4,$AA21=BS$3),$S21,NA()),NA())</f>
        <v/>
      </c>
      <c r="BT21">
        <f>IF(AND(ISNUMBER($F21),ISNUMBER($S21)),IF(AND($F21=BT$4,$AA21=BT$3),$S21,NA()),NA())</f>
        <v/>
      </c>
      <c r="BU21">
        <f>IF(AND(ISNUMBER($F21),ISNUMBER($S21)),IF(AND($F21=BU$4,$AA21=BU$3),$S21,NA()),NA())</f>
        <v/>
      </c>
      <c r="BV21">
        <f>IF(AND(ISNUMBER($F21),ISNUMBER($S21)),IF(AND($F21=BV$4,$AA21=BV$3),$S21,NA()),NA())</f>
        <v/>
      </c>
      <c r="BW21">
        <f>IF(AND(ISNUMBER($F21),ISNUMBER($S21)),IF(AND($F21=BW$4,$AA21=BW$3),$S21,NA()),NA())</f>
        <v/>
      </c>
      <c r="BX21">
        <f>IF(AND(ISNUMBER($F21),ISNUMBER($S21)),IF(AND($F21=BX$4,$AA21=BX$3),$S21,NA()),NA())</f>
        <v/>
      </c>
      <c r="BY21">
        <f>IF(AND(ISNUMBER($F21),ISNUMBER($S21)),IF(AND($F21=BY$4,$AA21=BY$3),$S21,NA()),NA())</f>
        <v/>
      </c>
      <c r="BZ21">
        <f>IF(AND(ISNUMBER($F21),ISNUMBER($S21)),IF(AND($F21=BZ$4,$AA21=BZ$3),$S21,NA()),NA())</f>
        <v/>
      </c>
      <c r="CA21">
        <f>IF(AND(ISNUMBER($F21),ISNUMBER($S21)),IF(AND($F21=CA$4,$AA21=CA$3),$S21,NA()),NA())</f>
        <v/>
      </c>
      <c r="CB21">
        <f>IF(AND(ISNUMBER($F21),ISNUMBER($S21)),IF(AND($F21=CB$4,$AA21=CB$3),$S21,NA()),NA())</f>
        <v/>
      </c>
      <c r="CC21">
        <f>IF(AND(ISNUMBER($F21),ISNUMBER($S21)),IF(AND($F21=CC$4,$AA21=CC$3),$S21,NA()),NA())</f>
        <v/>
      </c>
      <c r="CD21">
        <f>IF(AND(ISNUMBER($F21),ISNUMBER($S21)),IF(AND($F21=CD$4,$AA21=CD$3),$S21,NA()),NA())</f>
        <v/>
      </c>
      <c r="CE21">
        <f>IF(AND(ISNUMBER($F21),ISNUMBER($S21)),IF(AND($F21=CE$4,$AA21=CE$3),$S21,NA()),NA())</f>
        <v/>
      </c>
      <c r="CF21">
        <f>IF(AND(ISNUMBER($F21),ISNUMBER($S21)),IF(AND($F21=CF$4,$AA21=CF$3),$S21,NA()),NA())</f>
        <v/>
      </c>
      <c r="CG21">
        <f>IF(AND(ISNUMBER($F21),ISNUMBER($S21)),IF(AND($F21=CG$4,$AA21=CG$3),$S21,NA()),NA())</f>
        <v/>
      </c>
      <c r="CH21">
        <f>IF(AND(ISNUMBER($F21),ISNUMBER($S21)),IF(AND($F21=CH$4,$AA21=CH$3),$S21,NA()),NA())</f>
        <v/>
      </c>
      <c r="CI21">
        <f>IF(AND(ISNUMBER($F21),ISNUMBER($S21)),IF(AND($F21=CI$4,$AA21=CI$3),$S21,NA()),NA())</f>
        <v/>
      </c>
      <c r="CJ21">
        <f>IF(AND(ISNUMBER($F21),ISNUMBER($S21)),IF(AND($F21=CJ$4,$AA21=CJ$3),$S21,NA()),NA())</f>
        <v/>
      </c>
      <c r="CK21">
        <f>IF(ISNUMBER($R21),$R21,NA())</f>
        <v/>
      </c>
      <c r="CL21">
        <f>IF($A21="","",$A21&amp;IF($T21="Sì"," ◆",""))</f>
        <v/>
      </c>
      <c r="CM21">
        <f>IF(ISNUMBER($S21),$S21,NA())</f>
        <v/>
      </c>
    </row>
    <row r="22">
      <c r="A22">
        <f>IF(Parametri!$H21="","",Parametri!$H21)</f>
        <v/>
      </c>
      <c r="B22">
        <f>IF($A22="","",Parametri!$I21)</f>
        <v/>
      </c>
      <c r="C22">
        <f>IF($A22="","",Parametri!$J21)</f>
        <v/>
      </c>
      <c r="D22">
        <f>IF($A22="",NA(),IF(COUNTIFS(RR_ID_Rischio,$A22,RR_Ciclo,cicloCorrente)=0,NA(),SUMIFS(RR_Impatto,RR_ID_Rischio,$A22,RR_Ciclo,cicloCorrente)))</f>
        <v/>
      </c>
      <c r="E22">
        <f>IF($A22="",NA(),IF(COUNTIFS(RR_ID_Rischio,$A22,RR_Ciclo,cicloCorrente)=0,NA(),SUMIFS(RR_Probabilita,RR_ID_Rischio,$A22,RR_Ciclo,cicloCorrente)))</f>
        <v/>
      </c>
      <c r="F22">
        <f>IF(AND(ISNUMBER(D22),ISNUMBER(E22)),D22*E22,NA())</f>
        <v/>
      </c>
      <c r="G22">
        <f>IF($A22="",NA(),IF(COUNTIFS(RR_ID_Rischio,$A22,RR_Ciclo,cicloCorrente)=0,NA(),SUMIFS(RR_Prossimita,RR_ID_Rischio,$A22,RR_Ciclo,cicloCorrente)))</f>
        <v/>
      </c>
      <c r="H22" s="58">
        <f>IF(ISNUMBER(G22),INDEX(anniProssimita,G22),NA())</f>
        <v/>
      </c>
      <c r="I22" s="58">
        <f>IF($A22="",NA(),moscaX)</f>
        <v/>
      </c>
      <c r="J22" s="58">
        <f>IF($A22="",NA(),MAX(IF(COUNTIFS(AZ_ID_Rischio,$A22,AZ_Ciclo,$AC22,AZ_Stato,"&lt;&gt;Respinta",AZ_Mesi_Orizzonte,"&gt;0")=0,moscaYDefault,_xlfn.MAXIFS(AZ_Mesi_Orizzonte,AZ_ID_Rischio,$A22,AZ_Ciclo,$AC22,AZ_Stato,"&lt;&gt;Respinta")/12),N(Parametri!$M21)))</f>
        <v/>
      </c>
      <c r="K22" s="58">
        <f>IF(AND(ISNUMBER(H22),ISNUMBER(J22)),H22-(I22+J22),NA())</f>
        <v/>
      </c>
      <c r="L22">
        <f>IF(NOT(ISNUMBER(K22)),"",IF(K22&lt;0,"AGIRE ORA: X+Y &gt; Z",IF(K22&lt;1,"Agire entro l'anno","Margine "&amp;ROUND(K22,1)&amp;IF(ROUND(K22,1)=1," anno"," anni"))))</f>
        <v/>
      </c>
      <c r="M22">
        <f>IF($A22="",NA(),MATCH(C22,codiciL1,0)-1)</f>
        <v/>
      </c>
      <c r="N22">
        <f>IF($A22="",NA(),COUNTIF($C$4:C21,C22))</f>
        <v/>
      </c>
      <c r="O22">
        <f>IF($A22="",NA(),COUNTIF(ANA_Event_Type,C22))</f>
        <v/>
      </c>
      <c r="P22" s="58">
        <f>IF($A22="",NA(),2*PI()*(M22+(N22+0.5)/O22)/ROWS(codiciL1))</f>
        <v/>
      </c>
      <c r="Q22" s="58">
        <f>IF(ISNUMBER(K22),MAX(0.6,MIN(6,K22+2)),NA())</f>
        <v/>
      </c>
      <c r="R22" s="58">
        <f>IF(AND(ISNUMBER(Q22),ISNUMBER(P22)),Q22*SIN(P22),NA())</f>
        <v/>
      </c>
      <c r="S22" s="58">
        <f>IF(AND(ISNUMBER(Q22),ISNUMBER(P22)),Q22*COS(P22),NA())</f>
        <v/>
      </c>
      <c r="T22">
        <f>IF($A22="","",IF(Parametri!$N21="Sì","Sì",""))</f>
        <v/>
      </c>
      <c r="U22">
        <f>IF(OR($A22="",NOT(ISNUMBER(K22))),"",IF(K22&lt;0,1,0))</f>
        <v/>
      </c>
      <c r="V22">
        <f>IF(OR($A22="",NOT(ISNUMBER(K22))),"",IF(COUNTIFS(KRI_ID_Rischio,$A22,KRI_Ciclo,cicloCorrente,KRI_In_Vigore,"Sì",KRI_Stato,"Rosso")&gt;0,1,0))</f>
        <v/>
      </c>
      <c r="W22">
        <f>IF(OR($A22="",NOT(ISNUMBER(K22))),"",IF(N(INDEX(posNetti,18))&gt;=sogliaDirezione,1,0))</f>
        <v/>
      </c>
      <c r="X22">
        <f>IF(OR($A22="",NOT(ISNUMBER(K22))),"",IF(AND(ISNUMBER(F22),F22&gt;=livelloPxI),1,0))</f>
        <v/>
      </c>
      <c r="Y22">
        <f>IF(OR($A22="",NOT(ISNUMBER(K22))),"",IF(Parametri!$O21="Assente",1,0))</f>
        <v/>
      </c>
      <c r="Z22">
        <f>IF(OR($A22="",NOT(ISNUMBER(K22))),"",IF(AND(COUNTIFS(KRI_ID_Rischio,$A22,KRI_Ciclo,cicloCorrente,KRI_In_Vigore,"Sì")&gt;0,COUNTIFS(KRI_ID_Rischio,$A22,KRI_Ciclo,cicloCorrente,KRI_In_Vigore,"Sì",KRI_Stato,"Rosso")+COUNTIFS(KRI_ID_Rischio,$A22,KRI_Ciclo,cicloCorrente,KRI_In_Vigore,"Sì",KRI_Stato,"Ambra")&gt;=livelloQuotaKRI*COUNTIFS(KRI_ID_Rischio,$A22,KRI_Ciclo,cicloCorrente,KRI_In_Vigore,"Sì")),1,0))</f>
        <v/>
      </c>
      <c r="AA22">
        <f>IF(OR($A22="",NOT(ISNUMBER(K22))),"",IF((U22+V22+W22)&gt;=livelloForti,"Attivazione",IF(OR((U22+V22+W22)&gt;=1,AND(K22&lt;livelloMargine,(X22+Y22+Z22)&gt;=1)),"Attenzione","Monitoraggio")))</f>
        <v/>
      </c>
      <c r="AB22">
        <f>IF(AA22="","",IF(AA22="Monitoraggio","nessun segnale forte",_xlfn.TEXTJOIN("; ",TRUE,IF(U22=1,"AGIRE ORA",""),IF(V22=1,"KRI in rosso",""),IF(W22=1,"notizie in peggioramento",""),IF((U22+V22+W22)=0,"margine sotto l'anno con "&amp;_xlfn.TEXTJOIN(", ",TRUE,IF(X22=1,"P x I alta",""),IF(Y22=1,"presidio dei controlli assente",""),IF(Z22=1,"KRI in ambra o rosso","")),""))))</f>
        <v/>
      </c>
      <c r="AC22">
        <f>IF($A22="","",IFERROR(IF(INDEX(RR_Periodo_Valutazione,MATCH(cicloCorrente&amp;"|"&amp;$A22,RR_Chiave,0))="",cicloCorrente,INDEX(RR_Periodo_Valutazione,MATCH(cicloCorrente&amp;"|"&amp;$A22,RR_Chiave,0))&amp;""),cicloCorrente))</f>
        <v/>
      </c>
      <c r="AD22">
        <f>2*PI()*17/72</f>
        <v/>
      </c>
      <c r="AE22">
        <f>2*SIN($AD22)</f>
        <v/>
      </c>
      <c r="AF22">
        <f>2*COS($AD22)</f>
        <v/>
      </c>
      <c r="AG22">
        <f>3*SIN($AD22)</f>
        <v/>
      </c>
      <c r="AH22">
        <f>3*COS($AD22)</f>
        <v/>
      </c>
      <c r="AI22">
        <f>4*SIN($AD22)</f>
        <v/>
      </c>
      <c r="AJ22">
        <f>4*COS($AD22)</f>
        <v/>
      </c>
      <c r="AK22">
        <f>5*SIN($AD22)</f>
        <v/>
      </c>
      <c r="AL22">
        <f>5*COS($AD22)</f>
        <v/>
      </c>
      <c r="AN22">
        <f>6.3*SIN(2*PI()*8/ROWS(codiciL1))</f>
        <v/>
      </c>
      <c r="AO22">
        <f>6.3*COS(2*PI()*8/ROWS(codiciL1))</f>
        <v/>
      </c>
      <c r="AU22">
        <f>IF(AND(ISNUMBER($F22),ISNUMBER($S22)),IF(AND($F22=AU$4,$AA22=AU$3),$S22,NA()),NA())</f>
        <v/>
      </c>
      <c r="AV22">
        <f>IF(AND(ISNUMBER($F22),ISNUMBER($S22)),IF(AND($F22=AV$4,$AA22=AV$3),$S22,NA()),NA())</f>
        <v/>
      </c>
      <c r="AW22">
        <f>IF(AND(ISNUMBER($F22),ISNUMBER($S22)),IF(AND($F22=AW$4,$AA22=AW$3),$S22,NA()),NA())</f>
        <v/>
      </c>
      <c r="AX22">
        <f>IF(AND(ISNUMBER($F22),ISNUMBER($S22)),IF(AND($F22=AX$4,$AA22=AX$3),$S22,NA()),NA())</f>
        <v/>
      </c>
      <c r="AY22">
        <f>IF(AND(ISNUMBER($F22),ISNUMBER($S22)),IF(AND($F22=AY$4,$AA22=AY$3),$S22,NA()),NA())</f>
        <v/>
      </c>
      <c r="AZ22">
        <f>IF(AND(ISNUMBER($F22),ISNUMBER($S22)),IF(AND($F22=AZ$4,$AA22=AZ$3),$S22,NA()),NA())</f>
        <v/>
      </c>
      <c r="BA22">
        <f>IF(AND(ISNUMBER($F22),ISNUMBER($S22)),IF(AND($F22=BA$4,$AA22=BA$3),$S22,NA()),NA())</f>
        <v/>
      </c>
      <c r="BB22">
        <f>IF(AND(ISNUMBER($F22),ISNUMBER($S22)),IF(AND($F22=BB$4,$AA22=BB$3),$S22,NA()),NA())</f>
        <v/>
      </c>
      <c r="BC22">
        <f>IF(AND(ISNUMBER($F22),ISNUMBER($S22)),IF(AND($F22=BC$4,$AA22=BC$3),$S22,NA()),NA())</f>
        <v/>
      </c>
      <c r="BD22">
        <f>IF(AND(ISNUMBER($F22),ISNUMBER($S22)),IF(AND($F22=BD$4,$AA22=BD$3),$S22,NA()),NA())</f>
        <v/>
      </c>
      <c r="BE22">
        <f>IF(AND(ISNUMBER($F22),ISNUMBER($S22)),IF(AND($F22=BE$4,$AA22=BE$3),$S22,NA()),NA())</f>
        <v/>
      </c>
      <c r="BF22">
        <f>IF(AND(ISNUMBER($F22),ISNUMBER($S22)),IF(AND($F22=BF$4,$AA22=BF$3),$S22,NA()),NA())</f>
        <v/>
      </c>
      <c r="BG22">
        <f>IF(AND(ISNUMBER($F22),ISNUMBER($S22)),IF(AND($F22=BG$4,$AA22=BG$3),$S22,NA()),NA())</f>
        <v/>
      </c>
      <c r="BH22">
        <f>IF(AND(ISNUMBER($F22),ISNUMBER($S22)),IF(AND($F22=BH$4,$AA22=BH$3),$S22,NA()),NA())</f>
        <v/>
      </c>
      <c r="BI22">
        <f>IF(AND(ISNUMBER($F22),ISNUMBER($S22)),IF(AND($F22=BI$4,$AA22=BI$3),$S22,NA()),NA())</f>
        <v/>
      </c>
      <c r="BJ22">
        <f>IF(AND(ISNUMBER($F22),ISNUMBER($S22)),IF(AND($F22=BJ$4,$AA22=BJ$3),$S22,NA()),NA())</f>
        <v/>
      </c>
      <c r="BK22">
        <f>IF(AND(ISNUMBER($F22),ISNUMBER($S22)),IF(AND($F22=BK$4,$AA22=BK$3),$S22,NA()),NA())</f>
        <v/>
      </c>
      <c r="BL22">
        <f>IF(AND(ISNUMBER($F22),ISNUMBER($S22)),IF(AND($F22=BL$4,$AA22=BL$3),$S22,NA()),NA())</f>
        <v/>
      </c>
      <c r="BM22">
        <f>IF(AND(ISNUMBER($F22),ISNUMBER($S22)),IF(AND($F22=BM$4,$AA22=BM$3),$S22,NA()),NA())</f>
        <v/>
      </c>
      <c r="BN22">
        <f>IF(AND(ISNUMBER($F22),ISNUMBER($S22)),IF(AND($F22=BN$4,$AA22=BN$3),$S22,NA()),NA())</f>
        <v/>
      </c>
      <c r="BO22">
        <f>IF(AND(ISNUMBER($F22),ISNUMBER($S22)),IF(AND($F22=BO$4,$AA22=BO$3),$S22,NA()),NA())</f>
        <v/>
      </c>
      <c r="BP22">
        <f>IF(AND(ISNUMBER($F22),ISNUMBER($S22)),IF(AND($F22=BP$4,$AA22=BP$3),$S22,NA()),NA())</f>
        <v/>
      </c>
      <c r="BQ22">
        <f>IF(AND(ISNUMBER($F22),ISNUMBER($S22)),IF(AND($F22=BQ$4,$AA22=BQ$3),$S22,NA()),NA())</f>
        <v/>
      </c>
      <c r="BR22">
        <f>IF(AND(ISNUMBER($F22),ISNUMBER($S22)),IF(AND($F22=BR$4,$AA22=BR$3),$S22,NA()),NA())</f>
        <v/>
      </c>
      <c r="BS22">
        <f>IF(AND(ISNUMBER($F22),ISNUMBER($S22)),IF(AND($F22=BS$4,$AA22=BS$3),$S22,NA()),NA())</f>
        <v/>
      </c>
      <c r="BT22">
        <f>IF(AND(ISNUMBER($F22),ISNUMBER($S22)),IF(AND($F22=BT$4,$AA22=BT$3),$S22,NA()),NA())</f>
        <v/>
      </c>
      <c r="BU22">
        <f>IF(AND(ISNUMBER($F22),ISNUMBER($S22)),IF(AND($F22=BU$4,$AA22=BU$3),$S22,NA()),NA())</f>
        <v/>
      </c>
      <c r="BV22">
        <f>IF(AND(ISNUMBER($F22),ISNUMBER($S22)),IF(AND($F22=BV$4,$AA22=BV$3),$S22,NA()),NA())</f>
        <v/>
      </c>
      <c r="BW22">
        <f>IF(AND(ISNUMBER($F22),ISNUMBER($S22)),IF(AND($F22=BW$4,$AA22=BW$3),$S22,NA()),NA())</f>
        <v/>
      </c>
      <c r="BX22">
        <f>IF(AND(ISNUMBER($F22),ISNUMBER($S22)),IF(AND($F22=BX$4,$AA22=BX$3),$S22,NA()),NA())</f>
        <v/>
      </c>
      <c r="BY22">
        <f>IF(AND(ISNUMBER($F22),ISNUMBER($S22)),IF(AND($F22=BY$4,$AA22=BY$3),$S22,NA()),NA())</f>
        <v/>
      </c>
      <c r="BZ22">
        <f>IF(AND(ISNUMBER($F22),ISNUMBER($S22)),IF(AND($F22=BZ$4,$AA22=BZ$3),$S22,NA()),NA())</f>
        <v/>
      </c>
      <c r="CA22">
        <f>IF(AND(ISNUMBER($F22),ISNUMBER($S22)),IF(AND($F22=CA$4,$AA22=CA$3),$S22,NA()),NA())</f>
        <v/>
      </c>
      <c r="CB22">
        <f>IF(AND(ISNUMBER($F22),ISNUMBER($S22)),IF(AND($F22=CB$4,$AA22=CB$3),$S22,NA()),NA())</f>
        <v/>
      </c>
      <c r="CC22">
        <f>IF(AND(ISNUMBER($F22),ISNUMBER($S22)),IF(AND($F22=CC$4,$AA22=CC$3),$S22,NA()),NA())</f>
        <v/>
      </c>
      <c r="CD22">
        <f>IF(AND(ISNUMBER($F22),ISNUMBER($S22)),IF(AND($F22=CD$4,$AA22=CD$3),$S22,NA()),NA())</f>
        <v/>
      </c>
      <c r="CE22">
        <f>IF(AND(ISNUMBER($F22),ISNUMBER($S22)),IF(AND($F22=CE$4,$AA22=CE$3),$S22,NA()),NA())</f>
        <v/>
      </c>
      <c r="CF22">
        <f>IF(AND(ISNUMBER($F22),ISNUMBER($S22)),IF(AND($F22=CF$4,$AA22=CF$3),$S22,NA()),NA())</f>
        <v/>
      </c>
      <c r="CG22">
        <f>IF(AND(ISNUMBER($F22),ISNUMBER($S22)),IF(AND($F22=CG$4,$AA22=CG$3),$S22,NA()),NA())</f>
        <v/>
      </c>
      <c r="CH22">
        <f>IF(AND(ISNUMBER($F22),ISNUMBER($S22)),IF(AND($F22=CH$4,$AA22=CH$3),$S22,NA()),NA())</f>
        <v/>
      </c>
      <c r="CI22">
        <f>IF(AND(ISNUMBER($F22),ISNUMBER($S22)),IF(AND($F22=CI$4,$AA22=CI$3),$S22,NA()),NA())</f>
        <v/>
      </c>
      <c r="CJ22">
        <f>IF(AND(ISNUMBER($F22),ISNUMBER($S22)),IF(AND($F22=CJ$4,$AA22=CJ$3),$S22,NA()),NA())</f>
        <v/>
      </c>
      <c r="CK22">
        <f>IF(ISNUMBER($R22),$R22,NA())</f>
        <v/>
      </c>
      <c r="CL22">
        <f>IF($A22="","",$A22&amp;IF($T22="Sì"," ◆",""))</f>
        <v/>
      </c>
      <c r="CM22">
        <f>IF(ISNUMBER($S22),$S22,NA())</f>
        <v/>
      </c>
    </row>
    <row r="23">
      <c r="A23">
        <f>IF(Parametri!$H22="","",Parametri!$H22)</f>
        <v/>
      </c>
      <c r="B23">
        <f>IF($A23="","",Parametri!$I22)</f>
        <v/>
      </c>
      <c r="C23">
        <f>IF($A23="","",Parametri!$J22)</f>
        <v/>
      </c>
      <c r="D23">
        <f>IF($A23="",NA(),IF(COUNTIFS(RR_ID_Rischio,$A23,RR_Ciclo,cicloCorrente)=0,NA(),SUMIFS(RR_Impatto,RR_ID_Rischio,$A23,RR_Ciclo,cicloCorrente)))</f>
        <v/>
      </c>
      <c r="E23">
        <f>IF($A23="",NA(),IF(COUNTIFS(RR_ID_Rischio,$A23,RR_Ciclo,cicloCorrente)=0,NA(),SUMIFS(RR_Probabilita,RR_ID_Rischio,$A23,RR_Ciclo,cicloCorrente)))</f>
        <v/>
      </c>
      <c r="F23">
        <f>IF(AND(ISNUMBER(D23),ISNUMBER(E23)),D23*E23,NA())</f>
        <v/>
      </c>
      <c r="G23">
        <f>IF($A23="",NA(),IF(COUNTIFS(RR_ID_Rischio,$A23,RR_Ciclo,cicloCorrente)=0,NA(),SUMIFS(RR_Prossimita,RR_ID_Rischio,$A23,RR_Ciclo,cicloCorrente)))</f>
        <v/>
      </c>
      <c r="H23" s="58">
        <f>IF(ISNUMBER(G23),INDEX(anniProssimita,G23),NA())</f>
        <v/>
      </c>
      <c r="I23" s="58">
        <f>IF($A23="",NA(),moscaX)</f>
        <v/>
      </c>
      <c r="J23" s="58">
        <f>IF($A23="",NA(),MAX(IF(COUNTIFS(AZ_ID_Rischio,$A23,AZ_Ciclo,$AC23,AZ_Stato,"&lt;&gt;Respinta",AZ_Mesi_Orizzonte,"&gt;0")=0,moscaYDefault,_xlfn.MAXIFS(AZ_Mesi_Orizzonte,AZ_ID_Rischio,$A23,AZ_Ciclo,$AC23,AZ_Stato,"&lt;&gt;Respinta")/12),N(Parametri!$M22)))</f>
        <v/>
      </c>
      <c r="K23" s="58">
        <f>IF(AND(ISNUMBER(H23),ISNUMBER(J23)),H23-(I23+J23),NA())</f>
        <v/>
      </c>
      <c r="L23">
        <f>IF(NOT(ISNUMBER(K23)),"",IF(K23&lt;0,"AGIRE ORA: X+Y &gt; Z",IF(K23&lt;1,"Agire entro l'anno","Margine "&amp;ROUND(K23,1)&amp;IF(ROUND(K23,1)=1," anno"," anni"))))</f>
        <v/>
      </c>
      <c r="M23">
        <f>IF($A23="",NA(),MATCH(C23,codiciL1,0)-1)</f>
        <v/>
      </c>
      <c r="N23">
        <f>IF($A23="",NA(),COUNTIF($C$4:C22,C23))</f>
        <v/>
      </c>
      <c r="O23">
        <f>IF($A23="",NA(),COUNTIF(ANA_Event_Type,C23))</f>
        <v/>
      </c>
      <c r="P23" s="58">
        <f>IF($A23="",NA(),2*PI()*(M23+(N23+0.5)/O23)/ROWS(codiciL1))</f>
        <v/>
      </c>
      <c r="Q23" s="58">
        <f>IF(ISNUMBER(K23),MAX(0.6,MIN(6,K23+2)),NA())</f>
        <v/>
      </c>
      <c r="R23" s="58">
        <f>IF(AND(ISNUMBER(Q23),ISNUMBER(P23)),Q23*SIN(P23),NA())</f>
        <v/>
      </c>
      <c r="S23" s="58">
        <f>IF(AND(ISNUMBER(Q23),ISNUMBER(P23)),Q23*COS(P23),NA())</f>
        <v/>
      </c>
      <c r="T23">
        <f>IF($A23="","",IF(Parametri!$N22="Sì","Sì",""))</f>
        <v/>
      </c>
      <c r="U23">
        <f>IF(OR($A23="",NOT(ISNUMBER(K23))),"",IF(K23&lt;0,1,0))</f>
        <v/>
      </c>
      <c r="V23">
        <f>IF(OR($A23="",NOT(ISNUMBER(K23))),"",IF(COUNTIFS(KRI_ID_Rischio,$A23,KRI_Ciclo,cicloCorrente,KRI_In_Vigore,"Sì",KRI_Stato,"Rosso")&gt;0,1,0))</f>
        <v/>
      </c>
      <c r="W23">
        <f>IF(OR($A23="",NOT(ISNUMBER(K23))),"",IF(N(INDEX(posNetti,19))&gt;=sogliaDirezione,1,0))</f>
        <v/>
      </c>
      <c r="X23">
        <f>IF(OR($A23="",NOT(ISNUMBER(K23))),"",IF(AND(ISNUMBER(F23),F23&gt;=livelloPxI),1,0))</f>
        <v/>
      </c>
      <c r="Y23">
        <f>IF(OR($A23="",NOT(ISNUMBER(K23))),"",IF(Parametri!$O22="Assente",1,0))</f>
        <v/>
      </c>
      <c r="Z23">
        <f>IF(OR($A23="",NOT(ISNUMBER(K23))),"",IF(AND(COUNTIFS(KRI_ID_Rischio,$A23,KRI_Ciclo,cicloCorrente,KRI_In_Vigore,"Sì")&gt;0,COUNTIFS(KRI_ID_Rischio,$A23,KRI_Ciclo,cicloCorrente,KRI_In_Vigore,"Sì",KRI_Stato,"Rosso")+COUNTIFS(KRI_ID_Rischio,$A23,KRI_Ciclo,cicloCorrente,KRI_In_Vigore,"Sì",KRI_Stato,"Ambra")&gt;=livelloQuotaKRI*COUNTIFS(KRI_ID_Rischio,$A23,KRI_Ciclo,cicloCorrente,KRI_In_Vigore,"Sì")),1,0))</f>
        <v/>
      </c>
      <c r="AA23">
        <f>IF(OR($A23="",NOT(ISNUMBER(K23))),"",IF((U23+V23+W23)&gt;=livelloForti,"Attivazione",IF(OR((U23+V23+W23)&gt;=1,AND(K23&lt;livelloMargine,(X23+Y23+Z23)&gt;=1)),"Attenzione","Monitoraggio")))</f>
        <v/>
      </c>
      <c r="AB23">
        <f>IF(AA23="","",IF(AA23="Monitoraggio","nessun segnale forte",_xlfn.TEXTJOIN("; ",TRUE,IF(U23=1,"AGIRE ORA",""),IF(V23=1,"KRI in rosso",""),IF(W23=1,"notizie in peggioramento",""),IF((U23+V23+W23)=0,"margine sotto l'anno con "&amp;_xlfn.TEXTJOIN(", ",TRUE,IF(X23=1,"P x I alta",""),IF(Y23=1,"presidio dei controlli assente",""),IF(Z23=1,"KRI in ambra o rosso","")),""))))</f>
        <v/>
      </c>
      <c r="AC23">
        <f>IF($A23="","",IFERROR(IF(INDEX(RR_Periodo_Valutazione,MATCH(cicloCorrente&amp;"|"&amp;$A23,RR_Chiave,0))="",cicloCorrente,INDEX(RR_Periodo_Valutazione,MATCH(cicloCorrente&amp;"|"&amp;$A23,RR_Chiave,0))&amp;""),cicloCorrente))</f>
        <v/>
      </c>
      <c r="AD23">
        <f>2*PI()*18/72</f>
        <v/>
      </c>
      <c r="AE23">
        <f>2*SIN($AD23)</f>
        <v/>
      </c>
      <c r="AF23">
        <f>2*COS($AD23)</f>
        <v/>
      </c>
      <c r="AG23">
        <f>3*SIN($AD23)</f>
        <v/>
      </c>
      <c r="AH23">
        <f>3*COS($AD23)</f>
        <v/>
      </c>
      <c r="AI23">
        <f>4*SIN($AD23)</f>
        <v/>
      </c>
      <c r="AJ23">
        <f>4*COS($AD23)</f>
        <v/>
      </c>
      <c r="AK23">
        <f>5*SIN($AD23)</f>
        <v/>
      </c>
      <c r="AL23">
        <f>5*COS($AD23)</f>
        <v/>
      </c>
      <c r="AU23">
        <f>IF(AND(ISNUMBER($F23),ISNUMBER($S23)),IF(AND($F23=AU$4,$AA23=AU$3),$S23,NA()),NA())</f>
        <v/>
      </c>
      <c r="AV23">
        <f>IF(AND(ISNUMBER($F23),ISNUMBER($S23)),IF(AND($F23=AV$4,$AA23=AV$3),$S23,NA()),NA())</f>
        <v/>
      </c>
      <c r="AW23">
        <f>IF(AND(ISNUMBER($F23),ISNUMBER($S23)),IF(AND($F23=AW$4,$AA23=AW$3),$S23,NA()),NA())</f>
        <v/>
      </c>
      <c r="AX23">
        <f>IF(AND(ISNUMBER($F23),ISNUMBER($S23)),IF(AND($F23=AX$4,$AA23=AX$3),$S23,NA()),NA())</f>
        <v/>
      </c>
      <c r="AY23">
        <f>IF(AND(ISNUMBER($F23),ISNUMBER($S23)),IF(AND($F23=AY$4,$AA23=AY$3),$S23,NA()),NA())</f>
        <v/>
      </c>
      <c r="AZ23">
        <f>IF(AND(ISNUMBER($F23),ISNUMBER($S23)),IF(AND($F23=AZ$4,$AA23=AZ$3),$S23,NA()),NA())</f>
        <v/>
      </c>
      <c r="BA23">
        <f>IF(AND(ISNUMBER($F23),ISNUMBER($S23)),IF(AND($F23=BA$4,$AA23=BA$3),$S23,NA()),NA())</f>
        <v/>
      </c>
      <c r="BB23">
        <f>IF(AND(ISNUMBER($F23),ISNUMBER($S23)),IF(AND($F23=BB$4,$AA23=BB$3),$S23,NA()),NA())</f>
        <v/>
      </c>
      <c r="BC23">
        <f>IF(AND(ISNUMBER($F23),ISNUMBER($S23)),IF(AND($F23=BC$4,$AA23=BC$3),$S23,NA()),NA())</f>
        <v/>
      </c>
      <c r="BD23">
        <f>IF(AND(ISNUMBER($F23),ISNUMBER($S23)),IF(AND($F23=BD$4,$AA23=BD$3),$S23,NA()),NA())</f>
        <v/>
      </c>
      <c r="BE23">
        <f>IF(AND(ISNUMBER($F23),ISNUMBER($S23)),IF(AND($F23=BE$4,$AA23=BE$3),$S23,NA()),NA())</f>
        <v/>
      </c>
      <c r="BF23">
        <f>IF(AND(ISNUMBER($F23),ISNUMBER($S23)),IF(AND($F23=BF$4,$AA23=BF$3),$S23,NA()),NA())</f>
        <v/>
      </c>
      <c r="BG23">
        <f>IF(AND(ISNUMBER($F23),ISNUMBER($S23)),IF(AND($F23=BG$4,$AA23=BG$3),$S23,NA()),NA())</f>
        <v/>
      </c>
      <c r="BH23">
        <f>IF(AND(ISNUMBER($F23),ISNUMBER($S23)),IF(AND($F23=BH$4,$AA23=BH$3),$S23,NA()),NA())</f>
        <v/>
      </c>
      <c r="BI23">
        <f>IF(AND(ISNUMBER($F23),ISNUMBER($S23)),IF(AND($F23=BI$4,$AA23=BI$3),$S23,NA()),NA())</f>
        <v/>
      </c>
      <c r="BJ23">
        <f>IF(AND(ISNUMBER($F23),ISNUMBER($S23)),IF(AND($F23=BJ$4,$AA23=BJ$3),$S23,NA()),NA())</f>
        <v/>
      </c>
      <c r="BK23">
        <f>IF(AND(ISNUMBER($F23),ISNUMBER($S23)),IF(AND($F23=BK$4,$AA23=BK$3),$S23,NA()),NA())</f>
        <v/>
      </c>
      <c r="BL23">
        <f>IF(AND(ISNUMBER($F23),ISNUMBER($S23)),IF(AND($F23=BL$4,$AA23=BL$3),$S23,NA()),NA())</f>
        <v/>
      </c>
      <c r="BM23">
        <f>IF(AND(ISNUMBER($F23),ISNUMBER($S23)),IF(AND($F23=BM$4,$AA23=BM$3),$S23,NA()),NA())</f>
        <v/>
      </c>
      <c r="BN23">
        <f>IF(AND(ISNUMBER($F23),ISNUMBER($S23)),IF(AND($F23=BN$4,$AA23=BN$3),$S23,NA()),NA())</f>
        <v/>
      </c>
      <c r="BO23">
        <f>IF(AND(ISNUMBER($F23),ISNUMBER($S23)),IF(AND($F23=BO$4,$AA23=BO$3),$S23,NA()),NA())</f>
        <v/>
      </c>
      <c r="BP23">
        <f>IF(AND(ISNUMBER($F23),ISNUMBER($S23)),IF(AND($F23=BP$4,$AA23=BP$3),$S23,NA()),NA())</f>
        <v/>
      </c>
      <c r="BQ23">
        <f>IF(AND(ISNUMBER($F23),ISNUMBER($S23)),IF(AND($F23=BQ$4,$AA23=BQ$3),$S23,NA()),NA())</f>
        <v/>
      </c>
      <c r="BR23">
        <f>IF(AND(ISNUMBER($F23),ISNUMBER($S23)),IF(AND($F23=BR$4,$AA23=BR$3),$S23,NA()),NA())</f>
        <v/>
      </c>
      <c r="BS23">
        <f>IF(AND(ISNUMBER($F23),ISNUMBER($S23)),IF(AND($F23=BS$4,$AA23=BS$3),$S23,NA()),NA())</f>
        <v/>
      </c>
      <c r="BT23">
        <f>IF(AND(ISNUMBER($F23),ISNUMBER($S23)),IF(AND($F23=BT$4,$AA23=BT$3),$S23,NA()),NA())</f>
        <v/>
      </c>
      <c r="BU23">
        <f>IF(AND(ISNUMBER($F23),ISNUMBER($S23)),IF(AND($F23=BU$4,$AA23=BU$3),$S23,NA()),NA())</f>
        <v/>
      </c>
      <c r="BV23">
        <f>IF(AND(ISNUMBER($F23),ISNUMBER($S23)),IF(AND($F23=BV$4,$AA23=BV$3),$S23,NA()),NA())</f>
        <v/>
      </c>
      <c r="BW23">
        <f>IF(AND(ISNUMBER($F23),ISNUMBER($S23)),IF(AND($F23=BW$4,$AA23=BW$3),$S23,NA()),NA())</f>
        <v/>
      </c>
      <c r="BX23">
        <f>IF(AND(ISNUMBER($F23),ISNUMBER($S23)),IF(AND($F23=BX$4,$AA23=BX$3),$S23,NA()),NA())</f>
        <v/>
      </c>
      <c r="BY23">
        <f>IF(AND(ISNUMBER($F23),ISNUMBER($S23)),IF(AND($F23=BY$4,$AA23=BY$3),$S23,NA()),NA())</f>
        <v/>
      </c>
      <c r="BZ23">
        <f>IF(AND(ISNUMBER($F23),ISNUMBER($S23)),IF(AND($F23=BZ$4,$AA23=BZ$3),$S23,NA()),NA())</f>
        <v/>
      </c>
      <c r="CA23">
        <f>IF(AND(ISNUMBER($F23),ISNUMBER($S23)),IF(AND($F23=CA$4,$AA23=CA$3),$S23,NA()),NA())</f>
        <v/>
      </c>
      <c r="CB23">
        <f>IF(AND(ISNUMBER($F23),ISNUMBER($S23)),IF(AND($F23=CB$4,$AA23=CB$3),$S23,NA()),NA())</f>
        <v/>
      </c>
      <c r="CC23">
        <f>IF(AND(ISNUMBER($F23),ISNUMBER($S23)),IF(AND($F23=CC$4,$AA23=CC$3),$S23,NA()),NA())</f>
        <v/>
      </c>
      <c r="CD23">
        <f>IF(AND(ISNUMBER($F23),ISNUMBER($S23)),IF(AND($F23=CD$4,$AA23=CD$3),$S23,NA()),NA())</f>
        <v/>
      </c>
      <c r="CE23">
        <f>IF(AND(ISNUMBER($F23),ISNUMBER($S23)),IF(AND($F23=CE$4,$AA23=CE$3),$S23,NA()),NA())</f>
        <v/>
      </c>
      <c r="CF23">
        <f>IF(AND(ISNUMBER($F23),ISNUMBER($S23)),IF(AND($F23=CF$4,$AA23=CF$3),$S23,NA()),NA())</f>
        <v/>
      </c>
      <c r="CG23">
        <f>IF(AND(ISNUMBER($F23),ISNUMBER($S23)),IF(AND($F23=CG$4,$AA23=CG$3),$S23,NA()),NA())</f>
        <v/>
      </c>
      <c r="CH23">
        <f>IF(AND(ISNUMBER($F23),ISNUMBER($S23)),IF(AND($F23=CH$4,$AA23=CH$3),$S23,NA()),NA())</f>
        <v/>
      </c>
      <c r="CI23">
        <f>IF(AND(ISNUMBER($F23),ISNUMBER($S23)),IF(AND($F23=CI$4,$AA23=CI$3),$S23,NA()),NA())</f>
        <v/>
      </c>
      <c r="CJ23">
        <f>IF(AND(ISNUMBER($F23),ISNUMBER($S23)),IF(AND($F23=CJ$4,$AA23=CJ$3),$S23,NA()),NA())</f>
        <v/>
      </c>
      <c r="CK23">
        <f>IF(ISNUMBER($R23),$R23,NA())</f>
        <v/>
      </c>
      <c r="CL23">
        <f>IF($A23="","",$A23&amp;IF($T23="Sì"," ◆",""))</f>
        <v/>
      </c>
      <c r="CM23">
        <f>IF(ISNUMBER($S23),$S23,NA())</f>
        <v/>
      </c>
    </row>
    <row r="24">
      <c r="A24">
        <f>IF(Parametri!$H23="","",Parametri!$H23)</f>
        <v/>
      </c>
      <c r="B24">
        <f>IF($A24="","",Parametri!$I23)</f>
        <v/>
      </c>
      <c r="C24">
        <f>IF($A24="","",Parametri!$J23)</f>
        <v/>
      </c>
      <c r="D24">
        <f>IF($A24="",NA(),IF(COUNTIFS(RR_ID_Rischio,$A24,RR_Ciclo,cicloCorrente)=0,NA(),SUMIFS(RR_Impatto,RR_ID_Rischio,$A24,RR_Ciclo,cicloCorrente)))</f>
        <v/>
      </c>
      <c r="E24">
        <f>IF($A24="",NA(),IF(COUNTIFS(RR_ID_Rischio,$A24,RR_Ciclo,cicloCorrente)=0,NA(),SUMIFS(RR_Probabilita,RR_ID_Rischio,$A24,RR_Ciclo,cicloCorrente)))</f>
        <v/>
      </c>
      <c r="F24">
        <f>IF(AND(ISNUMBER(D24),ISNUMBER(E24)),D24*E24,NA())</f>
        <v/>
      </c>
      <c r="G24">
        <f>IF($A24="",NA(),IF(COUNTIFS(RR_ID_Rischio,$A24,RR_Ciclo,cicloCorrente)=0,NA(),SUMIFS(RR_Prossimita,RR_ID_Rischio,$A24,RR_Ciclo,cicloCorrente)))</f>
        <v/>
      </c>
      <c r="H24" s="58">
        <f>IF(ISNUMBER(G24),INDEX(anniProssimita,G24),NA())</f>
        <v/>
      </c>
      <c r="I24" s="58">
        <f>IF($A24="",NA(),moscaX)</f>
        <v/>
      </c>
      <c r="J24" s="58">
        <f>IF($A24="",NA(),MAX(IF(COUNTIFS(AZ_ID_Rischio,$A24,AZ_Ciclo,$AC24,AZ_Stato,"&lt;&gt;Respinta",AZ_Mesi_Orizzonte,"&gt;0")=0,moscaYDefault,_xlfn.MAXIFS(AZ_Mesi_Orizzonte,AZ_ID_Rischio,$A24,AZ_Ciclo,$AC24,AZ_Stato,"&lt;&gt;Respinta")/12),N(Parametri!$M23)))</f>
        <v/>
      </c>
      <c r="K24" s="58">
        <f>IF(AND(ISNUMBER(H24),ISNUMBER(J24)),H24-(I24+J24),NA())</f>
        <v/>
      </c>
      <c r="L24">
        <f>IF(NOT(ISNUMBER(K24)),"",IF(K24&lt;0,"AGIRE ORA: X+Y &gt; Z",IF(K24&lt;1,"Agire entro l'anno","Margine "&amp;ROUND(K24,1)&amp;IF(ROUND(K24,1)=1," anno"," anni"))))</f>
        <v/>
      </c>
      <c r="M24">
        <f>IF($A24="",NA(),MATCH(C24,codiciL1,0)-1)</f>
        <v/>
      </c>
      <c r="N24">
        <f>IF($A24="",NA(),COUNTIF($C$4:C23,C24))</f>
        <v/>
      </c>
      <c r="O24">
        <f>IF($A24="",NA(),COUNTIF(ANA_Event_Type,C24))</f>
        <v/>
      </c>
      <c r="P24" s="58">
        <f>IF($A24="",NA(),2*PI()*(M24+(N24+0.5)/O24)/ROWS(codiciL1))</f>
        <v/>
      </c>
      <c r="Q24" s="58">
        <f>IF(ISNUMBER(K24),MAX(0.6,MIN(6,K24+2)),NA())</f>
        <v/>
      </c>
      <c r="R24" s="58">
        <f>IF(AND(ISNUMBER(Q24),ISNUMBER(P24)),Q24*SIN(P24),NA())</f>
        <v/>
      </c>
      <c r="S24" s="58">
        <f>IF(AND(ISNUMBER(Q24),ISNUMBER(P24)),Q24*COS(P24),NA())</f>
        <v/>
      </c>
      <c r="T24">
        <f>IF($A24="","",IF(Parametri!$N23="Sì","Sì",""))</f>
        <v/>
      </c>
      <c r="U24">
        <f>IF(OR($A24="",NOT(ISNUMBER(K24))),"",IF(K24&lt;0,1,0))</f>
        <v/>
      </c>
      <c r="V24">
        <f>IF(OR($A24="",NOT(ISNUMBER(K24))),"",IF(COUNTIFS(KRI_ID_Rischio,$A24,KRI_Ciclo,cicloCorrente,KRI_In_Vigore,"Sì",KRI_Stato,"Rosso")&gt;0,1,0))</f>
        <v/>
      </c>
      <c r="W24">
        <f>IF(OR($A24="",NOT(ISNUMBER(K24))),"",IF(N(INDEX(posNetti,20))&gt;=sogliaDirezione,1,0))</f>
        <v/>
      </c>
      <c r="X24">
        <f>IF(OR($A24="",NOT(ISNUMBER(K24))),"",IF(AND(ISNUMBER(F24),F24&gt;=livelloPxI),1,0))</f>
        <v/>
      </c>
      <c r="Y24">
        <f>IF(OR($A24="",NOT(ISNUMBER(K24))),"",IF(Parametri!$O23="Assente",1,0))</f>
        <v/>
      </c>
      <c r="Z24">
        <f>IF(OR($A24="",NOT(ISNUMBER(K24))),"",IF(AND(COUNTIFS(KRI_ID_Rischio,$A24,KRI_Ciclo,cicloCorrente,KRI_In_Vigore,"Sì")&gt;0,COUNTIFS(KRI_ID_Rischio,$A24,KRI_Ciclo,cicloCorrente,KRI_In_Vigore,"Sì",KRI_Stato,"Rosso")+COUNTIFS(KRI_ID_Rischio,$A24,KRI_Ciclo,cicloCorrente,KRI_In_Vigore,"Sì",KRI_Stato,"Ambra")&gt;=livelloQuotaKRI*COUNTIFS(KRI_ID_Rischio,$A24,KRI_Ciclo,cicloCorrente,KRI_In_Vigore,"Sì")),1,0))</f>
        <v/>
      </c>
      <c r="AA24">
        <f>IF(OR($A24="",NOT(ISNUMBER(K24))),"",IF((U24+V24+W24)&gt;=livelloForti,"Attivazione",IF(OR((U24+V24+W24)&gt;=1,AND(K24&lt;livelloMargine,(X24+Y24+Z24)&gt;=1)),"Attenzione","Monitoraggio")))</f>
        <v/>
      </c>
      <c r="AB24">
        <f>IF(AA24="","",IF(AA24="Monitoraggio","nessun segnale forte",_xlfn.TEXTJOIN("; ",TRUE,IF(U24=1,"AGIRE ORA",""),IF(V24=1,"KRI in rosso",""),IF(W24=1,"notizie in peggioramento",""),IF((U24+V24+W24)=0,"margine sotto l'anno con "&amp;_xlfn.TEXTJOIN(", ",TRUE,IF(X24=1,"P x I alta",""),IF(Y24=1,"presidio dei controlli assente",""),IF(Z24=1,"KRI in ambra o rosso","")),""))))</f>
        <v/>
      </c>
      <c r="AC24">
        <f>IF($A24="","",IFERROR(IF(INDEX(RR_Periodo_Valutazione,MATCH(cicloCorrente&amp;"|"&amp;$A24,RR_Chiave,0))="",cicloCorrente,INDEX(RR_Periodo_Valutazione,MATCH(cicloCorrente&amp;"|"&amp;$A24,RR_Chiave,0))&amp;""),cicloCorrente))</f>
        <v/>
      </c>
      <c r="AD24">
        <f>2*PI()*19/72</f>
        <v/>
      </c>
      <c r="AE24">
        <f>2*SIN($AD24)</f>
        <v/>
      </c>
      <c r="AF24">
        <f>2*COS($AD24)</f>
        <v/>
      </c>
      <c r="AG24">
        <f>3*SIN($AD24)</f>
        <v/>
      </c>
      <c r="AH24">
        <f>3*COS($AD24)</f>
        <v/>
      </c>
      <c r="AI24">
        <f>4*SIN($AD24)</f>
        <v/>
      </c>
      <c r="AJ24">
        <f>4*COS($AD24)</f>
        <v/>
      </c>
      <c r="AK24">
        <f>5*SIN($AD24)</f>
        <v/>
      </c>
      <c r="AL24">
        <f>5*COS($AD24)</f>
        <v/>
      </c>
      <c r="AU24">
        <f>IF(AND(ISNUMBER($F24),ISNUMBER($S24)),IF(AND($F24=AU$4,$AA24=AU$3),$S24,NA()),NA())</f>
        <v/>
      </c>
      <c r="AV24">
        <f>IF(AND(ISNUMBER($F24),ISNUMBER($S24)),IF(AND($F24=AV$4,$AA24=AV$3),$S24,NA()),NA())</f>
        <v/>
      </c>
      <c r="AW24">
        <f>IF(AND(ISNUMBER($F24),ISNUMBER($S24)),IF(AND($F24=AW$4,$AA24=AW$3),$S24,NA()),NA())</f>
        <v/>
      </c>
      <c r="AX24">
        <f>IF(AND(ISNUMBER($F24),ISNUMBER($S24)),IF(AND($F24=AX$4,$AA24=AX$3),$S24,NA()),NA())</f>
        <v/>
      </c>
      <c r="AY24">
        <f>IF(AND(ISNUMBER($F24),ISNUMBER($S24)),IF(AND($F24=AY$4,$AA24=AY$3),$S24,NA()),NA())</f>
        <v/>
      </c>
      <c r="AZ24">
        <f>IF(AND(ISNUMBER($F24),ISNUMBER($S24)),IF(AND($F24=AZ$4,$AA24=AZ$3),$S24,NA()),NA())</f>
        <v/>
      </c>
      <c r="BA24">
        <f>IF(AND(ISNUMBER($F24),ISNUMBER($S24)),IF(AND($F24=BA$4,$AA24=BA$3),$S24,NA()),NA())</f>
        <v/>
      </c>
      <c r="BB24">
        <f>IF(AND(ISNUMBER($F24),ISNUMBER($S24)),IF(AND($F24=BB$4,$AA24=BB$3),$S24,NA()),NA())</f>
        <v/>
      </c>
      <c r="BC24">
        <f>IF(AND(ISNUMBER($F24),ISNUMBER($S24)),IF(AND($F24=BC$4,$AA24=BC$3),$S24,NA()),NA())</f>
        <v/>
      </c>
      <c r="BD24">
        <f>IF(AND(ISNUMBER($F24),ISNUMBER($S24)),IF(AND($F24=BD$4,$AA24=BD$3),$S24,NA()),NA())</f>
        <v/>
      </c>
      <c r="BE24">
        <f>IF(AND(ISNUMBER($F24),ISNUMBER($S24)),IF(AND($F24=BE$4,$AA24=BE$3),$S24,NA()),NA())</f>
        <v/>
      </c>
      <c r="BF24">
        <f>IF(AND(ISNUMBER($F24),ISNUMBER($S24)),IF(AND($F24=BF$4,$AA24=BF$3),$S24,NA()),NA())</f>
        <v/>
      </c>
      <c r="BG24">
        <f>IF(AND(ISNUMBER($F24),ISNUMBER($S24)),IF(AND($F24=BG$4,$AA24=BG$3),$S24,NA()),NA())</f>
        <v/>
      </c>
      <c r="BH24">
        <f>IF(AND(ISNUMBER($F24),ISNUMBER($S24)),IF(AND($F24=BH$4,$AA24=BH$3),$S24,NA()),NA())</f>
        <v/>
      </c>
      <c r="BI24">
        <f>IF(AND(ISNUMBER($F24),ISNUMBER($S24)),IF(AND($F24=BI$4,$AA24=BI$3),$S24,NA()),NA())</f>
        <v/>
      </c>
      <c r="BJ24">
        <f>IF(AND(ISNUMBER($F24),ISNUMBER($S24)),IF(AND($F24=BJ$4,$AA24=BJ$3),$S24,NA()),NA())</f>
        <v/>
      </c>
      <c r="BK24">
        <f>IF(AND(ISNUMBER($F24),ISNUMBER($S24)),IF(AND($F24=BK$4,$AA24=BK$3),$S24,NA()),NA())</f>
        <v/>
      </c>
      <c r="BL24">
        <f>IF(AND(ISNUMBER($F24),ISNUMBER($S24)),IF(AND($F24=BL$4,$AA24=BL$3),$S24,NA()),NA())</f>
        <v/>
      </c>
      <c r="BM24">
        <f>IF(AND(ISNUMBER($F24),ISNUMBER($S24)),IF(AND($F24=BM$4,$AA24=BM$3),$S24,NA()),NA())</f>
        <v/>
      </c>
      <c r="BN24">
        <f>IF(AND(ISNUMBER($F24),ISNUMBER($S24)),IF(AND($F24=BN$4,$AA24=BN$3),$S24,NA()),NA())</f>
        <v/>
      </c>
      <c r="BO24">
        <f>IF(AND(ISNUMBER($F24),ISNUMBER($S24)),IF(AND($F24=BO$4,$AA24=BO$3),$S24,NA()),NA())</f>
        <v/>
      </c>
      <c r="BP24">
        <f>IF(AND(ISNUMBER($F24),ISNUMBER($S24)),IF(AND($F24=BP$4,$AA24=BP$3),$S24,NA()),NA())</f>
        <v/>
      </c>
      <c r="BQ24">
        <f>IF(AND(ISNUMBER($F24),ISNUMBER($S24)),IF(AND($F24=BQ$4,$AA24=BQ$3),$S24,NA()),NA())</f>
        <v/>
      </c>
      <c r="BR24">
        <f>IF(AND(ISNUMBER($F24),ISNUMBER($S24)),IF(AND($F24=BR$4,$AA24=BR$3),$S24,NA()),NA())</f>
        <v/>
      </c>
      <c r="BS24">
        <f>IF(AND(ISNUMBER($F24),ISNUMBER($S24)),IF(AND($F24=BS$4,$AA24=BS$3),$S24,NA()),NA())</f>
        <v/>
      </c>
      <c r="BT24">
        <f>IF(AND(ISNUMBER($F24),ISNUMBER($S24)),IF(AND($F24=BT$4,$AA24=BT$3),$S24,NA()),NA())</f>
        <v/>
      </c>
      <c r="BU24">
        <f>IF(AND(ISNUMBER($F24),ISNUMBER($S24)),IF(AND($F24=BU$4,$AA24=BU$3),$S24,NA()),NA())</f>
        <v/>
      </c>
      <c r="BV24">
        <f>IF(AND(ISNUMBER($F24),ISNUMBER($S24)),IF(AND($F24=BV$4,$AA24=BV$3),$S24,NA()),NA())</f>
        <v/>
      </c>
      <c r="BW24">
        <f>IF(AND(ISNUMBER($F24),ISNUMBER($S24)),IF(AND($F24=BW$4,$AA24=BW$3),$S24,NA()),NA())</f>
        <v/>
      </c>
      <c r="BX24">
        <f>IF(AND(ISNUMBER($F24),ISNUMBER($S24)),IF(AND($F24=BX$4,$AA24=BX$3),$S24,NA()),NA())</f>
        <v/>
      </c>
      <c r="BY24">
        <f>IF(AND(ISNUMBER($F24),ISNUMBER($S24)),IF(AND($F24=BY$4,$AA24=BY$3),$S24,NA()),NA())</f>
        <v/>
      </c>
      <c r="BZ24">
        <f>IF(AND(ISNUMBER($F24),ISNUMBER($S24)),IF(AND($F24=BZ$4,$AA24=BZ$3),$S24,NA()),NA())</f>
        <v/>
      </c>
      <c r="CA24">
        <f>IF(AND(ISNUMBER($F24),ISNUMBER($S24)),IF(AND($F24=CA$4,$AA24=CA$3),$S24,NA()),NA())</f>
        <v/>
      </c>
      <c r="CB24">
        <f>IF(AND(ISNUMBER($F24),ISNUMBER($S24)),IF(AND($F24=CB$4,$AA24=CB$3),$S24,NA()),NA())</f>
        <v/>
      </c>
      <c r="CC24">
        <f>IF(AND(ISNUMBER($F24),ISNUMBER($S24)),IF(AND($F24=CC$4,$AA24=CC$3),$S24,NA()),NA())</f>
        <v/>
      </c>
      <c r="CD24">
        <f>IF(AND(ISNUMBER($F24),ISNUMBER($S24)),IF(AND($F24=CD$4,$AA24=CD$3),$S24,NA()),NA())</f>
        <v/>
      </c>
      <c r="CE24">
        <f>IF(AND(ISNUMBER($F24),ISNUMBER($S24)),IF(AND($F24=CE$4,$AA24=CE$3),$S24,NA()),NA())</f>
        <v/>
      </c>
      <c r="CF24">
        <f>IF(AND(ISNUMBER($F24),ISNUMBER($S24)),IF(AND($F24=CF$4,$AA24=CF$3),$S24,NA()),NA())</f>
        <v/>
      </c>
      <c r="CG24">
        <f>IF(AND(ISNUMBER($F24),ISNUMBER($S24)),IF(AND($F24=CG$4,$AA24=CG$3),$S24,NA()),NA())</f>
        <v/>
      </c>
      <c r="CH24">
        <f>IF(AND(ISNUMBER($F24),ISNUMBER($S24)),IF(AND($F24=CH$4,$AA24=CH$3),$S24,NA()),NA())</f>
        <v/>
      </c>
      <c r="CI24">
        <f>IF(AND(ISNUMBER($F24),ISNUMBER($S24)),IF(AND($F24=CI$4,$AA24=CI$3),$S24,NA()),NA())</f>
        <v/>
      </c>
      <c r="CJ24">
        <f>IF(AND(ISNUMBER($F24),ISNUMBER($S24)),IF(AND($F24=CJ$4,$AA24=CJ$3),$S24,NA()),NA())</f>
        <v/>
      </c>
      <c r="CK24">
        <f>IF(ISNUMBER($R24),$R24,NA())</f>
        <v/>
      </c>
      <c r="CL24">
        <f>IF($A24="","",$A24&amp;IF($T24="Sì"," ◆",""))</f>
        <v/>
      </c>
      <c r="CM24">
        <f>IF(ISNUMBER($S24),$S24,NA())</f>
        <v/>
      </c>
    </row>
    <row r="25">
      <c r="AD25">
        <f>2*PI()*20/72</f>
        <v/>
      </c>
      <c r="AE25">
        <f>2*SIN($AD25)</f>
        <v/>
      </c>
      <c r="AF25">
        <f>2*COS($AD25)</f>
        <v/>
      </c>
      <c r="AG25">
        <f>3*SIN($AD25)</f>
        <v/>
      </c>
      <c r="AH25">
        <f>3*COS($AD25)</f>
        <v/>
      </c>
      <c r="AI25">
        <f>4*SIN($AD25)</f>
        <v/>
      </c>
      <c r="AJ25">
        <f>4*COS($AD25)</f>
        <v/>
      </c>
      <c r="AK25">
        <f>5*SIN($AD25)</f>
        <v/>
      </c>
      <c r="AL25">
        <f>5*COS($AD25)</f>
        <v/>
      </c>
    </row>
    <row r="26" ht="48" customHeight="1">
      <c r="A26" s="56" t="inlineStr">
        <is>
          <t>Legenda — P = Probabilita, I = Impatto, P x I = Probabilita x Impatto, da 1 a 25. X = anni per decidere e avviare la mitigazione (un trimestre); Y = anni per mitigare (azioni o adeguamento strutturale); Z = anni prima che il rischio possa manifestarsi (dalla Prossimita); AGIRE ORA = X + Y &gt; Z. Cerchi grigi = 1 anno (tratteggiato), 2 e 3 anni di margine. Colore = livello di allerta: rosso Attivazione (almeno due fra AGIRE ORA, KRI in rosso, notizie in peggioramento), giallo Attenzione (uno di questi, o margine sotto l'anno con P x I alta, presidio assente o KRI in ambra), verde Monitoraggio (colonne U-AB). Settori = categorie della tassonomia interna (9.1 ... 9.13; un rischio FP, fuori perimetro, non compare). NFR-nn = codice del rischio; ◆ = tema all'attenzione del supervisore (BCE, EBA, Banca d'Italia), indicato dal validatore.</t>
        </is>
      </c>
      <c r="AD26">
        <f>2*PI()*21/72</f>
        <v/>
      </c>
      <c r="AE26">
        <f>2*SIN($AD26)</f>
        <v/>
      </c>
      <c r="AF26">
        <f>2*COS($AD26)</f>
        <v/>
      </c>
      <c r="AG26">
        <f>3*SIN($AD26)</f>
        <v/>
      </c>
      <c r="AH26">
        <f>3*COS($AD26)</f>
        <v/>
      </c>
      <c r="AI26">
        <f>4*SIN($AD26)</f>
        <v/>
      </c>
      <c r="AJ26">
        <f>4*COS($AD26)</f>
        <v/>
      </c>
      <c r="AK26">
        <f>5*SIN($AD26)</f>
        <v/>
      </c>
      <c r="AL26">
        <f>5*COS($AD26)</f>
        <v/>
      </c>
    </row>
    <row r="27">
      <c r="AD27">
        <f>2*PI()*22/72</f>
        <v/>
      </c>
      <c r="AE27">
        <f>2*SIN($AD27)</f>
        <v/>
      </c>
      <c r="AF27">
        <f>2*COS($AD27)</f>
        <v/>
      </c>
      <c r="AG27">
        <f>3*SIN($AD27)</f>
        <v/>
      </c>
      <c r="AH27">
        <f>3*COS($AD27)</f>
        <v/>
      </c>
      <c r="AI27">
        <f>4*SIN($AD27)</f>
        <v/>
      </c>
      <c r="AJ27">
        <f>4*COS($AD27)</f>
        <v/>
      </c>
      <c r="AK27">
        <f>5*SIN($AD27)</f>
        <v/>
      </c>
      <c r="AL27">
        <f>5*COS($AD27)</f>
        <v/>
      </c>
    </row>
    <row r="28">
      <c r="AD28">
        <f>2*PI()*23/72</f>
        <v/>
      </c>
      <c r="AE28">
        <f>2*SIN($AD28)</f>
        <v/>
      </c>
      <c r="AF28">
        <f>2*COS($AD28)</f>
        <v/>
      </c>
      <c r="AG28">
        <f>3*SIN($AD28)</f>
        <v/>
      </c>
      <c r="AH28">
        <f>3*COS($AD28)</f>
        <v/>
      </c>
      <c r="AI28">
        <f>4*SIN($AD28)</f>
        <v/>
      </c>
      <c r="AJ28">
        <f>4*COS($AD28)</f>
        <v/>
      </c>
      <c r="AK28">
        <f>5*SIN($AD28)</f>
        <v/>
      </c>
      <c r="AL28">
        <f>5*COS($AD28)</f>
        <v/>
      </c>
    </row>
    <row r="29">
      <c r="AD29">
        <f>2*PI()*24/72</f>
        <v/>
      </c>
      <c r="AE29">
        <f>2*SIN($AD29)</f>
        <v/>
      </c>
      <c r="AF29">
        <f>2*COS($AD29)</f>
        <v/>
      </c>
      <c r="AG29">
        <f>3*SIN($AD29)</f>
        <v/>
      </c>
      <c r="AH29">
        <f>3*COS($AD29)</f>
        <v/>
      </c>
      <c r="AI29">
        <f>4*SIN($AD29)</f>
        <v/>
      </c>
      <c r="AJ29">
        <f>4*COS($AD29)</f>
        <v/>
      </c>
      <c r="AK29">
        <f>5*SIN($AD29)</f>
        <v/>
      </c>
      <c r="AL29">
        <f>5*COS($AD29)</f>
        <v/>
      </c>
    </row>
    <row r="30">
      <c r="AD30">
        <f>2*PI()*25/72</f>
        <v/>
      </c>
      <c r="AE30">
        <f>2*SIN($AD30)</f>
        <v/>
      </c>
      <c r="AF30">
        <f>2*COS($AD30)</f>
        <v/>
      </c>
      <c r="AG30">
        <f>3*SIN($AD30)</f>
        <v/>
      </c>
      <c r="AH30">
        <f>3*COS($AD30)</f>
        <v/>
      </c>
      <c r="AI30">
        <f>4*SIN($AD30)</f>
        <v/>
      </c>
      <c r="AJ30">
        <f>4*COS($AD30)</f>
        <v/>
      </c>
      <c r="AK30">
        <f>5*SIN($AD30)</f>
        <v/>
      </c>
      <c r="AL30">
        <f>5*COS($AD30)</f>
        <v/>
      </c>
    </row>
    <row r="31">
      <c r="AD31">
        <f>2*PI()*26/72</f>
        <v/>
      </c>
      <c r="AE31">
        <f>2*SIN($AD31)</f>
        <v/>
      </c>
      <c r="AF31">
        <f>2*COS($AD31)</f>
        <v/>
      </c>
      <c r="AG31">
        <f>3*SIN($AD31)</f>
        <v/>
      </c>
      <c r="AH31">
        <f>3*COS($AD31)</f>
        <v/>
      </c>
      <c r="AI31">
        <f>4*SIN($AD31)</f>
        <v/>
      </c>
      <c r="AJ31">
        <f>4*COS($AD31)</f>
        <v/>
      </c>
      <c r="AK31">
        <f>5*SIN($AD31)</f>
        <v/>
      </c>
      <c r="AL31">
        <f>5*COS($AD31)</f>
        <v/>
      </c>
    </row>
    <row r="32">
      <c r="AD32">
        <f>2*PI()*27/72</f>
        <v/>
      </c>
      <c r="AE32">
        <f>2*SIN($AD32)</f>
        <v/>
      </c>
      <c r="AF32">
        <f>2*COS($AD32)</f>
        <v/>
      </c>
      <c r="AG32">
        <f>3*SIN($AD32)</f>
        <v/>
      </c>
      <c r="AH32">
        <f>3*COS($AD32)</f>
        <v/>
      </c>
      <c r="AI32">
        <f>4*SIN($AD32)</f>
        <v/>
      </c>
      <c r="AJ32">
        <f>4*COS($AD32)</f>
        <v/>
      </c>
      <c r="AK32">
        <f>5*SIN($AD32)</f>
        <v/>
      </c>
      <c r="AL32">
        <f>5*COS($AD32)</f>
        <v/>
      </c>
    </row>
    <row r="33">
      <c r="AD33">
        <f>2*PI()*28/72</f>
        <v/>
      </c>
      <c r="AE33">
        <f>2*SIN($AD33)</f>
        <v/>
      </c>
      <c r="AF33">
        <f>2*COS($AD33)</f>
        <v/>
      </c>
      <c r="AG33">
        <f>3*SIN($AD33)</f>
        <v/>
      </c>
      <c r="AH33">
        <f>3*COS($AD33)</f>
        <v/>
      </c>
      <c r="AI33">
        <f>4*SIN($AD33)</f>
        <v/>
      </c>
      <c r="AJ33">
        <f>4*COS($AD33)</f>
        <v/>
      </c>
      <c r="AK33">
        <f>5*SIN($AD33)</f>
        <v/>
      </c>
      <c r="AL33">
        <f>5*COS($AD33)</f>
        <v/>
      </c>
    </row>
    <row r="34">
      <c r="AD34">
        <f>2*PI()*29/72</f>
        <v/>
      </c>
      <c r="AE34">
        <f>2*SIN($AD34)</f>
        <v/>
      </c>
      <c r="AF34">
        <f>2*COS($AD34)</f>
        <v/>
      </c>
      <c r="AG34">
        <f>3*SIN($AD34)</f>
        <v/>
      </c>
      <c r="AH34">
        <f>3*COS($AD34)</f>
        <v/>
      </c>
      <c r="AI34">
        <f>4*SIN($AD34)</f>
        <v/>
      </c>
      <c r="AJ34">
        <f>4*COS($AD34)</f>
        <v/>
      </c>
      <c r="AK34">
        <f>5*SIN($AD34)</f>
        <v/>
      </c>
      <c r="AL34">
        <f>5*COS($AD34)</f>
        <v/>
      </c>
    </row>
    <row r="35">
      <c r="AD35">
        <f>2*PI()*30/72</f>
        <v/>
      </c>
      <c r="AE35">
        <f>2*SIN($AD35)</f>
        <v/>
      </c>
      <c r="AF35">
        <f>2*COS($AD35)</f>
        <v/>
      </c>
      <c r="AG35">
        <f>3*SIN($AD35)</f>
        <v/>
      </c>
      <c r="AH35">
        <f>3*COS($AD35)</f>
        <v/>
      </c>
      <c r="AI35">
        <f>4*SIN($AD35)</f>
        <v/>
      </c>
      <c r="AJ35">
        <f>4*COS($AD35)</f>
        <v/>
      </c>
      <c r="AK35">
        <f>5*SIN($AD35)</f>
        <v/>
      </c>
      <c r="AL35">
        <f>5*COS($AD35)</f>
        <v/>
      </c>
    </row>
    <row r="36">
      <c r="AD36">
        <f>2*PI()*31/72</f>
        <v/>
      </c>
      <c r="AE36">
        <f>2*SIN($AD36)</f>
        <v/>
      </c>
      <c r="AF36">
        <f>2*COS($AD36)</f>
        <v/>
      </c>
      <c r="AG36">
        <f>3*SIN($AD36)</f>
        <v/>
      </c>
      <c r="AH36">
        <f>3*COS($AD36)</f>
        <v/>
      </c>
      <c r="AI36">
        <f>4*SIN($AD36)</f>
        <v/>
      </c>
      <c r="AJ36">
        <f>4*COS($AD36)</f>
        <v/>
      </c>
      <c r="AK36">
        <f>5*SIN($AD36)</f>
        <v/>
      </c>
      <c r="AL36">
        <f>5*COS($AD36)</f>
        <v/>
      </c>
    </row>
    <row r="37">
      <c r="AD37">
        <f>2*PI()*32/72</f>
        <v/>
      </c>
      <c r="AE37">
        <f>2*SIN($AD37)</f>
        <v/>
      </c>
      <c r="AF37">
        <f>2*COS($AD37)</f>
        <v/>
      </c>
      <c r="AG37">
        <f>3*SIN($AD37)</f>
        <v/>
      </c>
      <c r="AH37">
        <f>3*COS($AD37)</f>
        <v/>
      </c>
      <c r="AI37">
        <f>4*SIN($AD37)</f>
        <v/>
      </c>
      <c r="AJ37">
        <f>4*COS($AD37)</f>
        <v/>
      </c>
      <c r="AK37">
        <f>5*SIN($AD37)</f>
        <v/>
      </c>
      <c r="AL37">
        <f>5*COS($AD37)</f>
        <v/>
      </c>
    </row>
    <row r="38">
      <c r="AD38">
        <f>2*PI()*33/72</f>
        <v/>
      </c>
      <c r="AE38">
        <f>2*SIN($AD38)</f>
        <v/>
      </c>
      <c r="AF38">
        <f>2*COS($AD38)</f>
        <v/>
      </c>
      <c r="AG38">
        <f>3*SIN($AD38)</f>
        <v/>
      </c>
      <c r="AH38">
        <f>3*COS($AD38)</f>
        <v/>
      </c>
      <c r="AI38">
        <f>4*SIN($AD38)</f>
        <v/>
      </c>
      <c r="AJ38">
        <f>4*COS($AD38)</f>
        <v/>
      </c>
      <c r="AK38">
        <f>5*SIN($AD38)</f>
        <v/>
      </c>
      <c r="AL38">
        <f>5*COS($AD38)</f>
        <v/>
      </c>
    </row>
    <row r="39">
      <c r="AD39">
        <f>2*PI()*34/72</f>
        <v/>
      </c>
      <c r="AE39">
        <f>2*SIN($AD39)</f>
        <v/>
      </c>
      <c r="AF39">
        <f>2*COS($AD39)</f>
        <v/>
      </c>
      <c r="AG39">
        <f>3*SIN($AD39)</f>
        <v/>
      </c>
      <c r="AH39">
        <f>3*COS($AD39)</f>
        <v/>
      </c>
      <c r="AI39">
        <f>4*SIN($AD39)</f>
        <v/>
      </c>
      <c r="AJ39">
        <f>4*COS($AD39)</f>
        <v/>
      </c>
      <c r="AK39">
        <f>5*SIN($AD39)</f>
        <v/>
      </c>
      <c r="AL39">
        <f>5*COS($AD39)</f>
        <v/>
      </c>
    </row>
    <row r="40">
      <c r="AD40">
        <f>2*PI()*35/72</f>
        <v/>
      </c>
      <c r="AE40">
        <f>2*SIN($AD40)</f>
        <v/>
      </c>
      <c r="AF40">
        <f>2*COS($AD40)</f>
        <v/>
      </c>
      <c r="AG40">
        <f>3*SIN($AD40)</f>
        <v/>
      </c>
      <c r="AH40">
        <f>3*COS($AD40)</f>
        <v/>
      </c>
      <c r="AI40">
        <f>4*SIN($AD40)</f>
        <v/>
      </c>
      <c r="AJ40">
        <f>4*COS($AD40)</f>
        <v/>
      </c>
      <c r="AK40">
        <f>5*SIN($AD40)</f>
        <v/>
      </c>
      <c r="AL40">
        <f>5*COS($AD40)</f>
        <v/>
      </c>
    </row>
    <row r="41">
      <c r="AD41">
        <f>2*PI()*36/72</f>
        <v/>
      </c>
      <c r="AE41">
        <f>2*SIN($AD41)</f>
        <v/>
      </c>
      <c r="AF41">
        <f>2*COS($AD41)</f>
        <v/>
      </c>
      <c r="AG41">
        <f>3*SIN($AD41)</f>
        <v/>
      </c>
      <c r="AH41">
        <f>3*COS($AD41)</f>
        <v/>
      </c>
      <c r="AI41">
        <f>4*SIN($AD41)</f>
        <v/>
      </c>
      <c r="AJ41">
        <f>4*COS($AD41)</f>
        <v/>
      </c>
      <c r="AK41">
        <f>5*SIN($AD41)</f>
        <v/>
      </c>
      <c r="AL41">
        <f>5*COS($AD41)</f>
        <v/>
      </c>
    </row>
    <row r="42">
      <c r="AD42">
        <f>2*PI()*37/72</f>
        <v/>
      </c>
      <c r="AE42">
        <f>2*SIN($AD42)</f>
        <v/>
      </c>
      <c r="AF42">
        <f>2*COS($AD42)</f>
        <v/>
      </c>
      <c r="AG42">
        <f>3*SIN($AD42)</f>
        <v/>
      </c>
      <c r="AH42">
        <f>3*COS($AD42)</f>
        <v/>
      </c>
      <c r="AI42">
        <f>4*SIN($AD42)</f>
        <v/>
      </c>
      <c r="AJ42">
        <f>4*COS($AD42)</f>
        <v/>
      </c>
      <c r="AK42">
        <f>5*SIN($AD42)</f>
        <v/>
      </c>
      <c r="AL42">
        <f>5*COS($AD42)</f>
        <v/>
      </c>
    </row>
    <row r="43">
      <c r="AD43">
        <f>2*PI()*38/72</f>
        <v/>
      </c>
      <c r="AE43">
        <f>2*SIN($AD43)</f>
        <v/>
      </c>
      <c r="AF43">
        <f>2*COS($AD43)</f>
        <v/>
      </c>
      <c r="AG43">
        <f>3*SIN($AD43)</f>
        <v/>
      </c>
      <c r="AH43">
        <f>3*COS($AD43)</f>
        <v/>
      </c>
      <c r="AI43">
        <f>4*SIN($AD43)</f>
        <v/>
      </c>
      <c r="AJ43">
        <f>4*COS($AD43)</f>
        <v/>
      </c>
      <c r="AK43">
        <f>5*SIN($AD43)</f>
        <v/>
      </c>
      <c r="AL43">
        <f>5*COS($AD43)</f>
        <v/>
      </c>
    </row>
    <row r="44">
      <c r="AD44">
        <f>2*PI()*39/72</f>
        <v/>
      </c>
      <c r="AE44">
        <f>2*SIN($AD44)</f>
        <v/>
      </c>
      <c r="AF44">
        <f>2*COS($AD44)</f>
        <v/>
      </c>
      <c r="AG44">
        <f>3*SIN($AD44)</f>
        <v/>
      </c>
      <c r="AH44">
        <f>3*COS($AD44)</f>
        <v/>
      </c>
      <c r="AI44">
        <f>4*SIN($AD44)</f>
        <v/>
      </c>
      <c r="AJ44">
        <f>4*COS($AD44)</f>
        <v/>
      </c>
      <c r="AK44">
        <f>5*SIN($AD44)</f>
        <v/>
      </c>
      <c r="AL44">
        <f>5*COS($AD44)</f>
        <v/>
      </c>
    </row>
    <row r="45">
      <c r="AD45">
        <f>2*PI()*40/72</f>
        <v/>
      </c>
      <c r="AE45">
        <f>2*SIN($AD45)</f>
        <v/>
      </c>
      <c r="AF45">
        <f>2*COS($AD45)</f>
        <v/>
      </c>
      <c r="AG45">
        <f>3*SIN($AD45)</f>
        <v/>
      </c>
      <c r="AH45">
        <f>3*COS($AD45)</f>
        <v/>
      </c>
      <c r="AI45">
        <f>4*SIN($AD45)</f>
        <v/>
      </c>
      <c r="AJ45">
        <f>4*COS($AD45)</f>
        <v/>
      </c>
      <c r="AK45">
        <f>5*SIN($AD45)</f>
        <v/>
      </c>
      <c r="AL45">
        <f>5*COS($AD45)</f>
        <v/>
      </c>
    </row>
    <row r="46">
      <c r="AD46">
        <f>2*PI()*41/72</f>
        <v/>
      </c>
      <c r="AE46">
        <f>2*SIN($AD46)</f>
        <v/>
      </c>
      <c r="AF46">
        <f>2*COS($AD46)</f>
        <v/>
      </c>
      <c r="AG46">
        <f>3*SIN($AD46)</f>
        <v/>
      </c>
      <c r="AH46">
        <f>3*COS($AD46)</f>
        <v/>
      </c>
      <c r="AI46">
        <f>4*SIN($AD46)</f>
        <v/>
      </c>
      <c r="AJ46">
        <f>4*COS($AD46)</f>
        <v/>
      </c>
      <c r="AK46">
        <f>5*SIN($AD46)</f>
        <v/>
      </c>
      <c r="AL46">
        <f>5*COS($AD46)</f>
        <v/>
      </c>
    </row>
    <row r="47">
      <c r="AD47">
        <f>2*PI()*42/72</f>
        <v/>
      </c>
      <c r="AE47">
        <f>2*SIN($AD47)</f>
        <v/>
      </c>
      <c r="AF47">
        <f>2*COS($AD47)</f>
        <v/>
      </c>
      <c r="AG47">
        <f>3*SIN($AD47)</f>
        <v/>
      </c>
      <c r="AH47">
        <f>3*COS($AD47)</f>
        <v/>
      </c>
      <c r="AI47">
        <f>4*SIN($AD47)</f>
        <v/>
      </c>
      <c r="AJ47">
        <f>4*COS($AD47)</f>
        <v/>
      </c>
      <c r="AK47">
        <f>5*SIN($AD47)</f>
        <v/>
      </c>
      <c r="AL47">
        <f>5*COS($AD47)</f>
        <v/>
      </c>
    </row>
    <row r="48">
      <c r="AD48">
        <f>2*PI()*43/72</f>
        <v/>
      </c>
      <c r="AE48">
        <f>2*SIN($AD48)</f>
        <v/>
      </c>
      <c r="AF48">
        <f>2*COS($AD48)</f>
        <v/>
      </c>
      <c r="AG48">
        <f>3*SIN($AD48)</f>
        <v/>
      </c>
      <c r="AH48">
        <f>3*COS($AD48)</f>
        <v/>
      </c>
      <c r="AI48">
        <f>4*SIN($AD48)</f>
        <v/>
      </c>
      <c r="AJ48">
        <f>4*COS($AD48)</f>
        <v/>
      </c>
      <c r="AK48">
        <f>5*SIN($AD48)</f>
        <v/>
      </c>
      <c r="AL48">
        <f>5*COS($AD48)</f>
        <v/>
      </c>
    </row>
    <row r="49">
      <c r="AD49">
        <f>2*PI()*44/72</f>
        <v/>
      </c>
      <c r="AE49">
        <f>2*SIN($AD49)</f>
        <v/>
      </c>
      <c r="AF49">
        <f>2*COS($AD49)</f>
        <v/>
      </c>
      <c r="AG49">
        <f>3*SIN($AD49)</f>
        <v/>
      </c>
      <c r="AH49">
        <f>3*COS($AD49)</f>
        <v/>
      </c>
      <c r="AI49">
        <f>4*SIN($AD49)</f>
        <v/>
      </c>
      <c r="AJ49">
        <f>4*COS($AD49)</f>
        <v/>
      </c>
      <c r="AK49">
        <f>5*SIN($AD49)</f>
        <v/>
      </c>
      <c r="AL49">
        <f>5*COS($AD49)</f>
        <v/>
      </c>
    </row>
    <row r="50">
      <c r="AD50">
        <f>2*PI()*45/72</f>
        <v/>
      </c>
      <c r="AE50">
        <f>2*SIN($AD50)</f>
        <v/>
      </c>
      <c r="AF50">
        <f>2*COS($AD50)</f>
        <v/>
      </c>
      <c r="AG50">
        <f>3*SIN($AD50)</f>
        <v/>
      </c>
      <c r="AH50">
        <f>3*COS($AD50)</f>
        <v/>
      </c>
      <c r="AI50">
        <f>4*SIN($AD50)</f>
        <v/>
      </c>
      <c r="AJ50">
        <f>4*COS($AD50)</f>
        <v/>
      </c>
      <c r="AK50">
        <f>5*SIN($AD50)</f>
        <v/>
      </c>
      <c r="AL50">
        <f>5*COS($AD50)</f>
        <v/>
      </c>
    </row>
    <row r="51">
      <c r="AD51">
        <f>2*PI()*46/72</f>
        <v/>
      </c>
      <c r="AE51">
        <f>2*SIN($AD51)</f>
        <v/>
      </c>
      <c r="AF51">
        <f>2*COS($AD51)</f>
        <v/>
      </c>
      <c r="AG51">
        <f>3*SIN($AD51)</f>
        <v/>
      </c>
      <c r="AH51">
        <f>3*COS($AD51)</f>
        <v/>
      </c>
      <c r="AI51">
        <f>4*SIN($AD51)</f>
        <v/>
      </c>
      <c r="AJ51">
        <f>4*COS($AD51)</f>
        <v/>
      </c>
      <c r="AK51">
        <f>5*SIN($AD51)</f>
        <v/>
      </c>
      <c r="AL51">
        <f>5*COS($AD51)</f>
        <v/>
      </c>
    </row>
    <row r="52">
      <c r="AD52">
        <f>2*PI()*47/72</f>
        <v/>
      </c>
      <c r="AE52">
        <f>2*SIN($AD52)</f>
        <v/>
      </c>
      <c r="AF52">
        <f>2*COS($AD52)</f>
        <v/>
      </c>
      <c r="AG52">
        <f>3*SIN($AD52)</f>
        <v/>
      </c>
      <c r="AH52">
        <f>3*COS($AD52)</f>
        <v/>
      </c>
      <c r="AI52">
        <f>4*SIN($AD52)</f>
        <v/>
      </c>
      <c r="AJ52">
        <f>4*COS($AD52)</f>
        <v/>
      </c>
      <c r="AK52">
        <f>5*SIN($AD52)</f>
        <v/>
      </c>
      <c r="AL52">
        <f>5*COS($AD52)</f>
        <v/>
      </c>
    </row>
    <row r="53">
      <c r="AD53">
        <f>2*PI()*48/72</f>
        <v/>
      </c>
      <c r="AE53">
        <f>2*SIN($AD53)</f>
        <v/>
      </c>
      <c r="AF53">
        <f>2*COS($AD53)</f>
        <v/>
      </c>
      <c r="AG53">
        <f>3*SIN($AD53)</f>
        <v/>
      </c>
      <c r="AH53">
        <f>3*COS($AD53)</f>
        <v/>
      </c>
      <c r="AI53">
        <f>4*SIN($AD53)</f>
        <v/>
      </c>
      <c r="AJ53">
        <f>4*COS($AD53)</f>
        <v/>
      </c>
      <c r="AK53">
        <f>5*SIN($AD53)</f>
        <v/>
      </c>
      <c r="AL53">
        <f>5*COS($AD53)</f>
        <v/>
      </c>
    </row>
    <row r="54">
      <c r="AD54">
        <f>2*PI()*49/72</f>
        <v/>
      </c>
      <c r="AE54">
        <f>2*SIN($AD54)</f>
        <v/>
      </c>
      <c r="AF54">
        <f>2*COS($AD54)</f>
        <v/>
      </c>
      <c r="AG54">
        <f>3*SIN($AD54)</f>
        <v/>
      </c>
      <c r="AH54">
        <f>3*COS($AD54)</f>
        <v/>
      </c>
      <c r="AI54">
        <f>4*SIN($AD54)</f>
        <v/>
      </c>
      <c r="AJ54">
        <f>4*COS($AD54)</f>
        <v/>
      </c>
      <c r="AK54">
        <f>5*SIN($AD54)</f>
        <v/>
      </c>
      <c r="AL54">
        <f>5*COS($AD54)</f>
        <v/>
      </c>
    </row>
    <row r="55">
      <c r="AD55">
        <f>2*PI()*50/72</f>
        <v/>
      </c>
      <c r="AE55">
        <f>2*SIN($AD55)</f>
        <v/>
      </c>
      <c r="AF55">
        <f>2*COS($AD55)</f>
        <v/>
      </c>
      <c r="AG55">
        <f>3*SIN($AD55)</f>
        <v/>
      </c>
      <c r="AH55">
        <f>3*COS($AD55)</f>
        <v/>
      </c>
      <c r="AI55">
        <f>4*SIN($AD55)</f>
        <v/>
      </c>
      <c r="AJ55">
        <f>4*COS($AD55)</f>
        <v/>
      </c>
      <c r="AK55">
        <f>5*SIN($AD55)</f>
        <v/>
      </c>
      <c r="AL55">
        <f>5*COS($AD55)</f>
        <v/>
      </c>
    </row>
    <row r="56">
      <c r="AD56">
        <f>2*PI()*51/72</f>
        <v/>
      </c>
      <c r="AE56">
        <f>2*SIN($AD56)</f>
        <v/>
      </c>
      <c r="AF56">
        <f>2*COS($AD56)</f>
        <v/>
      </c>
      <c r="AG56">
        <f>3*SIN($AD56)</f>
        <v/>
      </c>
      <c r="AH56">
        <f>3*COS($AD56)</f>
        <v/>
      </c>
      <c r="AI56">
        <f>4*SIN($AD56)</f>
        <v/>
      </c>
      <c r="AJ56">
        <f>4*COS($AD56)</f>
        <v/>
      </c>
      <c r="AK56">
        <f>5*SIN($AD56)</f>
        <v/>
      </c>
      <c r="AL56">
        <f>5*COS($AD56)</f>
        <v/>
      </c>
    </row>
    <row r="57">
      <c r="AD57">
        <f>2*PI()*52/72</f>
        <v/>
      </c>
      <c r="AE57">
        <f>2*SIN($AD57)</f>
        <v/>
      </c>
      <c r="AF57">
        <f>2*COS($AD57)</f>
        <v/>
      </c>
      <c r="AG57">
        <f>3*SIN($AD57)</f>
        <v/>
      </c>
      <c r="AH57">
        <f>3*COS($AD57)</f>
        <v/>
      </c>
      <c r="AI57">
        <f>4*SIN($AD57)</f>
        <v/>
      </c>
      <c r="AJ57">
        <f>4*COS($AD57)</f>
        <v/>
      </c>
      <c r="AK57">
        <f>5*SIN($AD57)</f>
        <v/>
      </c>
      <c r="AL57">
        <f>5*COS($AD57)</f>
        <v/>
      </c>
    </row>
    <row r="58">
      <c r="AD58">
        <f>2*PI()*53/72</f>
        <v/>
      </c>
      <c r="AE58">
        <f>2*SIN($AD58)</f>
        <v/>
      </c>
      <c r="AF58">
        <f>2*COS($AD58)</f>
        <v/>
      </c>
      <c r="AG58">
        <f>3*SIN($AD58)</f>
        <v/>
      </c>
      <c r="AH58">
        <f>3*COS($AD58)</f>
        <v/>
      </c>
      <c r="AI58">
        <f>4*SIN($AD58)</f>
        <v/>
      </c>
      <c r="AJ58">
        <f>4*COS($AD58)</f>
        <v/>
      </c>
      <c r="AK58">
        <f>5*SIN($AD58)</f>
        <v/>
      </c>
      <c r="AL58">
        <f>5*COS($AD58)</f>
        <v/>
      </c>
    </row>
    <row r="59">
      <c r="AD59">
        <f>2*PI()*54/72</f>
        <v/>
      </c>
      <c r="AE59">
        <f>2*SIN($AD59)</f>
        <v/>
      </c>
      <c r="AF59">
        <f>2*COS($AD59)</f>
        <v/>
      </c>
      <c r="AG59">
        <f>3*SIN($AD59)</f>
        <v/>
      </c>
      <c r="AH59">
        <f>3*COS($AD59)</f>
        <v/>
      </c>
      <c r="AI59">
        <f>4*SIN($AD59)</f>
        <v/>
      </c>
      <c r="AJ59">
        <f>4*COS($AD59)</f>
        <v/>
      </c>
      <c r="AK59">
        <f>5*SIN($AD59)</f>
        <v/>
      </c>
      <c r="AL59">
        <f>5*COS($AD59)</f>
        <v/>
      </c>
    </row>
    <row r="60">
      <c r="AD60">
        <f>2*PI()*55/72</f>
        <v/>
      </c>
      <c r="AE60">
        <f>2*SIN($AD60)</f>
        <v/>
      </c>
      <c r="AF60">
        <f>2*COS($AD60)</f>
        <v/>
      </c>
      <c r="AG60">
        <f>3*SIN($AD60)</f>
        <v/>
      </c>
      <c r="AH60">
        <f>3*COS($AD60)</f>
        <v/>
      </c>
      <c r="AI60">
        <f>4*SIN($AD60)</f>
        <v/>
      </c>
      <c r="AJ60">
        <f>4*COS($AD60)</f>
        <v/>
      </c>
      <c r="AK60">
        <f>5*SIN($AD60)</f>
        <v/>
      </c>
      <c r="AL60">
        <f>5*COS($AD60)</f>
        <v/>
      </c>
    </row>
    <row r="61">
      <c r="AD61">
        <f>2*PI()*56/72</f>
        <v/>
      </c>
      <c r="AE61">
        <f>2*SIN($AD61)</f>
        <v/>
      </c>
      <c r="AF61">
        <f>2*COS($AD61)</f>
        <v/>
      </c>
      <c r="AG61">
        <f>3*SIN($AD61)</f>
        <v/>
      </c>
      <c r="AH61">
        <f>3*COS($AD61)</f>
        <v/>
      </c>
      <c r="AI61">
        <f>4*SIN($AD61)</f>
        <v/>
      </c>
      <c r="AJ61">
        <f>4*COS($AD61)</f>
        <v/>
      </c>
      <c r="AK61">
        <f>5*SIN($AD61)</f>
        <v/>
      </c>
      <c r="AL61">
        <f>5*COS($AD61)</f>
        <v/>
      </c>
    </row>
    <row r="62">
      <c r="AD62">
        <f>2*PI()*57/72</f>
        <v/>
      </c>
      <c r="AE62">
        <f>2*SIN($AD62)</f>
        <v/>
      </c>
      <c r="AF62">
        <f>2*COS($AD62)</f>
        <v/>
      </c>
      <c r="AG62">
        <f>3*SIN($AD62)</f>
        <v/>
      </c>
      <c r="AH62">
        <f>3*COS($AD62)</f>
        <v/>
      </c>
      <c r="AI62">
        <f>4*SIN($AD62)</f>
        <v/>
      </c>
      <c r="AJ62">
        <f>4*COS($AD62)</f>
        <v/>
      </c>
      <c r="AK62">
        <f>5*SIN($AD62)</f>
        <v/>
      </c>
      <c r="AL62">
        <f>5*COS($AD62)</f>
        <v/>
      </c>
    </row>
    <row r="63">
      <c r="AD63">
        <f>2*PI()*58/72</f>
        <v/>
      </c>
      <c r="AE63">
        <f>2*SIN($AD63)</f>
        <v/>
      </c>
      <c r="AF63">
        <f>2*COS($AD63)</f>
        <v/>
      </c>
      <c r="AG63">
        <f>3*SIN($AD63)</f>
        <v/>
      </c>
      <c r="AH63">
        <f>3*COS($AD63)</f>
        <v/>
      </c>
      <c r="AI63">
        <f>4*SIN($AD63)</f>
        <v/>
      </c>
      <c r="AJ63">
        <f>4*COS($AD63)</f>
        <v/>
      </c>
      <c r="AK63">
        <f>5*SIN($AD63)</f>
        <v/>
      </c>
      <c r="AL63">
        <f>5*COS($AD63)</f>
        <v/>
      </c>
    </row>
    <row r="64">
      <c r="AD64">
        <f>2*PI()*59/72</f>
        <v/>
      </c>
      <c r="AE64">
        <f>2*SIN($AD64)</f>
        <v/>
      </c>
      <c r="AF64">
        <f>2*COS($AD64)</f>
        <v/>
      </c>
      <c r="AG64">
        <f>3*SIN($AD64)</f>
        <v/>
      </c>
      <c r="AH64">
        <f>3*COS($AD64)</f>
        <v/>
      </c>
      <c r="AI64">
        <f>4*SIN($AD64)</f>
        <v/>
      </c>
      <c r="AJ64">
        <f>4*COS($AD64)</f>
        <v/>
      </c>
      <c r="AK64">
        <f>5*SIN($AD64)</f>
        <v/>
      </c>
      <c r="AL64">
        <f>5*COS($AD64)</f>
        <v/>
      </c>
    </row>
    <row r="65">
      <c r="AD65">
        <f>2*PI()*60/72</f>
        <v/>
      </c>
      <c r="AE65">
        <f>2*SIN($AD65)</f>
        <v/>
      </c>
      <c r="AF65">
        <f>2*COS($AD65)</f>
        <v/>
      </c>
      <c r="AG65">
        <f>3*SIN($AD65)</f>
        <v/>
      </c>
      <c r="AH65">
        <f>3*COS($AD65)</f>
        <v/>
      </c>
      <c r="AI65">
        <f>4*SIN($AD65)</f>
        <v/>
      </c>
      <c r="AJ65">
        <f>4*COS($AD65)</f>
        <v/>
      </c>
      <c r="AK65">
        <f>5*SIN($AD65)</f>
        <v/>
      </c>
      <c r="AL65">
        <f>5*COS($AD65)</f>
        <v/>
      </c>
    </row>
    <row r="66">
      <c r="AD66">
        <f>2*PI()*61/72</f>
        <v/>
      </c>
      <c r="AE66">
        <f>2*SIN($AD66)</f>
        <v/>
      </c>
      <c r="AF66">
        <f>2*COS($AD66)</f>
        <v/>
      </c>
      <c r="AG66">
        <f>3*SIN($AD66)</f>
        <v/>
      </c>
      <c r="AH66">
        <f>3*COS($AD66)</f>
        <v/>
      </c>
      <c r="AI66">
        <f>4*SIN($AD66)</f>
        <v/>
      </c>
      <c r="AJ66">
        <f>4*COS($AD66)</f>
        <v/>
      </c>
      <c r="AK66">
        <f>5*SIN($AD66)</f>
        <v/>
      </c>
      <c r="AL66">
        <f>5*COS($AD66)</f>
        <v/>
      </c>
    </row>
    <row r="67">
      <c r="AD67">
        <f>2*PI()*62/72</f>
        <v/>
      </c>
      <c r="AE67">
        <f>2*SIN($AD67)</f>
        <v/>
      </c>
      <c r="AF67">
        <f>2*COS($AD67)</f>
        <v/>
      </c>
      <c r="AG67">
        <f>3*SIN($AD67)</f>
        <v/>
      </c>
      <c r="AH67">
        <f>3*COS($AD67)</f>
        <v/>
      </c>
      <c r="AI67">
        <f>4*SIN($AD67)</f>
        <v/>
      </c>
      <c r="AJ67">
        <f>4*COS($AD67)</f>
        <v/>
      </c>
      <c r="AK67">
        <f>5*SIN($AD67)</f>
        <v/>
      </c>
      <c r="AL67">
        <f>5*COS($AD67)</f>
        <v/>
      </c>
    </row>
    <row r="68">
      <c r="AD68">
        <f>2*PI()*63/72</f>
        <v/>
      </c>
      <c r="AE68">
        <f>2*SIN($AD68)</f>
        <v/>
      </c>
      <c r="AF68">
        <f>2*COS($AD68)</f>
        <v/>
      </c>
      <c r="AG68">
        <f>3*SIN($AD68)</f>
        <v/>
      </c>
      <c r="AH68">
        <f>3*COS($AD68)</f>
        <v/>
      </c>
      <c r="AI68">
        <f>4*SIN($AD68)</f>
        <v/>
      </c>
      <c r="AJ68">
        <f>4*COS($AD68)</f>
        <v/>
      </c>
      <c r="AK68">
        <f>5*SIN($AD68)</f>
        <v/>
      </c>
      <c r="AL68">
        <f>5*COS($AD68)</f>
        <v/>
      </c>
    </row>
    <row r="69">
      <c r="AD69">
        <f>2*PI()*64/72</f>
        <v/>
      </c>
      <c r="AE69">
        <f>2*SIN($AD69)</f>
        <v/>
      </c>
      <c r="AF69">
        <f>2*COS($AD69)</f>
        <v/>
      </c>
      <c r="AG69">
        <f>3*SIN($AD69)</f>
        <v/>
      </c>
      <c r="AH69">
        <f>3*COS($AD69)</f>
        <v/>
      </c>
      <c r="AI69">
        <f>4*SIN($AD69)</f>
        <v/>
      </c>
      <c r="AJ69">
        <f>4*COS($AD69)</f>
        <v/>
      </c>
      <c r="AK69">
        <f>5*SIN($AD69)</f>
        <v/>
      </c>
      <c r="AL69">
        <f>5*COS($AD69)</f>
        <v/>
      </c>
    </row>
    <row r="70">
      <c r="AD70">
        <f>2*PI()*65/72</f>
        <v/>
      </c>
      <c r="AE70">
        <f>2*SIN($AD70)</f>
        <v/>
      </c>
      <c r="AF70">
        <f>2*COS($AD70)</f>
        <v/>
      </c>
      <c r="AG70">
        <f>3*SIN($AD70)</f>
        <v/>
      </c>
      <c r="AH70">
        <f>3*COS($AD70)</f>
        <v/>
      </c>
      <c r="AI70">
        <f>4*SIN($AD70)</f>
        <v/>
      </c>
      <c r="AJ70">
        <f>4*COS($AD70)</f>
        <v/>
      </c>
      <c r="AK70">
        <f>5*SIN($AD70)</f>
        <v/>
      </c>
      <c r="AL70">
        <f>5*COS($AD70)</f>
        <v/>
      </c>
    </row>
    <row r="71">
      <c r="AD71">
        <f>2*PI()*66/72</f>
        <v/>
      </c>
      <c r="AE71">
        <f>2*SIN($AD71)</f>
        <v/>
      </c>
      <c r="AF71">
        <f>2*COS($AD71)</f>
        <v/>
      </c>
      <c r="AG71">
        <f>3*SIN($AD71)</f>
        <v/>
      </c>
      <c r="AH71">
        <f>3*COS($AD71)</f>
        <v/>
      </c>
      <c r="AI71">
        <f>4*SIN($AD71)</f>
        <v/>
      </c>
      <c r="AJ71">
        <f>4*COS($AD71)</f>
        <v/>
      </c>
      <c r="AK71">
        <f>5*SIN($AD71)</f>
        <v/>
      </c>
      <c r="AL71">
        <f>5*COS($AD71)</f>
        <v/>
      </c>
    </row>
    <row r="72">
      <c r="AD72">
        <f>2*PI()*67/72</f>
        <v/>
      </c>
      <c r="AE72">
        <f>2*SIN($AD72)</f>
        <v/>
      </c>
      <c r="AF72">
        <f>2*COS($AD72)</f>
        <v/>
      </c>
      <c r="AG72">
        <f>3*SIN($AD72)</f>
        <v/>
      </c>
      <c r="AH72">
        <f>3*COS($AD72)</f>
        <v/>
      </c>
      <c r="AI72">
        <f>4*SIN($AD72)</f>
        <v/>
      </c>
      <c r="AJ72">
        <f>4*COS($AD72)</f>
        <v/>
      </c>
      <c r="AK72">
        <f>5*SIN($AD72)</f>
        <v/>
      </c>
      <c r="AL72">
        <f>5*COS($AD72)</f>
        <v/>
      </c>
    </row>
    <row r="73">
      <c r="AD73">
        <f>2*PI()*68/72</f>
        <v/>
      </c>
      <c r="AE73">
        <f>2*SIN($AD73)</f>
        <v/>
      </c>
      <c r="AF73">
        <f>2*COS($AD73)</f>
        <v/>
      </c>
      <c r="AG73">
        <f>3*SIN($AD73)</f>
        <v/>
      </c>
      <c r="AH73">
        <f>3*COS($AD73)</f>
        <v/>
      </c>
      <c r="AI73">
        <f>4*SIN($AD73)</f>
        <v/>
      </c>
      <c r="AJ73">
        <f>4*COS($AD73)</f>
        <v/>
      </c>
      <c r="AK73">
        <f>5*SIN($AD73)</f>
        <v/>
      </c>
      <c r="AL73">
        <f>5*COS($AD73)</f>
        <v/>
      </c>
    </row>
    <row r="74">
      <c r="AD74">
        <f>2*PI()*69/72</f>
        <v/>
      </c>
      <c r="AE74">
        <f>2*SIN($AD74)</f>
        <v/>
      </c>
      <c r="AF74">
        <f>2*COS($AD74)</f>
        <v/>
      </c>
      <c r="AG74">
        <f>3*SIN($AD74)</f>
        <v/>
      </c>
      <c r="AH74">
        <f>3*COS($AD74)</f>
        <v/>
      </c>
      <c r="AI74">
        <f>4*SIN($AD74)</f>
        <v/>
      </c>
      <c r="AJ74">
        <f>4*COS($AD74)</f>
        <v/>
      </c>
      <c r="AK74">
        <f>5*SIN($AD74)</f>
        <v/>
      </c>
      <c r="AL74">
        <f>5*COS($AD74)</f>
        <v/>
      </c>
    </row>
    <row r="75">
      <c r="AD75">
        <f>2*PI()*70/72</f>
        <v/>
      </c>
      <c r="AE75">
        <f>2*SIN($AD75)</f>
        <v/>
      </c>
      <c r="AF75">
        <f>2*COS($AD75)</f>
        <v/>
      </c>
      <c r="AG75">
        <f>3*SIN($AD75)</f>
        <v/>
      </c>
      <c r="AH75">
        <f>3*COS($AD75)</f>
        <v/>
      </c>
      <c r="AI75">
        <f>4*SIN($AD75)</f>
        <v/>
      </c>
      <c r="AJ75">
        <f>4*COS($AD75)</f>
        <v/>
      </c>
      <c r="AK75">
        <f>5*SIN($AD75)</f>
        <v/>
      </c>
      <c r="AL75">
        <f>5*COS($AD75)</f>
        <v/>
      </c>
    </row>
    <row r="76">
      <c r="AD76">
        <f>2*PI()*71/72</f>
        <v/>
      </c>
      <c r="AE76">
        <f>2*SIN($AD76)</f>
        <v/>
      </c>
      <c r="AF76">
        <f>2*COS($AD76)</f>
        <v/>
      </c>
      <c r="AG76">
        <f>3*SIN($AD76)</f>
        <v/>
      </c>
      <c r="AH76">
        <f>3*COS($AD76)</f>
        <v/>
      </c>
      <c r="AI76">
        <f>4*SIN($AD76)</f>
        <v/>
      </c>
      <c r="AJ76">
        <f>4*COS($AD76)</f>
        <v/>
      </c>
      <c r="AK76">
        <f>5*SIN($AD76)</f>
        <v/>
      </c>
      <c r="AL76">
        <f>5*COS($AD76)</f>
        <v/>
      </c>
    </row>
    <row r="77">
      <c r="AD77">
        <f>2*PI()*72/72</f>
        <v/>
      </c>
      <c r="AE77">
        <f>2*SIN($AD77)</f>
        <v/>
      </c>
      <c r="AF77">
        <f>2*COS($AD77)</f>
        <v/>
      </c>
      <c r="AG77">
        <f>3*SIN($AD77)</f>
        <v/>
      </c>
      <c r="AH77">
        <f>3*COS($AD77)</f>
        <v/>
      </c>
      <c r="AI77">
        <f>4*SIN($AD77)</f>
        <v/>
      </c>
      <c r="AJ77">
        <f>4*COS($AD77)</f>
        <v/>
      </c>
      <c r="AK77">
        <f>5*SIN($AD77)</f>
        <v/>
      </c>
      <c r="AL77">
        <f>5*COS($AD77)</f>
        <v/>
      </c>
    </row>
  </sheetData>
  <mergeCells count="3">
    <mergeCell ref="A26:L26"/>
    <mergeCell ref="A2:L2"/>
    <mergeCell ref="A1:L1"/>
  </mergeCells>
  <conditionalFormatting sqref="L5:L24">
    <cfRule type="expression" priority="1" dxfId="4">
      <formula>LEFT(L5,9)="AGIRE ORA"</formula>
    </cfRule>
    <cfRule type="expression" priority="2" dxfId="5">
      <formula>OR(LEFT(L5,11)="Agire entro",LEFT(L5,12)="Entro l'anno")</formula>
    </cfRule>
    <cfRule type="expression" priority="3" dxfId="6">
      <formula>LEFT(L5,7)="Margine"</formula>
    </cfRule>
  </conditionalFormatting>
  <conditionalFormatting sqref="AA5:AA24">
    <cfRule type="expression" priority="4" dxfId="7">
      <formula>AA5="Attivazione"</formula>
    </cfRule>
    <cfRule type="expression" priority="5" dxfId="8">
      <formula>AA5="Attenzione"</formula>
    </cfRule>
    <cfRule type="expression" priority="6" dxfId="9">
      <formula>AA5="Monitoraggio"</formula>
    </cfRule>
  </conditionalFormatting>
  <conditionalFormatting sqref="D5:S24">
    <cfRule type="expression" priority="7" dxfId="11">
      <formula>ISNA(D5)</formula>
    </cfRule>
  </conditionalFormatting>
  <pageMargins left="0.4" right="0.4" top="1" bottom="1" header="0.5" footer="0.5"/>
  <pageSetup orientation="portrait" paperSize="9" fitToHeight="0" fitToWidth="1"/>
  <headerFooter>
    <oddHeader>&amp;L&amp;A&amp;CUso interno&amp;RHorizon Scan NFR</oddHeader>
    <oddFooter>&amp;L&amp;F&amp;RPagina &amp;P di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1F3864"/>
    <outlinePr summaryBelow="1" summaryRight="1"/>
    <pageSetUpPr fitToPage="1"/>
  </sheetPr>
  <dimension ref="A1:AQ37"/>
  <sheetViews>
    <sheetView showGridLines="0" workbookViewId="0">
      <selection activeCell="A1" sqref="A1"/>
    </sheetView>
  </sheetViews>
  <sheetFormatPr baseColWidth="8" defaultRowHeight="15"/>
  <cols>
    <col width="13" customWidth="1" min="1" max="1"/>
    <col width="5" customWidth="1" min="2" max="2"/>
    <col width="20" customWidth="1" min="3" max="3"/>
    <col width="20" customWidth="1" min="4" max="4"/>
    <col width="20" customWidth="1" min="5" max="5"/>
    <col width="20" customWidth="1" min="6" max="6"/>
    <col width="20" customWidth="1" min="7" max="7"/>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s>
  <sheetData>
    <row r="1" ht="28" customHeight="1">
      <c r="A1" s="1">
        <f>"Horizon Scan NFR — Matrice di gravita'   ·   "&amp;etichettaCiclo</f>
        <v/>
      </c>
      <c r="B1" s="2" t="n"/>
      <c r="C1" s="2" t="n"/>
      <c r="D1" s="2" t="n"/>
      <c r="E1" s="2" t="n"/>
      <c r="F1" s="2" t="n"/>
      <c r="G1" s="2" t="n"/>
    </row>
    <row r="2" ht="45.5" customHeight="1">
      <c r="A2" s="13" t="inlineStr">
        <is>
          <r>
            <rPr>
              <rFont val="Calibri"/>
              <b val="1"/>
              <color rgb="001F4E79"/>
              <sz val="10"/>
            </rPr>
            <t>CICLO TRIMESTRALE — calcolata dal foglio sui valori validati di Probabilita e Impatto.</t>
          </r>
          <r>
            <rPr>
              <rFont val="Calibri"/>
              <color rgb="00262626"/>
              <sz val="10"/>
            </rPr>
            <t xml:space="preserve">
Come si legge: ogni rischio nella cella della sua Probabilita (righe) e Impatto (colonne); colore = P x I (verde fino a 6, ambra 8-12, rosso da 15). Dice la gravita', non l'urgenza (quella e' nel radar). Sotto, i rischi dal piu' grave.</t>
          </r>
        </is>
      </c>
    </row>
    <row r="4">
      <c r="A4" s="62" t="inlineStr">
        <is>
          <t>Probabilita</t>
        </is>
      </c>
      <c r="S4" t="n">
        <v>51</v>
      </c>
      <c r="T4" t="n">
        <v>52</v>
      </c>
      <c r="U4" t="n">
        <v>53</v>
      </c>
      <c r="V4" t="n">
        <v>54</v>
      </c>
      <c r="W4" t="n">
        <v>55</v>
      </c>
      <c r="X4" t="n">
        <v>41</v>
      </c>
      <c r="Y4" t="n">
        <v>42</v>
      </c>
      <c r="Z4" t="n">
        <v>43</v>
      </c>
      <c r="AA4" t="n">
        <v>44</v>
      </c>
      <c r="AB4" t="n">
        <v>45</v>
      </c>
      <c r="AC4" t="n">
        <v>31</v>
      </c>
      <c r="AD4" t="n">
        <v>32</v>
      </c>
      <c r="AE4" t="n">
        <v>33</v>
      </c>
      <c r="AF4" t="n">
        <v>34</v>
      </c>
      <c r="AG4" t="n">
        <v>35</v>
      </c>
      <c r="AH4" t="n">
        <v>21</v>
      </c>
      <c r="AI4" t="n">
        <v>22</v>
      </c>
      <c r="AJ4" t="n">
        <v>23</v>
      </c>
      <c r="AK4" t="n">
        <v>24</v>
      </c>
      <c r="AL4" t="n">
        <v>25</v>
      </c>
      <c r="AM4" t="n">
        <v>11</v>
      </c>
      <c r="AN4" t="n">
        <v>12</v>
      </c>
      <c r="AO4" t="n">
        <v>13</v>
      </c>
      <c r="AP4" t="n">
        <v>14</v>
      </c>
      <c r="AQ4" t="n">
        <v>15</v>
      </c>
    </row>
    <row r="5" ht="50" customHeight="1">
      <c r="A5" s="63" t="inlineStr">
        <is>
          <t>Quasi certa</t>
        </is>
      </c>
      <c r="B5" s="64" t="n">
        <v>5</v>
      </c>
      <c r="C5" s="65">
        <f>_xlfn.TEXTJOIN("   ",TRUE,S5:S24)</f>
        <v/>
      </c>
      <c r="D5" s="66">
        <f>_xlfn.TEXTJOIN("   ",TRUE,T5:T24)</f>
        <v/>
      </c>
      <c r="E5" s="67">
        <f>_xlfn.TEXTJOIN("   ",TRUE,U5:U24)</f>
        <v/>
      </c>
      <c r="F5" s="67">
        <f>_xlfn.TEXTJOIN("   ",TRUE,V5:V24)</f>
        <v/>
      </c>
      <c r="G5" s="67">
        <f>_xlfn.TEXTJOIN("   ",TRUE,W5:W24)</f>
        <v/>
      </c>
      <c r="L5">
        <f>INDEX(posID,1)&amp;""</f>
        <v/>
      </c>
      <c r="M5">
        <f>IF(AND(ISNUMBER(INDEX(posProbabilita,1)),ISNUMBER(INDEX(posImpatto,1))),INDEX(posProbabilita,1)*10+INDEX(posImpatto,1),"")</f>
        <v/>
      </c>
      <c r="N5">
        <f>IF(M5="","",INDEX(posProbabilita,1)*INDEX(posImpatto,1))</f>
        <v/>
      </c>
      <c r="O5">
        <f>IF(M5="","",L5&amp;IF(INDEX(ANA_Attenzione_Supervisore,1)="Sì"," ◆",""))</f>
        <v/>
      </c>
      <c r="P5">
        <f>IF(N5="","",N5-1/1000)</f>
        <v/>
      </c>
      <c r="Q5">
        <f>IFERROR(MATCH(_xlfn.AGGREGATE(14,6,$P$5:$P$24,1),$P$5:$P$24,0),"")</f>
        <v/>
      </c>
      <c r="S5">
        <f>IF($M5=S$4,$O5,"")</f>
        <v/>
      </c>
      <c r="T5">
        <f>IF($M5=T$4,$O5,"")</f>
        <v/>
      </c>
      <c r="U5">
        <f>IF($M5=U$4,$O5,"")</f>
        <v/>
      </c>
      <c r="V5">
        <f>IF($M5=V$4,$O5,"")</f>
        <v/>
      </c>
      <c r="W5">
        <f>IF($M5=W$4,$O5,"")</f>
        <v/>
      </c>
      <c r="X5">
        <f>IF($M5=X$4,$O5,"")</f>
        <v/>
      </c>
      <c r="Y5">
        <f>IF($M5=Y$4,$O5,"")</f>
        <v/>
      </c>
      <c r="Z5">
        <f>IF($M5=Z$4,$O5,"")</f>
        <v/>
      </c>
      <c r="AA5">
        <f>IF($M5=AA$4,$O5,"")</f>
        <v/>
      </c>
      <c r="AB5">
        <f>IF($M5=AB$4,$O5,"")</f>
        <v/>
      </c>
      <c r="AC5">
        <f>IF($M5=AC$4,$O5,"")</f>
        <v/>
      </c>
      <c r="AD5">
        <f>IF($M5=AD$4,$O5,"")</f>
        <v/>
      </c>
      <c r="AE5">
        <f>IF($M5=AE$4,$O5,"")</f>
        <v/>
      </c>
      <c r="AF5">
        <f>IF($M5=AF$4,$O5,"")</f>
        <v/>
      </c>
      <c r="AG5">
        <f>IF($M5=AG$4,$O5,"")</f>
        <v/>
      </c>
      <c r="AH5">
        <f>IF($M5=AH$4,$O5,"")</f>
        <v/>
      </c>
      <c r="AI5">
        <f>IF($M5=AI$4,$O5,"")</f>
        <v/>
      </c>
      <c r="AJ5">
        <f>IF($M5=AJ$4,$O5,"")</f>
        <v/>
      </c>
      <c r="AK5">
        <f>IF($M5=AK$4,$O5,"")</f>
        <v/>
      </c>
      <c r="AL5">
        <f>IF($M5=AL$4,$O5,"")</f>
        <v/>
      </c>
      <c r="AM5">
        <f>IF($M5=AM$4,$O5,"")</f>
        <v/>
      </c>
      <c r="AN5">
        <f>IF($M5=AN$4,$O5,"")</f>
        <v/>
      </c>
      <c r="AO5">
        <f>IF($M5=AO$4,$O5,"")</f>
        <v/>
      </c>
      <c r="AP5">
        <f>IF($M5=AP$4,$O5,"")</f>
        <v/>
      </c>
      <c r="AQ5">
        <f>IF($M5=AQ$4,$O5,"")</f>
        <v/>
      </c>
    </row>
    <row r="6" ht="50" customHeight="1">
      <c r="A6" s="63" t="inlineStr">
        <is>
          <t>Probabile</t>
        </is>
      </c>
      <c r="B6" s="64" t="n">
        <v>4</v>
      </c>
      <c r="C6" s="65">
        <f>_xlfn.TEXTJOIN("   ",TRUE,X5:X24)</f>
        <v/>
      </c>
      <c r="D6" s="66">
        <f>_xlfn.TEXTJOIN("   ",TRUE,Y5:Y24)</f>
        <v/>
      </c>
      <c r="E6" s="66">
        <f>_xlfn.TEXTJOIN("   ",TRUE,Z5:Z24)</f>
        <v/>
      </c>
      <c r="F6" s="67">
        <f>_xlfn.TEXTJOIN("   ",TRUE,AA5:AA24)</f>
        <v/>
      </c>
      <c r="G6" s="67">
        <f>_xlfn.TEXTJOIN("   ",TRUE,AB5:AB24)</f>
        <v/>
      </c>
      <c r="L6">
        <f>INDEX(posID,2)&amp;""</f>
        <v/>
      </c>
      <c r="M6">
        <f>IF(AND(ISNUMBER(INDEX(posProbabilita,2)),ISNUMBER(INDEX(posImpatto,2))),INDEX(posProbabilita,2)*10+INDEX(posImpatto,2),"")</f>
        <v/>
      </c>
      <c r="N6">
        <f>IF(M6="","",INDEX(posProbabilita,2)*INDEX(posImpatto,2))</f>
        <v/>
      </c>
      <c r="O6">
        <f>IF(M6="","",L6&amp;IF(INDEX(ANA_Attenzione_Supervisore,2)="Sì"," ◆",""))</f>
        <v/>
      </c>
      <c r="P6">
        <f>IF(N6="","",N6-2/1000)</f>
        <v/>
      </c>
      <c r="Q6">
        <f>IFERROR(MATCH(_xlfn.AGGREGATE(14,6,$P$5:$P$24,2),$P$5:$P$24,0),"")</f>
        <v/>
      </c>
      <c r="S6">
        <f>IF($M6=S$4,$O6,"")</f>
        <v/>
      </c>
      <c r="T6">
        <f>IF($M6=T$4,$O6,"")</f>
        <v/>
      </c>
      <c r="U6">
        <f>IF($M6=U$4,$O6,"")</f>
        <v/>
      </c>
      <c r="V6">
        <f>IF($M6=V$4,$O6,"")</f>
        <v/>
      </c>
      <c r="W6">
        <f>IF($M6=W$4,$O6,"")</f>
        <v/>
      </c>
      <c r="X6">
        <f>IF($M6=X$4,$O6,"")</f>
        <v/>
      </c>
      <c r="Y6">
        <f>IF($M6=Y$4,$O6,"")</f>
        <v/>
      </c>
      <c r="Z6">
        <f>IF($M6=Z$4,$O6,"")</f>
        <v/>
      </c>
      <c r="AA6">
        <f>IF($M6=AA$4,$O6,"")</f>
        <v/>
      </c>
      <c r="AB6">
        <f>IF($M6=AB$4,$O6,"")</f>
        <v/>
      </c>
      <c r="AC6">
        <f>IF($M6=AC$4,$O6,"")</f>
        <v/>
      </c>
      <c r="AD6">
        <f>IF($M6=AD$4,$O6,"")</f>
        <v/>
      </c>
      <c r="AE6">
        <f>IF($M6=AE$4,$O6,"")</f>
        <v/>
      </c>
      <c r="AF6">
        <f>IF($M6=AF$4,$O6,"")</f>
        <v/>
      </c>
      <c r="AG6">
        <f>IF($M6=AG$4,$O6,"")</f>
        <v/>
      </c>
      <c r="AH6">
        <f>IF($M6=AH$4,$O6,"")</f>
        <v/>
      </c>
      <c r="AI6">
        <f>IF($M6=AI$4,$O6,"")</f>
        <v/>
      </c>
      <c r="AJ6">
        <f>IF($M6=AJ$4,$O6,"")</f>
        <v/>
      </c>
      <c r="AK6">
        <f>IF($M6=AK$4,$O6,"")</f>
        <v/>
      </c>
      <c r="AL6">
        <f>IF($M6=AL$4,$O6,"")</f>
        <v/>
      </c>
      <c r="AM6">
        <f>IF($M6=AM$4,$O6,"")</f>
        <v/>
      </c>
      <c r="AN6">
        <f>IF($M6=AN$4,$O6,"")</f>
        <v/>
      </c>
      <c r="AO6">
        <f>IF($M6=AO$4,$O6,"")</f>
        <v/>
      </c>
      <c r="AP6">
        <f>IF($M6=AP$4,$O6,"")</f>
        <v/>
      </c>
      <c r="AQ6">
        <f>IF($M6=AQ$4,$O6,"")</f>
        <v/>
      </c>
    </row>
    <row r="7" ht="50" customHeight="1">
      <c r="A7" s="63" t="inlineStr">
        <is>
          <t>Possibile</t>
        </is>
      </c>
      <c r="B7" s="64" t="n">
        <v>3</v>
      </c>
      <c r="C7" s="65">
        <f>_xlfn.TEXTJOIN("   ",TRUE,AC5:AC24)</f>
        <v/>
      </c>
      <c r="D7" s="65">
        <f>_xlfn.TEXTJOIN("   ",TRUE,AD5:AD24)</f>
        <v/>
      </c>
      <c r="E7" s="66">
        <f>_xlfn.TEXTJOIN("   ",TRUE,AE5:AE24)</f>
        <v/>
      </c>
      <c r="F7" s="66">
        <f>_xlfn.TEXTJOIN("   ",TRUE,AF5:AF24)</f>
        <v/>
      </c>
      <c r="G7" s="67">
        <f>_xlfn.TEXTJOIN("   ",TRUE,AG5:AG24)</f>
        <v/>
      </c>
      <c r="L7">
        <f>INDEX(posID,3)&amp;""</f>
        <v/>
      </c>
      <c r="M7">
        <f>IF(AND(ISNUMBER(INDEX(posProbabilita,3)),ISNUMBER(INDEX(posImpatto,3))),INDEX(posProbabilita,3)*10+INDEX(posImpatto,3),"")</f>
        <v/>
      </c>
      <c r="N7">
        <f>IF(M7="","",INDEX(posProbabilita,3)*INDEX(posImpatto,3))</f>
        <v/>
      </c>
      <c r="O7">
        <f>IF(M7="","",L7&amp;IF(INDEX(ANA_Attenzione_Supervisore,3)="Sì"," ◆",""))</f>
        <v/>
      </c>
      <c r="P7">
        <f>IF(N7="","",N7-3/1000)</f>
        <v/>
      </c>
      <c r="Q7">
        <f>IFERROR(MATCH(_xlfn.AGGREGATE(14,6,$P$5:$P$24,3),$P$5:$P$24,0),"")</f>
        <v/>
      </c>
      <c r="S7">
        <f>IF($M7=S$4,$O7,"")</f>
        <v/>
      </c>
      <c r="T7">
        <f>IF($M7=T$4,$O7,"")</f>
        <v/>
      </c>
      <c r="U7">
        <f>IF($M7=U$4,$O7,"")</f>
        <v/>
      </c>
      <c r="V7">
        <f>IF($M7=V$4,$O7,"")</f>
        <v/>
      </c>
      <c r="W7">
        <f>IF($M7=W$4,$O7,"")</f>
        <v/>
      </c>
      <c r="X7">
        <f>IF($M7=X$4,$O7,"")</f>
        <v/>
      </c>
      <c r="Y7">
        <f>IF($M7=Y$4,$O7,"")</f>
        <v/>
      </c>
      <c r="Z7">
        <f>IF($M7=Z$4,$O7,"")</f>
        <v/>
      </c>
      <c r="AA7">
        <f>IF($M7=AA$4,$O7,"")</f>
        <v/>
      </c>
      <c r="AB7">
        <f>IF($M7=AB$4,$O7,"")</f>
        <v/>
      </c>
      <c r="AC7">
        <f>IF($M7=AC$4,$O7,"")</f>
        <v/>
      </c>
      <c r="AD7">
        <f>IF($M7=AD$4,$O7,"")</f>
        <v/>
      </c>
      <c r="AE7">
        <f>IF($M7=AE$4,$O7,"")</f>
        <v/>
      </c>
      <c r="AF7">
        <f>IF($M7=AF$4,$O7,"")</f>
        <v/>
      </c>
      <c r="AG7">
        <f>IF($M7=AG$4,$O7,"")</f>
        <v/>
      </c>
      <c r="AH7">
        <f>IF($M7=AH$4,$O7,"")</f>
        <v/>
      </c>
      <c r="AI7">
        <f>IF($M7=AI$4,$O7,"")</f>
        <v/>
      </c>
      <c r="AJ7">
        <f>IF($M7=AJ$4,$O7,"")</f>
        <v/>
      </c>
      <c r="AK7">
        <f>IF($M7=AK$4,$O7,"")</f>
        <v/>
      </c>
      <c r="AL7">
        <f>IF($M7=AL$4,$O7,"")</f>
        <v/>
      </c>
      <c r="AM7">
        <f>IF($M7=AM$4,$O7,"")</f>
        <v/>
      </c>
      <c r="AN7">
        <f>IF($M7=AN$4,$O7,"")</f>
        <v/>
      </c>
      <c r="AO7">
        <f>IF($M7=AO$4,$O7,"")</f>
        <v/>
      </c>
      <c r="AP7">
        <f>IF($M7=AP$4,$O7,"")</f>
        <v/>
      </c>
      <c r="AQ7">
        <f>IF($M7=AQ$4,$O7,"")</f>
        <v/>
      </c>
    </row>
    <row r="8" ht="50" customHeight="1">
      <c r="A8" s="63" t="inlineStr">
        <is>
          <t>Improbabile</t>
        </is>
      </c>
      <c r="B8" s="64" t="n">
        <v>2</v>
      </c>
      <c r="C8" s="65">
        <f>_xlfn.TEXTJOIN("   ",TRUE,AH5:AH24)</f>
        <v/>
      </c>
      <c r="D8" s="65">
        <f>_xlfn.TEXTJOIN("   ",TRUE,AI5:AI24)</f>
        <v/>
      </c>
      <c r="E8" s="65">
        <f>_xlfn.TEXTJOIN("   ",TRUE,AJ5:AJ24)</f>
        <v/>
      </c>
      <c r="F8" s="66">
        <f>_xlfn.TEXTJOIN("   ",TRUE,AK5:AK24)</f>
        <v/>
      </c>
      <c r="G8" s="66">
        <f>_xlfn.TEXTJOIN("   ",TRUE,AL5:AL24)</f>
        <v/>
      </c>
      <c r="L8">
        <f>INDEX(posID,4)&amp;""</f>
        <v/>
      </c>
      <c r="M8">
        <f>IF(AND(ISNUMBER(INDEX(posProbabilita,4)),ISNUMBER(INDEX(posImpatto,4))),INDEX(posProbabilita,4)*10+INDEX(posImpatto,4),"")</f>
        <v/>
      </c>
      <c r="N8">
        <f>IF(M8="","",INDEX(posProbabilita,4)*INDEX(posImpatto,4))</f>
        <v/>
      </c>
      <c r="O8">
        <f>IF(M8="","",L8&amp;IF(INDEX(ANA_Attenzione_Supervisore,4)="Sì"," ◆",""))</f>
        <v/>
      </c>
      <c r="P8">
        <f>IF(N8="","",N8-4/1000)</f>
        <v/>
      </c>
      <c r="Q8">
        <f>IFERROR(MATCH(_xlfn.AGGREGATE(14,6,$P$5:$P$24,4),$P$5:$P$24,0),"")</f>
        <v/>
      </c>
      <c r="S8">
        <f>IF($M8=S$4,$O8,"")</f>
        <v/>
      </c>
      <c r="T8">
        <f>IF($M8=T$4,$O8,"")</f>
        <v/>
      </c>
      <c r="U8">
        <f>IF($M8=U$4,$O8,"")</f>
        <v/>
      </c>
      <c r="V8">
        <f>IF($M8=V$4,$O8,"")</f>
        <v/>
      </c>
      <c r="W8">
        <f>IF($M8=W$4,$O8,"")</f>
        <v/>
      </c>
      <c r="X8">
        <f>IF($M8=X$4,$O8,"")</f>
        <v/>
      </c>
      <c r="Y8">
        <f>IF($M8=Y$4,$O8,"")</f>
        <v/>
      </c>
      <c r="Z8">
        <f>IF($M8=Z$4,$O8,"")</f>
        <v/>
      </c>
      <c r="AA8">
        <f>IF($M8=AA$4,$O8,"")</f>
        <v/>
      </c>
      <c r="AB8">
        <f>IF($M8=AB$4,$O8,"")</f>
        <v/>
      </c>
      <c r="AC8">
        <f>IF($M8=AC$4,$O8,"")</f>
        <v/>
      </c>
      <c r="AD8">
        <f>IF($M8=AD$4,$O8,"")</f>
        <v/>
      </c>
      <c r="AE8">
        <f>IF($M8=AE$4,$O8,"")</f>
        <v/>
      </c>
      <c r="AF8">
        <f>IF($M8=AF$4,$O8,"")</f>
        <v/>
      </c>
      <c r="AG8">
        <f>IF($M8=AG$4,$O8,"")</f>
        <v/>
      </c>
      <c r="AH8">
        <f>IF($M8=AH$4,$O8,"")</f>
        <v/>
      </c>
      <c r="AI8">
        <f>IF($M8=AI$4,$O8,"")</f>
        <v/>
      </c>
      <c r="AJ8">
        <f>IF($M8=AJ$4,$O8,"")</f>
        <v/>
      </c>
      <c r="AK8">
        <f>IF($M8=AK$4,$O8,"")</f>
        <v/>
      </c>
      <c r="AL8">
        <f>IF($M8=AL$4,$O8,"")</f>
        <v/>
      </c>
      <c r="AM8">
        <f>IF($M8=AM$4,$O8,"")</f>
        <v/>
      </c>
      <c r="AN8">
        <f>IF($M8=AN$4,$O8,"")</f>
        <v/>
      </c>
      <c r="AO8">
        <f>IF($M8=AO$4,$O8,"")</f>
        <v/>
      </c>
      <c r="AP8">
        <f>IF($M8=AP$4,$O8,"")</f>
        <v/>
      </c>
      <c r="AQ8">
        <f>IF($M8=AQ$4,$O8,"")</f>
        <v/>
      </c>
    </row>
    <row r="9" ht="50" customHeight="1">
      <c r="A9" s="63" t="inlineStr">
        <is>
          <t>Remota</t>
        </is>
      </c>
      <c r="B9" s="64" t="n">
        <v>1</v>
      </c>
      <c r="C9" s="65">
        <f>_xlfn.TEXTJOIN("   ",TRUE,AM5:AM24)</f>
        <v/>
      </c>
      <c r="D9" s="65">
        <f>_xlfn.TEXTJOIN("   ",TRUE,AN5:AN24)</f>
        <v/>
      </c>
      <c r="E9" s="65">
        <f>_xlfn.TEXTJOIN("   ",TRUE,AO5:AO24)</f>
        <v/>
      </c>
      <c r="F9" s="65">
        <f>_xlfn.TEXTJOIN("   ",TRUE,AP5:AP24)</f>
        <v/>
      </c>
      <c r="G9" s="65">
        <f>_xlfn.TEXTJOIN("   ",TRUE,AQ5:AQ24)</f>
        <v/>
      </c>
      <c r="L9">
        <f>INDEX(posID,5)&amp;""</f>
        <v/>
      </c>
      <c r="M9">
        <f>IF(AND(ISNUMBER(INDEX(posProbabilita,5)),ISNUMBER(INDEX(posImpatto,5))),INDEX(posProbabilita,5)*10+INDEX(posImpatto,5),"")</f>
        <v/>
      </c>
      <c r="N9">
        <f>IF(M9="","",INDEX(posProbabilita,5)*INDEX(posImpatto,5))</f>
        <v/>
      </c>
      <c r="O9">
        <f>IF(M9="","",L9&amp;IF(INDEX(ANA_Attenzione_Supervisore,5)="Sì"," ◆",""))</f>
        <v/>
      </c>
      <c r="P9">
        <f>IF(N9="","",N9-5/1000)</f>
        <v/>
      </c>
      <c r="Q9">
        <f>IFERROR(MATCH(_xlfn.AGGREGATE(14,6,$P$5:$P$24,5),$P$5:$P$24,0),"")</f>
        <v/>
      </c>
      <c r="S9">
        <f>IF($M9=S$4,$O9,"")</f>
        <v/>
      </c>
      <c r="T9">
        <f>IF($M9=T$4,$O9,"")</f>
        <v/>
      </c>
      <c r="U9">
        <f>IF($M9=U$4,$O9,"")</f>
        <v/>
      </c>
      <c r="V9">
        <f>IF($M9=V$4,$O9,"")</f>
        <v/>
      </c>
      <c r="W9">
        <f>IF($M9=W$4,$O9,"")</f>
        <v/>
      </c>
      <c r="X9">
        <f>IF($M9=X$4,$O9,"")</f>
        <v/>
      </c>
      <c r="Y9">
        <f>IF($M9=Y$4,$O9,"")</f>
        <v/>
      </c>
      <c r="Z9">
        <f>IF($M9=Z$4,$O9,"")</f>
        <v/>
      </c>
      <c r="AA9">
        <f>IF($M9=AA$4,$O9,"")</f>
        <v/>
      </c>
      <c r="AB9">
        <f>IF($M9=AB$4,$O9,"")</f>
        <v/>
      </c>
      <c r="AC9">
        <f>IF($M9=AC$4,$O9,"")</f>
        <v/>
      </c>
      <c r="AD9">
        <f>IF($M9=AD$4,$O9,"")</f>
        <v/>
      </c>
      <c r="AE9">
        <f>IF($M9=AE$4,$O9,"")</f>
        <v/>
      </c>
      <c r="AF9">
        <f>IF($M9=AF$4,$O9,"")</f>
        <v/>
      </c>
      <c r="AG9">
        <f>IF($M9=AG$4,$O9,"")</f>
        <v/>
      </c>
      <c r="AH9">
        <f>IF($M9=AH$4,$O9,"")</f>
        <v/>
      </c>
      <c r="AI9">
        <f>IF($M9=AI$4,$O9,"")</f>
        <v/>
      </c>
      <c r="AJ9">
        <f>IF($M9=AJ$4,$O9,"")</f>
        <v/>
      </c>
      <c r="AK9">
        <f>IF($M9=AK$4,$O9,"")</f>
        <v/>
      </c>
      <c r="AL9">
        <f>IF($M9=AL$4,$O9,"")</f>
        <v/>
      </c>
      <c r="AM9">
        <f>IF($M9=AM$4,$O9,"")</f>
        <v/>
      </c>
      <c r="AN9">
        <f>IF($M9=AN$4,$O9,"")</f>
        <v/>
      </c>
      <c r="AO9">
        <f>IF($M9=AO$4,$O9,"")</f>
        <v/>
      </c>
      <c r="AP9">
        <f>IF($M9=AP$4,$O9,"")</f>
        <v/>
      </c>
      <c r="AQ9">
        <f>IF($M9=AQ$4,$O9,"")</f>
        <v/>
      </c>
    </row>
    <row r="10">
      <c r="C10" s="68" t="n">
        <v>1</v>
      </c>
      <c r="D10" s="68" t="n">
        <v>2</v>
      </c>
      <c r="E10" s="68" t="n">
        <v>3</v>
      </c>
      <c r="F10" s="68" t="n">
        <v>4</v>
      </c>
      <c r="G10" s="68" t="n">
        <v>5</v>
      </c>
      <c r="L10">
        <f>INDEX(posID,6)&amp;""</f>
        <v/>
      </c>
      <c r="M10">
        <f>IF(AND(ISNUMBER(INDEX(posProbabilita,6)),ISNUMBER(INDEX(posImpatto,6))),INDEX(posProbabilita,6)*10+INDEX(posImpatto,6),"")</f>
        <v/>
      </c>
      <c r="N10">
        <f>IF(M10="","",INDEX(posProbabilita,6)*INDEX(posImpatto,6))</f>
        <v/>
      </c>
      <c r="O10">
        <f>IF(M10="","",L10&amp;IF(INDEX(ANA_Attenzione_Supervisore,6)="Sì"," ◆",""))</f>
        <v/>
      </c>
      <c r="P10">
        <f>IF(N10="","",N10-6/1000)</f>
        <v/>
      </c>
      <c r="Q10">
        <f>IFERROR(MATCH(_xlfn.AGGREGATE(14,6,$P$5:$P$24,6),$P$5:$P$24,0),"")</f>
        <v/>
      </c>
      <c r="S10">
        <f>IF($M10=S$4,$O10,"")</f>
        <v/>
      </c>
      <c r="T10">
        <f>IF($M10=T$4,$O10,"")</f>
        <v/>
      </c>
      <c r="U10">
        <f>IF($M10=U$4,$O10,"")</f>
        <v/>
      </c>
      <c r="V10">
        <f>IF($M10=V$4,$O10,"")</f>
        <v/>
      </c>
      <c r="W10">
        <f>IF($M10=W$4,$O10,"")</f>
        <v/>
      </c>
      <c r="X10">
        <f>IF($M10=X$4,$O10,"")</f>
        <v/>
      </c>
      <c r="Y10">
        <f>IF($M10=Y$4,$O10,"")</f>
        <v/>
      </c>
      <c r="Z10">
        <f>IF($M10=Z$4,$O10,"")</f>
        <v/>
      </c>
      <c r="AA10">
        <f>IF($M10=AA$4,$O10,"")</f>
        <v/>
      </c>
      <c r="AB10">
        <f>IF($M10=AB$4,$O10,"")</f>
        <v/>
      </c>
      <c r="AC10">
        <f>IF($M10=AC$4,$O10,"")</f>
        <v/>
      </c>
      <c r="AD10">
        <f>IF($M10=AD$4,$O10,"")</f>
        <v/>
      </c>
      <c r="AE10">
        <f>IF($M10=AE$4,$O10,"")</f>
        <v/>
      </c>
      <c r="AF10">
        <f>IF($M10=AF$4,$O10,"")</f>
        <v/>
      </c>
      <c r="AG10">
        <f>IF($M10=AG$4,$O10,"")</f>
        <v/>
      </c>
      <c r="AH10">
        <f>IF($M10=AH$4,$O10,"")</f>
        <v/>
      </c>
      <c r="AI10">
        <f>IF($M10=AI$4,$O10,"")</f>
        <v/>
      </c>
      <c r="AJ10">
        <f>IF($M10=AJ$4,$O10,"")</f>
        <v/>
      </c>
      <c r="AK10">
        <f>IF($M10=AK$4,$O10,"")</f>
        <v/>
      </c>
      <c r="AL10">
        <f>IF($M10=AL$4,$O10,"")</f>
        <v/>
      </c>
      <c r="AM10">
        <f>IF($M10=AM$4,$O10,"")</f>
        <v/>
      </c>
      <c r="AN10">
        <f>IF($M10=AN$4,$O10,"")</f>
        <v/>
      </c>
      <c r="AO10">
        <f>IF($M10=AO$4,$O10,"")</f>
        <v/>
      </c>
      <c r="AP10">
        <f>IF($M10=AP$4,$O10,"")</f>
        <v/>
      </c>
      <c r="AQ10">
        <f>IF($M10=AQ$4,$O10,"")</f>
        <v/>
      </c>
    </row>
    <row r="11">
      <c r="C11" s="69" t="inlineStr">
        <is>
          <t>Limitato</t>
        </is>
      </c>
      <c r="D11" s="69" t="inlineStr">
        <is>
          <t>Contenuto</t>
        </is>
      </c>
      <c r="E11" s="69" t="inlineStr">
        <is>
          <t>Rilevante</t>
        </is>
      </c>
      <c r="F11" s="69" t="inlineStr">
        <is>
          <t>Grave</t>
        </is>
      </c>
      <c r="G11" s="69" t="inlineStr">
        <is>
          <t>Critico</t>
        </is>
      </c>
      <c r="L11">
        <f>INDEX(posID,7)&amp;""</f>
        <v/>
      </c>
      <c r="M11">
        <f>IF(AND(ISNUMBER(INDEX(posProbabilita,7)),ISNUMBER(INDEX(posImpatto,7))),INDEX(posProbabilita,7)*10+INDEX(posImpatto,7),"")</f>
        <v/>
      </c>
      <c r="N11">
        <f>IF(M11="","",INDEX(posProbabilita,7)*INDEX(posImpatto,7))</f>
        <v/>
      </c>
      <c r="O11">
        <f>IF(M11="","",L11&amp;IF(INDEX(ANA_Attenzione_Supervisore,7)="Sì"," ◆",""))</f>
        <v/>
      </c>
      <c r="P11">
        <f>IF(N11="","",N11-7/1000)</f>
        <v/>
      </c>
      <c r="Q11">
        <f>IFERROR(MATCH(_xlfn.AGGREGATE(14,6,$P$5:$P$24,7),$P$5:$P$24,0),"")</f>
        <v/>
      </c>
      <c r="S11">
        <f>IF($M11=S$4,$O11,"")</f>
        <v/>
      </c>
      <c r="T11">
        <f>IF($M11=T$4,$O11,"")</f>
        <v/>
      </c>
      <c r="U11">
        <f>IF($M11=U$4,$O11,"")</f>
        <v/>
      </c>
      <c r="V11">
        <f>IF($M11=V$4,$O11,"")</f>
        <v/>
      </c>
      <c r="W11">
        <f>IF($M11=W$4,$O11,"")</f>
        <v/>
      </c>
      <c r="X11">
        <f>IF($M11=X$4,$O11,"")</f>
        <v/>
      </c>
      <c r="Y11">
        <f>IF($M11=Y$4,$O11,"")</f>
        <v/>
      </c>
      <c r="Z11">
        <f>IF($M11=Z$4,$O11,"")</f>
        <v/>
      </c>
      <c r="AA11">
        <f>IF($M11=AA$4,$O11,"")</f>
        <v/>
      </c>
      <c r="AB11">
        <f>IF($M11=AB$4,$O11,"")</f>
        <v/>
      </c>
      <c r="AC11">
        <f>IF($M11=AC$4,$O11,"")</f>
        <v/>
      </c>
      <c r="AD11">
        <f>IF($M11=AD$4,$O11,"")</f>
        <v/>
      </c>
      <c r="AE11">
        <f>IF($M11=AE$4,$O11,"")</f>
        <v/>
      </c>
      <c r="AF11">
        <f>IF($M11=AF$4,$O11,"")</f>
        <v/>
      </c>
      <c r="AG11">
        <f>IF($M11=AG$4,$O11,"")</f>
        <v/>
      </c>
      <c r="AH11">
        <f>IF($M11=AH$4,$O11,"")</f>
        <v/>
      </c>
      <c r="AI11">
        <f>IF($M11=AI$4,$O11,"")</f>
        <v/>
      </c>
      <c r="AJ11">
        <f>IF($M11=AJ$4,$O11,"")</f>
        <v/>
      </c>
      <c r="AK11">
        <f>IF($M11=AK$4,$O11,"")</f>
        <v/>
      </c>
      <c r="AL11">
        <f>IF($M11=AL$4,$O11,"")</f>
        <v/>
      </c>
      <c r="AM11">
        <f>IF($M11=AM$4,$O11,"")</f>
        <v/>
      </c>
      <c r="AN11">
        <f>IF($M11=AN$4,$O11,"")</f>
        <v/>
      </c>
      <c r="AO11">
        <f>IF($M11=AO$4,$O11,"")</f>
        <v/>
      </c>
      <c r="AP11">
        <f>IF($M11=AP$4,$O11,"")</f>
        <v/>
      </c>
      <c r="AQ11">
        <f>IF($M11=AQ$4,$O11,"")</f>
        <v/>
      </c>
    </row>
    <row r="12">
      <c r="E12" s="68" t="inlineStr">
        <is>
          <t>Impatto</t>
        </is>
      </c>
      <c r="L12">
        <f>INDEX(posID,8)&amp;""</f>
        <v/>
      </c>
      <c r="M12">
        <f>IF(AND(ISNUMBER(INDEX(posProbabilita,8)),ISNUMBER(INDEX(posImpatto,8))),INDEX(posProbabilita,8)*10+INDEX(posImpatto,8),"")</f>
        <v/>
      </c>
      <c r="N12">
        <f>IF(M12="","",INDEX(posProbabilita,8)*INDEX(posImpatto,8))</f>
        <v/>
      </c>
      <c r="O12">
        <f>IF(M12="","",L12&amp;IF(INDEX(ANA_Attenzione_Supervisore,8)="Sì"," ◆",""))</f>
        <v/>
      </c>
      <c r="P12">
        <f>IF(N12="","",N12-8/1000)</f>
        <v/>
      </c>
      <c r="Q12">
        <f>IFERROR(MATCH(_xlfn.AGGREGATE(14,6,$P$5:$P$24,8),$P$5:$P$24,0),"")</f>
        <v/>
      </c>
      <c r="S12">
        <f>IF($M12=S$4,$O12,"")</f>
        <v/>
      </c>
      <c r="T12">
        <f>IF($M12=T$4,$O12,"")</f>
        <v/>
      </c>
      <c r="U12">
        <f>IF($M12=U$4,$O12,"")</f>
        <v/>
      </c>
      <c r="V12">
        <f>IF($M12=V$4,$O12,"")</f>
        <v/>
      </c>
      <c r="W12">
        <f>IF($M12=W$4,$O12,"")</f>
        <v/>
      </c>
      <c r="X12">
        <f>IF($M12=X$4,$O12,"")</f>
        <v/>
      </c>
      <c r="Y12">
        <f>IF($M12=Y$4,$O12,"")</f>
        <v/>
      </c>
      <c r="Z12">
        <f>IF($M12=Z$4,$O12,"")</f>
        <v/>
      </c>
      <c r="AA12">
        <f>IF($M12=AA$4,$O12,"")</f>
        <v/>
      </c>
      <c r="AB12">
        <f>IF($M12=AB$4,$O12,"")</f>
        <v/>
      </c>
      <c r="AC12">
        <f>IF($M12=AC$4,$O12,"")</f>
        <v/>
      </c>
      <c r="AD12">
        <f>IF($M12=AD$4,$O12,"")</f>
        <v/>
      </c>
      <c r="AE12">
        <f>IF($M12=AE$4,$O12,"")</f>
        <v/>
      </c>
      <c r="AF12">
        <f>IF($M12=AF$4,$O12,"")</f>
        <v/>
      </c>
      <c r="AG12">
        <f>IF($M12=AG$4,$O12,"")</f>
        <v/>
      </c>
      <c r="AH12">
        <f>IF($M12=AH$4,$O12,"")</f>
        <v/>
      </c>
      <c r="AI12">
        <f>IF($M12=AI$4,$O12,"")</f>
        <v/>
      </c>
      <c r="AJ12">
        <f>IF($M12=AJ$4,$O12,"")</f>
        <v/>
      </c>
      <c r="AK12">
        <f>IF($M12=AK$4,$O12,"")</f>
        <v/>
      </c>
      <c r="AL12">
        <f>IF($M12=AL$4,$O12,"")</f>
        <v/>
      </c>
      <c r="AM12">
        <f>IF($M12=AM$4,$O12,"")</f>
        <v/>
      </c>
      <c r="AN12">
        <f>IF($M12=AN$4,$O12,"")</f>
        <v/>
      </c>
      <c r="AO12">
        <f>IF($M12=AO$4,$O12,"")</f>
        <v/>
      </c>
      <c r="AP12">
        <f>IF($M12=AP$4,$O12,"")</f>
        <v/>
      </c>
      <c r="AQ12">
        <f>IF($M12=AQ$4,$O12,"")</f>
        <v/>
      </c>
    </row>
    <row r="13">
      <c r="L13">
        <f>INDEX(posID,9)&amp;""</f>
        <v/>
      </c>
      <c r="M13">
        <f>IF(AND(ISNUMBER(INDEX(posProbabilita,9)),ISNUMBER(INDEX(posImpatto,9))),INDEX(posProbabilita,9)*10+INDEX(posImpatto,9),"")</f>
        <v/>
      </c>
      <c r="N13">
        <f>IF(M13="","",INDEX(posProbabilita,9)*INDEX(posImpatto,9))</f>
        <v/>
      </c>
      <c r="O13">
        <f>IF(M13="","",L13&amp;IF(INDEX(ANA_Attenzione_Supervisore,9)="Sì"," ◆",""))</f>
        <v/>
      </c>
      <c r="P13">
        <f>IF(N13="","",N13-9/1000)</f>
        <v/>
      </c>
      <c r="Q13">
        <f>IFERROR(MATCH(_xlfn.AGGREGATE(14,6,$P$5:$P$24,9),$P$5:$P$24,0),"")</f>
        <v/>
      </c>
      <c r="S13">
        <f>IF($M13=S$4,$O13,"")</f>
        <v/>
      </c>
      <c r="T13">
        <f>IF($M13=T$4,$O13,"")</f>
        <v/>
      </c>
      <c r="U13">
        <f>IF($M13=U$4,$O13,"")</f>
        <v/>
      </c>
      <c r="V13">
        <f>IF($M13=V$4,$O13,"")</f>
        <v/>
      </c>
      <c r="W13">
        <f>IF($M13=W$4,$O13,"")</f>
        <v/>
      </c>
      <c r="X13">
        <f>IF($M13=X$4,$O13,"")</f>
        <v/>
      </c>
      <c r="Y13">
        <f>IF($M13=Y$4,$O13,"")</f>
        <v/>
      </c>
      <c r="Z13">
        <f>IF($M13=Z$4,$O13,"")</f>
        <v/>
      </c>
      <c r="AA13">
        <f>IF($M13=AA$4,$O13,"")</f>
        <v/>
      </c>
      <c r="AB13">
        <f>IF($M13=AB$4,$O13,"")</f>
        <v/>
      </c>
      <c r="AC13">
        <f>IF($M13=AC$4,$O13,"")</f>
        <v/>
      </c>
      <c r="AD13">
        <f>IF($M13=AD$4,$O13,"")</f>
        <v/>
      </c>
      <c r="AE13">
        <f>IF($M13=AE$4,$O13,"")</f>
        <v/>
      </c>
      <c r="AF13">
        <f>IF($M13=AF$4,$O13,"")</f>
        <v/>
      </c>
      <c r="AG13">
        <f>IF($M13=AG$4,$O13,"")</f>
        <v/>
      </c>
      <c r="AH13">
        <f>IF($M13=AH$4,$O13,"")</f>
        <v/>
      </c>
      <c r="AI13">
        <f>IF($M13=AI$4,$O13,"")</f>
        <v/>
      </c>
      <c r="AJ13">
        <f>IF($M13=AJ$4,$O13,"")</f>
        <v/>
      </c>
      <c r="AK13">
        <f>IF($M13=AK$4,$O13,"")</f>
        <v/>
      </c>
      <c r="AL13">
        <f>IF($M13=AL$4,$O13,"")</f>
        <v/>
      </c>
      <c r="AM13">
        <f>IF($M13=AM$4,$O13,"")</f>
        <v/>
      </c>
      <c r="AN13">
        <f>IF($M13=AN$4,$O13,"")</f>
        <v/>
      </c>
      <c r="AO13">
        <f>IF($M13=AO$4,$O13,"")</f>
        <v/>
      </c>
      <c r="AP13">
        <f>IF($M13=AP$4,$O13,"")</f>
        <v/>
      </c>
      <c r="AQ13">
        <f>IF($M13=AQ$4,$O13,"")</f>
        <v/>
      </c>
    </row>
    <row r="14">
      <c r="A14" s="29" t="inlineStr">
        <is>
          <t>I rischi, dal piu' grave</t>
        </is>
      </c>
      <c r="B14" s="30" t="n"/>
      <c r="C14" s="30" t="n"/>
      <c r="D14" s="30" t="n"/>
      <c r="E14" s="30" t="n"/>
      <c r="F14" s="30" t="n"/>
      <c r="G14" s="30" t="n"/>
      <c r="L14">
        <f>INDEX(posID,10)&amp;""</f>
        <v/>
      </c>
      <c r="M14">
        <f>IF(AND(ISNUMBER(INDEX(posProbabilita,10)),ISNUMBER(INDEX(posImpatto,10))),INDEX(posProbabilita,10)*10+INDEX(posImpatto,10),"")</f>
        <v/>
      </c>
      <c r="N14">
        <f>IF(M14="","",INDEX(posProbabilita,10)*INDEX(posImpatto,10))</f>
        <v/>
      </c>
      <c r="O14">
        <f>IF(M14="","",L14&amp;IF(INDEX(ANA_Attenzione_Supervisore,10)="Sì"," ◆",""))</f>
        <v/>
      </c>
      <c r="P14">
        <f>IF(N14="","",N14-10/1000)</f>
        <v/>
      </c>
      <c r="Q14">
        <f>IFERROR(MATCH(_xlfn.AGGREGATE(14,6,$P$5:$P$24,10),$P$5:$P$24,0),"")</f>
        <v/>
      </c>
      <c r="S14">
        <f>IF($M14=S$4,$O14,"")</f>
        <v/>
      </c>
      <c r="T14">
        <f>IF($M14=T$4,$O14,"")</f>
        <v/>
      </c>
      <c r="U14">
        <f>IF($M14=U$4,$O14,"")</f>
        <v/>
      </c>
      <c r="V14">
        <f>IF($M14=V$4,$O14,"")</f>
        <v/>
      </c>
      <c r="W14">
        <f>IF($M14=W$4,$O14,"")</f>
        <v/>
      </c>
      <c r="X14">
        <f>IF($M14=X$4,$O14,"")</f>
        <v/>
      </c>
      <c r="Y14">
        <f>IF($M14=Y$4,$O14,"")</f>
        <v/>
      </c>
      <c r="Z14">
        <f>IF($M14=Z$4,$O14,"")</f>
        <v/>
      </c>
      <c r="AA14">
        <f>IF($M14=AA$4,$O14,"")</f>
        <v/>
      </c>
      <c r="AB14">
        <f>IF($M14=AB$4,$O14,"")</f>
        <v/>
      </c>
      <c r="AC14">
        <f>IF($M14=AC$4,$O14,"")</f>
        <v/>
      </c>
      <c r="AD14">
        <f>IF($M14=AD$4,$O14,"")</f>
        <v/>
      </c>
      <c r="AE14">
        <f>IF($M14=AE$4,$O14,"")</f>
        <v/>
      </c>
      <c r="AF14">
        <f>IF($M14=AF$4,$O14,"")</f>
        <v/>
      </c>
      <c r="AG14">
        <f>IF($M14=AG$4,$O14,"")</f>
        <v/>
      </c>
      <c r="AH14">
        <f>IF($M14=AH$4,$O14,"")</f>
        <v/>
      </c>
      <c r="AI14">
        <f>IF($M14=AI$4,$O14,"")</f>
        <v/>
      </c>
      <c r="AJ14">
        <f>IF($M14=AJ$4,$O14,"")</f>
        <v/>
      </c>
      <c r="AK14">
        <f>IF($M14=AK$4,$O14,"")</f>
        <v/>
      </c>
      <c r="AL14">
        <f>IF($M14=AL$4,$O14,"")</f>
        <v/>
      </c>
      <c r="AM14">
        <f>IF($M14=AM$4,$O14,"")</f>
        <v/>
      </c>
      <c r="AN14">
        <f>IF($M14=AN$4,$O14,"")</f>
        <v/>
      </c>
      <c r="AO14">
        <f>IF($M14=AO$4,$O14,"")</f>
        <v/>
      </c>
      <c r="AP14">
        <f>IF($M14=AP$4,$O14,"")</f>
        <v/>
      </c>
      <c r="AQ14">
        <f>IF($M14=AQ$4,$O14,"")</f>
        <v/>
      </c>
    </row>
    <row r="15">
      <c r="A15" s="70" t="inlineStr">
        <is>
          <t>ID</t>
        </is>
      </c>
      <c r="C15" s="70" t="inlineStr">
        <is>
          <t>Rischio</t>
        </is>
      </c>
      <c r="F15" s="70" t="inlineStr">
        <is>
          <t>P · S</t>
        </is>
      </c>
      <c r="G15" s="70" t="inlineStr">
        <is>
          <t>P x I</t>
        </is>
      </c>
      <c r="L15">
        <f>INDEX(posID,11)&amp;""</f>
        <v/>
      </c>
      <c r="M15">
        <f>IF(AND(ISNUMBER(INDEX(posProbabilita,11)),ISNUMBER(INDEX(posImpatto,11))),INDEX(posProbabilita,11)*10+INDEX(posImpatto,11),"")</f>
        <v/>
      </c>
      <c r="N15">
        <f>IF(M15="","",INDEX(posProbabilita,11)*INDEX(posImpatto,11))</f>
        <v/>
      </c>
      <c r="O15">
        <f>IF(M15="","",L15&amp;IF(INDEX(ANA_Attenzione_Supervisore,11)="Sì"," ◆",""))</f>
        <v/>
      </c>
      <c r="P15">
        <f>IF(N15="","",N15-11/1000)</f>
        <v/>
      </c>
      <c r="Q15">
        <f>IFERROR(MATCH(_xlfn.AGGREGATE(14,6,$P$5:$P$24,11),$P$5:$P$24,0),"")</f>
        <v/>
      </c>
      <c r="S15">
        <f>IF($M15=S$4,$O15,"")</f>
        <v/>
      </c>
      <c r="T15">
        <f>IF($M15=T$4,$O15,"")</f>
        <v/>
      </c>
      <c r="U15">
        <f>IF($M15=U$4,$O15,"")</f>
        <v/>
      </c>
      <c r="V15">
        <f>IF($M15=V$4,$O15,"")</f>
        <v/>
      </c>
      <c r="W15">
        <f>IF($M15=W$4,$O15,"")</f>
        <v/>
      </c>
      <c r="X15">
        <f>IF($M15=X$4,$O15,"")</f>
        <v/>
      </c>
      <c r="Y15">
        <f>IF($M15=Y$4,$O15,"")</f>
        <v/>
      </c>
      <c r="Z15">
        <f>IF($M15=Z$4,$O15,"")</f>
        <v/>
      </c>
      <c r="AA15">
        <f>IF($M15=AA$4,$O15,"")</f>
        <v/>
      </c>
      <c r="AB15">
        <f>IF($M15=AB$4,$O15,"")</f>
        <v/>
      </c>
      <c r="AC15">
        <f>IF($M15=AC$4,$O15,"")</f>
        <v/>
      </c>
      <c r="AD15">
        <f>IF($M15=AD$4,$O15,"")</f>
        <v/>
      </c>
      <c r="AE15">
        <f>IF($M15=AE$4,$O15,"")</f>
        <v/>
      </c>
      <c r="AF15">
        <f>IF($M15=AF$4,$O15,"")</f>
        <v/>
      </c>
      <c r="AG15">
        <f>IF($M15=AG$4,$O15,"")</f>
        <v/>
      </c>
      <c r="AH15">
        <f>IF($M15=AH$4,$O15,"")</f>
        <v/>
      </c>
      <c r="AI15">
        <f>IF($M15=AI$4,$O15,"")</f>
        <v/>
      </c>
      <c r="AJ15">
        <f>IF($M15=AJ$4,$O15,"")</f>
        <v/>
      </c>
      <c r="AK15">
        <f>IF($M15=AK$4,$O15,"")</f>
        <v/>
      </c>
      <c r="AL15">
        <f>IF($M15=AL$4,$O15,"")</f>
        <v/>
      </c>
      <c r="AM15">
        <f>IF($M15=AM$4,$O15,"")</f>
        <v/>
      </c>
      <c r="AN15">
        <f>IF($M15=AN$4,$O15,"")</f>
        <v/>
      </c>
      <c r="AO15">
        <f>IF($M15=AO$4,$O15,"")</f>
        <v/>
      </c>
      <c r="AP15">
        <f>IF($M15=AP$4,$O15,"")</f>
        <v/>
      </c>
      <c r="AQ15">
        <f>IF($M15=AQ$4,$O15,"")</f>
        <v/>
      </c>
    </row>
    <row r="16">
      <c r="A16" s="71">
        <f>IF($Q$5="","",INDEX(posID,$Q$5))</f>
        <v/>
      </c>
      <c r="B16" s="36" t="n"/>
      <c r="C16" s="72">
        <f>IF($Q$5="","",INDEX(posNome,$Q$5)&amp;IF(INDEX(ANA_Attenzione_Supervisore,$Q$5)="Sì","  ◆",""))</f>
        <v/>
      </c>
      <c r="D16" s="36" t="n"/>
      <c r="E16" s="36" t="n"/>
      <c r="F16" s="73">
        <f>IF($Q$5="","",INDEX(posProbabilita,$Q$5)&amp;" · "&amp;INDEX(posImpatto,$Q$5))</f>
        <v/>
      </c>
      <c r="G16" s="73">
        <f>IF($Q$5="","",INDEX($N$5:$N$24,$Q$5))</f>
        <v/>
      </c>
      <c r="L16">
        <f>INDEX(posID,12)&amp;""</f>
        <v/>
      </c>
      <c r="M16">
        <f>IF(AND(ISNUMBER(INDEX(posProbabilita,12)),ISNUMBER(INDEX(posImpatto,12))),INDEX(posProbabilita,12)*10+INDEX(posImpatto,12),"")</f>
        <v/>
      </c>
      <c r="N16">
        <f>IF(M16="","",INDEX(posProbabilita,12)*INDEX(posImpatto,12))</f>
        <v/>
      </c>
      <c r="O16">
        <f>IF(M16="","",L16&amp;IF(INDEX(ANA_Attenzione_Supervisore,12)="Sì"," ◆",""))</f>
        <v/>
      </c>
      <c r="P16">
        <f>IF(N16="","",N16-12/1000)</f>
        <v/>
      </c>
      <c r="Q16">
        <f>IFERROR(MATCH(_xlfn.AGGREGATE(14,6,$P$5:$P$24,12),$P$5:$P$24,0),"")</f>
        <v/>
      </c>
      <c r="S16">
        <f>IF($M16=S$4,$O16,"")</f>
        <v/>
      </c>
      <c r="T16">
        <f>IF($M16=T$4,$O16,"")</f>
        <v/>
      </c>
      <c r="U16">
        <f>IF($M16=U$4,$O16,"")</f>
        <v/>
      </c>
      <c r="V16">
        <f>IF($M16=V$4,$O16,"")</f>
        <v/>
      </c>
      <c r="W16">
        <f>IF($M16=W$4,$O16,"")</f>
        <v/>
      </c>
      <c r="X16">
        <f>IF($M16=X$4,$O16,"")</f>
        <v/>
      </c>
      <c r="Y16">
        <f>IF($M16=Y$4,$O16,"")</f>
        <v/>
      </c>
      <c r="Z16">
        <f>IF($M16=Z$4,$O16,"")</f>
        <v/>
      </c>
      <c r="AA16">
        <f>IF($M16=AA$4,$O16,"")</f>
        <v/>
      </c>
      <c r="AB16">
        <f>IF($M16=AB$4,$O16,"")</f>
        <v/>
      </c>
      <c r="AC16">
        <f>IF($M16=AC$4,$O16,"")</f>
        <v/>
      </c>
      <c r="AD16">
        <f>IF($M16=AD$4,$O16,"")</f>
        <v/>
      </c>
      <c r="AE16">
        <f>IF($M16=AE$4,$O16,"")</f>
        <v/>
      </c>
      <c r="AF16">
        <f>IF($M16=AF$4,$O16,"")</f>
        <v/>
      </c>
      <c r="AG16">
        <f>IF($M16=AG$4,$O16,"")</f>
        <v/>
      </c>
      <c r="AH16">
        <f>IF($M16=AH$4,$O16,"")</f>
        <v/>
      </c>
      <c r="AI16">
        <f>IF($M16=AI$4,$O16,"")</f>
        <v/>
      </c>
      <c r="AJ16">
        <f>IF($M16=AJ$4,$O16,"")</f>
        <v/>
      </c>
      <c r="AK16">
        <f>IF($M16=AK$4,$O16,"")</f>
        <v/>
      </c>
      <c r="AL16">
        <f>IF($M16=AL$4,$O16,"")</f>
        <v/>
      </c>
      <c r="AM16">
        <f>IF($M16=AM$4,$O16,"")</f>
        <v/>
      </c>
      <c r="AN16">
        <f>IF($M16=AN$4,$O16,"")</f>
        <v/>
      </c>
      <c r="AO16">
        <f>IF($M16=AO$4,$O16,"")</f>
        <v/>
      </c>
      <c r="AP16">
        <f>IF($M16=AP$4,$O16,"")</f>
        <v/>
      </c>
      <c r="AQ16">
        <f>IF($M16=AQ$4,$O16,"")</f>
        <v/>
      </c>
    </row>
    <row r="17">
      <c r="A17" s="71">
        <f>IF($Q$6="","",INDEX(posID,$Q$6))</f>
        <v/>
      </c>
      <c r="B17" s="36" t="n"/>
      <c r="C17" s="72">
        <f>IF($Q$6="","",INDEX(posNome,$Q$6)&amp;IF(INDEX(ANA_Attenzione_Supervisore,$Q$6)="Sì","  ◆",""))</f>
        <v/>
      </c>
      <c r="D17" s="36" t="n"/>
      <c r="E17" s="36" t="n"/>
      <c r="F17" s="73">
        <f>IF($Q$6="","",INDEX(posProbabilita,$Q$6)&amp;" · "&amp;INDEX(posImpatto,$Q$6))</f>
        <v/>
      </c>
      <c r="G17" s="73">
        <f>IF($Q$6="","",INDEX($N$5:$N$24,$Q$6))</f>
        <v/>
      </c>
      <c r="L17">
        <f>INDEX(posID,13)&amp;""</f>
        <v/>
      </c>
      <c r="M17">
        <f>IF(AND(ISNUMBER(INDEX(posProbabilita,13)),ISNUMBER(INDEX(posImpatto,13))),INDEX(posProbabilita,13)*10+INDEX(posImpatto,13),"")</f>
        <v/>
      </c>
      <c r="N17">
        <f>IF(M17="","",INDEX(posProbabilita,13)*INDEX(posImpatto,13))</f>
        <v/>
      </c>
      <c r="O17">
        <f>IF(M17="","",L17&amp;IF(INDEX(ANA_Attenzione_Supervisore,13)="Sì"," ◆",""))</f>
        <v/>
      </c>
      <c r="P17">
        <f>IF(N17="","",N17-13/1000)</f>
        <v/>
      </c>
      <c r="Q17">
        <f>IFERROR(MATCH(_xlfn.AGGREGATE(14,6,$P$5:$P$24,13),$P$5:$P$24,0),"")</f>
        <v/>
      </c>
      <c r="S17">
        <f>IF($M17=S$4,$O17,"")</f>
        <v/>
      </c>
      <c r="T17">
        <f>IF($M17=T$4,$O17,"")</f>
        <v/>
      </c>
      <c r="U17">
        <f>IF($M17=U$4,$O17,"")</f>
        <v/>
      </c>
      <c r="V17">
        <f>IF($M17=V$4,$O17,"")</f>
        <v/>
      </c>
      <c r="W17">
        <f>IF($M17=W$4,$O17,"")</f>
        <v/>
      </c>
      <c r="X17">
        <f>IF($M17=X$4,$O17,"")</f>
        <v/>
      </c>
      <c r="Y17">
        <f>IF($M17=Y$4,$O17,"")</f>
        <v/>
      </c>
      <c r="Z17">
        <f>IF($M17=Z$4,$O17,"")</f>
        <v/>
      </c>
      <c r="AA17">
        <f>IF($M17=AA$4,$O17,"")</f>
        <v/>
      </c>
      <c r="AB17">
        <f>IF($M17=AB$4,$O17,"")</f>
        <v/>
      </c>
      <c r="AC17">
        <f>IF($M17=AC$4,$O17,"")</f>
        <v/>
      </c>
      <c r="AD17">
        <f>IF($M17=AD$4,$O17,"")</f>
        <v/>
      </c>
      <c r="AE17">
        <f>IF($M17=AE$4,$O17,"")</f>
        <v/>
      </c>
      <c r="AF17">
        <f>IF($M17=AF$4,$O17,"")</f>
        <v/>
      </c>
      <c r="AG17">
        <f>IF($M17=AG$4,$O17,"")</f>
        <v/>
      </c>
      <c r="AH17">
        <f>IF($M17=AH$4,$O17,"")</f>
        <v/>
      </c>
      <c r="AI17">
        <f>IF($M17=AI$4,$O17,"")</f>
        <v/>
      </c>
      <c r="AJ17">
        <f>IF($M17=AJ$4,$O17,"")</f>
        <v/>
      </c>
      <c r="AK17">
        <f>IF($M17=AK$4,$O17,"")</f>
        <v/>
      </c>
      <c r="AL17">
        <f>IF($M17=AL$4,$O17,"")</f>
        <v/>
      </c>
      <c r="AM17">
        <f>IF($M17=AM$4,$O17,"")</f>
        <v/>
      </c>
      <c r="AN17">
        <f>IF($M17=AN$4,$O17,"")</f>
        <v/>
      </c>
      <c r="AO17">
        <f>IF($M17=AO$4,$O17,"")</f>
        <v/>
      </c>
      <c r="AP17">
        <f>IF($M17=AP$4,$O17,"")</f>
        <v/>
      </c>
      <c r="AQ17">
        <f>IF($M17=AQ$4,$O17,"")</f>
        <v/>
      </c>
    </row>
    <row r="18">
      <c r="A18" s="71">
        <f>IF($Q$7="","",INDEX(posID,$Q$7))</f>
        <v/>
      </c>
      <c r="B18" s="36" t="n"/>
      <c r="C18" s="72">
        <f>IF($Q$7="","",INDEX(posNome,$Q$7)&amp;IF(INDEX(ANA_Attenzione_Supervisore,$Q$7)="Sì","  ◆",""))</f>
        <v/>
      </c>
      <c r="D18" s="36" t="n"/>
      <c r="E18" s="36" t="n"/>
      <c r="F18" s="73">
        <f>IF($Q$7="","",INDEX(posProbabilita,$Q$7)&amp;" · "&amp;INDEX(posImpatto,$Q$7))</f>
        <v/>
      </c>
      <c r="G18" s="73">
        <f>IF($Q$7="","",INDEX($N$5:$N$24,$Q$7))</f>
        <v/>
      </c>
      <c r="L18">
        <f>INDEX(posID,14)&amp;""</f>
        <v/>
      </c>
      <c r="M18">
        <f>IF(AND(ISNUMBER(INDEX(posProbabilita,14)),ISNUMBER(INDEX(posImpatto,14))),INDEX(posProbabilita,14)*10+INDEX(posImpatto,14),"")</f>
        <v/>
      </c>
      <c r="N18">
        <f>IF(M18="","",INDEX(posProbabilita,14)*INDEX(posImpatto,14))</f>
        <v/>
      </c>
      <c r="O18">
        <f>IF(M18="","",L18&amp;IF(INDEX(ANA_Attenzione_Supervisore,14)="Sì"," ◆",""))</f>
        <v/>
      </c>
      <c r="P18">
        <f>IF(N18="","",N18-14/1000)</f>
        <v/>
      </c>
      <c r="Q18">
        <f>IFERROR(MATCH(_xlfn.AGGREGATE(14,6,$P$5:$P$24,14),$P$5:$P$24,0),"")</f>
        <v/>
      </c>
      <c r="S18">
        <f>IF($M18=S$4,$O18,"")</f>
        <v/>
      </c>
      <c r="T18">
        <f>IF($M18=T$4,$O18,"")</f>
        <v/>
      </c>
      <c r="U18">
        <f>IF($M18=U$4,$O18,"")</f>
        <v/>
      </c>
      <c r="V18">
        <f>IF($M18=V$4,$O18,"")</f>
        <v/>
      </c>
      <c r="W18">
        <f>IF($M18=W$4,$O18,"")</f>
        <v/>
      </c>
      <c r="X18">
        <f>IF($M18=X$4,$O18,"")</f>
        <v/>
      </c>
      <c r="Y18">
        <f>IF($M18=Y$4,$O18,"")</f>
        <v/>
      </c>
      <c r="Z18">
        <f>IF($M18=Z$4,$O18,"")</f>
        <v/>
      </c>
      <c r="AA18">
        <f>IF($M18=AA$4,$O18,"")</f>
        <v/>
      </c>
      <c r="AB18">
        <f>IF($M18=AB$4,$O18,"")</f>
        <v/>
      </c>
      <c r="AC18">
        <f>IF($M18=AC$4,$O18,"")</f>
        <v/>
      </c>
      <c r="AD18">
        <f>IF($M18=AD$4,$O18,"")</f>
        <v/>
      </c>
      <c r="AE18">
        <f>IF($M18=AE$4,$O18,"")</f>
        <v/>
      </c>
      <c r="AF18">
        <f>IF($M18=AF$4,$O18,"")</f>
        <v/>
      </c>
      <c r="AG18">
        <f>IF($M18=AG$4,$O18,"")</f>
        <v/>
      </c>
      <c r="AH18">
        <f>IF($M18=AH$4,$O18,"")</f>
        <v/>
      </c>
      <c r="AI18">
        <f>IF($M18=AI$4,$O18,"")</f>
        <v/>
      </c>
      <c r="AJ18">
        <f>IF($M18=AJ$4,$O18,"")</f>
        <v/>
      </c>
      <c r="AK18">
        <f>IF($M18=AK$4,$O18,"")</f>
        <v/>
      </c>
      <c r="AL18">
        <f>IF($M18=AL$4,$O18,"")</f>
        <v/>
      </c>
      <c r="AM18">
        <f>IF($M18=AM$4,$O18,"")</f>
        <v/>
      </c>
      <c r="AN18">
        <f>IF($M18=AN$4,$O18,"")</f>
        <v/>
      </c>
      <c r="AO18">
        <f>IF($M18=AO$4,$O18,"")</f>
        <v/>
      </c>
      <c r="AP18">
        <f>IF($M18=AP$4,$O18,"")</f>
        <v/>
      </c>
      <c r="AQ18">
        <f>IF($M18=AQ$4,$O18,"")</f>
        <v/>
      </c>
    </row>
    <row r="19">
      <c r="A19" s="71">
        <f>IF($Q$8="","",INDEX(posID,$Q$8))</f>
        <v/>
      </c>
      <c r="B19" s="36" t="n"/>
      <c r="C19" s="72">
        <f>IF($Q$8="","",INDEX(posNome,$Q$8)&amp;IF(INDEX(ANA_Attenzione_Supervisore,$Q$8)="Sì","  ◆",""))</f>
        <v/>
      </c>
      <c r="D19" s="36" t="n"/>
      <c r="E19" s="36" t="n"/>
      <c r="F19" s="73">
        <f>IF($Q$8="","",INDEX(posProbabilita,$Q$8)&amp;" · "&amp;INDEX(posImpatto,$Q$8))</f>
        <v/>
      </c>
      <c r="G19" s="73">
        <f>IF($Q$8="","",INDEX($N$5:$N$24,$Q$8))</f>
        <v/>
      </c>
      <c r="L19">
        <f>INDEX(posID,15)&amp;""</f>
        <v/>
      </c>
      <c r="M19">
        <f>IF(AND(ISNUMBER(INDEX(posProbabilita,15)),ISNUMBER(INDEX(posImpatto,15))),INDEX(posProbabilita,15)*10+INDEX(posImpatto,15),"")</f>
        <v/>
      </c>
      <c r="N19">
        <f>IF(M19="","",INDEX(posProbabilita,15)*INDEX(posImpatto,15))</f>
        <v/>
      </c>
      <c r="O19">
        <f>IF(M19="","",L19&amp;IF(INDEX(ANA_Attenzione_Supervisore,15)="Sì"," ◆",""))</f>
        <v/>
      </c>
      <c r="P19">
        <f>IF(N19="","",N19-15/1000)</f>
        <v/>
      </c>
      <c r="Q19">
        <f>IFERROR(MATCH(_xlfn.AGGREGATE(14,6,$P$5:$P$24,15),$P$5:$P$24,0),"")</f>
        <v/>
      </c>
      <c r="S19">
        <f>IF($M19=S$4,$O19,"")</f>
        <v/>
      </c>
      <c r="T19">
        <f>IF($M19=T$4,$O19,"")</f>
        <v/>
      </c>
      <c r="U19">
        <f>IF($M19=U$4,$O19,"")</f>
        <v/>
      </c>
      <c r="V19">
        <f>IF($M19=V$4,$O19,"")</f>
        <v/>
      </c>
      <c r="W19">
        <f>IF($M19=W$4,$O19,"")</f>
        <v/>
      </c>
      <c r="X19">
        <f>IF($M19=X$4,$O19,"")</f>
        <v/>
      </c>
      <c r="Y19">
        <f>IF($M19=Y$4,$O19,"")</f>
        <v/>
      </c>
      <c r="Z19">
        <f>IF($M19=Z$4,$O19,"")</f>
        <v/>
      </c>
      <c r="AA19">
        <f>IF($M19=AA$4,$O19,"")</f>
        <v/>
      </c>
      <c r="AB19">
        <f>IF($M19=AB$4,$O19,"")</f>
        <v/>
      </c>
      <c r="AC19">
        <f>IF($M19=AC$4,$O19,"")</f>
        <v/>
      </c>
      <c r="AD19">
        <f>IF($M19=AD$4,$O19,"")</f>
        <v/>
      </c>
      <c r="AE19">
        <f>IF($M19=AE$4,$O19,"")</f>
        <v/>
      </c>
      <c r="AF19">
        <f>IF($M19=AF$4,$O19,"")</f>
        <v/>
      </c>
      <c r="AG19">
        <f>IF($M19=AG$4,$O19,"")</f>
        <v/>
      </c>
      <c r="AH19">
        <f>IF($M19=AH$4,$O19,"")</f>
        <v/>
      </c>
      <c r="AI19">
        <f>IF($M19=AI$4,$O19,"")</f>
        <v/>
      </c>
      <c r="AJ19">
        <f>IF($M19=AJ$4,$O19,"")</f>
        <v/>
      </c>
      <c r="AK19">
        <f>IF($M19=AK$4,$O19,"")</f>
        <v/>
      </c>
      <c r="AL19">
        <f>IF($M19=AL$4,$O19,"")</f>
        <v/>
      </c>
      <c r="AM19">
        <f>IF($M19=AM$4,$O19,"")</f>
        <v/>
      </c>
      <c r="AN19">
        <f>IF($M19=AN$4,$O19,"")</f>
        <v/>
      </c>
      <c r="AO19">
        <f>IF($M19=AO$4,$O19,"")</f>
        <v/>
      </c>
      <c r="AP19">
        <f>IF($M19=AP$4,$O19,"")</f>
        <v/>
      </c>
      <c r="AQ19">
        <f>IF($M19=AQ$4,$O19,"")</f>
        <v/>
      </c>
    </row>
    <row r="20">
      <c r="A20" s="71">
        <f>IF($Q$9="","",INDEX(posID,$Q$9))</f>
        <v/>
      </c>
      <c r="B20" s="36" t="n"/>
      <c r="C20" s="72">
        <f>IF($Q$9="","",INDEX(posNome,$Q$9)&amp;IF(INDEX(ANA_Attenzione_Supervisore,$Q$9)="Sì","  ◆",""))</f>
        <v/>
      </c>
      <c r="D20" s="36" t="n"/>
      <c r="E20" s="36" t="n"/>
      <c r="F20" s="73">
        <f>IF($Q$9="","",INDEX(posProbabilita,$Q$9)&amp;" · "&amp;INDEX(posImpatto,$Q$9))</f>
        <v/>
      </c>
      <c r="G20" s="73">
        <f>IF($Q$9="","",INDEX($N$5:$N$24,$Q$9))</f>
        <v/>
      </c>
      <c r="L20">
        <f>INDEX(posID,16)&amp;""</f>
        <v/>
      </c>
      <c r="M20">
        <f>IF(AND(ISNUMBER(INDEX(posProbabilita,16)),ISNUMBER(INDEX(posImpatto,16))),INDEX(posProbabilita,16)*10+INDEX(posImpatto,16),"")</f>
        <v/>
      </c>
      <c r="N20">
        <f>IF(M20="","",INDEX(posProbabilita,16)*INDEX(posImpatto,16))</f>
        <v/>
      </c>
      <c r="O20">
        <f>IF(M20="","",L20&amp;IF(INDEX(ANA_Attenzione_Supervisore,16)="Sì"," ◆",""))</f>
        <v/>
      </c>
      <c r="P20">
        <f>IF(N20="","",N20-16/1000)</f>
        <v/>
      </c>
      <c r="Q20">
        <f>IFERROR(MATCH(_xlfn.AGGREGATE(14,6,$P$5:$P$24,16),$P$5:$P$24,0),"")</f>
        <v/>
      </c>
      <c r="S20">
        <f>IF($M20=S$4,$O20,"")</f>
        <v/>
      </c>
      <c r="T20">
        <f>IF($M20=T$4,$O20,"")</f>
        <v/>
      </c>
      <c r="U20">
        <f>IF($M20=U$4,$O20,"")</f>
        <v/>
      </c>
      <c r="V20">
        <f>IF($M20=V$4,$O20,"")</f>
        <v/>
      </c>
      <c r="W20">
        <f>IF($M20=W$4,$O20,"")</f>
        <v/>
      </c>
      <c r="X20">
        <f>IF($M20=X$4,$O20,"")</f>
        <v/>
      </c>
      <c r="Y20">
        <f>IF($M20=Y$4,$O20,"")</f>
        <v/>
      </c>
      <c r="Z20">
        <f>IF($M20=Z$4,$O20,"")</f>
        <v/>
      </c>
      <c r="AA20">
        <f>IF($M20=AA$4,$O20,"")</f>
        <v/>
      </c>
      <c r="AB20">
        <f>IF($M20=AB$4,$O20,"")</f>
        <v/>
      </c>
      <c r="AC20">
        <f>IF($M20=AC$4,$O20,"")</f>
        <v/>
      </c>
      <c r="AD20">
        <f>IF($M20=AD$4,$O20,"")</f>
        <v/>
      </c>
      <c r="AE20">
        <f>IF($M20=AE$4,$O20,"")</f>
        <v/>
      </c>
      <c r="AF20">
        <f>IF($M20=AF$4,$O20,"")</f>
        <v/>
      </c>
      <c r="AG20">
        <f>IF($M20=AG$4,$O20,"")</f>
        <v/>
      </c>
      <c r="AH20">
        <f>IF($M20=AH$4,$O20,"")</f>
        <v/>
      </c>
      <c r="AI20">
        <f>IF($M20=AI$4,$O20,"")</f>
        <v/>
      </c>
      <c r="AJ20">
        <f>IF($M20=AJ$4,$O20,"")</f>
        <v/>
      </c>
      <c r="AK20">
        <f>IF($M20=AK$4,$O20,"")</f>
        <v/>
      </c>
      <c r="AL20">
        <f>IF($M20=AL$4,$O20,"")</f>
        <v/>
      </c>
      <c r="AM20">
        <f>IF($M20=AM$4,$O20,"")</f>
        <v/>
      </c>
      <c r="AN20">
        <f>IF($M20=AN$4,$O20,"")</f>
        <v/>
      </c>
      <c r="AO20">
        <f>IF($M20=AO$4,$O20,"")</f>
        <v/>
      </c>
      <c r="AP20">
        <f>IF($M20=AP$4,$O20,"")</f>
        <v/>
      </c>
      <c r="AQ20">
        <f>IF($M20=AQ$4,$O20,"")</f>
        <v/>
      </c>
    </row>
    <row r="21">
      <c r="A21" s="71">
        <f>IF($Q$10="","",INDEX(posID,$Q$10))</f>
        <v/>
      </c>
      <c r="B21" s="36" t="n"/>
      <c r="C21" s="72">
        <f>IF($Q$10="","",INDEX(posNome,$Q$10)&amp;IF(INDEX(ANA_Attenzione_Supervisore,$Q$10)="Sì","  ◆",""))</f>
        <v/>
      </c>
      <c r="D21" s="36" t="n"/>
      <c r="E21" s="36" t="n"/>
      <c r="F21" s="73">
        <f>IF($Q$10="","",INDEX(posProbabilita,$Q$10)&amp;" · "&amp;INDEX(posImpatto,$Q$10))</f>
        <v/>
      </c>
      <c r="G21" s="73">
        <f>IF($Q$10="","",INDEX($N$5:$N$24,$Q$10))</f>
        <v/>
      </c>
      <c r="L21">
        <f>INDEX(posID,17)&amp;""</f>
        <v/>
      </c>
      <c r="M21">
        <f>IF(AND(ISNUMBER(INDEX(posProbabilita,17)),ISNUMBER(INDEX(posImpatto,17))),INDEX(posProbabilita,17)*10+INDEX(posImpatto,17),"")</f>
        <v/>
      </c>
      <c r="N21">
        <f>IF(M21="","",INDEX(posProbabilita,17)*INDEX(posImpatto,17))</f>
        <v/>
      </c>
      <c r="O21">
        <f>IF(M21="","",L21&amp;IF(INDEX(ANA_Attenzione_Supervisore,17)="Sì"," ◆",""))</f>
        <v/>
      </c>
      <c r="P21">
        <f>IF(N21="","",N21-17/1000)</f>
        <v/>
      </c>
      <c r="Q21">
        <f>IFERROR(MATCH(_xlfn.AGGREGATE(14,6,$P$5:$P$24,17),$P$5:$P$24,0),"")</f>
        <v/>
      </c>
      <c r="S21">
        <f>IF($M21=S$4,$O21,"")</f>
        <v/>
      </c>
      <c r="T21">
        <f>IF($M21=T$4,$O21,"")</f>
        <v/>
      </c>
      <c r="U21">
        <f>IF($M21=U$4,$O21,"")</f>
        <v/>
      </c>
      <c r="V21">
        <f>IF($M21=V$4,$O21,"")</f>
        <v/>
      </c>
      <c r="W21">
        <f>IF($M21=W$4,$O21,"")</f>
        <v/>
      </c>
      <c r="X21">
        <f>IF($M21=X$4,$O21,"")</f>
        <v/>
      </c>
      <c r="Y21">
        <f>IF($M21=Y$4,$O21,"")</f>
        <v/>
      </c>
      <c r="Z21">
        <f>IF($M21=Z$4,$O21,"")</f>
        <v/>
      </c>
      <c r="AA21">
        <f>IF($M21=AA$4,$O21,"")</f>
        <v/>
      </c>
      <c r="AB21">
        <f>IF($M21=AB$4,$O21,"")</f>
        <v/>
      </c>
      <c r="AC21">
        <f>IF($M21=AC$4,$O21,"")</f>
        <v/>
      </c>
      <c r="AD21">
        <f>IF($M21=AD$4,$O21,"")</f>
        <v/>
      </c>
      <c r="AE21">
        <f>IF($M21=AE$4,$O21,"")</f>
        <v/>
      </c>
      <c r="AF21">
        <f>IF($M21=AF$4,$O21,"")</f>
        <v/>
      </c>
      <c r="AG21">
        <f>IF($M21=AG$4,$O21,"")</f>
        <v/>
      </c>
      <c r="AH21">
        <f>IF($M21=AH$4,$O21,"")</f>
        <v/>
      </c>
      <c r="AI21">
        <f>IF($M21=AI$4,$O21,"")</f>
        <v/>
      </c>
      <c r="AJ21">
        <f>IF($M21=AJ$4,$O21,"")</f>
        <v/>
      </c>
      <c r="AK21">
        <f>IF($M21=AK$4,$O21,"")</f>
        <v/>
      </c>
      <c r="AL21">
        <f>IF($M21=AL$4,$O21,"")</f>
        <v/>
      </c>
      <c r="AM21">
        <f>IF($M21=AM$4,$O21,"")</f>
        <v/>
      </c>
      <c r="AN21">
        <f>IF($M21=AN$4,$O21,"")</f>
        <v/>
      </c>
      <c r="AO21">
        <f>IF($M21=AO$4,$O21,"")</f>
        <v/>
      </c>
      <c r="AP21">
        <f>IF($M21=AP$4,$O21,"")</f>
        <v/>
      </c>
      <c r="AQ21">
        <f>IF($M21=AQ$4,$O21,"")</f>
        <v/>
      </c>
    </row>
    <row r="22">
      <c r="A22" s="71">
        <f>IF($Q$11="","",INDEX(posID,$Q$11))</f>
        <v/>
      </c>
      <c r="B22" s="36" t="n"/>
      <c r="C22" s="72">
        <f>IF($Q$11="","",INDEX(posNome,$Q$11)&amp;IF(INDEX(ANA_Attenzione_Supervisore,$Q$11)="Sì","  ◆",""))</f>
        <v/>
      </c>
      <c r="D22" s="36" t="n"/>
      <c r="E22" s="36" t="n"/>
      <c r="F22" s="73">
        <f>IF($Q$11="","",INDEX(posProbabilita,$Q$11)&amp;" · "&amp;INDEX(posImpatto,$Q$11))</f>
        <v/>
      </c>
      <c r="G22" s="73">
        <f>IF($Q$11="","",INDEX($N$5:$N$24,$Q$11))</f>
        <v/>
      </c>
      <c r="L22">
        <f>INDEX(posID,18)&amp;""</f>
        <v/>
      </c>
      <c r="M22">
        <f>IF(AND(ISNUMBER(INDEX(posProbabilita,18)),ISNUMBER(INDEX(posImpatto,18))),INDEX(posProbabilita,18)*10+INDEX(posImpatto,18),"")</f>
        <v/>
      </c>
      <c r="N22">
        <f>IF(M22="","",INDEX(posProbabilita,18)*INDEX(posImpatto,18))</f>
        <v/>
      </c>
      <c r="O22">
        <f>IF(M22="","",L22&amp;IF(INDEX(ANA_Attenzione_Supervisore,18)="Sì"," ◆",""))</f>
        <v/>
      </c>
      <c r="P22">
        <f>IF(N22="","",N22-18/1000)</f>
        <v/>
      </c>
      <c r="Q22">
        <f>IFERROR(MATCH(_xlfn.AGGREGATE(14,6,$P$5:$P$24,18),$P$5:$P$24,0),"")</f>
        <v/>
      </c>
      <c r="S22">
        <f>IF($M22=S$4,$O22,"")</f>
        <v/>
      </c>
      <c r="T22">
        <f>IF($M22=T$4,$O22,"")</f>
        <v/>
      </c>
      <c r="U22">
        <f>IF($M22=U$4,$O22,"")</f>
        <v/>
      </c>
      <c r="V22">
        <f>IF($M22=V$4,$O22,"")</f>
        <v/>
      </c>
      <c r="W22">
        <f>IF($M22=W$4,$O22,"")</f>
        <v/>
      </c>
      <c r="X22">
        <f>IF($M22=X$4,$O22,"")</f>
        <v/>
      </c>
      <c r="Y22">
        <f>IF($M22=Y$4,$O22,"")</f>
        <v/>
      </c>
      <c r="Z22">
        <f>IF($M22=Z$4,$O22,"")</f>
        <v/>
      </c>
      <c r="AA22">
        <f>IF($M22=AA$4,$O22,"")</f>
        <v/>
      </c>
      <c r="AB22">
        <f>IF($M22=AB$4,$O22,"")</f>
        <v/>
      </c>
      <c r="AC22">
        <f>IF($M22=AC$4,$O22,"")</f>
        <v/>
      </c>
      <c r="AD22">
        <f>IF($M22=AD$4,$O22,"")</f>
        <v/>
      </c>
      <c r="AE22">
        <f>IF($M22=AE$4,$O22,"")</f>
        <v/>
      </c>
      <c r="AF22">
        <f>IF($M22=AF$4,$O22,"")</f>
        <v/>
      </c>
      <c r="AG22">
        <f>IF($M22=AG$4,$O22,"")</f>
        <v/>
      </c>
      <c r="AH22">
        <f>IF($M22=AH$4,$O22,"")</f>
        <v/>
      </c>
      <c r="AI22">
        <f>IF($M22=AI$4,$O22,"")</f>
        <v/>
      </c>
      <c r="AJ22">
        <f>IF($M22=AJ$4,$O22,"")</f>
        <v/>
      </c>
      <c r="AK22">
        <f>IF($M22=AK$4,$O22,"")</f>
        <v/>
      </c>
      <c r="AL22">
        <f>IF($M22=AL$4,$O22,"")</f>
        <v/>
      </c>
      <c r="AM22">
        <f>IF($M22=AM$4,$O22,"")</f>
        <v/>
      </c>
      <c r="AN22">
        <f>IF($M22=AN$4,$O22,"")</f>
        <v/>
      </c>
      <c r="AO22">
        <f>IF($M22=AO$4,$O22,"")</f>
        <v/>
      </c>
      <c r="AP22">
        <f>IF($M22=AP$4,$O22,"")</f>
        <v/>
      </c>
      <c r="AQ22">
        <f>IF($M22=AQ$4,$O22,"")</f>
        <v/>
      </c>
    </row>
    <row r="23">
      <c r="A23" s="71">
        <f>IF($Q$12="","",INDEX(posID,$Q$12))</f>
        <v/>
      </c>
      <c r="B23" s="36" t="n"/>
      <c r="C23" s="72">
        <f>IF($Q$12="","",INDEX(posNome,$Q$12)&amp;IF(INDEX(ANA_Attenzione_Supervisore,$Q$12)="Sì","  ◆",""))</f>
        <v/>
      </c>
      <c r="D23" s="36" t="n"/>
      <c r="E23" s="36" t="n"/>
      <c r="F23" s="73">
        <f>IF($Q$12="","",INDEX(posProbabilita,$Q$12)&amp;" · "&amp;INDEX(posImpatto,$Q$12))</f>
        <v/>
      </c>
      <c r="G23" s="73">
        <f>IF($Q$12="","",INDEX($N$5:$N$24,$Q$12))</f>
        <v/>
      </c>
      <c r="L23">
        <f>INDEX(posID,19)&amp;""</f>
        <v/>
      </c>
      <c r="M23">
        <f>IF(AND(ISNUMBER(INDEX(posProbabilita,19)),ISNUMBER(INDEX(posImpatto,19))),INDEX(posProbabilita,19)*10+INDEX(posImpatto,19),"")</f>
        <v/>
      </c>
      <c r="N23">
        <f>IF(M23="","",INDEX(posProbabilita,19)*INDEX(posImpatto,19))</f>
        <v/>
      </c>
      <c r="O23">
        <f>IF(M23="","",L23&amp;IF(INDEX(ANA_Attenzione_Supervisore,19)="Sì"," ◆",""))</f>
        <v/>
      </c>
      <c r="P23">
        <f>IF(N23="","",N23-19/1000)</f>
        <v/>
      </c>
      <c r="Q23">
        <f>IFERROR(MATCH(_xlfn.AGGREGATE(14,6,$P$5:$P$24,19),$P$5:$P$24,0),"")</f>
        <v/>
      </c>
      <c r="S23">
        <f>IF($M23=S$4,$O23,"")</f>
        <v/>
      </c>
      <c r="T23">
        <f>IF($M23=T$4,$O23,"")</f>
        <v/>
      </c>
      <c r="U23">
        <f>IF($M23=U$4,$O23,"")</f>
        <v/>
      </c>
      <c r="V23">
        <f>IF($M23=V$4,$O23,"")</f>
        <v/>
      </c>
      <c r="W23">
        <f>IF($M23=W$4,$O23,"")</f>
        <v/>
      </c>
      <c r="X23">
        <f>IF($M23=X$4,$O23,"")</f>
        <v/>
      </c>
      <c r="Y23">
        <f>IF($M23=Y$4,$O23,"")</f>
        <v/>
      </c>
      <c r="Z23">
        <f>IF($M23=Z$4,$O23,"")</f>
        <v/>
      </c>
      <c r="AA23">
        <f>IF($M23=AA$4,$O23,"")</f>
        <v/>
      </c>
      <c r="AB23">
        <f>IF($M23=AB$4,$O23,"")</f>
        <v/>
      </c>
      <c r="AC23">
        <f>IF($M23=AC$4,$O23,"")</f>
        <v/>
      </c>
      <c r="AD23">
        <f>IF($M23=AD$4,$O23,"")</f>
        <v/>
      </c>
      <c r="AE23">
        <f>IF($M23=AE$4,$O23,"")</f>
        <v/>
      </c>
      <c r="AF23">
        <f>IF($M23=AF$4,$O23,"")</f>
        <v/>
      </c>
      <c r="AG23">
        <f>IF($M23=AG$4,$O23,"")</f>
        <v/>
      </c>
      <c r="AH23">
        <f>IF($M23=AH$4,$O23,"")</f>
        <v/>
      </c>
      <c r="AI23">
        <f>IF($M23=AI$4,$O23,"")</f>
        <v/>
      </c>
      <c r="AJ23">
        <f>IF($M23=AJ$4,$O23,"")</f>
        <v/>
      </c>
      <c r="AK23">
        <f>IF($M23=AK$4,$O23,"")</f>
        <v/>
      </c>
      <c r="AL23">
        <f>IF($M23=AL$4,$O23,"")</f>
        <v/>
      </c>
      <c r="AM23">
        <f>IF($M23=AM$4,$O23,"")</f>
        <v/>
      </c>
      <c r="AN23">
        <f>IF($M23=AN$4,$O23,"")</f>
        <v/>
      </c>
      <c r="AO23">
        <f>IF($M23=AO$4,$O23,"")</f>
        <v/>
      </c>
      <c r="AP23">
        <f>IF($M23=AP$4,$O23,"")</f>
        <v/>
      </c>
      <c r="AQ23">
        <f>IF($M23=AQ$4,$O23,"")</f>
        <v/>
      </c>
    </row>
    <row r="24">
      <c r="A24" s="71">
        <f>IF($Q$13="","",INDEX(posID,$Q$13))</f>
        <v/>
      </c>
      <c r="B24" s="36" t="n"/>
      <c r="C24" s="72">
        <f>IF($Q$13="","",INDEX(posNome,$Q$13)&amp;IF(INDEX(ANA_Attenzione_Supervisore,$Q$13)="Sì","  ◆",""))</f>
        <v/>
      </c>
      <c r="D24" s="36" t="n"/>
      <c r="E24" s="36" t="n"/>
      <c r="F24" s="73">
        <f>IF($Q$13="","",INDEX(posProbabilita,$Q$13)&amp;" · "&amp;INDEX(posImpatto,$Q$13))</f>
        <v/>
      </c>
      <c r="G24" s="73">
        <f>IF($Q$13="","",INDEX($N$5:$N$24,$Q$13))</f>
        <v/>
      </c>
      <c r="L24">
        <f>INDEX(posID,20)&amp;""</f>
        <v/>
      </c>
      <c r="M24">
        <f>IF(AND(ISNUMBER(INDEX(posProbabilita,20)),ISNUMBER(INDEX(posImpatto,20))),INDEX(posProbabilita,20)*10+INDEX(posImpatto,20),"")</f>
        <v/>
      </c>
      <c r="N24">
        <f>IF(M24="","",INDEX(posProbabilita,20)*INDEX(posImpatto,20))</f>
        <v/>
      </c>
      <c r="O24">
        <f>IF(M24="","",L24&amp;IF(INDEX(ANA_Attenzione_Supervisore,20)="Sì"," ◆",""))</f>
        <v/>
      </c>
      <c r="P24">
        <f>IF(N24="","",N24-20/1000)</f>
        <v/>
      </c>
      <c r="Q24">
        <f>IFERROR(MATCH(_xlfn.AGGREGATE(14,6,$P$5:$P$24,20),$P$5:$P$24,0),"")</f>
        <v/>
      </c>
      <c r="S24">
        <f>IF($M24=S$4,$O24,"")</f>
        <v/>
      </c>
      <c r="T24">
        <f>IF($M24=T$4,$O24,"")</f>
        <v/>
      </c>
      <c r="U24">
        <f>IF($M24=U$4,$O24,"")</f>
        <v/>
      </c>
      <c r="V24">
        <f>IF($M24=V$4,$O24,"")</f>
        <v/>
      </c>
      <c r="W24">
        <f>IF($M24=W$4,$O24,"")</f>
        <v/>
      </c>
      <c r="X24">
        <f>IF($M24=X$4,$O24,"")</f>
        <v/>
      </c>
      <c r="Y24">
        <f>IF($M24=Y$4,$O24,"")</f>
        <v/>
      </c>
      <c r="Z24">
        <f>IF($M24=Z$4,$O24,"")</f>
        <v/>
      </c>
      <c r="AA24">
        <f>IF($M24=AA$4,$O24,"")</f>
        <v/>
      </c>
      <c r="AB24">
        <f>IF($M24=AB$4,$O24,"")</f>
        <v/>
      </c>
      <c r="AC24">
        <f>IF($M24=AC$4,$O24,"")</f>
        <v/>
      </c>
      <c r="AD24">
        <f>IF($M24=AD$4,$O24,"")</f>
        <v/>
      </c>
      <c r="AE24">
        <f>IF($M24=AE$4,$O24,"")</f>
        <v/>
      </c>
      <c r="AF24">
        <f>IF($M24=AF$4,$O24,"")</f>
        <v/>
      </c>
      <c r="AG24">
        <f>IF($M24=AG$4,$O24,"")</f>
        <v/>
      </c>
      <c r="AH24">
        <f>IF($M24=AH$4,$O24,"")</f>
        <v/>
      </c>
      <c r="AI24">
        <f>IF($M24=AI$4,$O24,"")</f>
        <v/>
      </c>
      <c r="AJ24">
        <f>IF($M24=AJ$4,$O24,"")</f>
        <v/>
      </c>
      <c r="AK24">
        <f>IF($M24=AK$4,$O24,"")</f>
        <v/>
      </c>
      <c r="AL24">
        <f>IF($M24=AL$4,$O24,"")</f>
        <v/>
      </c>
      <c r="AM24">
        <f>IF($M24=AM$4,$O24,"")</f>
        <v/>
      </c>
      <c r="AN24">
        <f>IF($M24=AN$4,$O24,"")</f>
        <v/>
      </c>
      <c r="AO24">
        <f>IF($M24=AO$4,$O24,"")</f>
        <v/>
      </c>
      <c r="AP24">
        <f>IF($M24=AP$4,$O24,"")</f>
        <v/>
      </c>
      <c r="AQ24">
        <f>IF($M24=AQ$4,$O24,"")</f>
        <v/>
      </c>
    </row>
    <row r="25">
      <c r="A25" s="71">
        <f>IF($Q$14="","",INDEX(posID,$Q$14))</f>
        <v/>
      </c>
      <c r="B25" s="36" t="n"/>
      <c r="C25" s="72">
        <f>IF($Q$14="","",INDEX(posNome,$Q$14)&amp;IF(INDEX(ANA_Attenzione_Supervisore,$Q$14)="Sì","  ◆",""))</f>
        <v/>
      </c>
      <c r="D25" s="36" t="n"/>
      <c r="E25" s="36" t="n"/>
      <c r="F25" s="73">
        <f>IF($Q$14="","",INDEX(posProbabilita,$Q$14)&amp;" · "&amp;INDEX(posImpatto,$Q$14))</f>
        <v/>
      </c>
      <c r="G25" s="73">
        <f>IF($Q$14="","",INDEX($N$5:$N$24,$Q$14))</f>
        <v/>
      </c>
    </row>
    <row r="26">
      <c r="A26" s="71">
        <f>IF($Q$15="","",INDEX(posID,$Q$15))</f>
        <v/>
      </c>
      <c r="B26" s="36" t="n"/>
      <c r="C26" s="72">
        <f>IF($Q$15="","",INDEX(posNome,$Q$15)&amp;IF(INDEX(ANA_Attenzione_Supervisore,$Q$15)="Sì","  ◆",""))</f>
        <v/>
      </c>
      <c r="D26" s="36" t="n"/>
      <c r="E26" s="36" t="n"/>
      <c r="F26" s="73">
        <f>IF($Q$15="","",INDEX(posProbabilita,$Q$15)&amp;" · "&amp;INDEX(posImpatto,$Q$15))</f>
        <v/>
      </c>
      <c r="G26" s="73">
        <f>IF($Q$15="","",INDEX($N$5:$N$24,$Q$15))</f>
        <v/>
      </c>
    </row>
    <row r="27">
      <c r="A27" s="71">
        <f>IF($Q$16="","",INDEX(posID,$Q$16))</f>
        <v/>
      </c>
      <c r="B27" s="36" t="n"/>
      <c r="C27" s="72">
        <f>IF($Q$16="","",INDEX(posNome,$Q$16)&amp;IF(INDEX(ANA_Attenzione_Supervisore,$Q$16)="Sì","  ◆",""))</f>
        <v/>
      </c>
      <c r="D27" s="36" t="n"/>
      <c r="E27" s="36" t="n"/>
      <c r="F27" s="73">
        <f>IF($Q$16="","",INDEX(posProbabilita,$Q$16)&amp;" · "&amp;INDEX(posImpatto,$Q$16))</f>
        <v/>
      </c>
      <c r="G27" s="73">
        <f>IF($Q$16="","",INDEX($N$5:$N$24,$Q$16))</f>
        <v/>
      </c>
    </row>
    <row r="28">
      <c r="A28" s="71">
        <f>IF($Q$17="","",INDEX(posID,$Q$17))</f>
        <v/>
      </c>
      <c r="B28" s="36" t="n"/>
      <c r="C28" s="72">
        <f>IF($Q$17="","",INDEX(posNome,$Q$17)&amp;IF(INDEX(ANA_Attenzione_Supervisore,$Q$17)="Sì","  ◆",""))</f>
        <v/>
      </c>
      <c r="D28" s="36" t="n"/>
      <c r="E28" s="36" t="n"/>
      <c r="F28" s="73">
        <f>IF($Q$17="","",INDEX(posProbabilita,$Q$17)&amp;" · "&amp;INDEX(posImpatto,$Q$17))</f>
        <v/>
      </c>
      <c r="G28" s="73">
        <f>IF($Q$17="","",INDEX($N$5:$N$24,$Q$17))</f>
        <v/>
      </c>
    </row>
    <row r="29">
      <c r="A29" s="71">
        <f>IF($Q$18="","",INDEX(posID,$Q$18))</f>
        <v/>
      </c>
      <c r="B29" s="36" t="n"/>
      <c r="C29" s="72">
        <f>IF($Q$18="","",INDEX(posNome,$Q$18)&amp;IF(INDEX(ANA_Attenzione_Supervisore,$Q$18)="Sì","  ◆",""))</f>
        <v/>
      </c>
      <c r="D29" s="36" t="n"/>
      <c r="E29" s="36" t="n"/>
      <c r="F29" s="73">
        <f>IF($Q$18="","",INDEX(posProbabilita,$Q$18)&amp;" · "&amp;INDEX(posImpatto,$Q$18))</f>
        <v/>
      </c>
      <c r="G29" s="73">
        <f>IF($Q$18="","",INDEX($N$5:$N$24,$Q$18))</f>
        <v/>
      </c>
    </row>
    <row r="30">
      <c r="A30" s="71">
        <f>IF($Q$19="","",INDEX(posID,$Q$19))</f>
        <v/>
      </c>
      <c r="B30" s="36" t="n"/>
      <c r="C30" s="72">
        <f>IF($Q$19="","",INDEX(posNome,$Q$19)&amp;IF(INDEX(ANA_Attenzione_Supervisore,$Q$19)="Sì","  ◆",""))</f>
        <v/>
      </c>
      <c r="D30" s="36" t="n"/>
      <c r="E30" s="36" t="n"/>
      <c r="F30" s="73">
        <f>IF($Q$19="","",INDEX(posProbabilita,$Q$19)&amp;" · "&amp;INDEX(posImpatto,$Q$19))</f>
        <v/>
      </c>
      <c r="G30" s="73">
        <f>IF($Q$19="","",INDEX($N$5:$N$24,$Q$19))</f>
        <v/>
      </c>
    </row>
    <row r="31">
      <c r="A31" s="71">
        <f>IF($Q$20="","",INDEX(posID,$Q$20))</f>
        <v/>
      </c>
      <c r="B31" s="36" t="n"/>
      <c r="C31" s="72">
        <f>IF($Q$20="","",INDEX(posNome,$Q$20)&amp;IF(INDEX(ANA_Attenzione_Supervisore,$Q$20)="Sì","  ◆",""))</f>
        <v/>
      </c>
      <c r="D31" s="36" t="n"/>
      <c r="E31" s="36" t="n"/>
      <c r="F31" s="73">
        <f>IF($Q$20="","",INDEX(posProbabilita,$Q$20)&amp;" · "&amp;INDEX(posImpatto,$Q$20))</f>
        <v/>
      </c>
      <c r="G31" s="73">
        <f>IF($Q$20="","",INDEX($N$5:$N$24,$Q$20))</f>
        <v/>
      </c>
    </row>
    <row r="32">
      <c r="A32" s="71">
        <f>IF($Q$21="","",INDEX(posID,$Q$21))</f>
        <v/>
      </c>
      <c r="B32" s="36" t="n"/>
      <c r="C32" s="72">
        <f>IF($Q$21="","",INDEX(posNome,$Q$21)&amp;IF(INDEX(ANA_Attenzione_Supervisore,$Q$21)="Sì","  ◆",""))</f>
        <v/>
      </c>
      <c r="D32" s="36" t="n"/>
      <c r="E32" s="36" t="n"/>
      <c r="F32" s="73">
        <f>IF($Q$21="","",INDEX(posProbabilita,$Q$21)&amp;" · "&amp;INDEX(posImpatto,$Q$21))</f>
        <v/>
      </c>
      <c r="G32" s="73">
        <f>IF($Q$21="","",INDEX($N$5:$N$24,$Q$21))</f>
        <v/>
      </c>
    </row>
    <row r="33">
      <c r="A33" s="71">
        <f>IF($Q$22="","",INDEX(posID,$Q$22))</f>
        <v/>
      </c>
      <c r="B33" s="36" t="n"/>
      <c r="C33" s="72">
        <f>IF($Q$22="","",INDEX(posNome,$Q$22)&amp;IF(INDEX(ANA_Attenzione_Supervisore,$Q$22)="Sì","  ◆",""))</f>
        <v/>
      </c>
      <c r="D33" s="36" t="n"/>
      <c r="E33" s="36" t="n"/>
      <c r="F33" s="73">
        <f>IF($Q$22="","",INDEX(posProbabilita,$Q$22)&amp;" · "&amp;INDEX(posImpatto,$Q$22))</f>
        <v/>
      </c>
      <c r="G33" s="73">
        <f>IF($Q$22="","",INDEX($N$5:$N$24,$Q$22))</f>
        <v/>
      </c>
    </row>
    <row r="34">
      <c r="A34" s="71">
        <f>IF($Q$23="","",INDEX(posID,$Q$23))</f>
        <v/>
      </c>
      <c r="B34" s="36" t="n"/>
      <c r="C34" s="72">
        <f>IF($Q$23="","",INDEX(posNome,$Q$23)&amp;IF(INDEX(ANA_Attenzione_Supervisore,$Q$23)="Sì","  ◆",""))</f>
        <v/>
      </c>
      <c r="D34" s="36" t="n"/>
      <c r="E34" s="36" t="n"/>
      <c r="F34" s="73">
        <f>IF($Q$23="","",INDEX(posProbabilita,$Q$23)&amp;" · "&amp;INDEX(posImpatto,$Q$23))</f>
        <v/>
      </c>
      <c r="G34" s="73">
        <f>IF($Q$23="","",INDEX($N$5:$N$24,$Q$23))</f>
        <v/>
      </c>
    </row>
    <row r="35">
      <c r="A35" s="71">
        <f>IF($Q$24="","",INDEX(posID,$Q$24))</f>
        <v/>
      </c>
      <c r="B35" s="36" t="n"/>
      <c r="C35" s="72">
        <f>IF($Q$24="","",INDEX(posNome,$Q$24)&amp;IF(INDEX(ANA_Attenzione_Supervisore,$Q$24)="Sì","  ◆",""))</f>
        <v/>
      </c>
      <c r="D35" s="36" t="n"/>
      <c r="E35" s="36" t="n"/>
      <c r="F35" s="73">
        <f>IF($Q$24="","",INDEX(posProbabilita,$Q$24)&amp;" · "&amp;INDEX(posImpatto,$Q$24))</f>
        <v/>
      </c>
      <c r="G35" s="73">
        <f>IF($Q$24="","",INDEX($N$5:$N$24,$Q$24))</f>
        <v/>
      </c>
    </row>
    <row r="37" ht="26" customHeight="1">
      <c r="A37" s="56" t="inlineStr">
        <is>
          <t>Legenda — P = Probabilita, I = Impatto, P x I = Probabilita x Impatto, da 1 a 25; verde fino a 6, ambra da 8 a 12, rosso da 15. NFR-nn = codice del rischio; ◆ = tema all'attenzione del supervisore (BCE, EBA, Banca d'Italia), indicato dal validatore.</t>
        </is>
      </c>
    </row>
  </sheetData>
  <mergeCells count="46">
    <mergeCell ref="C16:E16"/>
    <mergeCell ref="A14:G14"/>
    <mergeCell ref="A24:B24"/>
    <mergeCell ref="A30:B30"/>
    <mergeCell ref="A31:B31"/>
    <mergeCell ref="A15:B15"/>
    <mergeCell ref="C31:E31"/>
    <mergeCell ref="C22:E22"/>
    <mergeCell ref="C21:E21"/>
    <mergeCell ref="A16:B16"/>
    <mergeCell ref="C27:E27"/>
    <mergeCell ref="A25:B25"/>
    <mergeCell ref="C23:E23"/>
    <mergeCell ref="C17:E17"/>
    <mergeCell ref="A18:B18"/>
    <mergeCell ref="A27:B27"/>
    <mergeCell ref="C32:E32"/>
    <mergeCell ref="A26:B26"/>
    <mergeCell ref="A21:B21"/>
    <mergeCell ref="C28:E28"/>
    <mergeCell ref="A1:G1"/>
    <mergeCell ref="C19:E19"/>
    <mergeCell ref="A33:B33"/>
    <mergeCell ref="C18:E18"/>
    <mergeCell ref="A32:B32"/>
    <mergeCell ref="A23:B23"/>
    <mergeCell ref="A17:B17"/>
    <mergeCell ref="C30:E30"/>
    <mergeCell ref="C34:E34"/>
    <mergeCell ref="C15:E15"/>
    <mergeCell ref="A22:B22"/>
    <mergeCell ref="C24:E24"/>
    <mergeCell ref="A35:B35"/>
    <mergeCell ref="A37:G37"/>
    <mergeCell ref="A20:B20"/>
    <mergeCell ref="C33:E33"/>
    <mergeCell ref="A29:B29"/>
    <mergeCell ref="A19:B19"/>
    <mergeCell ref="A28:B28"/>
    <mergeCell ref="C26:E26"/>
    <mergeCell ref="A2:G2"/>
    <mergeCell ref="C29:E29"/>
    <mergeCell ref="C20:E20"/>
    <mergeCell ref="C35:E35"/>
    <mergeCell ref="C25:E25"/>
    <mergeCell ref="A34:B34"/>
  </mergeCells>
  <conditionalFormatting sqref="G16:G35">
    <cfRule type="expression" priority="1" dxfId="12">
      <formula>AND(ISNUMBER(G16),G16&gt;=15)</formula>
    </cfRule>
    <cfRule type="expression" priority="2" dxfId="13">
      <formula>AND(ISNUMBER(G16),G16&gt;=8,G16&lt;15)</formula>
    </cfRule>
    <cfRule type="expression" priority="3" dxfId="14">
      <formula>AND(ISNUMBER(G16),G16&lt;8)</formula>
    </cfRule>
  </conditionalFormatting>
  <pageMargins left="0.4" right="0.4" top="1" bottom="1" header="0.5" footer="0.5"/>
  <pageSetup orientation="landscape" paperSize="9" fitToHeight="1" fitToWidth="1"/>
  <headerFooter>
    <oddHeader>&amp;L&amp;A&amp;CUso interno&amp;RHorizon Scan NFR</oddHeader>
    <oddFooter>&amp;L&amp;F&amp;RPagina &amp;P di &amp;N</oddFooter>
    <evenHeader/>
    <evenFooter/>
    <firstHeader/>
    <firstFooter/>
  </headerFooter>
</worksheet>
</file>

<file path=xl/worksheets/sheet6.xml><?xml version="1.0" encoding="utf-8"?>
<worksheet xmlns="http://schemas.openxmlformats.org/spreadsheetml/2006/main">
  <sheetPr>
    <tabColor rgb="001F3864"/>
    <outlinePr summaryBelow="1" summaryRight="1"/>
    <pageSetUpPr fitToPage="1"/>
  </sheetPr>
  <dimension ref="A1:AT52"/>
  <sheetViews>
    <sheetView showGridLines="0" workbookViewId="0">
      <selection activeCell="A1" sqref="A1"/>
    </sheetView>
  </sheetViews>
  <sheetFormatPr baseColWidth="8" defaultRowHeight="15"/>
  <cols>
    <col width="9" customWidth="1" min="1" max="1"/>
    <col width="30" customWidth="1" min="2" max="2"/>
    <col width="10" customWidth="1" min="3" max="3"/>
    <col width="10" customWidth="1" min="4" max="4"/>
    <col width="10" customWidth="1" min="5" max="5"/>
    <col width="10" customWidth="1" min="6" max="6"/>
    <col width="10" customWidth="1" min="7" max="7"/>
    <col width="2" customWidth="1" min="10" max="10"/>
    <col width="8" customWidth="1" min="11" max="11"/>
    <col width="7" customWidth="1" min="12" max="12"/>
    <col width="14" customWidth="1" min="13" max="13"/>
    <col width="14" customWidth="1" min="14" max="14"/>
    <col width="14" customWidth="1" min="15" max="15"/>
    <col width="14" customWidth="1" min="16" max="16"/>
    <col width="14" customWidth="1" min="17" max="17"/>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6" max="46"/>
  </cols>
  <sheetData>
    <row r="1" ht="28" customHeight="1">
      <c r="A1" s="1">
        <f>"Horizon Scan NFR — Delta: che cosa e' cambiato dal ciclo precedente   ·   "&amp;etichettaCiclo</f>
        <v/>
      </c>
      <c r="B1" s="2" t="n"/>
      <c r="C1" s="2" t="n"/>
      <c r="D1" s="2" t="n"/>
      <c r="E1" s="2" t="n"/>
      <c r="F1" s="2" t="n"/>
      <c r="G1" s="2" t="n"/>
      <c r="H1" s="2" t="n"/>
      <c r="I1" s="2" t="n"/>
      <c r="J1" s="2" t="n"/>
      <c r="K1" s="2" t="n"/>
      <c r="L1" s="2" t="n"/>
      <c r="M1" s="2" t="n"/>
      <c r="N1" s="2" t="n"/>
      <c r="O1" s="2" t="n"/>
      <c r="P1" s="2" t="n"/>
      <c r="Q1" s="2" t="n"/>
    </row>
    <row r="2" ht="45.5" customHeight="1">
      <c r="A2" s="13" t="inlineStr">
        <is>
          <r>
            <rPr>
              <rFont val="Calibri"/>
              <b val="1"/>
              <color rgb="001F4E79"/>
              <sz val="10"/>
            </rPr>
            <t>CICLO TRIMESTRALE — solo formule: ciclo corrente contro il precedente.</t>
          </r>
          <r>
            <rPr>
              <rFont val="Calibri"/>
              <color rgb="00262626"/>
              <sz val="10"/>
            </rPr>
            <t xml:space="preserve">
Come si legge: una barra per rischio, dalla variazione piu' alta dello score composito; rosso in aumento, blu in diminuzione, grigio invariato. A fianco, nello stesso ordine, il motivo con l'evidenza e la sua data; sotto, quanto vale un punto di ogni dimensione e il dettaglio per dimensione (la Nota segnala una violazione della regola del punto). Velocity n.v. = non valutata in uno dei due cicli.</t>
          </r>
        </is>
      </c>
      <c r="AT2">
        <f>COUNTIF($AI$5:$AI$24,"&gt;0")&amp;" in aumento, "&amp;COUNTIF($AI$5:$AI$24,"&lt;0")&amp;" in diminuzione, "&amp;COUNTIF($AI$5:$AI$24,0)&amp;" invariati"</f>
        <v/>
      </c>
    </row>
    <row r="4">
      <c r="K4" s="29" t="inlineStr">
        <is>
          <t>Perche' varia (o no), nello stesso ordine</t>
        </is>
      </c>
      <c r="L4" s="30" t="n"/>
      <c r="M4" s="30" t="n"/>
      <c r="N4" s="30" t="n"/>
      <c r="O4" s="30" t="n"/>
      <c r="P4" s="30" t="n"/>
      <c r="Q4" s="30" t="n"/>
      <c r="AD4" t="inlineStr">
        <is>
          <t>ID</t>
        </is>
      </c>
      <c r="AE4" t="inlineStr">
        <is>
          <t>Δ Imp</t>
        </is>
      </c>
      <c r="AF4" t="inlineStr">
        <is>
          <t>Δ Prob</t>
        </is>
      </c>
      <c r="AG4" t="inlineStr">
        <is>
          <t>Δ Pross</t>
        </is>
      </c>
      <c r="AH4" t="inlineStr">
        <is>
          <t>Δ Vel</t>
        </is>
      </c>
      <c r="AI4" t="inlineStr">
        <is>
          <t>Δ Score</t>
        </is>
      </c>
      <c r="AJ4" t="inlineStr">
        <is>
          <t>Chiave</t>
        </is>
      </c>
      <c r="AK4" t="inlineStr">
        <is>
          <t>Pos.</t>
        </is>
      </c>
      <c r="AL4" t="inlineStr">
        <is>
          <t>Etichetta</t>
        </is>
      </c>
      <c r="AM4" t="inlineStr">
        <is>
          <t>In aumento</t>
        </is>
      </c>
      <c r="AN4" t="inlineStr">
        <is>
          <t>In diminuzione</t>
        </is>
      </c>
      <c r="AO4" t="inlineStr">
        <is>
          <t>Invariato</t>
        </is>
      </c>
    </row>
    <row r="5">
      <c r="K5" s="70" t="inlineStr">
        <is>
          <t>Rischio</t>
        </is>
      </c>
      <c r="L5" s="70" t="inlineStr">
        <is>
          <t>Δ</t>
        </is>
      </c>
      <c r="M5" s="70" t="inlineStr">
        <is>
          <t>Motivo, con l'evidenza</t>
        </is>
      </c>
      <c r="AD5">
        <f>INDEX(posID,1)&amp;""</f>
        <v/>
      </c>
      <c r="AE5">
        <f>IF($AD5="",NA(),IF(COUNTIFS(RR_ID_Rischio,$AD5,RR_Ciclo,cicloCorrente,RR_Impatto,"&lt;&gt;")*COUNTIFS(RR_ID_Rischio,$AD5,RR_Ciclo,cicloPrecedente,RR_Impatto,"&lt;&gt;")=0,NA(),SUMIFS(RR_Impatto,RR_ID_Rischio,$AD5,RR_Ciclo,cicloCorrente)-SUMIFS(RR_Impatto,RR_ID_Rischio,$AD5,RR_Ciclo,cicloPrecedente)))</f>
        <v/>
      </c>
      <c r="AF5">
        <f>IF($AD5="",NA(),IF(COUNTIFS(RR_ID_Rischio,$AD5,RR_Ciclo,cicloCorrente,RR_Probabilita,"&lt;&gt;")*COUNTIFS(RR_ID_Rischio,$AD5,RR_Ciclo,cicloPrecedente,RR_Probabilita,"&lt;&gt;")=0,NA(),SUMIFS(RR_Probabilita,RR_ID_Rischio,$AD5,RR_Ciclo,cicloCorrente)-SUMIFS(RR_Probabilita,RR_ID_Rischio,$AD5,RR_Ciclo,cicloPrecedente)))</f>
        <v/>
      </c>
      <c r="AG5">
        <f>IF($AD5="",NA(),IF(COUNTIFS(RR_ID_Rischio,$AD5,RR_Ciclo,cicloCorrente,RR_Prossimita,"&lt;&gt;")*COUNTIFS(RR_ID_Rischio,$AD5,RR_Ciclo,cicloPrecedente,RR_Prossimita,"&lt;&gt;")=0,NA(),SUMIFS(RR_Prossimita,RR_ID_Rischio,$AD5,RR_Ciclo,cicloCorrente)-SUMIFS(RR_Prossimita,RR_ID_Rischio,$AD5,RR_Ciclo,cicloPrecedente)))</f>
        <v/>
      </c>
      <c r="AH5">
        <f>IF($AD5="",NA(),IF(COUNTIFS(RR_ID_Rischio,$AD5,RR_Ciclo,cicloCorrente,RR_Velocity,"&lt;&gt;")*COUNTIFS(RR_ID_Rischio,$AD5,RR_Ciclo,cicloPrecedente,RR_Velocity,"&lt;&gt;")=0,NA(),SUMIFS(RR_Velocity,RR_ID_Rischio,$AD5,RR_Ciclo,cicloCorrente)-SUMIFS(RR_Velocity,RR_ID_Rischio,$AD5,RR_Ciclo,cicloPrecedente)))</f>
        <v/>
      </c>
      <c r="AI5">
        <f>IF($AD5="",NA(),IF(COUNTIFS(RR_ID_Rischio,$AD5,RR_Ciclo,cicloCorrente,RR_Score_Composito,"&lt;&gt;")*COUNTIFS(RR_ID_Rischio,$AD5,RR_Ciclo,cicloPrecedente,RR_Score_Composito,"&lt;&gt;")=0,NA(),SUMIFS(RR_Score_Composito,RR_ID_Rischio,$AD5,RR_Ciclo,cicloCorrente)-SUMIFS(RR_Score_Composito,RR_ID_Rischio,$AD5,RR_Ciclo,cicloPrecedente)))</f>
        <v/>
      </c>
      <c r="AJ5">
        <f>IF($AD5="","",IF(ISNUMBER(AI5),AI5,-9)-1/100000)</f>
        <v/>
      </c>
      <c r="AK5">
        <f>IFERROR(MATCH(_xlfn.AGGREGATE(14,6,$AJ$5:$AJ$24,1),$AJ$5:$AJ$24,0),"")</f>
        <v/>
      </c>
      <c r="AL5">
        <f>IF($AK5="","",INDEX(posID,$AK5)&amp;"  "&amp;LEFT(INDEX(posNome,$AK5),30))</f>
        <v/>
      </c>
      <c r="AM5" s="74">
        <f>IF($AK5="",NA(),IF(ISNUMBER(INDEX($AI$5:$AI$24,$AK5)),IF(INDEX($AI$5:$AI$24,$AK5)&gt;0,INDEX($AI$5:$AI$24,$AK5),0),NA()))</f>
        <v/>
      </c>
      <c r="AN5" s="74">
        <f>IF($AK5="",NA(),IF(ISNUMBER(INDEX($AI$5:$AI$24,$AK5)),IF(INDEX($AI$5:$AI$24,$AK5)&lt;0,INDEX($AI$5:$AI$24,$AK5),0),NA()))</f>
        <v/>
      </c>
      <c r="AO5" s="74">
        <f>IF($AK5="",NA(),IF(ISNUMBER(INDEX($AI$5:$AI$24,$AK5)),IF(INDEX($AI$5:$AI$24,$AK5)=0,0,NA()),NA()))</f>
        <v/>
      </c>
    </row>
    <row r="6" ht="30" customHeight="1">
      <c r="K6" s="75">
        <f>IF($AK$5="","",INDEX(posID,$AK$5))</f>
        <v/>
      </c>
      <c r="L6" s="76">
        <f>IF($AK$5="","",IFERROR(INDEX($AI$5:$AI$24,$AK$5),"nuovo"))</f>
        <v/>
      </c>
      <c r="M6" s="77">
        <f>IF($AK$5="","",IFERROR(IF(INDEX(RR_Esito,MATCH(cicloCorrente&amp;"|"&amp;INDEX(posID,$AK$5),RR_Chiave,0))="Nuovo","Rischio nuovo nel ciclo.",IF(INDEX(RR_Variazioni,MATCH(cicloCorrente&amp;"|"&amp;INDEX(posID,$AK$5),RR_Chiave,0))&amp;""="[]","Invariato: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$5),RR_Chiave,0))&amp;"","[{""dimensione"": ""","• "),"""}, {""dimensione"": """,")"&amp;CHAR(10)&amp;"• "),""", ""da"": "," "),", ""a"": "," → "),", ""evidenza"": """,": "),""", ""data_evidenza"": """," ("),"""}]",")")," null → "," n.v. → ")," → null:"," → n.v.:"),"• impatto","• Impatto"),"• velocity","• Velocity"),"• prossimita","• Prossimita"),"• confidence","• Confidence"),"• probabilita","• Probabilita"),"• severity","• Impatto"))),"Non valutato nel ciclo."))</f>
        <v/>
      </c>
      <c r="N6" s="4" t="n"/>
      <c r="O6" s="4" t="n"/>
      <c r="P6" s="4" t="n"/>
      <c r="Q6" s="4" t="n"/>
      <c r="AD6">
        <f>INDEX(posID,2)&amp;""</f>
        <v/>
      </c>
      <c r="AE6">
        <f>IF($AD6="",NA(),IF(COUNTIFS(RR_ID_Rischio,$AD6,RR_Ciclo,cicloCorrente,RR_Impatto,"&lt;&gt;")*COUNTIFS(RR_ID_Rischio,$AD6,RR_Ciclo,cicloPrecedente,RR_Impatto,"&lt;&gt;")=0,NA(),SUMIFS(RR_Impatto,RR_ID_Rischio,$AD6,RR_Ciclo,cicloCorrente)-SUMIFS(RR_Impatto,RR_ID_Rischio,$AD6,RR_Ciclo,cicloPrecedente)))</f>
        <v/>
      </c>
      <c r="AF6">
        <f>IF($AD6="",NA(),IF(COUNTIFS(RR_ID_Rischio,$AD6,RR_Ciclo,cicloCorrente,RR_Probabilita,"&lt;&gt;")*COUNTIFS(RR_ID_Rischio,$AD6,RR_Ciclo,cicloPrecedente,RR_Probabilita,"&lt;&gt;")=0,NA(),SUMIFS(RR_Probabilita,RR_ID_Rischio,$AD6,RR_Ciclo,cicloCorrente)-SUMIFS(RR_Probabilita,RR_ID_Rischio,$AD6,RR_Ciclo,cicloPrecedente)))</f>
        <v/>
      </c>
      <c r="AG6">
        <f>IF($AD6="",NA(),IF(COUNTIFS(RR_ID_Rischio,$AD6,RR_Ciclo,cicloCorrente,RR_Prossimita,"&lt;&gt;")*COUNTIFS(RR_ID_Rischio,$AD6,RR_Ciclo,cicloPrecedente,RR_Prossimita,"&lt;&gt;")=0,NA(),SUMIFS(RR_Prossimita,RR_ID_Rischio,$AD6,RR_Ciclo,cicloCorrente)-SUMIFS(RR_Prossimita,RR_ID_Rischio,$AD6,RR_Ciclo,cicloPrecedente)))</f>
        <v/>
      </c>
      <c r="AH6">
        <f>IF($AD6="",NA(),IF(COUNTIFS(RR_ID_Rischio,$AD6,RR_Ciclo,cicloCorrente,RR_Velocity,"&lt;&gt;")*COUNTIFS(RR_ID_Rischio,$AD6,RR_Ciclo,cicloPrecedente,RR_Velocity,"&lt;&gt;")=0,NA(),SUMIFS(RR_Velocity,RR_ID_Rischio,$AD6,RR_Ciclo,cicloCorrente)-SUMIFS(RR_Velocity,RR_ID_Rischio,$AD6,RR_Ciclo,cicloPrecedente)))</f>
        <v/>
      </c>
      <c r="AI6">
        <f>IF($AD6="",NA(),IF(COUNTIFS(RR_ID_Rischio,$AD6,RR_Ciclo,cicloCorrente,RR_Score_Composito,"&lt;&gt;")*COUNTIFS(RR_ID_Rischio,$AD6,RR_Ciclo,cicloPrecedente,RR_Score_Composito,"&lt;&gt;")=0,NA(),SUMIFS(RR_Score_Composito,RR_ID_Rischio,$AD6,RR_Ciclo,cicloCorrente)-SUMIFS(RR_Score_Composito,RR_ID_Rischio,$AD6,RR_Ciclo,cicloPrecedente)))</f>
        <v/>
      </c>
      <c r="AJ6">
        <f>IF($AD6="","",IF(ISNUMBER(AI6),AI6,-9)-2/100000)</f>
        <v/>
      </c>
      <c r="AK6">
        <f>IFERROR(MATCH(_xlfn.AGGREGATE(14,6,$AJ$5:$AJ$24,2),$AJ$5:$AJ$24,0),"")</f>
        <v/>
      </c>
      <c r="AL6">
        <f>IF($AK6="","",INDEX(posID,$AK6)&amp;"  "&amp;LEFT(INDEX(posNome,$AK6),30))</f>
        <v/>
      </c>
      <c r="AM6" s="74">
        <f>IF($AK6="",NA(),IF(ISNUMBER(INDEX($AI$5:$AI$24,$AK6)),IF(INDEX($AI$5:$AI$24,$AK6)&gt;0,INDEX($AI$5:$AI$24,$AK6),0),NA()))</f>
        <v/>
      </c>
      <c r="AN6" s="74">
        <f>IF($AK6="",NA(),IF(ISNUMBER(INDEX($AI$5:$AI$24,$AK6)),IF(INDEX($AI$5:$AI$24,$AK6)&lt;0,INDEX($AI$5:$AI$24,$AK6),0),NA()))</f>
        <v/>
      </c>
      <c r="AO6" s="74">
        <f>IF($AK6="",NA(),IF(ISNUMBER(INDEX($AI$5:$AI$24,$AK6)),IF(INDEX($AI$5:$AI$24,$AK6)=0,0,NA()),NA()))</f>
        <v/>
      </c>
    </row>
    <row r="7" ht="30" customHeight="1">
      <c r="K7" s="75">
        <f>IF($AK$6="","",INDEX(posID,$AK$6))</f>
        <v/>
      </c>
      <c r="L7" s="76">
        <f>IF($AK$6="","",IFERROR(INDEX($AI$5:$AI$24,$AK$6),"nuovo"))</f>
        <v/>
      </c>
      <c r="M7" s="77">
        <f>IF($AK$6="","",IFERROR(IF(INDEX(RR_Esito,MATCH(cicloCorrente&amp;"|"&amp;INDEX(posID,$AK$6),RR_Chiave,0))="Nuovo","Rischio nuovo nel ciclo.",IF(INDEX(RR_Variazioni,MATCH(cicloCorrente&amp;"|"&amp;INDEX(posID,$AK$6),RR_Chiave,0))&amp;""="[]","Invariato: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$6),RR_Chiave,0))&amp;"","[{""dimensione"": ""","• "),"""}, {""dimensione"": """,")"&amp;CHAR(10)&amp;"• "),""", ""da"": "," "),", ""a"": "," → "),", ""evidenza"": """,": "),""", ""data_evidenza"": """," ("),"""}]",")")," null → "," n.v. → ")," → null:"," → n.v.:"),"• impatto","• Impatto"),"• velocity","• Velocity"),"• prossimita","• Prossimita"),"• confidence","• Confidence"),"• probabilita","• Probabilita"),"• severity","• Impatto"))),"Non valutato nel ciclo."))</f>
        <v/>
      </c>
      <c r="N7" s="4" t="n"/>
      <c r="O7" s="4" t="n"/>
      <c r="P7" s="4" t="n"/>
      <c r="Q7" s="4" t="n"/>
      <c r="AD7">
        <f>INDEX(posID,3)&amp;""</f>
        <v/>
      </c>
      <c r="AE7">
        <f>IF($AD7="",NA(),IF(COUNTIFS(RR_ID_Rischio,$AD7,RR_Ciclo,cicloCorrente,RR_Impatto,"&lt;&gt;")*COUNTIFS(RR_ID_Rischio,$AD7,RR_Ciclo,cicloPrecedente,RR_Impatto,"&lt;&gt;")=0,NA(),SUMIFS(RR_Impatto,RR_ID_Rischio,$AD7,RR_Ciclo,cicloCorrente)-SUMIFS(RR_Impatto,RR_ID_Rischio,$AD7,RR_Ciclo,cicloPrecedente)))</f>
        <v/>
      </c>
      <c r="AF7">
        <f>IF($AD7="",NA(),IF(COUNTIFS(RR_ID_Rischio,$AD7,RR_Ciclo,cicloCorrente,RR_Probabilita,"&lt;&gt;")*COUNTIFS(RR_ID_Rischio,$AD7,RR_Ciclo,cicloPrecedente,RR_Probabilita,"&lt;&gt;")=0,NA(),SUMIFS(RR_Probabilita,RR_ID_Rischio,$AD7,RR_Ciclo,cicloCorrente)-SUMIFS(RR_Probabilita,RR_ID_Rischio,$AD7,RR_Ciclo,cicloPrecedente)))</f>
        <v/>
      </c>
      <c r="AG7">
        <f>IF($AD7="",NA(),IF(COUNTIFS(RR_ID_Rischio,$AD7,RR_Ciclo,cicloCorrente,RR_Prossimita,"&lt;&gt;")*COUNTIFS(RR_ID_Rischio,$AD7,RR_Ciclo,cicloPrecedente,RR_Prossimita,"&lt;&gt;")=0,NA(),SUMIFS(RR_Prossimita,RR_ID_Rischio,$AD7,RR_Ciclo,cicloCorrente)-SUMIFS(RR_Prossimita,RR_ID_Rischio,$AD7,RR_Ciclo,cicloPrecedente)))</f>
        <v/>
      </c>
      <c r="AH7">
        <f>IF($AD7="",NA(),IF(COUNTIFS(RR_ID_Rischio,$AD7,RR_Ciclo,cicloCorrente,RR_Velocity,"&lt;&gt;")*COUNTIFS(RR_ID_Rischio,$AD7,RR_Ciclo,cicloPrecedente,RR_Velocity,"&lt;&gt;")=0,NA(),SUMIFS(RR_Velocity,RR_ID_Rischio,$AD7,RR_Ciclo,cicloCorrente)-SUMIFS(RR_Velocity,RR_ID_Rischio,$AD7,RR_Ciclo,cicloPrecedente)))</f>
        <v/>
      </c>
      <c r="AI7">
        <f>IF($AD7="",NA(),IF(COUNTIFS(RR_ID_Rischio,$AD7,RR_Ciclo,cicloCorrente,RR_Score_Composito,"&lt;&gt;")*COUNTIFS(RR_ID_Rischio,$AD7,RR_Ciclo,cicloPrecedente,RR_Score_Composito,"&lt;&gt;")=0,NA(),SUMIFS(RR_Score_Composito,RR_ID_Rischio,$AD7,RR_Ciclo,cicloCorrente)-SUMIFS(RR_Score_Composito,RR_ID_Rischio,$AD7,RR_Ciclo,cicloPrecedente)))</f>
        <v/>
      </c>
      <c r="AJ7">
        <f>IF($AD7="","",IF(ISNUMBER(AI7),AI7,-9)-3/100000)</f>
        <v/>
      </c>
      <c r="AK7">
        <f>IFERROR(MATCH(_xlfn.AGGREGATE(14,6,$AJ$5:$AJ$24,3),$AJ$5:$AJ$24,0),"")</f>
        <v/>
      </c>
      <c r="AL7">
        <f>IF($AK7="","",INDEX(posID,$AK7)&amp;"  "&amp;LEFT(INDEX(posNome,$AK7),30))</f>
        <v/>
      </c>
      <c r="AM7" s="74">
        <f>IF($AK7="",NA(),IF(ISNUMBER(INDEX($AI$5:$AI$24,$AK7)),IF(INDEX($AI$5:$AI$24,$AK7)&gt;0,INDEX($AI$5:$AI$24,$AK7),0),NA()))</f>
        <v/>
      </c>
      <c r="AN7" s="74">
        <f>IF($AK7="",NA(),IF(ISNUMBER(INDEX($AI$5:$AI$24,$AK7)),IF(INDEX($AI$5:$AI$24,$AK7)&lt;0,INDEX($AI$5:$AI$24,$AK7),0),NA()))</f>
        <v/>
      </c>
      <c r="AO7" s="74">
        <f>IF($AK7="",NA(),IF(ISNUMBER(INDEX($AI$5:$AI$24,$AK7)),IF(INDEX($AI$5:$AI$24,$AK7)=0,0,NA()),NA()))</f>
        <v/>
      </c>
    </row>
    <row r="8" ht="30" customHeight="1">
      <c r="K8" s="75">
        <f>IF($AK$7="","",INDEX(posID,$AK$7))</f>
        <v/>
      </c>
      <c r="L8" s="76">
        <f>IF($AK$7="","",IFERROR(INDEX($AI$5:$AI$24,$AK$7),"nuovo"))</f>
        <v/>
      </c>
      <c r="M8" s="77">
        <f>IF($AK$7="","",IFERROR(IF(INDEX(RR_Esito,MATCH(cicloCorrente&amp;"|"&amp;INDEX(posID,$AK$7),RR_Chiave,0))="Nuovo","Rischio nuovo nel ciclo.",IF(INDEX(RR_Variazioni,MATCH(cicloCorrente&amp;"|"&amp;INDEX(posID,$AK$7),RR_Chiave,0))&amp;""="[]","Invariato: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$7),RR_Chiave,0))&amp;"","[{""dimensione"": ""","• "),"""}, {""dimensione"": """,")"&amp;CHAR(10)&amp;"• "),""", ""da"": "," "),", ""a"": "," → "),", ""evidenza"": """,": "),""", ""data_evidenza"": """," ("),"""}]",")")," null → "," n.v. → ")," → null:"," → n.v.:"),"• impatto","• Impatto"),"• velocity","• Velocity"),"• prossimita","• Prossimita"),"• confidence","• Confidence"),"• probabilita","• Probabilita"),"• severity","• Impatto"))),"Non valutato nel ciclo."))</f>
        <v/>
      </c>
      <c r="N8" s="4" t="n"/>
      <c r="O8" s="4" t="n"/>
      <c r="P8" s="4" t="n"/>
      <c r="Q8" s="4" t="n"/>
      <c r="AD8">
        <f>INDEX(posID,4)&amp;""</f>
        <v/>
      </c>
      <c r="AE8">
        <f>IF($AD8="",NA(),IF(COUNTIFS(RR_ID_Rischio,$AD8,RR_Ciclo,cicloCorrente,RR_Impatto,"&lt;&gt;")*COUNTIFS(RR_ID_Rischio,$AD8,RR_Ciclo,cicloPrecedente,RR_Impatto,"&lt;&gt;")=0,NA(),SUMIFS(RR_Impatto,RR_ID_Rischio,$AD8,RR_Ciclo,cicloCorrente)-SUMIFS(RR_Impatto,RR_ID_Rischio,$AD8,RR_Ciclo,cicloPrecedente)))</f>
        <v/>
      </c>
      <c r="AF8">
        <f>IF($AD8="",NA(),IF(COUNTIFS(RR_ID_Rischio,$AD8,RR_Ciclo,cicloCorrente,RR_Probabilita,"&lt;&gt;")*COUNTIFS(RR_ID_Rischio,$AD8,RR_Ciclo,cicloPrecedente,RR_Probabilita,"&lt;&gt;")=0,NA(),SUMIFS(RR_Probabilita,RR_ID_Rischio,$AD8,RR_Ciclo,cicloCorrente)-SUMIFS(RR_Probabilita,RR_ID_Rischio,$AD8,RR_Ciclo,cicloPrecedente)))</f>
        <v/>
      </c>
      <c r="AG8">
        <f>IF($AD8="",NA(),IF(COUNTIFS(RR_ID_Rischio,$AD8,RR_Ciclo,cicloCorrente,RR_Prossimita,"&lt;&gt;")*COUNTIFS(RR_ID_Rischio,$AD8,RR_Ciclo,cicloPrecedente,RR_Prossimita,"&lt;&gt;")=0,NA(),SUMIFS(RR_Prossimita,RR_ID_Rischio,$AD8,RR_Ciclo,cicloCorrente)-SUMIFS(RR_Prossimita,RR_ID_Rischio,$AD8,RR_Ciclo,cicloPrecedente)))</f>
        <v/>
      </c>
      <c r="AH8">
        <f>IF($AD8="",NA(),IF(COUNTIFS(RR_ID_Rischio,$AD8,RR_Ciclo,cicloCorrente,RR_Velocity,"&lt;&gt;")*COUNTIFS(RR_ID_Rischio,$AD8,RR_Ciclo,cicloPrecedente,RR_Velocity,"&lt;&gt;")=0,NA(),SUMIFS(RR_Velocity,RR_ID_Rischio,$AD8,RR_Ciclo,cicloCorrente)-SUMIFS(RR_Velocity,RR_ID_Rischio,$AD8,RR_Ciclo,cicloPrecedente)))</f>
        <v/>
      </c>
      <c r="AI8">
        <f>IF($AD8="",NA(),IF(COUNTIFS(RR_ID_Rischio,$AD8,RR_Ciclo,cicloCorrente,RR_Score_Composito,"&lt;&gt;")*COUNTIFS(RR_ID_Rischio,$AD8,RR_Ciclo,cicloPrecedente,RR_Score_Composito,"&lt;&gt;")=0,NA(),SUMIFS(RR_Score_Composito,RR_ID_Rischio,$AD8,RR_Ciclo,cicloCorrente)-SUMIFS(RR_Score_Composito,RR_ID_Rischio,$AD8,RR_Ciclo,cicloPrecedente)))</f>
        <v/>
      </c>
      <c r="AJ8">
        <f>IF($AD8="","",IF(ISNUMBER(AI8),AI8,-9)-4/100000)</f>
        <v/>
      </c>
      <c r="AK8">
        <f>IFERROR(MATCH(_xlfn.AGGREGATE(14,6,$AJ$5:$AJ$24,4),$AJ$5:$AJ$24,0),"")</f>
        <v/>
      </c>
      <c r="AL8">
        <f>IF($AK8="","",INDEX(posID,$AK8)&amp;"  "&amp;LEFT(INDEX(posNome,$AK8),30))</f>
        <v/>
      </c>
      <c r="AM8" s="74">
        <f>IF($AK8="",NA(),IF(ISNUMBER(INDEX($AI$5:$AI$24,$AK8)),IF(INDEX($AI$5:$AI$24,$AK8)&gt;0,INDEX($AI$5:$AI$24,$AK8),0),NA()))</f>
        <v/>
      </c>
      <c r="AN8" s="74">
        <f>IF($AK8="",NA(),IF(ISNUMBER(INDEX($AI$5:$AI$24,$AK8)),IF(INDEX($AI$5:$AI$24,$AK8)&lt;0,INDEX($AI$5:$AI$24,$AK8),0),NA()))</f>
        <v/>
      </c>
      <c r="AO8" s="74">
        <f>IF($AK8="",NA(),IF(ISNUMBER(INDEX($AI$5:$AI$24,$AK8)),IF(INDEX($AI$5:$AI$24,$AK8)=0,0,NA()),NA()))</f>
        <v/>
      </c>
    </row>
    <row r="9" ht="30" customHeight="1">
      <c r="K9" s="75">
        <f>IF($AK$8="","",INDEX(posID,$AK$8))</f>
        <v/>
      </c>
      <c r="L9" s="76">
        <f>IF($AK$8="","",IFERROR(INDEX($AI$5:$AI$24,$AK$8),"nuovo"))</f>
        <v/>
      </c>
      <c r="M9" s="77">
        <f>IF($AK$8="","",IFERROR(IF(INDEX(RR_Esito,MATCH(cicloCorrente&amp;"|"&amp;INDEX(posID,$AK$8),RR_Chiave,0))="Nuovo","Rischio nuovo nel ciclo.",IF(INDEX(RR_Variazioni,MATCH(cicloCorrente&amp;"|"&amp;INDEX(posID,$AK$8),RR_Chiave,0))&amp;""="[]","Invariato: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$8),RR_Chiave,0))&amp;"","[{""dimensione"": ""","• "),"""}, {""dimensione"": """,")"&amp;CHAR(10)&amp;"• "),""", ""da"": "," "),", ""a"": "," → "),", ""evidenza"": """,": "),""", ""data_evidenza"": """," ("),"""}]",")")," null → "," n.v. → ")," → null:"," → n.v.:"),"• impatto","• Impatto"),"• velocity","• Velocity"),"• prossimita","• Prossimita"),"• confidence","• Confidence"),"• probabilita","• Probabilita"),"• severity","• Impatto"))),"Non valutato nel ciclo."))</f>
        <v/>
      </c>
      <c r="N9" s="4" t="n"/>
      <c r="O9" s="4" t="n"/>
      <c r="P9" s="4" t="n"/>
      <c r="Q9" s="4" t="n"/>
      <c r="AD9">
        <f>INDEX(posID,5)&amp;""</f>
        <v/>
      </c>
      <c r="AE9">
        <f>IF($AD9="",NA(),IF(COUNTIFS(RR_ID_Rischio,$AD9,RR_Ciclo,cicloCorrente,RR_Impatto,"&lt;&gt;")*COUNTIFS(RR_ID_Rischio,$AD9,RR_Ciclo,cicloPrecedente,RR_Impatto,"&lt;&gt;")=0,NA(),SUMIFS(RR_Impatto,RR_ID_Rischio,$AD9,RR_Ciclo,cicloCorrente)-SUMIFS(RR_Impatto,RR_ID_Rischio,$AD9,RR_Ciclo,cicloPrecedente)))</f>
        <v/>
      </c>
      <c r="AF9">
        <f>IF($AD9="",NA(),IF(COUNTIFS(RR_ID_Rischio,$AD9,RR_Ciclo,cicloCorrente,RR_Probabilita,"&lt;&gt;")*COUNTIFS(RR_ID_Rischio,$AD9,RR_Ciclo,cicloPrecedente,RR_Probabilita,"&lt;&gt;")=0,NA(),SUMIFS(RR_Probabilita,RR_ID_Rischio,$AD9,RR_Ciclo,cicloCorrente)-SUMIFS(RR_Probabilita,RR_ID_Rischio,$AD9,RR_Ciclo,cicloPrecedente)))</f>
        <v/>
      </c>
      <c r="AG9">
        <f>IF($AD9="",NA(),IF(COUNTIFS(RR_ID_Rischio,$AD9,RR_Ciclo,cicloCorrente,RR_Prossimita,"&lt;&gt;")*COUNTIFS(RR_ID_Rischio,$AD9,RR_Ciclo,cicloPrecedente,RR_Prossimita,"&lt;&gt;")=0,NA(),SUMIFS(RR_Prossimita,RR_ID_Rischio,$AD9,RR_Ciclo,cicloCorrente)-SUMIFS(RR_Prossimita,RR_ID_Rischio,$AD9,RR_Ciclo,cicloPrecedente)))</f>
        <v/>
      </c>
      <c r="AH9">
        <f>IF($AD9="",NA(),IF(COUNTIFS(RR_ID_Rischio,$AD9,RR_Ciclo,cicloCorrente,RR_Velocity,"&lt;&gt;")*COUNTIFS(RR_ID_Rischio,$AD9,RR_Ciclo,cicloPrecedente,RR_Velocity,"&lt;&gt;")=0,NA(),SUMIFS(RR_Velocity,RR_ID_Rischio,$AD9,RR_Ciclo,cicloCorrente)-SUMIFS(RR_Velocity,RR_ID_Rischio,$AD9,RR_Ciclo,cicloPrecedente)))</f>
        <v/>
      </c>
      <c r="AI9">
        <f>IF($AD9="",NA(),IF(COUNTIFS(RR_ID_Rischio,$AD9,RR_Ciclo,cicloCorrente,RR_Score_Composito,"&lt;&gt;")*COUNTIFS(RR_ID_Rischio,$AD9,RR_Ciclo,cicloPrecedente,RR_Score_Composito,"&lt;&gt;")=0,NA(),SUMIFS(RR_Score_Composito,RR_ID_Rischio,$AD9,RR_Ciclo,cicloCorrente)-SUMIFS(RR_Score_Composito,RR_ID_Rischio,$AD9,RR_Ciclo,cicloPrecedente)))</f>
        <v/>
      </c>
      <c r="AJ9">
        <f>IF($AD9="","",IF(ISNUMBER(AI9),AI9,-9)-5/100000)</f>
        <v/>
      </c>
      <c r="AK9">
        <f>IFERROR(MATCH(_xlfn.AGGREGATE(14,6,$AJ$5:$AJ$24,5),$AJ$5:$AJ$24,0),"")</f>
        <v/>
      </c>
      <c r="AL9">
        <f>IF($AK9="","",INDEX(posID,$AK9)&amp;"  "&amp;LEFT(INDEX(posNome,$AK9),30))</f>
        <v/>
      </c>
      <c r="AM9" s="74">
        <f>IF($AK9="",NA(),IF(ISNUMBER(INDEX($AI$5:$AI$24,$AK9)),IF(INDEX($AI$5:$AI$24,$AK9)&gt;0,INDEX($AI$5:$AI$24,$AK9),0),NA()))</f>
        <v/>
      </c>
      <c r="AN9" s="74">
        <f>IF($AK9="",NA(),IF(ISNUMBER(INDEX($AI$5:$AI$24,$AK9)),IF(INDEX($AI$5:$AI$24,$AK9)&lt;0,INDEX($AI$5:$AI$24,$AK9),0),NA()))</f>
        <v/>
      </c>
      <c r="AO9" s="74">
        <f>IF($AK9="",NA(),IF(ISNUMBER(INDEX($AI$5:$AI$24,$AK9)),IF(INDEX($AI$5:$AI$24,$AK9)=0,0,NA()),NA()))</f>
        <v/>
      </c>
    </row>
    <row r="10" ht="30" customHeight="1">
      <c r="K10" s="75">
        <f>IF($AK$9="","",INDEX(posID,$AK$9))</f>
        <v/>
      </c>
      <c r="L10" s="76">
        <f>IF($AK$9="","",IFERROR(INDEX($AI$5:$AI$24,$AK$9),"nuovo"))</f>
        <v/>
      </c>
      <c r="M10" s="77">
        <f>IF($AK$9="","",IFERROR(IF(INDEX(RR_Esito,MATCH(cicloCorrente&amp;"|"&amp;INDEX(posID,$AK$9),RR_Chiave,0))="Nuovo","Rischio nuovo nel ciclo.",IF(INDEX(RR_Variazioni,MATCH(cicloCorrente&amp;"|"&amp;INDEX(posID,$AK$9),RR_Chiave,0))&amp;""="[]","Invariato: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$9),RR_Chiave,0))&amp;"","[{""dimensione"": ""","• "),"""}, {""dimensione"": """,")"&amp;CHAR(10)&amp;"• "),""", ""da"": "," "),", ""a"": "," → "),", ""evidenza"": """,": "),""", ""data_evidenza"": """," ("),"""}]",")")," null → "," n.v. → ")," → null:"," → n.v.:"),"• impatto","• Impatto"),"• velocity","• Velocity"),"• prossimita","• Prossimita"),"• confidence","• Confidence"),"• probabilita","• Probabilita"),"• severity","• Impatto"))),"Non valutato nel ciclo."))</f>
        <v/>
      </c>
      <c r="N10" s="4" t="n"/>
      <c r="O10" s="4" t="n"/>
      <c r="P10" s="4" t="n"/>
      <c r="Q10" s="4" t="n"/>
      <c r="AD10">
        <f>INDEX(posID,6)&amp;""</f>
        <v/>
      </c>
      <c r="AE10">
        <f>IF($AD10="",NA(),IF(COUNTIFS(RR_ID_Rischio,$AD10,RR_Ciclo,cicloCorrente,RR_Impatto,"&lt;&gt;")*COUNTIFS(RR_ID_Rischio,$AD10,RR_Ciclo,cicloPrecedente,RR_Impatto,"&lt;&gt;")=0,NA(),SUMIFS(RR_Impatto,RR_ID_Rischio,$AD10,RR_Ciclo,cicloCorrente)-SUMIFS(RR_Impatto,RR_ID_Rischio,$AD10,RR_Ciclo,cicloPrecedente)))</f>
        <v/>
      </c>
      <c r="AF10">
        <f>IF($AD10="",NA(),IF(COUNTIFS(RR_ID_Rischio,$AD10,RR_Ciclo,cicloCorrente,RR_Probabilita,"&lt;&gt;")*COUNTIFS(RR_ID_Rischio,$AD10,RR_Ciclo,cicloPrecedente,RR_Probabilita,"&lt;&gt;")=0,NA(),SUMIFS(RR_Probabilita,RR_ID_Rischio,$AD10,RR_Ciclo,cicloCorrente)-SUMIFS(RR_Probabilita,RR_ID_Rischio,$AD10,RR_Ciclo,cicloPrecedente)))</f>
        <v/>
      </c>
      <c r="AG10">
        <f>IF($AD10="",NA(),IF(COUNTIFS(RR_ID_Rischio,$AD10,RR_Ciclo,cicloCorrente,RR_Prossimita,"&lt;&gt;")*COUNTIFS(RR_ID_Rischio,$AD10,RR_Ciclo,cicloPrecedente,RR_Prossimita,"&lt;&gt;")=0,NA(),SUMIFS(RR_Prossimita,RR_ID_Rischio,$AD10,RR_Ciclo,cicloCorrente)-SUMIFS(RR_Prossimita,RR_ID_Rischio,$AD10,RR_Ciclo,cicloPrecedente)))</f>
        <v/>
      </c>
      <c r="AH10">
        <f>IF($AD10="",NA(),IF(COUNTIFS(RR_ID_Rischio,$AD10,RR_Ciclo,cicloCorrente,RR_Velocity,"&lt;&gt;")*COUNTIFS(RR_ID_Rischio,$AD10,RR_Ciclo,cicloPrecedente,RR_Velocity,"&lt;&gt;")=0,NA(),SUMIFS(RR_Velocity,RR_ID_Rischio,$AD10,RR_Ciclo,cicloCorrente)-SUMIFS(RR_Velocity,RR_ID_Rischio,$AD10,RR_Ciclo,cicloPrecedente)))</f>
        <v/>
      </c>
      <c r="AI10">
        <f>IF($AD10="",NA(),IF(COUNTIFS(RR_ID_Rischio,$AD10,RR_Ciclo,cicloCorrente,RR_Score_Composito,"&lt;&gt;")*COUNTIFS(RR_ID_Rischio,$AD10,RR_Ciclo,cicloPrecedente,RR_Score_Composito,"&lt;&gt;")=0,NA(),SUMIFS(RR_Score_Composito,RR_ID_Rischio,$AD10,RR_Ciclo,cicloCorrente)-SUMIFS(RR_Score_Composito,RR_ID_Rischio,$AD10,RR_Ciclo,cicloPrecedente)))</f>
        <v/>
      </c>
      <c r="AJ10">
        <f>IF($AD10="","",IF(ISNUMBER(AI10),AI10,-9)-6/100000)</f>
        <v/>
      </c>
      <c r="AK10">
        <f>IFERROR(MATCH(_xlfn.AGGREGATE(14,6,$AJ$5:$AJ$24,6),$AJ$5:$AJ$24,0),"")</f>
        <v/>
      </c>
      <c r="AL10">
        <f>IF($AK10="","",INDEX(posID,$AK10)&amp;"  "&amp;LEFT(INDEX(posNome,$AK10),30))</f>
        <v/>
      </c>
      <c r="AM10" s="74">
        <f>IF($AK10="",NA(),IF(ISNUMBER(INDEX($AI$5:$AI$24,$AK10)),IF(INDEX($AI$5:$AI$24,$AK10)&gt;0,INDEX($AI$5:$AI$24,$AK10),0),NA()))</f>
        <v/>
      </c>
      <c r="AN10" s="74">
        <f>IF($AK10="",NA(),IF(ISNUMBER(INDEX($AI$5:$AI$24,$AK10)),IF(INDEX($AI$5:$AI$24,$AK10)&lt;0,INDEX($AI$5:$AI$24,$AK10),0),NA()))</f>
        <v/>
      </c>
      <c r="AO10" s="74">
        <f>IF($AK10="",NA(),IF(ISNUMBER(INDEX($AI$5:$AI$24,$AK10)),IF(INDEX($AI$5:$AI$24,$AK10)=0,0,NA()),NA()))</f>
        <v/>
      </c>
    </row>
    <row r="11" ht="30" customHeight="1">
      <c r="K11" s="75">
        <f>IF($AK$10="","",INDEX(posID,$AK$10))</f>
        <v/>
      </c>
      <c r="L11" s="76">
        <f>IF($AK$10="","",IFERROR(INDEX($AI$5:$AI$24,$AK$10),"nuovo"))</f>
        <v/>
      </c>
      <c r="M11" s="77">
        <f>IF($AK$10="","",IFERROR(IF(INDEX(RR_Esito,MATCH(cicloCorrente&amp;"|"&amp;INDEX(posID,$AK$10),RR_Chiave,0))="Nuovo","Rischio nuovo nel ciclo.",IF(INDEX(RR_Variazioni,MATCH(cicloCorrente&amp;"|"&amp;INDEX(posID,$AK$10),RR_Chiave,0))&amp;""="[]","Invariato: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$10),RR_Chiave,0))&amp;"","[{""dimensione"": ""","• "),"""}, {""dimensione"": """,")"&amp;CHAR(10)&amp;"• "),""", ""da"": "," "),", ""a"": "," → "),", ""evidenza"": """,": "),""", ""data_evidenza"": """," ("),"""}]",")")," null → "," n.v. → ")," → null:"," → n.v.:"),"• impatto","• Impatto"),"• velocity","• Velocity"),"• prossimita","• Prossimita"),"• confidence","• Confidence"),"• probabilita","• Probabilita"),"• severity","• Impatto"))),"Non valutato nel ciclo."))</f>
        <v/>
      </c>
      <c r="N11" s="4" t="n"/>
      <c r="O11" s="4" t="n"/>
      <c r="P11" s="4" t="n"/>
      <c r="Q11" s="4" t="n"/>
      <c r="AD11">
        <f>INDEX(posID,7)&amp;""</f>
        <v/>
      </c>
      <c r="AE11">
        <f>IF($AD11="",NA(),IF(COUNTIFS(RR_ID_Rischio,$AD11,RR_Ciclo,cicloCorrente,RR_Impatto,"&lt;&gt;")*COUNTIFS(RR_ID_Rischio,$AD11,RR_Ciclo,cicloPrecedente,RR_Impatto,"&lt;&gt;")=0,NA(),SUMIFS(RR_Impatto,RR_ID_Rischio,$AD11,RR_Ciclo,cicloCorrente)-SUMIFS(RR_Impatto,RR_ID_Rischio,$AD11,RR_Ciclo,cicloPrecedente)))</f>
        <v/>
      </c>
      <c r="AF11">
        <f>IF($AD11="",NA(),IF(COUNTIFS(RR_ID_Rischio,$AD11,RR_Ciclo,cicloCorrente,RR_Probabilita,"&lt;&gt;")*COUNTIFS(RR_ID_Rischio,$AD11,RR_Ciclo,cicloPrecedente,RR_Probabilita,"&lt;&gt;")=0,NA(),SUMIFS(RR_Probabilita,RR_ID_Rischio,$AD11,RR_Ciclo,cicloCorrente)-SUMIFS(RR_Probabilita,RR_ID_Rischio,$AD11,RR_Ciclo,cicloPrecedente)))</f>
        <v/>
      </c>
      <c r="AG11">
        <f>IF($AD11="",NA(),IF(COUNTIFS(RR_ID_Rischio,$AD11,RR_Ciclo,cicloCorrente,RR_Prossimita,"&lt;&gt;")*COUNTIFS(RR_ID_Rischio,$AD11,RR_Ciclo,cicloPrecedente,RR_Prossimita,"&lt;&gt;")=0,NA(),SUMIFS(RR_Prossimita,RR_ID_Rischio,$AD11,RR_Ciclo,cicloCorrente)-SUMIFS(RR_Prossimita,RR_ID_Rischio,$AD11,RR_Ciclo,cicloPrecedente)))</f>
        <v/>
      </c>
      <c r="AH11">
        <f>IF($AD11="",NA(),IF(COUNTIFS(RR_ID_Rischio,$AD11,RR_Ciclo,cicloCorrente,RR_Velocity,"&lt;&gt;")*COUNTIFS(RR_ID_Rischio,$AD11,RR_Ciclo,cicloPrecedente,RR_Velocity,"&lt;&gt;")=0,NA(),SUMIFS(RR_Velocity,RR_ID_Rischio,$AD11,RR_Ciclo,cicloCorrente)-SUMIFS(RR_Velocity,RR_ID_Rischio,$AD11,RR_Ciclo,cicloPrecedente)))</f>
        <v/>
      </c>
      <c r="AI11">
        <f>IF($AD11="",NA(),IF(COUNTIFS(RR_ID_Rischio,$AD11,RR_Ciclo,cicloCorrente,RR_Score_Composito,"&lt;&gt;")*COUNTIFS(RR_ID_Rischio,$AD11,RR_Ciclo,cicloPrecedente,RR_Score_Composito,"&lt;&gt;")=0,NA(),SUMIFS(RR_Score_Composito,RR_ID_Rischio,$AD11,RR_Ciclo,cicloCorrente)-SUMIFS(RR_Score_Composito,RR_ID_Rischio,$AD11,RR_Ciclo,cicloPrecedente)))</f>
        <v/>
      </c>
      <c r="AJ11">
        <f>IF($AD11="","",IF(ISNUMBER(AI11),AI11,-9)-7/100000)</f>
        <v/>
      </c>
      <c r="AK11">
        <f>IFERROR(MATCH(_xlfn.AGGREGATE(14,6,$AJ$5:$AJ$24,7),$AJ$5:$AJ$24,0),"")</f>
        <v/>
      </c>
      <c r="AL11">
        <f>IF($AK11="","",INDEX(posID,$AK11)&amp;"  "&amp;LEFT(INDEX(posNome,$AK11),30))</f>
        <v/>
      </c>
      <c r="AM11" s="74">
        <f>IF($AK11="",NA(),IF(ISNUMBER(INDEX($AI$5:$AI$24,$AK11)),IF(INDEX($AI$5:$AI$24,$AK11)&gt;0,INDEX($AI$5:$AI$24,$AK11),0),NA()))</f>
        <v/>
      </c>
      <c r="AN11" s="74">
        <f>IF($AK11="",NA(),IF(ISNUMBER(INDEX($AI$5:$AI$24,$AK11)),IF(INDEX($AI$5:$AI$24,$AK11)&lt;0,INDEX($AI$5:$AI$24,$AK11),0),NA()))</f>
        <v/>
      </c>
      <c r="AO11" s="74">
        <f>IF($AK11="",NA(),IF(ISNUMBER(INDEX($AI$5:$AI$24,$AK11)),IF(INDEX($AI$5:$AI$24,$AK11)=0,0,NA()),NA()))</f>
        <v/>
      </c>
    </row>
    <row r="12" ht="30" customHeight="1">
      <c r="K12" s="75">
        <f>IF($AK$11="","",INDEX(posID,$AK$11))</f>
        <v/>
      </c>
      <c r="L12" s="76">
        <f>IF($AK$11="","",IFERROR(INDEX($AI$5:$AI$24,$AK$11),"nuovo"))</f>
        <v/>
      </c>
      <c r="M12" s="77">
        <f>IF($AK$11="","",IFERROR(IF(INDEX(RR_Esito,MATCH(cicloCorrente&amp;"|"&amp;INDEX(posID,$AK$11),RR_Chiave,0))="Nuovo","Rischio nuovo nel ciclo.",IF(INDEX(RR_Variazioni,MATCH(cicloCorrente&amp;"|"&amp;INDEX(posID,$AK$11),RR_Chiave,0))&amp;""="[]","Invariato: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$11),RR_Chiave,0))&amp;"","[{""dimensione"": ""","• "),"""}, {""dimensione"": """,")"&amp;CHAR(10)&amp;"• "),""", ""da"": "," "),", ""a"": "," → "),", ""evidenza"": """,": "),""", ""data_evidenza"": """," ("),"""}]",")")," null → "," n.v. → ")," → null:"," → n.v.:"),"• impatto","• Impatto"),"• velocity","• Velocity"),"• prossimita","• Prossimita"),"• confidence","• Confidence"),"• probabilita","• Probabilita"),"• severity","• Impatto"))),"Non valutato nel ciclo."))</f>
        <v/>
      </c>
      <c r="N12" s="4" t="n"/>
      <c r="O12" s="4" t="n"/>
      <c r="P12" s="4" t="n"/>
      <c r="Q12" s="4" t="n"/>
      <c r="AD12">
        <f>INDEX(posID,8)&amp;""</f>
        <v/>
      </c>
      <c r="AE12">
        <f>IF($AD12="",NA(),IF(COUNTIFS(RR_ID_Rischio,$AD12,RR_Ciclo,cicloCorrente,RR_Impatto,"&lt;&gt;")*COUNTIFS(RR_ID_Rischio,$AD12,RR_Ciclo,cicloPrecedente,RR_Impatto,"&lt;&gt;")=0,NA(),SUMIFS(RR_Impatto,RR_ID_Rischio,$AD12,RR_Ciclo,cicloCorrente)-SUMIFS(RR_Impatto,RR_ID_Rischio,$AD12,RR_Ciclo,cicloPrecedente)))</f>
        <v/>
      </c>
      <c r="AF12">
        <f>IF($AD12="",NA(),IF(COUNTIFS(RR_ID_Rischio,$AD12,RR_Ciclo,cicloCorrente,RR_Probabilita,"&lt;&gt;")*COUNTIFS(RR_ID_Rischio,$AD12,RR_Ciclo,cicloPrecedente,RR_Probabilita,"&lt;&gt;")=0,NA(),SUMIFS(RR_Probabilita,RR_ID_Rischio,$AD12,RR_Ciclo,cicloCorrente)-SUMIFS(RR_Probabilita,RR_ID_Rischio,$AD12,RR_Ciclo,cicloPrecedente)))</f>
        <v/>
      </c>
      <c r="AG12">
        <f>IF($AD12="",NA(),IF(COUNTIFS(RR_ID_Rischio,$AD12,RR_Ciclo,cicloCorrente,RR_Prossimita,"&lt;&gt;")*COUNTIFS(RR_ID_Rischio,$AD12,RR_Ciclo,cicloPrecedente,RR_Prossimita,"&lt;&gt;")=0,NA(),SUMIFS(RR_Prossimita,RR_ID_Rischio,$AD12,RR_Ciclo,cicloCorrente)-SUMIFS(RR_Prossimita,RR_ID_Rischio,$AD12,RR_Ciclo,cicloPrecedente)))</f>
        <v/>
      </c>
      <c r="AH12">
        <f>IF($AD12="",NA(),IF(COUNTIFS(RR_ID_Rischio,$AD12,RR_Ciclo,cicloCorrente,RR_Velocity,"&lt;&gt;")*COUNTIFS(RR_ID_Rischio,$AD12,RR_Ciclo,cicloPrecedente,RR_Velocity,"&lt;&gt;")=0,NA(),SUMIFS(RR_Velocity,RR_ID_Rischio,$AD12,RR_Ciclo,cicloCorrente)-SUMIFS(RR_Velocity,RR_ID_Rischio,$AD12,RR_Ciclo,cicloPrecedente)))</f>
        <v/>
      </c>
      <c r="AI12">
        <f>IF($AD12="",NA(),IF(COUNTIFS(RR_ID_Rischio,$AD12,RR_Ciclo,cicloCorrente,RR_Score_Composito,"&lt;&gt;")*COUNTIFS(RR_ID_Rischio,$AD12,RR_Ciclo,cicloPrecedente,RR_Score_Composito,"&lt;&gt;")=0,NA(),SUMIFS(RR_Score_Composito,RR_ID_Rischio,$AD12,RR_Ciclo,cicloCorrente)-SUMIFS(RR_Score_Composito,RR_ID_Rischio,$AD12,RR_Ciclo,cicloPrecedente)))</f>
        <v/>
      </c>
      <c r="AJ12">
        <f>IF($AD12="","",IF(ISNUMBER(AI12),AI12,-9)-8/100000)</f>
        <v/>
      </c>
      <c r="AK12">
        <f>IFERROR(MATCH(_xlfn.AGGREGATE(14,6,$AJ$5:$AJ$24,8),$AJ$5:$AJ$24,0),"")</f>
        <v/>
      </c>
      <c r="AL12">
        <f>IF($AK12="","",INDEX(posID,$AK12)&amp;"  "&amp;LEFT(INDEX(posNome,$AK12),30))</f>
        <v/>
      </c>
      <c r="AM12" s="74">
        <f>IF($AK12="",NA(),IF(ISNUMBER(INDEX($AI$5:$AI$24,$AK12)),IF(INDEX($AI$5:$AI$24,$AK12)&gt;0,INDEX($AI$5:$AI$24,$AK12),0),NA()))</f>
        <v/>
      </c>
      <c r="AN12" s="74">
        <f>IF($AK12="",NA(),IF(ISNUMBER(INDEX($AI$5:$AI$24,$AK12)),IF(INDEX($AI$5:$AI$24,$AK12)&lt;0,INDEX($AI$5:$AI$24,$AK12),0),NA()))</f>
        <v/>
      </c>
      <c r="AO12" s="74">
        <f>IF($AK12="",NA(),IF(ISNUMBER(INDEX($AI$5:$AI$24,$AK12)),IF(INDEX($AI$5:$AI$24,$AK12)=0,0,NA()),NA()))</f>
        <v/>
      </c>
    </row>
    <row r="13" ht="30" customHeight="1">
      <c r="K13" s="75">
        <f>IF($AK$12="","",INDEX(posID,$AK$12))</f>
        <v/>
      </c>
      <c r="L13" s="76">
        <f>IF($AK$12="","",IFERROR(INDEX($AI$5:$AI$24,$AK$12),"nuovo"))</f>
        <v/>
      </c>
      <c r="M13" s="77">
        <f>IF($AK$12="","",IFERROR(IF(INDEX(RR_Esito,MATCH(cicloCorrente&amp;"|"&amp;INDEX(posID,$AK$12),RR_Chiave,0))="Nuovo","Rischio nuovo nel ciclo.",IF(INDEX(RR_Variazioni,MATCH(cicloCorrente&amp;"|"&amp;INDEX(posID,$AK$12),RR_Chiave,0))&amp;""="[]","Invariato: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$12),RR_Chiave,0))&amp;"","[{""dimensione"": ""","• "),"""}, {""dimensione"": """,")"&amp;CHAR(10)&amp;"• "),""", ""da"": "," "),", ""a"": "," → "),", ""evidenza"": """,": "),""", ""data_evidenza"": """," ("),"""}]",")")," null → "," n.v. → ")," → null:"," → n.v.:"),"• impatto","• Impatto"),"• velocity","• Velocity"),"• prossimita","• Prossimita"),"• confidence","• Confidence"),"• probabilita","• Probabilita"),"• severity","• Impatto"))),"Non valutato nel ciclo."))</f>
        <v/>
      </c>
      <c r="N13" s="4" t="n"/>
      <c r="O13" s="4" t="n"/>
      <c r="P13" s="4" t="n"/>
      <c r="Q13" s="4" t="n"/>
      <c r="AD13">
        <f>INDEX(posID,9)&amp;""</f>
        <v/>
      </c>
      <c r="AE13">
        <f>IF($AD13="",NA(),IF(COUNTIFS(RR_ID_Rischio,$AD13,RR_Ciclo,cicloCorrente,RR_Impatto,"&lt;&gt;")*COUNTIFS(RR_ID_Rischio,$AD13,RR_Ciclo,cicloPrecedente,RR_Impatto,"&lt;&gt;")=0,NA(),SUMIFS(RR_Impatto,RR_ID_Rischio,$AD13,RR_Ciclo,cicloCorrente)-SUMIFS(RR_Impatto,RR_ID_Rischio,$AD13,RR_Ciclo,cicloPrecedente)))</f>
        <v/>
      </c>
      <c r="AF13">
        <f>IF($AD13="",NA(),IF(COUNTIFS(RR_ID_Rischio,$AD13,RR_Ciclo,cicloCorrente,RR_Probabilita,"&lt;&gt;")*COUNTIFS(RR_ID_Rischio,$AD13,RR_Ciclo,cicloPrecedente,RR_Probabilita,"&lt;&gt;")=0,NA(),SUMIFS(RR_Probabilita,RR_ID_Rischio,$AD13,RR_Ciclo,cicloCorrente)-SUMIFS(RR_Probabilita,RR_ID_Rischio,$AD13,RR_Ciclo,cicloPrecedente)))</f>
        <v/>
      </c>
      <c r="AG13">
        <f>IF($AD13="",NA(),IF(COUNTIFS(RR_ID_Rischio,$AD13,RR_Ciclo,cicloCorrente,RR_Prossimita,"&lt;&gt;")*COUNTIFS(RR_ID_Rischio,$AD13,RR_Ciclo,cicloPrecedente,RR_Prossimita,"&lt;&gt;")=0,NA(),SUMIFS(RR_Prossimita,RR_ID_Rischio,$AD13,RR_Ciclo,cicloCorrente)-SUMIFS(RR_Prossimita,RR_ID_Rischio,$AD13,RR_Ciclo,cicloPrecedente)))</f>
        <v/>
      </c>
      <c r="AH13">
        <f>IF($AD13="",NA(),IF(COUNTIFS(RR_ID_Rischio,$AD13,RR_Ciclo,cicloCorrente,RR_Velocity,"&lt;&gt;")*COUNTIFS(RR_ID_Rischio,$AD13,RR_Ciclo,cicloPrecedente,RR_Velocity,"&lt;&gt;")=0,NA(),SUMIFS(RR_Velocity,RR_ID_Rischio,$AD13,RR_Ciclo,cicloCorrente)-SUMIFS(RR_Velocity,RR_ID_Rischio,$AD13,RR_Ciclo,cicloPrecedente)))</f>
        <v/>
      </c>
      <c r="AI13">
        <f>IF($AD13="",NA(),IF(COUNTIFS(RR_ID_Rischio,$AD13,RR_Ciclo,cicloCorrente,RR_Score_Composito,"&lt;&gt;")*COUNTIFS(RR_ID_Rischio,$AD13,RR_Ciclo,cicloPrecedente,RR_Score_Composito,"&lt;&gt;")=0,NA(),SUMIFS(RR_Score_Composito,RR_ID_Rischio,$AD13,RR_Ciclo,cicloCorrente)-SUMIFS(RR_Score_Composito,RR_ID_Rischio,$AD13,RR_Ciclo,cicloPrecedente)))</f>
        <v/>
      </c>
      <c r="AJ13">
        <f>IF($AD13="","",IF(ISNUMBER(AI13),AI13,-9)-9/100000)</f>
        <v/>
      </c>
      <c r="AK13">
        <f>IFERROR(MATCH(_xlfn.AGGREGATE(14,6,$AJ$5:$AJ$24,9),$AJ$5:$AJ$24,0),"")</f>
        <v/>
      </c>
      <c r="AL13">
        <f>IF($AK13="","",INDEX(posID,$AK13)&amp;"  "&amp;LEFT(INDEX(posNome,$AK13),30))</f>
        <v/>
      </c>
      <c r="AM13" s="74">
        <f>IF($AK13="",NA(),IF(ISNUMBER(INDEX($AI$5:$AI$24,$AK13)),IF(INDEX($AI$5:$AI$24,$AK13)&gt;0,INDEX($AI$5:$AI$24,$AK13),0),NA()))</f>
        <v/>
      </c>
      <c r="AN13" s="74">
        <f>IF($AK13="",NA(),IF(ISNUMBER(INDEX($AI$5:$AI$24,$AK13)),IF(INDEX($AI$5:$AI$24,$AK13)&lt;0,INDEX($AI$5:$AI$24,$AK13),0),NA()))</f>
        <v/>
      </c>
      <c r="AO13" s="74">
        <f>IF($AK13="",NA(),IF(ISNUMBER(INDEX($AI$5:$AI$24,$AK13)),IF(INDEX($AI$5:$AI$24,$AK13)=0,0,NA()),NA()))</f>
        <v/>
      </c>
    </row>
    <row r="14" ht="30" customHeight="1">
      <c r="K14" s="75">
        <f>IF($AK$13="","",INDEX(posID,$AK$13))</f>
        <v/>
      </c>
      <c r="L14" s="76">
        <f>IF($AK$13="","",IFERROR(INDEX($AI$5:$AI$24,$AK$13),"nuovo"))</f>
        <v/>
      </c>
      <c r="M14" s="77">
        <f>IF($AK$13="","",IFERROR(IF(INDEX(RR_Esito,MATCH(cicloCorrente&amp;"|"&amp;INDEX(posID,$AK$13),RR_Chiave,0))="Nuovo","Rischio nuovo nel ciclo.",IF(INDEX(RR_Variazioni,MATCH(cicloCorrente&amp;"|"&amp;INDEX(posID,$AK$13),RR_Chiave,0))&amp;""="[]","Invariato: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$13),RR_Chiave,0))&amp;"","[{""dimensione"": ""","• "),"""}, {""dimensione"": """,")"&amp;CHAR(10)&amp;"• "),""", ""da"": "," "),", ""a"": "," → "),", ""evidenza"": """,": "),""", ""data_evidenza"": """," ("),"""}]",")")," null → "," n.v. → ")," → null:"," → n.v.:"),"• impatto","• Impatto"),"• velocity","• Velocity"),"• prossimita","• Prossimita"),"• confidence","• Confidence"),"• probabilita","• Probabilita"),"• severity","• Impatto"))),"Non valutato nel ciclo."))</f>
        <v/>
      </c>
      <c r="N14" s="4" t="n"/>
      <c r="O14" s="4" t="n"/>
      <c r="P14" s="4" t="n"/>
      <c r="Q14" s="4" t="n"/>
      <c r="AD14">
        <f>INDEX(posID,10)&amp;""</f>
        <v/>
      </c>
      <c r="AE14">
        <f>IF($AD14="",NA(),IF(COUNTIFS(RR_ID_Rischio,$AD14,RR_Ciclo,cicloCorrente,RR_Impatto,"&lt;&gt;")*COUNTIFS(RR_ID_Rischio,$AD14,RR_Ciclo,cicloPrecedente,RR_Impatto,"&lt;&gt;")=0,NA(),SUMIFS(RR_Impatto,RR_ID_Rischio,$AD14,RR_Ciclo,cicloCorrente)-SUMIFS(RR_Impatto,RR_ID_Rischio,$AD14,RR_Ciclo,cicloPrecedente)))</f>
        <v/>
      </c>
      <c r="AF14">
        <f>IF($AD14="",NA(),IF(COUNTIFS(RR_ID_Rischio,$AD14,RR_Ciclo,cicloCorrente,RR_Probabilita,"&lt;&gt;")*COUNTIFS(RR_ID_Rischio,$AD14,RR_Ciclo,cicloPrecedente,RR_Probabilita,"&lt;&gt;")=0,NA(),SUMIFS(RR_Probabilita,RR_ID_Rischio,$AD14,RR_Ciclo,cicloCorrente)-SUMIFS(RR_Probabilita,RR_ID_Rischio,$AD14,RR_Ciclo,cicloPrecedente)))</f>
        <v/>
      </c>
      <c r="AG14">
        <f>IF($AD14="",NA(),IF(COUNTIFS(RR_ID_Rischio,$AD14,RR_Ciclo,cicloCorrente,RR_Prossimita,"&lt;&gt;")*COUNTIFS(RR_ID_Rischio,$AD14,RR_Ciclo,cicloPrecedente,RR_Prossimita,"&lt;&gt;")=0,NA(),SUMIFS(RR_Prossimita,RR_ID_Rischio,$AD14,RR_Ciclo,cicloCorrente)-SUMIFS(RR_Prossimita,RR_ID_Rischio,$AD14,RR_Ciclo,cicloPrecedente)))</f>
        <v/>
      </c>
      <c r="AH14">
        <f>IF($AD14="",NA(),IF(COUNTIFS(RR_ID_Rischio,$AD14,RR_Ciclo,cicloCorrente,RR_Velocity,"&lt;&gt;")*COUNTIFS(RR_ID_Rischio,$AD14,RR_Ciclo,cicloPrecedente,RR_Velocity,"&lt;&gt;")=0,NA(),SUMIFS(RR_Velocity,RR_ID_Rischio,$AD14,RR_Ciclo,cicloCorrente)-SUMIFS(RR_Velocity,RR_ID_Rischio,$AD14,RR_Ciclo,cicloPrecedente)))</f>
        <v/>
      </c>
      <c r="AI14">
        <f>IF($AD14="",NA(),IF(COUNTIFS(RR_ID_Rischio,$AD14,RR_Ciclo,cicloCorrente,RR_Score_Composito,"&lt;&gt;")*COUNTIFS(RR_ID_Rischio,$AD14,RR_Ciclo,cicloPrecedente,RR_Score_Composito,"&lt;&gt;")=0,NA(),SUMIFS(RR_Score_Composito,RR_ID_Rischio,$AD14,RR_Ciclo,cicloCorrente)-SUMIFS(RR_Score_Composito,RR_ID_Rischio,$AD14,RR_Ciclo,cicloPrecedente)))</f>
        <v/>
      </c>
      <c r="AJ14">
        <f>IF($AD14="","",IF(ISNUMBER(AI14),AI14,-9)-10/100000)</f>
        <v/>
      </c>
      <c r="AK14">
        <f>IFERROR(MATCH(_xlfn.AGGREGATE(14,6,$AJ$5:$AJ$24,10),$AJ$5:$AJ$24,0),"")</f>
        <v/>
      </c>
      <c r="AL14">
        <f>IF($AK14="","",INDEX(posID,$AK14)&amp;"  "&amp;LEFT(INDEX(posNome,$AK14),30))</f>
        <v/>
      </c>
      <c r="AM14" s="74">
        <f>IF($AK14="",NA(),IF(ISNUMBER(INDEX($AI$5:$AI$24,$AK14)),IF(INDEX($AI$5:$AI$24,$AK14)&gt;0,INDEX($AI$5:$AI$24,$AK14),0),NA()))</f>
        <v/>
      </c>
      <c r="AN14" s="74">
        <f>IF($AK14="",NA(),IF(ISNUMBER(INDEX($AI$5:$AI$24,$AK14)),IF(INDEX($AI$5:$AI$24,$AK14)&lt;0,INDEX($AI$5:$AI$24,$AK14),0),NA()))</f>
        <v/>
      </c>
      <c r="AO14" s="74">
        <f>IF($AK14="",NA(),IF(ISNUMBER(INDEX($AI$5:$AI$24,$AK14)),IF(INDEX($AI$5:$AI$24,$AK14)=0,0,NA()),NA()))</f>
        <v/>
      </c>
    </row>
    <row r="15" ht="30" customHeight="1">
      <c r="K15" s="75">
        <f>IF($AK$14="","",INDEX(posID,$AK$14))</f>
        <v/>
      </c>
      <c r="L15" s="76">
        <f>IF($AK$14="","",IFERROR(INDEX($AI$5:$AI$24,$AK$14),"nuovo"))</f>
        <v/>
      </c>
      <c r="M15" s="77">
        <f>IF($AK$14="","",IFERROR(IF(INDEX(RR_Esito,MATCH(cicloCorrente&amp;"|"&amp;INDEX(posID,$AK$14),RR_Chiave,0))="Nuovo","Rischio nuovo nel ciclo.",IF(INDEX(RR_Variazioni,MATCH(cicloCorrente&amp;"|"&amp;INDEX(posID,$AK$14),RR_Chiave,0))&amp;""="[]","Invariato: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$14),RR_Chiave,0))&amp;"","[{""dimensione"": ""","• "),"""}, {""dimensione"": """,")"&amp;CHAR(10)&amp;"• "),""", ""da"": "," "),", ""a"": "," → "),", ""evidenza"": """,": "),""", ""data_evidenza"": """," ("),"""}]",")")," null → "," n.v. → ")," → null:"," → n.v.:"),"• impatto","• Impatto"),"• velocity","• Velocity"),"• prossimita","• Prossimita"),"• confidence","• Confidence"),"• probabilita","• Probabilita"),"• severity","• Impatto"))),"Non valutato nel ciclo."))</f>
        <v/>
      </c>
      <c r="N15" s="4" t="n"/>
      <c r="O15" s="4" t="n"/>
      <c r="P15" s="4" t="n"/>
      <c r="Q15" s="4" t="n"/>
      <c r="AD15">
        <f>INDEX(posID,11)&amp;""</f>
        <v/>
      </c>
      <c r="AE15">
        <f>IF($AD15="",NA(),IF(COUNTIFS(RR_ID_Rischio,$AD15,RR_Ciclo,cicloCorrente,RR_Impatto,"&lt;&gt;")*COUNTIFS(RR_ID_Rischio,$AD15,RR_Ciclo,cicloPrecedente,RR_Impatto,"&lt;&gt;")=0,NA(),SUMIFS(RR_Impatto,RR_ID_Rischio,$AD15,RR_Ciclo,cicloCorrente)-SUMIFS(RR_Impatto,RR_ID_Rischio,$AD15,RR_Ciclo,cicloPrecedente)))</f>
        <v/>
      </c>
      <c r="AF15">
        <f>IF($AD15="",NA(),IF(COUNTIFS(RR_ID_Rischio,$AD15,RR_Ciclo,cicloCorrente,RR_Probabilita,"&lt;&gt;")*COUNTIFS(RR_ID_Rischio,$AD15,RR_Ciclo,cicloPrecedente,RR_Probabilita,"&lt;&gt;")=0,NA(),SUMIFS(RR_Probabilita,RR_ID_Rischio,$AD15,RR_Ciclo,cicloCorrente)-SUMIFS(RR_Probabilita,RR_ID_Rischio,$AD15,RR_Ciclo,cicloPrecedente)))</f>
        <v/>
      </c>
      <c r="AG15">
        <f>IF($AD15="",NA(),IF(COUNTIFS(RR_ID_Rischio,$AD15,RR_Ciclo,cicloCorrente,RR_Prossimita,"&lt;&gt;")*COUNTIFS(RR_ID_Rischio,$AD15,RR_Ciclo,cicloPrecedente,RR_Prossimita,"&lt;&gt;")=0,NA(),SUMIFS(RR_Prossimita,RR_ID_Rischio,$AD15,RR_Ciclo,cicloCorrente)-SUMIFS(RR_Prossimita,RR_ID_Rischio,$AD15,RR_Ciclo,cicloPrecedente)))</f>
        <v/>
      </c>
      <c r="AH15">
        <f>IF($AD15="",NA(),IF(COUNTIFS(RR_ID_Rischio,$AD15,RR_Ciclo,cicloCorrente,RR_Velocity,"&lt;&gt;")*COUNTIFS(RR_ID_Rischio,$AD15,RR_Ciclo,cicloPrecedente,RR_Velocity,"&lt;&gt;")=0,NA(),SUMIFS(RR_Velocity,RR_ID_Rischio,$AD15,RR_Ciclo,cicloCorrente)-SUMIFS(RR_Velocity,RR_ID_Rischio,$AD15,RR_Ciclo,cicloPrecedente)))</f>
        <v/>
      </c>
      <c r="AI15">
        <f>IF($AD15="",NA(),IF(COUNTIFS(RR_ID_Rischio,$AD15,RR_Ciclo,cicloCorrente,RR_Score_Composito,"&lt;&gt;")*COUNTIFS(RR_ID_Rischio,$AD15,RR_Ciclo,cicloPrecedente,RR_Score_Composito,"&lt;&gt;")=0,NA(),SUMIFS(RR_Score_Composito,RR_ID_Rischio,$AD15,RR_Ciclo,cicloCorrente)-SUMIFS(RR_Score_Composito,RR_ID_Rischio,$AD15,RR_Ciclo,cicloPrecedente)))</f>
        <v/>
      </c>
      <c r="AJ15">
        <f>IF($AD15="","",IF(ISNUMBER(AI15),AI15,-9)-11/100000)</f>
        <v/>
      </c>
      <c r="AK15">
        <f>IFERROR(MATCH(_xlfn.AGGREGATE(14,6,$AJ$5:$AJ$24,11),$AJ$5:$AJ$24,0),"")</f>
        <v/>
      </c>
      <c r="AL15">
        <f>IF($AK15="","",INDEX(posID,$AK15)&amp;"  "&amp;LEFT(INDEX(posNome,$AK15),30))</f>
        <v/>
      </c>
      <c r="AM15" s="74">
        <f>IF($AK15="",NA(),IF(ISNUMBER(INDEX($AI$5:$AI$24,$AK15)),IF(INDEX($AI$5:$AI$24,$AK15)&gt;0,INDEX($AI$5:$AI$24,$AK15),0),NA()))</f>
        <v/>
      </c>
      <c r="AN15" s="74">
        <f>IF($AK15="",NA(),IF(ISNUMBER(INDEX($AI$5:$AI$24,$AK15)),IF(INDEX($AI$5:$AI$24,$AK15)&lt;0,INDEX($AI$5:$AI$24,$AK15),0),NA()))</f>
        <v/>
      </c>
      <c r="AO15" s="74">
        <f>IF($AK15="",NA(),IF(ISNUMBER(INDEX($AI$5:$AI$24,$AK15)),IF(INDEX($AI$5:$AI$24,$AK15)=0,0,NA()),NA()))</f>
        <v/>
      </c>
    </row>
    <row r="16" ht="30" customHeight="1">
      <c r="K16" s="75">
        <f>IF($AK$15="","",INDEX(posID,$AK$15))</f>
        <v/>
      </c>
      <c r="L16" s="76">
        <f>IF($AK$15="","",IFERROR(INDEX($AI$5:$AI$24,$AK$15),"nuovo"))</f>
        <v/>
      </c>
      <c r="M16" s="77">
        <f>IF($AK$15="","",IFERROR(IF(INDEX(RR_Esito,MATCH(cicloCorrente&amp;"|"&amp;INDEX(posID,$AK$15),RR_Chiave,0))="Nuovo","Rischio nuovo nel ciclo.",IF(INDEX(RR_Variazioni,MATCH(cicloCorrente&amp;"|"&amp;INDEX(posID,$AK$15),RR_Chiave,0))&amp;""="[]","Invariato: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$15),RR_Chiave,0))&amp;"","[{""dimensione"": ""","• "),"""}, {""dimensione"": """,")"&amp;CHAR(10)&amp;"• "),""", ""da"": "," "),", ""a"": "," → "),", ""evidenza"": """,": "),""", ""data_evidenza"": """," ("),"""}]",")")," null → "," n.v. → ")," → null:"," → n.v.:"),"• impatto","• Impatto"),"• velocity","• Velocity"),"• prossimita","• Prossimita"),"• confidence","• Confidence"),"• probabilita","• Probabilita"),"• severity","• Impatto"))),"Non valutato nel ciclo."))</f>
        <v/>
      </c>
      <c r="N16" s="4" t="n"/>
      <c r="O16" s="4" t="n"/>
      <c r="P16" s="4" t="n"/>
      <c r="Q16" s="4" t="n"/>
      <c r="AD16">
        <f>INDEX(posID,12)&amp;""</f>
        <v/>
      </c>
      <c r="AE16">
        <f>IF($AD16="",NA(),IF(COUNTIFS(RR_ID_Rischio,$AD16,RR_Ciclo,cicloCorrente,RR_Impatto,"&lt;&gt;")*COUNTIFS(RR_ID_Rischio,$AD16,RR_Ciclo,cicloPrecedente,RR_Impatto,"&lt;&gt;")=0,NA(),SUMIFS(RR_Impatto,RR_ID_Rischio,$AD16,RR_Ciclo,cicloCorrente)-SUMIFS(RR_Impatto,RR_ID_Rischio,$AD16,RR_Ciclo,cicloPrecedente)))</f>
        <v/>
      </c>
      <c r="AF16">
        <f>IF($AD16="",NA(),IF(COUNTIFS(RR_ID_Rischio,$AD16,RR_Ciclo,cicloCorrente,RR_Probabilita,"&lt;&gt;")*COUNTIFS(RR_ID_Rischio,$AD16,RR_Ciclo,cicloPrecedente,RR_Probabilita,"&lt;&gt;")=0,NA(),SUMIFS(RR_Probabilita,RR_ID_Rischio,$AD16,RR_Ciclo,cicloCorrente)-SUMIFS(RR_Probabilita,RR_ID_Rischio,$AD16,RR_Ciclo,cicloPrecedente)))</f>
        <v/>
      </c>
      <c r="AG16">
        <f>IF($AD16="",NA(),IF(COUNTIFS(RR_ID_Rischio,$AD16,RR_Ciclo,cicloCorrente,RR_Prossimita,"&lt;&gt;")*COUNTIFS(RR_ID_Rischio,$AD16,RR_Ciclo,cicloPrecedente,RR_Prossimita,"&lt;&gt;")=0,NA(),SUMIFS(RR_Prossimita,RR_ID_Rischio,$AD16,RR_Ciclo,cicloCorrente)-SUMIFS(RR_Prossimita,RR_ID_Rischio,$AD16,RR_Ciclo,cicloPrecedente)))</f>
        <v/>
      </c>
      <c r="AH16">
        <f>IF($AD16="",NA(),IF(COUNTIFS(RR_ID_Rischio,$AD16,RR_Ciclo,cicloCorrente,RR_Velocity,"&lt;&gt;")*COUNTIFS(RR_ID_Rischio,$AD16,RR_Ciclo,cicloPrecedente,RR_Velocity,"&lt;&gt;")=0,NA(),SUMIFS(RR_Velocity,RR_ID_Rischio,$AD16,RR_Ciclo,cicloCorrente)-SUMIFS(RR_Velocity,RR_ID_Rischio,$AD16,RR_Ciclo,cicloPrecedente)))</f>
        <v/>
      </c>
      <c r="AI16">
        <f>IF($AD16="",NA(),IF(COUNTIFS(RR_ID_Rischio,$AD16,RR_Ciclo,cicloCorrente,RR_Score_Composito,"&lt;&gt;")*COUNTIFS(RR_ID_Rischio,$AD16,RR_Ciclo,cicloPrecedente,RR_Score_Composito,"&lt;&gt;")=0,NA(),SUMIFS(RR_Score_Composito,RR_ID_Rischio,$AD16,RR_Ciclo,cicloCorrente)-SUMIFS(RR_Score_Composito,RR_ID_Rischio,$AD16,RR_Ciclo,cicloPrecedente)))</f>
        <v/>
      </c>
      <c r="AJ16">
        <f>IF($AD16="","",IF(ISNUMBER(AI16),AI16,-9)-12/100000)</f>
        <v/>
      </c>
      <c r="AK16">
        <f>IFERROR(MATCH(_xlfn.AGGREGATE(14,6,$AJ$5:$AJ$24,12),$AJ$5:$AJ$24,0),"")</f>
        <v/>
      </c>
      <c r="AL16">
        <f>IF($AK16="","",INDEX(posID,$AK16)&amp;"  "&amp;LEFT(INDEX(posNome,$AK16),30))</f>
        <v/>
      </c>
      <c r="AM16" s="74">
        <f>IF($AK16="",NA(),IF(ISNUMBER(INDEX($AI$5:$AI$24,$AK16)),IF(INDEX($AI$5:$AI$24,$AK16)&gt;0,INDEX($AI$5:$AI$24,$AK16),0),NA()))</f>
        <v/>
      </c>
      <c r="AN16" s="74">
        <f>IF($AK16="",NA(),IF(ISNUMBER(INDEX($AI$5:$AI$24,$AK16)),IF(INDEX($AI$5:$AI$24,$AK16)&lt;0,INDEX($AI$5:$AI$24,$AK16),0),NA()))</f>
        <v/>
      </c>
      <c r="AO16" s="74">
        <f>IF($AK16="",NA(),IF(ISNUMBER(INDEX($AI$5:$AI$24,$AK16)),IF(INDEX($AI$5:$AI$24,$AK16)=0,0,NA()),NA()))</f>
        <v/>
      </c>
    </row>
    <row r="17" ht="30" customHeight="1">
      <c r="K17" s="75">
        <f>IF($AK$16="","",INDEX(posID,$AK$16))</f>
        <v/>
      </c>
      <c r="L17" s="76">
        <f>IF($AK$16="","",IFERROR(INDEX($AI$5:$AI$24,$AK$16),"nuovo"))</f>
        <v/>
      </c>
      <c r="M17" s="77">
        <f>IF($AK$16="","",IFERROR(IF(INDEX(RR_Esito,MATCH(cicloCorrente&amp;"|"&amp;INDEX(posID,$AK$16),RR_Chiave,0))="Nuovo","Rischio nuovo nel ciclo.",IF(INDEX(RR_Variazioni,MATCH(cicloCorrente&amp;"|"&amp;INDEX(posID,$AK$16),RR_Chiave,0))&amp;""="[]","Invariato: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$16),RR_Chiave,0))&amp;"","[{""dimensione"": ""","• "),"""}, {""dimensione"": """,")"&amp;CHAR(10)&amp;"• "),""", ""da"": "," "),", ""a"": "," → "),", ""evidenza"": """,": "),""", ""data_evidenza"": """," ("),"""}]",")")," null → "," n.v. → ")," → null:"," → n.v.:"),"• impatto","• Impatto"),"• velocity","• Velocity"),"• prossimita","• Prossimita"),"• confidence","• Confidence"),"• probabilita","• Probabilita"),"• severity","• Impatto"))),"Non valutato nel ciclo."))</f>
        <v/>
      </c>
      <c r="N17" s="4" t="n"/>
      <c r="O17" s="4" t="n"/>
      <c r="P17" s="4" t="n"/>
      <c r="Q17" s="4" t="n"/>
      <c r="AD17">
        <f>INDEX(posID,13)&amp;""</f>
        <v/>
      </c>
      <c r="AE17">
        <f>IF($AD17="",NA(),IF(COUNTIFS(RR_ID_Rischio,$AD17,RR_Ciclo,cicloCorrente,RR_Impatto,"&lt;&gt;")*COUNTIFS(RR_ID_Rischio,$AD17,RR_Ciclo,cicloPrecedente,RR_Impatto,"&lt;&gt;")=0,NA(),SUMIFS(RR_Impatto,RR_ID_Rischio,$AD17,RR_Ciclo,cicloCorrente)-SUMIFS(RR_Impatto,RR_ID_Rischio,$AD17,RR_Ciclo,cicloPrecedente)))</f>
        <v/>
      </c>
      <c r="AF17">
        <f>IF($AD17="",NA(),IF(COUNTIFS(RR_ID_Rischio,$AD17,RR_Ciclo,cicloCorrente,RR_Probabilita,"&lt;&gt;")*COUNTIFS(RR_ID_Rischio,$AD17,RR_Ciclo,cicloPrecedente,RR_Probabilita,"&lt;&gt;")=0,NA(),SUMIFS(RR_Probabilita,RR_ID_Rischio,$AD17,RR_Ciclo,cicloCorrente)-SUMIFS(RR_Probabilita,RR_ID_Rischio,$AD17,RR_Ciclo,cicloPrecedente)))</f>
        <v/>
      </c>
      <c r="AG17">
        <f>IF($AD17="",NA(),IF(COUNTIFS(RR_ID_Rischio,$AD17,RR_Ciclo,cicloCorrente,RR_Prossimita,"&lt;&gt;")*COUNTIFS(RR_ID_Rischio,$AD17,RR_Ciclo,cicloPrecedente,RR_Prossimita,"&lt;&gt;")=0,NA(),SUMIFS(RR_Prossimita,RR_ID_Rischio,$AD17,RR_Ciclo,cicloCorrente)-SUMIFS(RR_Prossimita,RR_ID_Rischio,$AD17,RR_Ciclo,cicloPrecedente)))</f>
        <v/>
      </c>
      <c r="AH17">
        <f>IF($AD17="",NA(),IF(COUNTIFS(RR_ID_Rischio,$AD17,RR_Ciclo,cicloCorrente,RR_Velocity,"&lt;&gt;")*COUNTIFS(RR_ID_Rischio,$AD17,RR_Ciclo,cicloPrecedente,RR_Velocity,"&lt;&gt;")=0,NA(),SUMIFS(RR_Velocity,RR_ID_Rischio,$AD17,RR_Ciclo,cicloCorrente)-SUMIFS(RR_Velocity,RR_ID_Rischio,$AD17,RR_Ciclo,cicloPrecedente)))</f>
        <v/>
      </c>
      <c r="AI17">
        <f>IF($AD17="",NA(),IF(COUNTIFS(RR_ID_Rischio,$AD17,RR_Ciclo,cicloCorrente,RR_Score_Composito,"&lt;&gt;")*COUNTIFS(RR_ID_Rischio,$AD17,RR_Ciclo,cicloPrecedente,RR_Score_Composito,"&lt;&gt;")=0,NA(),SUMIFS(RR_Score_Composito,RR_ID_Rischio,$AD17,RR_Ciclo,cicloCorrente)-SUMIFS(RR_Score_Composito,RR_ID_Rischio,$AD17,RR_Ciclo,cicloPrecedente)))</f>
        <v/>
      </c>
      <c r="AJ17">
        <f>IF($AD17="","",IF(ISNUMBER(AI17),AI17,-9)-13/100000)</f>
        <v/>
      </c>
      <c r="AK17">
        <f>IFERROR(MATCH(_xlfn.AGGREGATE(14,6,$AJ$5:$AJ$24,13),$AJ$5:$AJ$24,0),"")</f>
        <v/>
      </c>
      <c r="AL17">
        <f>IF($AK17="","",INDEX(posID,$AK17)&amp;"  "&amp;LEFT(INDEX(posNome,$AK17),30))</f>
        <v/>
      </c>
      <c r="AM17" s="74">
        <f>IF($AK17="",NA(),IF(ISNUMBER(INDEX($AI$5:$AI$24,$AK17)),IF(INDEX($AI$5:$AI$24,$AK17)&gt;0,INDEX($AI$5:$AI$24,$AK17),0),NA()))</f>
        <v/>
      </c>
      <c r="AN17" s="74">
        <f>IF($AK17="",NA(),IF(ISNUMBER(INDEX($AI$5:$AI$24,$AK17)),IF(INDEX($AI$5:$AI$24,$AK17)&lt;0,INDEX($AI$5:$AI$24,$AK17),0),NA()))</f>
        <v/>
      </c>
      <c r="AO17" s="74">
        <f>IF($AK17="",NA(),IF(ISNUMBER(INDEX($AI$5:$AI$24,$AK17)),IF(INDEX($AI$5:$AI$24,$AK17)=0,0,NA()),NA()))</f>
        <v/>
      </c>
    </row>
    <row r="18" ht="3" customHeight="1">
      <c r="K18" s="75">
        <f>IF($AK$17="","",INDEX(posID,$AK$17))</f>
        <v/>
      </c>
      <c r="L18" s="76">
        <f>IF($AK$17="","",IFERROR(INDEX($AI$5:$AI$24,$AK$17),"nuovo"))</f>
        <v/>
      </c>
      <c r="M18" s="77">
        <f>IF($AK$17="","",IFERROR(IF(INDEX(RR_Esito,MATCH(cicloCorrente&amp;"|"&amp;INDEX(posID,$AK$17),RR_Chiave,0))="Nuovo","Rischio nuovo nel ciclo.",IF(INDEX(RR_Variazioni,MATCH(cicloCorrente&amp;"|"&amp;INDEX(posID,$AK$17),RR_Chiave,0))&amp;""="[]","Invariato: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$17),RR_Chiave,0))&amp;"","[{""dimensione"": ""","• "),"""}, {""dimensione"": """,")"&amp;CHAR(10)&amp;"• "),""", ""da"": "," "),", ""a"": "," → "),", ""evidenza"": """,": "),""", ""data_evidenza"": """," ("),"""}]",")")," null → "," n.v. → ")," → null:"," → n.v.:"),"• impatto","• Impatto"),"• velocity","• Velocity"),"• prossimita","• Prossimita"),"• confidence","• Confidence"),"• probabilita","• Probabilita"),"• severity","• Impatto"))),"Non valutato nel ciclo."))</f>
        <v/>
      </c>
      <c r="N18" s="4" t="n"/>
      <c r="O18" s="4" t="n"/>
      <c r="P18" s="4" t="n"/>
      <c r="Q18" s="4" t="n"/>
      <c r="AD18">
        <f>INDEX(posID,14)&amp;""</f>
        <v/>
      </c>
      <c r="AE18">
        <f>IF($AD18="",NA(),IF(COUNTIFS(RR_ID_Rischio,$AD18,RR_Ciclo,cicloCorrente,RR_Impatto,"&lt;&gt;")*COUNTIFS(RR_ID_Rischio,$AD18,RR_Ciclo,cicloPrecedente,RR_Impatto,"&lt;&gt;")=0,NA(),SUMIFS(RR_Impatto,RR_ID_Rischio,$AD18,RR_Ciclo,cicloCorrente)-SUMIFS(RR_Impatto,RR_ID_Rischio,$AD18,RR_Ciclo,cicloPrecedente)))</f>
        <v/>
      </c>
      <c r="AF18">
        <f>IF($AD18="",NA(),IF(COUNTIFS(RR_ID_Rischio,$AD18,RR_Ciclo,cicloCorrente,RR_Probabilita,"&lt;&gt;")*COUNTIFS(RR_ID_Rischio,$AD18,RR_Ciclo,cicloPrecedente,RR_Probabilita,"&lt;&gt;")=0,NA(),SUMIFS(RR_Probabilita,RR_ID_Rischio,$AD18,RR_Ciclo,cicloCorrente)-SUMIFS(RR_Probabilita,RR_ID_Rischio,$AD18,RR_Ciclo,cicloPrecedente)))</f>
        <v/>
      </c>
      <c r="AG18">
        <f>IF($AD18="",NA(),IF(COUNTIFS(RR_ID_Rischio,$AD18,RR_Ciclo,cicloCorrente,RR_Prossimita,"&lt;&gt;")*COUNTIFS(RR_ID_Rischio,$AD18,RR_Ciclo,cicloPrecedente,RR_Prossimita,"&lt;&gt;")=0,NA(),SUMIFS(RR_Prossimita,RR_ID_Rischio,$AD18,RR_Ciclo,cicloCorrente)-SUMIFS(RR_Prossimita,RR_ID_Rischio,$AD18,RR_Ciclo,cicloPrecedente)))</f>
        <v/>
      </c>
      <c r="AH18">
        <f>IF($AD18="",NA(),IF(COUNTIFS(RR_ID_Rischio,$AD18,RR_Ciclo,cicloCorrente,RR_Velocity,"&lt;&gt;")*COUNTIFS(RR_ID_Rischio,$AD18,RR_Ciclo,cicloPrecedente,RR_Velocity,"&lt;&gt;")=0,NA(),SUMIFS(RR_Velocity,RR_ID_Rischio,$AD18,RR_Ciclo,cicloCorrente)-SUMIFS(RR_Velocity,RR_ID_Rischio,$AD18,RR_Ciclo,cicloPrecedente)))</f>
        <v/>
      </c>
      <c r="AI18">
        <f>IF($AD18="",NA(),IF(COUNTIFS(RR_ID_Rischio,$AD18,RR_Ciclo,cicloCorrente,RR_Score_Composito,"&lt;&gt;")*COUNTIFS(RR_ID_Rischio,$AD18,RR_Ciclo,cicloPrecedente,RR_Score_Composito,"&lt;&gt;")=0,NA(),SUMIFS(RR_Score_Composito,RR_ID_Rischio,$AD18,RR_Ciclo,cicloCorrente)-SUMIFS(RR_Score_Composito,RR_ID_Rischio,$AD18,RR_Ciclo,cicloPrecedente)))</f>
        <v/>
      </c>
      <c r="AJ18">
        <f>IF($AD18="","",IF(ISNUMBER(AI18),AI18,-9)-14/100000)</f>
        <v/>
      </c>
      <c r="AK18">
        <f>IFERROR(MATCH(_xlfn.AGGREGATE(14,6,$AJ$5:$AJ$24,14),$AJ$5:$AJ$24,0),"")</f>
        <v/>
      </c>
      <c r="AL18">
        <f>IF($AK18="","",INDEX(posID,$AK18)&amp;"  "&amp;LEFT(INDEX(posNome,$AK18),30))</f>
        <v/>
      </c>
      <c r="AM18" s="74">
        <f>IF($AK18="",NA(),IF(ISNUMBER(INDEX($AI$5:$AI$24,$AK18)),IF(INDEX($AI$5:$AI$24,$AK18)&gt;0,INDEX($AI$5:$AI$24,$AK18),0),NA()))</f>
        <v/>
      </c>
      <c r="AN18" s="74">
        <f>IF($AK18="",NA(),IF(ISNUMBER(INDEX($AI$5:$AI$24,$AK18)),IF(INDEX($AI$5:$AI$24,$AK18)&lt;0,INDEX($AI$5:$AI$24,$AK18),0),NA()))</f>
        <v/>
      </c>
      <c r="AO18" s="74">
        <f>IF($AK18="",NA(),IF(ISNUMBER(INDEX($AI$5:$AI$24,$AK18)),IF(INDEX($AI$5:$AI$24,$AK18)=0,0,NA()),NA()))</f>
        <v/>
      </c>
    </row>
    <row r="19" ht="3" customHeight="1">
      <c r="K19" s="75">
        <f>IF($AK$18="","",INDEX(posID,$AK$18))</f>
        <v/>
      </c>
      <c r="L19" s="76">
        <f>IF($AK$18="","",IFERROR(INDEX($AI$5:$AI$24,$AK$18),"nuovo"))</f>
        <v/>
      </c>
      <c r="M19" s="77">
        <f>IF($AK$18="","",IFERROR(IF(INDEX(RR_Esito,MATCH(cicloCorrente&amp;"|"&amp;INDEX(posID,$AK$18),RR_Chiave,0))="Nuovo","Rischio nuovo nel ciclo.",IF(INDEX(RR_Variazioni,MATCH(cicloCorrente&amp;"|"&amp;INDEX(posID,$AK$18),RR_Chiave,0))&amp;""="[]","Invariato: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$18),RR_Chiave,0))&amp;"","[{""dimensione"": ""","• "),"""}, {""dimensione"": """,")"&amp;CHAR(10)&amp;"• "),""", ""da"": "," "),", ""a"": "," → "),", ""evidenza"": """,": "),""", ""data_evidenza"": """," ("),"""}]",")")," null → "," n.v. → ")," → null:"," → n.v.:"),"• impatto","• Impatto"),"• velocity","• Velocity"),"• prossimita","• Prossimita"),"• confidence","• Confidence"),"• probabilita","• Probabilita"),"• severity","• Impatto"))),"Non valutato nel ciclo."))</f>
        <v/>
      </c>
      <c r="N19" s="4" t="n"/>
      <c r="O19" s="4" t="n"/>
      <c r="P19" s="4" t="n"/>
      <c r="Q19" s="4" t="n"/>
      <c r="AD19">
        <f>INDEX(posID,15)&amp;""</f>
        <v/>
      </c>
      <c r="AE19">
        <f>IF($AD19="",NA(),IF(COUNTIFS(RR_ID_Rischio,$AD19,RR_Ciclo,cicloCorrente,RR_Impatto,"&lt;&gt;")*COUNTIFS(RR_ID_Rischio,$AD19,RR_Ciclo,cicloPrecedente,RR_Impatto,"&lt;&gt;")=0,NA(),SUMIFS(RR_Impatto,RR_ID_Rischio,$AD19,RR_Ciclo,cicloCorrente)-SUMIFS(RR_Impatto,RR_ID_Rischio,$AD19,RR_Ciclo,cicloPrecedente)))</f>
        <v/>
      </c>
      <c r="AF19">
        <f>IF($AD19="",NA(),IF(COUNTIFS(RR_ID_Rischio,$AD19,RR_Ciclo,cicloCorrente,RR_Probabilita,"&lt;&gt;")*COUNTIFS(RR_ID_Rischio,$AD19,RR_Ciclo,cicloPrecedente,RR_Probabilita,"&lt;&gt;")=0,NA(),SUMIFS(RR_Probabilita,RR_ID_Rischio,$AD19,RR_Ciclo,cicloCorrente)-SUMIFS(RR_Probabilita,RR_ID_Rischio,$AD19,RR_Ciclo,cicloPrecedente)))</f>
        <v/>
      </c>
      <c r="AG19">
        <f>IF($AD19="",NA(),IF(COUNTIFS(RR_ID_Rischio,$AD19,RR_Ciclo,cicloCorrente,RR_Prossimita,"&lt;&gt;")*COUNTIFS(RR_ID_Rischio,$AD19,RR_Ciclo,cicloPrecedente,RR_Prossimita,"&lt;&gt;")=0,NA(),SUMIFS(RR_Prossimita,RR_ID_Rischio,$AD19,RR_Ciclo,cicloCorrente)-SUMIFS(RR_Prossimita,RR_ID_Rischio,$AD19,RR_Ciclo,cicloPrecedente)))</f>
        <v/>
      </c>
      <c r="AH19">
        <f>IF($AD19="",NA(),IF(COUNTIFS(RR_ID_Rischio,$AD19,RR_Ciclo,cicloCorrente,RR_Velocity,"&lt;&gt;")*COUNTIFS(RR_ID_Rischio,$AD19,RR_Ciclo,cicloPrecedente,RR_Velocity,"&lt;&gt;")=0,NA(),SUMIFS(RR_Velocity,RR_ID_Rischio,$AD19,RR_Ciclo,cicloCorrente)-SUMIFS(RR_Velocity,RR_ID_Rischio,$AD19,RR_Ciclo,cicloPrecedente)))</f>
        <v/>
      </c>
      <c r="AI19">
        <f>IF($AD19="",NA(),IF(COUNTIFS(RR_ID_Rischio,$AD19,RR_Ciclo,cicloCorrente,RR_Score_Composito,"&lt;&gt;")*COUNTIFS(RR_ID_Rischio,$AD19,RR_Ciclo,cicloPrecedente,RR_Score_Composito,"&lt;&gt;")=0,NA(),SUMIFS(RR_Score_Composito,RR_ID_Rischio,$AD19,RR_Ciclo,cicloCorrente)-SUMIFS(RR_Score_Composito,RR_ID_Rischio,$AD19,RR_Ciclo,cicloPrecedente)))</f>
        <v/>
      </c>
      <c r="AJ19">
        <f>IF($AD19="","",IF(ISNUMBER(AI19),AI19,-9)-15/100000)</f>
        <v/>
      </c>
      <c r="AK19">
        <f>IFERROR(MATCH(_xlfn.AGGREGATE(14,6,$AJ$5:$AJ$24,15),$AJ$5:$AJ$24,0),"")</f>
        <v/>
      </c>
      <c r="AL19">
        <f>IF($AK19="","",INDEX(posID,$AK19)&amp;"  "&amp;LEFT(INDEX(posNome,$AK19),30))</f>
        <v/>
      </c>
      <c r="AM19" s="74">
        <f>IF($AK19="",NA(),IF(ISNUMBER(INDEX($AI$5:$AI$24,$AK19)),IF(INDEX($AI$5:$AI$24,$AK19)&gt;0,INDEX($AI$5:$AI$24,$AK19),0),NA()))</f>
        <v/>
      </c>
      <c r="AN19" s="74">
        <f>IF($AK19="",NA(),IF(ISNUMBER(INDEX($AI$5:$AI$24,$AK19)),IF(INDEX($AI$5:$AI$24,$AK19)&lt;0,INDEX($AI$5:$AI$24,$AK19),0),NA()))</f>
        <v/>
      </c>
      <c r="AO19" s="74">
        <f>IF($AK19="",NA(),IF(ISNUMBER(INDEX($AI$5:$AI$24,$AK19)),IF(INDEX($AI$5:$AI$24,$AK19)=0,0,NA()),NA()))</f>
        <v/>
      </c>
    </row>
    <row r="20" ht="3" customHeight="1">
      <c r="K20" s="75">
        <f>IF($AK$19="","",INDEX(posID,$AK$19))</f>
        <v/>
      </c>
      <c r="L20" s="76">
        <f>IF($AK$19="","",IFERROR(INDEX($AI$5:$AI$24,$AK$19),"nuovo"))</f>
        <v/>
      </c>
      <c r="M20" s="77">
        <f>IF($AK$19="","",IFERROR(IF(INDEX(RR_Esito,MATCH(cicloCorrente&amp;"|"&amp;INDEX(posID,$AK$19),RR_Chiave,0))="Nuovo","Rischio nuovo nel ciclo.",IF(INDEX(RR_Variazioni,MATCH(cicloCorrente&amp;"|"&amp;INDEX(posID,$AK$19),RR_Chiave,0))&amp;""="[]","Invariato: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$19),RR_Chiave,0))&amp;"","[{""dimensione"": ""","• "),"""}, {""dimensione"": """,")"&amp;CHAR(10)&amp;"• "),""", ""da"": "," "),", ""a"": "," → "),", ""evidenza"": """,": "),""", ""data_evidenza"": """," ("),"""}]",")")," null → "," n.v. → ")," → null:"," → n.v.:"),"• impatto","• Impatto"),"• velocity","• Velocity"),"• prossimita","• Prossimita"),"• confidence","• Confidence"),"• probabilita","• Probabilita"),"• severity","• Impatto"))),"Non valutato nel ciclo."))</f>
        <v/>
      </c>
      <c r="N20" s="4" t="n"/>
      <c r="O20" s="4" t="n"/>
      <c r="P20" s="4" t="n"/>
      <c r="Q20" s="4" t="n"/>
      <c r="AD20">
        <f>INDEX(posID,16)&amp;""</f>
        <v/>
      </c>
      <c r="AE20">
        <f>IF($AD20="",NA(),IF(COUNTIFS(RR_ID_Rischio,$AD20,RR_Ciclo,cicloCorrente,RR_Impatto,"&lt;&gt;")*COUNTIFS(RR_ID_Rischio,$AD20,RR_Ciclo,cicloPrecedente,RR_Impatto,"&lt;&gt;")=0,NA(),SUMIFS(RR_Impatto,RR_ID_Rischio,$AD20,RR_Ciclo,cicloCorrente)-SUMIFS(RR_Impatto,RR_ID_Rischio,$AD20,RR_Ciclo,cicloPrecedente)))</f>
        <v/>
      </c>
      <c r="AF20">
        <f>IF($AD20="",NA(),IF(COUNTIFS(RR_ID_Rischio,$AD20,RR_Ciclo,cicloCorrente,RR_Probabilita,"&lt;&gt;")*COUNTIFS(RR_ID_Rischio,$AD20,RR_Ciclo,cicloPrecedente,RR_Probabilita,"&lt;&gt;")=0,NA(),SUMIFS(RR_Probabilita,RR_ID_Rischio,$AD20,RR_Ciclo,cicloCorrente)-SUMIFS(RR_Probabilita,RR_ID_Rischio,$AD20,RR_Ciclo,cicloPrecedente)))</f>
        <v/>
      </c>
      <c r="AG20">
        <f>IF($AD20="",NA(),IF(COUNTIFS(RR_ID_Rischio,$AD20,RR_Ciclo,cicloCorrente,RR_Prossimita,"&lt;&gt;")*COUNTIFS(RR_ID_Rischio,$AD20,RR_Ciclo,cicloPrecedente,RR_Prossimita,"&lt;&gt;")=0,NA(),SUMIFS(RR_Prossimita,RR_ID_Rischio,$AD20,RR_Ciclo,cicloCorrente)-SUMIFS(RR_Prossimita,RR_ID_Rischio,$AD20,RR_Ciclo,cicloPrecedente)))</f>
        <v/>
      </c>
      <c r="AH20">
        <f>IF($AD20="",NA(),IF(COUNTIFS(RR_ID_Rischio,$AD20,RR_Ciclo,cicloCorrente,RR_Velocity,"&lt;&gt;")*COUNTIFS(RR_ID_Rischio,$AD20,RR_Ciclo,cicloPrecedente,RR_Velocity,"&lt;&gt;")=0,NA(),SUMIFS(RR_Velocity,RR_ID_Rischio,$AD20,RR_Ciclo,cicloCorrente)-SUMIFS(RR_Velocity,RR_ID_Rischio,$AD20,RR_Ciclo,cicloPrecedente)))</f>
        <v/>
      </c>
      <c r="AI20">
        <f>IF($AD20="",NA(),IF(COUNTIFS(RR_ID_Rischio,$AD20,RR_Ciclo,cicloCorrente,RR_Score_Composito,"&lt;&gt;")*COUNTIFS(RR_ID_Rischio,$AD20,RR_Ciclo,cicloPrecedente,RR_Score_Composito,"&lt;&gt;")=0,NA(),SUMIFS(RR_Score_Composito,RR_ID_Rischio,$AD20,RR_Ciclo,cicloCorrente)-SUMIFS(RR_Score_Composito,RR_ID_Rischio,$AD20,RR_Ciclo,cicloPrecedente)))</f>
        <v/>
      </c>
      <c r="AJ20">
        <f>IF($AD20="","",IF(ISNUMBER(AI20),AI20,-9)-16/100000)</f>
        <v/>
      </c>
      <c r="AK20">
        <f>IFERROR(MATCH(_xlfn.AGGREGATE(14,6,$AJ$5:$AJ$24,16),$AJ$5:$AJ$24,0),"")</f>
        <v/>
      </c>
      <c r="AL20">
        <f>IF($AK20="","",INDEX(posID,$AK20)&amp;"  "&amp;LEFT(INDEX(posNome,$AK20),30))</f>
        <v/>
      </c>
      <c r="AM20" s="74">
        <f>IF($AK20="",NA(),IF(ISNUMBER(INDEX($AI$5:$AI$24,$AK20)),IF(INDEX($AI$5:$AI$24,$AK20)&gt;0,INDEX($AI$5:$AI$24,$AK20),0),NA()))</f>
        <v/>
      </c>
      <c r="AN20" s="74">
        <f>IF($AK20="",NA(),IF(ISNUMBER(INDEX($AI$5:$AI$24,$AK20)),IF(INDEX($AI$5:$AI$24,$AK20)&lt;0,INDEX($AI$5:$AI$24,$AK20),0),NA()))</f>
        <v/>
      </c>
      <c r="AO20" s="74">
        <f>IF($AK20="",NA(),IF(ISNUMBER(INDEX($AI$5:$AI$24,$AK20)),IF(INDEX($AI$5:$AI$24,$AK20)=0,0,NA()),NA()))</f>
        <v/>
      </c>
    </row>
    <row r="21" ht="3" customHeight="1">
      <c r="K21" s="75">
        <f>IF($AK$20="","",INDEX(posID,$AK$20))</f>
        <v/>
      </c>
      <c r="L21" s="76">
        <f>IF($AK$20="","",IFERROR(INDEX($AI$5:$AI$24,$AK$20),"nuovo"))</f>
        <v/>
      </c>
      <c r="M21" s="77">
        <f>IF($AK$20="","",IFERROR(IF(INDEX(RR_Esito,MATCH(cicloCorrente&amp;"|"&amp;INDEX(posID,$AK$20),RR_Chiave,0))="Nuovo","Rischio nuovo nel ciclo.",IF(INDEX(RR_Variazioni,MATCH(cicloCorrente&amp;"|"&amp;INDEX(posID,$AK$20),RR_Chiave,0))&amp;""="[]","Invariato: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$20),RR_Chiave,0))&amp;"","[{""dimensione"": ""","• "),"""}, {""dimensione"": """,")"&amp;CHAR(10)&amp;"• "),""", ""da"": "," "),", ""a"": "," → "),", ""evidenza"": """,": "),""", ""data_evidenza"": """," ("),"""}]",")")," null → "," n.v. → ")," → null:"," → n.v.:"),"• impatto","• Impatto"),"• velocity","• Velocity"),"• prossimita","• Prossimita"),"• confidence","• Confidence"),"• probabilita","• Probabilita"),"• severity","• Impatto"))),"Non valutato nel ciclo."))</f>
        <v/>
      </c>
      <c r="N21" s="4" t="n"/>
      <c r="O21" s="4" t="n"/>
      <c r="P21" s="4" t="n"/>
      <c r="Q21" s="4" t="n"/>
      <c r="AD21">
        <f>INDEX(posID,17)&amp;""</f>
        <v/>
      </c>
      <c r="AE21">
        <f>IF($AD21="",NA(),IF(COUNTIFS(RR_ID_Rischio,$AD21,RR_Ciclo,cicloCorrente,RR_Impatto,"&lt;&gt;")*COUNTIFS(RR_ID_Rischio,$AD21,RR_Ciclo,cicloPrecedente,RR_Impatto,"&lt;&gt;")=0,NA(),SUMIFS(RR_Impatto,RR_ID_Rischio,$AD21,RR_Ciclo,cicloCorrente)-SUMIFS(RR_Impatto,RR_ID_Rischio,$AD21,RR_Ciclo,cicloPrecedente)))</f>
        <v/>
      </c>
      <c r="AF21">
        <f>IF($AD21="",NA(),IF(COUNTIFS(RR_ID_Rischio,$AD21,RR_Ciclo,cicloCorrente,RR_Probabilita,"&lt;&gt;")*COUNTIFS(RR_ID_Rischio,$AD21,RR_Ciclo,cicloPrecedente,RR_Probabilita,"&lt;&gt;")=0,NA(),SUMIFS(RR_Probabilita,RR_ID_Rischio,$AD21,RR_Ciclo,cicloCorrente)-SUMIFS(RR_Probabilita,RR_ID_Rischio,$AD21,RR_Ciclo,cicloPrecedente)))</f>
        <v/>
      </c>
      <c r="AG21">
        <f>IF($AD21="",NA(),IF(COUNTIFS(RR_ID_Rischio,$AD21,RR_Ciclo,cicloCorrente,RR_Prossimita,"&lt;&gt;")*COUNTIFS(RR_ID_Rischio,$AD21,RR_Ciclo,cicloPrecedente,RR_Prossimita,"&lt;&gt;")=0,NA(),SUMIFS(RR_Prossimita,RR_ID_Rischio,$AD21,RR_Ciclo,cicloCorrente)-SUMIFS(RR_Prossimita,RR_ID_Rischio,$AD21,RR_Ciclo,cicloPrecedente)))</f>
        <v/>
      </c>
      <c r="AH21">
        <f>IF($AD21="",NA(),IF(COUNTIFS(RR_ID_Rischio,$AD21,RR_Ciclo,cicloCorrente,RR_Velocity,"&lt;&gt;")*COUNTIFS(RR_ID_Rischio,$AD21,RR_Ciclo,cicloPrecedente,RR_Velocity,"&lt;&gt;")=0,NA(),SUMIFS(RR_Velocity,RR_ID_Rischio,$AD21,RR_Ciclo,cicloCorrente)-SUMIFS(RR_Velocity,RR_ID_Rischio,$AD21,RR_Ciclo,cicloPrecedente)))</f>
        <v/>
      </c>
      <c r="AI21">
        <f>IF($AD21="",NA(),IF(COUNTIFS(RR_ID_Rischio,$AD21,RR_Ciclo,cicloCorrente,RR_Score_Composito,"&lt;&gt;")*COUNTIFS(RR_ID_Rischio,$AD21,RR_Ciclo,cicloPrecedente,RR_Score_Composito,"&lt;&gt;")=0,NA(),SUMIFS(RR_Score_Composito,RR_ID_Rischio,$AD21,RR_Ciclo,cicloCorrente)-SUMIFS(RR_Score_Composito,RR_ID_Rischio,$AD21,RR_Ciclo,cicloPrecedente)))</f>
        <v/>
      </c>
      <c r="AJ21">
        <f>IF($AD21="","",IF(ISNUMBER(AI21),AI21,-9)-17/100000)</f>
        <v/>
      </c>
      <c r="AK21">
        <f>IFERROR(MATCH(_xlfn.AGGREGATE(14,6,$AJ$5:$AJ$24,17),$AJ$5:$AJ$24,0),"")</f>
        <v/>
      </c>
      <c r="AL21">
        <f>IF($AK21="","",INDEX(posID,$AK21)&amp;"  "&amp;LEFT(INDEX(posNome,$AK21),30))</f>
        <v/>
      </c>
      <c r="AM21" s="74">
        <f>IF($AK21="",NA(),IF(ISNUMBER(INDEX($AI$5:$AI$24,$AK21)),IF(INDEX($AI$5:$AI$24,$AK21)&gt;0,INDEX($AI$5:$AI$24,$AK21),0),NA()))</f>
        <v/>
      </c>
      <c r="AN21" s="74">
        <f>IF($AK21="",NA(),IF(ISNUMBER(INDEX($AI$5:$AI$24,$AK21)),IF(INDEX($AI$5:$AI$24,$AK21)&lt;0,INDEX($AI$5:$AI$24,$AK21),0),NA()))</f>
        <v/>
      </c>
      <c r="AO21" s="74">
        <f>IF($AK21="",NA(),IF(ISNUMBER(INDEX($AI$5:$AI$24,$AK21)),IF(INDEX($AI$5:$AI$24,$AK21)=0,0,NA()),NA()))</f>
        <v/>
      </c>
    </row>
    <row r="22" ht="3" customHeight="1">
      <c r="K22" s="75">
        <f>IF($AK$21="","",INDEX(posID,$AK$21))</f>
        <v/>
      </c>
      <c r="L22" s="76">
        <f>IF($AK$21="","",IFERROR(INDEX($AI$5:$AI$24,$AK$21),"nuovo"))</f>
        <v/>
      </c>
      <c r="M22" s="77">
        <f>IF($AK$21="","",IFERROR(IF(INDEX(RR_Esito,MATCH(cicloCorrente&amp;"|"&amp;INDEX(posID,$AK$21),RR_Chiave,0))="Nuovo","Rischio nuovo nel ciclo.",IF(INDEX(RR_Variazioni,MATCH(cicloCorrente&amp;"|"&amp;INDEX(posID,$AK$21),RR_Chiave,0))&amp;""="[]","Invariato: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$21),RR_Chiave,0))&amp;"","[{""dimensione"": ""","• "),"""}, {""dimensione"": """,")"&amp;CHAR(10)&amp;"• "),""", ""da"": "," "),", ""a"": "," → "),", ""evidenza"": """,": "),""", ""data_evidenza"": """," ("),"""}]",")")," null → "," n.v. → ")," → null:"," → n.v.:"),"• impatto","• Impatto"),"• velocity","• Velocity"),"• prossimita","• Prossimita"),"• confidence","• Confidence"),"• probabilita","• Probabilita"),"• severity","• Impatto"))),"Non valutato nel ciclo."))</f>
        <v/>
      </c>
      <c r="N22" s="4" t="n"/>
      <c r="O22" s="4" t="n"/>
      <c r="P22" s="4" t="n"/>
      <c r="Q22" s="4" t="n"/>
      <c r="AD22">
        <f>INDEX(posID,18)&amp;""</f>
        <v/>
      </c>
      <c r="AE22">
        <f>IF($AD22="",NA(),IF(COUNTIFS(RR_ID_Rischio,$AD22,RR_Ciclo,cicloCorrente,RR_Impatto,"&lt;&gt;")*COUNTIFS(RR_ID_Rischio,$AD22,RR_Ciclo,cicloPrecedente,RR_Impatto,"&lt;&gt;")=0,NA(),SUMIFS(RR_Impatto,RR_ID_Rischio,$AD22,RR_Ciclo,cicloCorrente)-SUMIFS(RR_Impatto,RR_ID_Rischio,$AD22,RR_Ciclo,cicloPrecedente)))</f>
        <v/>
      </c>
      <c r="AF22">
        <f>IF($AD22="",NA(),IF(COUNTIFS(RR_ID_Rischio,$AD22,RR_Ciclo,cicloCorrente,RR_Probabilita,"&lt;&gt;")*COUNTIFS(RR_ID_Rischio,$AD22,RR_Ciclo,cicloPrecedente,RR_Probabilita,"&lt;&gt;")=0,NA(),SUMIFS(RR_Probabilita,RR_ID_Rischio,$AD22,RR_Ciclo,cicloCorrente)-SUMIFS(RR_Probabilita,RR_ID_Rischio,$AD22,RR_Ciclo,cicloPrecedente)))</f>
        <v/>
      </c>
      <c r="AG22">
        <f>IF($AD22="",NA(),IF(COUNTIFS(RR_ID_Rischio,$AD22,RR_Ciclo,cicloCorrente,RR_Prossimita,"&lt;&gt;")*COUNTIFS(RR_ID_Rischio,$AD22,RR_Ciclo,cicloPrecedente,RR_Prossimita,"&lt;&gt;")=0,NA(),SUMIFS(RR_Prossimita,RR_ID_Rischio,$AD22,RR_Ciclo,cicloCorrente)-SUMIFS(RR_Prossimita,RR_ID_Rischio,$AD22,RR_Ciclo,cicloPrecedente)))</f>
        <v/>
      </c>
      <c r="AH22">
        <f>IF($AD22="",NA(),IF(COUNTIFS(RR_ID_Rischio,$AD22,RR_Ciclo,cicloCorrente,RR_Velocity,"&lt;&gt;")*COUNTIFS(RR_ID_Rischio,$AD22,RR_Ciclo,cicloPrecedente,RR_Velocity,"&lt;&gt;")=0,NA(),SUMIFS(RR_Velocity,RR_ID_Rischio,$AD22,RR_Ciclo,cicloCorrente)-SUMIFS(RR_Velocity,RR_ID_Rischio,$AD22,RR_Ciclo,cicloPrecedente)))</f>
        <v/>
      </c>
      <c r="AI22">
        <f>IF($AD22="",NA(),IF(COUNTIFS(RR_ID_Rischio,$AD22,RR_Ciclo,cicloCorrente,RR_Score_Composito,"&lt;&gt;")*COUNTIFS(RR_ID_Rischio,$AD22,RR_Ciclo,cicloPrecedente,RR_Score_Composito,"&lt;&gt;")=0,NA(),SUMIFS(RR_Score_Composito,RR_ID_Rischio,$AD22,RR_Ciclo,cicloCorrente)-SUMIFS(RR_Score_Composito,RR_ID_Rischio,$AD22,RR_Ciclo,cicloPrecedente)))</f>
        <v/>
      </c>
      <c r="AJ22">
        <f>IF($AD22="","",IF(ISNUMBER(AI22),AI22,-9)-18/100000)</f>
        <v/>
      </c>
      <c r="AK22">
        <f>IFERROR(MATCH(_xlfn.AGGREGATE(14,6,$AJ$5:$AJ$24,18),$AJ$5:$AJ$24,0),"")</f>
        <v/>
      </c>
      <c r="AL22">
        <f>IF($AK22="","",INDEX(posID,$AK22)&amp;"  "&amp;LEFT(INDEX(posNome,$AK22),30))</f>
        <v/>
      </c>
      <c r="AM22" s="74">
        <f>IF($AK22="",NA(),IF(ISNUMBER(INDEX($AI$5:$AI$24,$AK22)),IF(INDEX($AI$5:$AI$24,$AK22)&gt;0,INDEX($AI$5:$AI$24,$AK22),0),NA()))</f>
        <v/>
      </c>
      <c r="AN22" s="74">
        <f>IF($AK22="",NA(),IF(ISNUMBER(INDEX($AI$5:$AI$24,$AK22)),IF(INDEX($AI$5:$AI$24,$AK22)&lt;0,INDEX($AI$5:$AI$24,$AK22),0),NA()))</f>
        <v/>
      </c>
      <c r="AO22" s="74">
        <f>IF($AK22="",NA(),IF(ISNUMBER(INDEX($AI$5:$AI$24,$AK22)),IF(INDEX($AI$5:$AI$24,$AK22)=0,0,NA()),NA()))</f>
        <v/>
      </c>
    </row>
    <row r="23" ht="3" customHeight="1">
      <c r="K23" s="75">
        <f>IF($AK$22="","",INDEX(posID,$AK$22))</f>
        <v/>
      </c>
      <c r="L23" s="76">
        <f>IF($AK$22="","",IFERROR(INDEX($AI$5:$AI$24,$AK$22),"nuovo"))</f>
        <v/>
      </c>
      <c r="M23" s="77">
        <f>IF($AK$22="","",IFERROR(IF(INDEX(RR_Esito,MATCH(cicloCorrente&amp;"|"&amp;INDEX(posID,$AK$22),RR_Chiave,0))="Nuovo","Rischio nuovo nel ciclo.",IF(INDEX(RR_Variazioni,MATCH(cicloCorrente&amp;"|"&amp;INDEX(posID,$AK$22),RR_Chiave,0))&amp;""="[]","Invariato: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$22),RR_Chiave,0))&amp;"","[{""dimensione"": ""","• "),"""}, {""dimensione"": """,")"&amp;CHAR(10)&amp;"• "),""", ""da"": "," "),", ""a"": "," → "),", ""evidenza"": """,": "),""", ""data_evidenza"": """," ("),"""}]",")")," null → "," n.v. → ")," → null:"," → n.v.:"),"• impatto","• Impatto"),"• velocity","• Velocity"),"• prossimita","• Prossimita"),"• confidence","• Confidence"),"• probabilita","• Probabilita"),"• severity","• Impatto"))),"Non valutato nel ciclo."))</f>
        <v/>
      </c>
      <c r="N23" s="4" t="n"/>
      <c r="O23" s="4" t="n"/>
      <c r="P23" s="4" t="n"/>
      <c r="Q23" s="4" t="n"/>
      <c r="AD23">
        <f>INDEX(posID,19)&amp;""</f>
        <v/>
      </c>
      <c r="AE23">
        <f>IF($AD23="",NA(),IF(COUNTIFS(RR_ID_Rischio,$AD23,RR_Ciclo,cicloCorrente,RR_Impatto,"&lt;&gt;")*COUNTIFS(RR_ID_Rischio,$AD23,RR_Ciclo,cicloPrecedente,RR_Impatto,"&lt;&gt;")=0,NA(),SUMIFS(RR_Impatto,RR_ID_Rischio,$AD23,RR_Ciclo,cicloCorrente)-SUMIFS(RR_Impatto,RR_ID_Rischio,$AD23,RR_Ciclo,cicloPrecedente)))</f>
        <v/>
      </c>
      <c r="AF23">
        <f>IF($AD23="",NA(),IF(COUNTIFS(RR_ID_Rischio,$AD23,RR_Ciclo,cicloCorrente,RR_Probabilita,"&lt;&gt;")*COUNTIFS(RR_ID_Rischio,$AD23,RR_Ciclo,cicloPrecedente,RR_Probabilita,"&lt;&gt;")=0,NA(),SUMIFS(RR_Probabilita,RR_ID_Rischio,$AD23,RR_Ciclo,cicloCorrente)-SUMIFS(RR_Probabilita,RR_ID_Rischio,$AD23,RR_Ciclo,cicloPrecedente)))</f>
        <v/>
      </c>
      <c r="AG23">
        <f>IF($AD23="",NA(),IF(COUNTIFS(RR_ID_Rischio,$AD23,RR_Ciclo,cicloCorrente,RR_Prossimita,"&lt;&gt;")*COUNTIFS(RR_ID_Rischio,$AD23,RR_Ciclo,cicloPrecedente,RR_Prossimita,"&lt;&gt;")=0,NA(),SUMIFS(RR_Prossimita,RR_ID_Rischio,$AD23,RR_Ciclo,cicloCorrente)-SUMIFS(RR_Prossimita,RR_ID_Rischio,$AD23,RR_Ciclo,cicloPrecedente)))</f>
        <v/>
      </c>
      <c r="AH23">
        <f>IF($AD23="",NA(),IF(COUNTIFS(RR_ID_Rischio,$AD23,RR_Ciclo,cicloCorrente,RR_Velocity,"&lt;&gt;")*COUNTIFS(RR_ID_Rischio,$AD23,RR_Ciclo,cicloPrecedente,RR_Velocity,"&lt;&gt;")=0,NA(),SUMIFS(RR_Velocity,RR_ID_Rischio,$AD23,RR_Ciclo,cicloCorrente)-SUMIFS(RR_Velocity,RR_ID_Rischio,$AD23,RR_Ciclo,cicloPrecedente)))</f>
        <v/>
      </c>
      <c r="AI23">
        <f>IF($AD23="",NA(),IF(COUNTIFS(RR_ID_Rischio,$AD23,RR_Ciclo,cicloCorrente,RR_Score_Composito,"&lt;&gt;")*COUNTIFS(RR_ID_Rischio,$AD23,RR_Ciclo,cicloPrecedente,RR_Score_Composito,"&lt;&gt;")=0,NA(),SUMIFS(RR_Score_Composito,RR_ID_Rischio,$AD23,RR_Ciclo,cicloCorrente)-SUMIFS(RR_Score_Composito,RR_ID_Rischio,$AD23,RR_Ciclo,cicloPrecedente)))</f>
        <v/>
      </c>
      <c r="AJ23">
        <f>IF($AD23="","",IF(ISNUMBER(AI23),AI23,-9)-19/100000)</f>
        <v/>
      </c>
      <c r="AK23">
        <f>IFERROR(MATCH(_xlfn.AGGREGATE(14,6,$AJ$5:$AJ$24,19),$AJ$5:$AJ$24,0),"")</f>
        <v/>
      </c>
      <c r="AL23">
        <f>IF($AK23="","",INDEX(posID,$AK23)&amp;"  "&amp;LEFT(INDEX(posNome,$AK23),30))</f>
        <v/>
      </c>
      <c r="AM23" s="74">
        <f>IF($AK23="",NA(),IF(ISNUMBER(INDEX($AI$5:$AI$24,$AK23)),IF(INDEX($AI$5:$AI$24,$AK23)&gt;0,INDEX($AI$5:$AI$24,$AK23),0),NA()))</f>
        <v/>
      </c>
      <c r="AN23" s="74">
        <f>IF($AK23="",NA(),IF(ISNUMBER(INDEX($AI$5:$AI$24,$AK23)),IF(INDEX($AI$5:$AI$24,$AK23)&lt;0,INDEX($AI$5:$AI$24,$AK23),0),NA()))</f>
        <v/>
      </c>
      <c r="AO23" s="74">
        <f>IF($AK23="",NA(),IF(ISNUMBER(INDEX($AI$5:$AI$24,$AK23)),IF(INDEX($AI$5:$AI$24,$AK23)=0,0,NA()),NA()))</f>
        <v/>
      </c>
    </row>
    <row r="24" ht="3" customHeight="1">
      <c r="K24" s="75">
        <f>IF($AK$23="","",INDEX(posID,$AK$23))</f>
        <v/>
      </c>
      <c r="L24" s="76">
        <f>IF($AK$23="","",IFERROR(INDEX($AI$5:$AI$24,$AK$23),"nuovo"))</f>
        <v/>
      </c>
      <c r="M24" s="77">
        <f>IF($AK$23="","",IFERROR(IF(INDEX(RR_Esito,MATCH(cicloCorrente&amp;"|"&amp;INDEX(posID,$AK$23),RR_Chiave,0))="Nuovo","Rischio nuovo nel ciclo.",IF(INDEX(RR_Variazioni,MATCH(cicloCorrente&amp;"|"&amp;INDEX(posID,$AK$23),RR_Chiave,0))&amp;""="[]","Invariato: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$23),RR_Chiave,0))&amp;"","[{""dimensione"": ""","• "),"""}, {""dimensione"": """,")"&amp;CHAR(10)&amp;"• "),""", ""da"": "," "),", ""a"": "," → "),", ""evidenza"": """,": "),""", ""data_evidenza"": """," ("),"""}]",")")," null → "," n.v. → ")," → null:"," → n.v.:"),"• impatto","• Impatto"),"• velocity","• Velocity"),"• prossimita","• Prossimita"),"• confidence","• Confidence"),"• probabilita","• Probabilita"),"• severity","• Impatto"))),"Non valutato nel ciclo."))</f>
        <v/>
      </c>
      <c r="N24" s="4" t="n"/>
      <c r="O24" s="4" t="n"/>
      <c r="P24" s="4" t="n"/>
      <c r="Q24" s="4" t="n"/>
      <c r="AD24">
        <f>INDEX(posID,20)&amp;""</f>
        <v/>
      </c>
      <c r="AE24">
        <f>IF($AD24="",NA(),IF(COUNTIFS(RR_ID_Rischio,$AD24,RR_Ciclo,cicloCorrente,RR_Impatto,"&lt;&gt;")*COUNTIFS(RR_ID_Rischio,$AD24,RR_Ciclo,cicloPrecedente,RR_Impatto,"&lt;&gt;")=0,NA(),SUMIFS(RR_Impatto,RR_ID_Rischio,$AD24,RR_Ciclo,cicloCorrente)-SUMIFS(RR_Impatto,RR_ID_Rischio,$AD24,RR_Ciclo,cicloPrecedente)))</f>
        <v/>
      </c>
      <c r="AF24">
        <f>IF($AD24="",NA(),IF(COUNTIFS(RR_ID_Rischio,$AD24,RR_Ciclo,cicloCorrente,RR_Probabilita,"&lt;&gt;")*COUNTIFS(RR_ID_Rischio,$AD24,RR_Ciclo,cicloPrecedente,RR_Probabilita,"&lt;&gt;")=0,NA(),SUMIFS(RR_Probabilita,RR_ID_Rischio,$AD24,RR_Ciclo,cicloCorrente)-SUMIFS(RR_Probabilita,RR_ID_Rischio,$AD24,RR_Ciclo,cicloPrecedente)))</f>
        <v/>
      </c>
      <c r="AG24">
        <f>IF($AD24="",NA(),IF(COUNTIFS(RR_ID_Rischio,$AD24,RR_Ciclo,cicloCorrente,RR_Prossimita,"&lt;&gt;")*COUNTIFS(RR_ID_Rischio,$AD24,RR_Ciclo,cicloPrecedente,RR_Prossimita,"&lt;&gt;")=0,NA(),SUMIFS(RR_Prossimita,RR_ID_Rischio,$AD24,RR_Ciclo,cicloCorrente)-SUMIFS(RR_Prossimita,RR_ID_Rischio,$AD24,RR_Ciclo,cicloPrecedente)))</f>
        <v/>
      </c>
      <c r="AH24">
        <f>IF($AD24="",NA(),IF(COUNTIFS(RR_ID_Rischio,$AD24,RR_Ciclo,cicloCorrente,RR_Velocity,"&lt;&gt;")*COUNTIFS(RR_ID_Rischio,$AD24,RR_Ciclo,cicloPrecedente,RR_Velocity,"&lt;&gt;")=0,NA(),SUMIFS(RR_Velocity,RR_ID_Rischio,$AD24,RR_Ciclo,cicloCorrente)-SUMIFS(RR_Velocity,RR_ID_Rischio,$AD24,RR_Ciclo,cicloPrecedente)))</f>
        <v/>
      </c>
      <c r="AI24">
        <f>IF($AD24="",NA(),IF(COUNTIFS(RR_ID_Rischio,$AD24,RR_Ciclo,cicloCorrente,RR_Score_Composito,"&lt;&gt;")*COUNTIFS(RR_ID_Rischio,$AD24,RR_Ciclo,cicloPrecedente,RR_Score_Composito,"&lt;&gt;")=0,NA(),SUMIFS(RR_Score_Composito,RR_ID_Rischio,$AD24,RR_Ciclo,cicloCorrente)-SUMIFS(RR_Score_Composito,RR_ID_Rischio,$AD24,RR_Ciclo,cicloPrecedente)))</f>
        <v/>
      </c>
      <c r="AJ24">
        <f>IF($AD24="","",IF(ISNUMBER(AI24),AI24,-9)-20/100000)</f>
        <v/>
      </c>
      <c r="AK24">
        <f>IFERROR(MATCH(_xlfn.AGGREGATE(14,6,$AJ$5:$AJ$24,20),$AJ$5:$AJ$24,0),"")</f>
        <v/>
      </c>
      <c r="AL24">
        <f>IF($AK24="","",INDEX(posID,$AK24)&amp;"  "&amp;LEFT(INDEX(posNome,$AK24),30))</f>
        <v/>
      </c>
      <c r="AM24" s="74">
        <f>IF($AK24="",NA(),IF(ISNUMBER(INDEX($AI$5:$AI$24,$AK24)),IF(INDEX($AI$5:$AI$24,$AK24)&gt;0,INDEX($AI$5:$AI$24,$AK24),0),NA()))</f>
        <v/>
      </c>
      <c r="AN24" s="74">
        <f>IF($AK24="",NA(),IF(ISNUMBER(INDEX($AI$5:$AI$24,$AK24)),IF(INDEX($AI$5:$AI$24,$AK24)&lt;0,INDEX($AI$5:$AI$24,$AK24),0),NA()))</f>
        <v/>
      </c>
      <c r="AO24" s="74">
        <f>IF($AK24="",NA(),IF(ISNUMBER(INDEX($AI$5:$AI$24,$AK24)),IF(INDEX($AI$5:$AI$24,$AK24)=0,0,NA()),NA()))</f>
        <v/>
      </c>
    </row>
    <row r="25" ht="3" customHeight="1">
      <c r="K25" s="75">
        <f>IF($AK$24="","",INDEX(posID,$AK$24))</f>
        <v/>
      </c>
      <c r="L25" s="76">
        <f>IF($AK$24="","",IFERROR(INDEX($AI$5:$AI$24,$AK$24),"nuovo"))</f>
        <v/>
      </c>
      <c r="M25" s="77">
        <f>IF($AK$24="","",IFERROR(IF(INDEX(RR_Esito,MATCH(cicloCorrente&amp;"|"&amp;INDEX(posID,$AK$24),RR_Chiave,0))="Nuovo","Rischio nuovo nel ciclo.",IF(INDEX(RR_Variazioni,MATCH(cicloCorrente&amp;"|"&amp;INDEX(posID,$AK$24),RR_Chiave,0))&amp;""="[]","Invariato: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$24),RR_Chiave,0))&amp;"","[{""dimensione"": ""","• "),"""}, {""dimensione"": """,")"&amp;CHAR(10)&amp;"• "),""", ""da"": "," "),", ""a"": "," → "),", ""evidenza"": """,": "),""", ""data_evidenza"": """," ("),"""}]",")")," null → "," n.v. → ")," → null:"," → n.v.:"),"• impatto","• Impatto"),"• velocity","• Velocity"),"• prossimita","• Prossimita"),"• confidence","• Confidence"),"• probabilita","• Probabilita"),"• severity","• Impatto"))),"Non valutato nel ciclo."))</f>
        <v/>
      </c>
      <c r="N25" s="4" t="n"/>
      <c r="O25" s="4" t="n"/>
      <c r="P25" s="4" t="n"/>
      <c r="Q25" s="4" t="n"/>
    </row>
    <row r="27" ht="56" customHeight="1">
      <c r="A27" s="78">
        <f>"Come si legge la scala: il Δ e' la variazione dello score composito sul ciclo precedente. Ogni dimensione cambia al massimo di un punto fra due cicli; "&amp;"un punto vale il suo peso diviso per la somma dei pesi delle dimensioni valutate (Parametri). Con la Velocity valutata: Impatto ±"&amp;FIXED(pesoImpatto/(pesoImpatto+pesoProbabilita+pesoProssimita+pesoVelocity),2)&amp;", Probabilita ±"&amp;FIXED(pesoProbabilita/(pesoImpatto+pesoProbabilita+pesoProssimita+pesoVelocity),2)&amp;", Prossimita ±"&amp;FIXED(pesoProssimita/(pesoImpatto+pesoProbabilita+pesoProssimita+pesoVelocity),2)&amp;", Velocity ±"&amp;FIXED(pesoVelocity/(pesoImpatto+pesoProbabilita+pesoProssimita+pesoVelocity),2)&amp;". Senza Velocity: Impatto ±"&amp;FIXED(pesoImpatto/(pesoImpatto+pesoProbabilita+pesoProssimita),2)&amp;", Probabilita ±"&amp;FIXED(pesoProbabilita/(pesoImpatto+pesoProbabilita+pesoProssimita),2)&amp;", Prossimita ±"&amp;FIXED(pesoProssimita/(pesoImpatto+pesoProbabilita+pesoProssimita),2)&amp;". Quando la Velocity entra o esce i pesi si ridistribuiscono: lo score puo' muoversi anche se nessun altro valore cambia. Un Δ oltre la soglia di Parametri ("&amp;FIXED(sogliaDelta,2)&amp;") va guardato."</f>
        <v/>
      </c>
    </row>
    <row r="29">
      <c r="A29" s="29" t="inlineStr">
        <is>
          <t>Dettaglio per dimensione</t>
        </is>
      </c>
      <c r="B29" s="30" t="n"/>
      <c r="C29" s="30" t="n"/>
      <c r="D29" s="30" t="n"/>
      <c r="E29" s="30" t="n"/>
      <c r="F29" s="30" t="n"/>
      <c r="G29" s="30" t="n"/>
      <c r="H29" s="30" t="n"/>
      <c r="I29" s="30" t="n"/>
      <c r="J29" s="30" t="n"/>
    </row>
    <row r="30" ht="28" customHeight="1">
      <c r="A30" s="79" t="inlineStr">
        <is>
          <t>ID</t>
        </is>
      </c>
      <c r="B30" s="79" t="inlineStr">
        <is>
          <t>Nome</t>
        </is>
      </c>
      <c r="C30" s="79" t="inlineStr">
        <is>
          <t>Δ Impatto</t>
        </is>
      </c>
      <c r="D30" s="79" t="inlineStr">
        <is>
          <t>Δ Probabilita</t>
        </is>
      </c>
      <c r="E30" s="79" t="inlineStr">
        <is>
          <t>Δ Prossimita'</t>
        </is>
      </c>
      <c r="F30" s="79" t="inlineStr">
        <is>
          <t>Δ Velocity</t>
        </is>
      </c>
      <c r="G30" s="79" t="inlineStr">
        <is>
          <t>Δ Score</t>
        </is>
      </c>
      <c r="H30" s="79" t="n"/>
      <c r="I30" s="79" t="n"/>
      <c r="J30" s="79" t="inlineStr">
        <is>
          <t>Nota</t>
        </is>
      </c>
    </row>
    <row r="31">
      <c r="A31">
        <f>IF($AK$5="","",INDEX(posID,$AK$5))</f>
        <v/>
      </c>
      <c r="B31">
        <f>IF($AK$5="","",INDEX(posNome,$AK$5))</f>
        <v/>
      </c>
      <c r="C31" s="80">
        <f>IF($AK$5="",NA(),INDEX($AE$5:$AE$24,$AK$5))</f>
        <v/>
      </c>
      <c r="D31" s="80">
        <f>IF($AK$5="",NA(),INDEX($AF$5:$AF$24,$AK$5))</f>
        <v/>
      </c>
      <c r="E31" s="80">
        <f>IF($AK$5="",NA(),INDEX($AG$5:$AG$24,$AK$5))</f>
        <v/>
      </c>
      <c r="F31" s="80">
        <f>IF($AK$5="",NA(),INDEX($AH$5:$AH$24,$AK$5))</f>
        <v/>
      </c>
      <c r="G31" s="80">
        <f>IF($AK$5="",NA(),INDEX($AI$5:$AI$24,$AK$5))</f>
        <v/>
      </c>
      <c r="K31">
        <f>IF($A31="","",IF(NOT(ISNUMBER(G31)),"Nuovo o non valutato in uno dei due cicli",IF(_xlfn.AGGREGATE(4,6,C31:F31)&gt;1,"Aumento &gt; 1 punto: viola la rubrica",IF(_xlfn.AGGREGATE(5,6,C31:F31)&lt;-1,"Riduzione &gt; 1 punto: viola la rubrica",IF(ISNA(F31),"Velocity non valutata in uno dei due cicli: lo score ridistribuisce i pesi","")))))</f>
        <v/>
      </c>
    </row>
    <row r="32">
      <c r="A32">
        <f>IF($AK$6="","",INDEX(posID,$AK$6))</f>
        <v/>
      </c>
      <c r="B32">
        <f>IF($AK$6="","",INDEX(posNome,$AK$6))</f>
        <v/>
      </c>
      <c r="C32" s="80">
        <f>IF($AK$6="",NA(),INDEX($AE$5:$AE$24,$AK$6))</f>
        <v/>
      </c>
      <c r="D32" s="80">
        <f>IF($AK$6="",NA(),INDEX($AF$5:$AF$24,$AK$6))</f>
        <v/>
      </c>
      <c r="E32" s="80">
        <f>IF($AK$6="",NA(),INDEX($AG$5:$AG$24,$AK$6))</f>
        <v/>
      </c>
      <c r="F32" s="80">
        <f>IF($AK$6="",NA(),INDEX($AH$5:$AH$24,$AK$6))</f>
        <v/>
      </c>
      <c r="G32" s="80">
        <f>IF($AK$6="",NA(),INDEX($AI$5:$AI$24,$AK$6))</f>
        <v/>
      </c>
      <c r="K32">
        <f>IF($A32="","",IF(NOT(ISNUMBER(G32)),"Nuovo o non valutato in uno dei due cicli",IF(_xlfn.AGGREGATE(4,6,C32:F32)&gt;1,"Aumento &gt; 1 punto: viola la rubrica",IF(_xlfn.AGGREGATE(5,6,C32:F32)&lt;-1,"Riduzione &gt; 1 punto: viola la rubrica",IF(ISNA(F32),"Velocity non valutata in uno dei due cicli: lo score ridistribuisce i pesi","")))))</f>
        <v/>
      </c>
    </row>
    <row r="33">
      <c r="A33">
        <f>IF($AK$7="","",INDEX(posID,$AK$7))</f>
        <v/>
      </c>
      <c r="B33">
        <f>IF($AK$7="","",INDEX(posNome,$AK$7))</f>
        <v/>
      </c>
      <c r="C33" s="80">
        <f>IF($AK$7="",NA(),INDEX($AE$5:$AE$24,$AK$7))</f>
        <v/>
      </c>
      <c r="D33" s="80">
        <f>IF($AK$7="",NA(),INDEX($AF$5:$AF$24,$AK$7))</f>
        <v/>
      </c>
      <c r="E33" s="80">
        <f>IF($AK$7="",NA(),INDEX($AG$5:$AG$24,$AK$7))</f>
        <v/>
      </c>
      <c r="F33" s="80">
        <f>IF($AK$7="",NA(),INDEX($AH$5:$AH$24,$AK$7))</f>
        <v/>
      </c>
      <c r="G33" s="80">
        <f>IF($AK$7="",NA(),INDEX($AI$5:$AI$24,$AK$7))</f>
        <v/>
      </c>
      <c r="K33">
        <f>IF($A33="","",IF(NOT(ISNUMBER(G33)),"Nuovo o non valutato in uno dei due cicli",IF(_xlfn.AGGREGATE(4,6,C33:F33)&gt;1,"Aumento &gt; 1 punto: viola la rubrica",IF(_xlfn.AGGREGATE(5,6,C33:F33)&lt;-1,"Riduzione &gt; 1 punto: viola la rubrica",IF(ISNA(F33),"Velocity non valutata in uno dei due cicli: lo score ridistribuisce i pesi","")))))</f>
        <v/>
      </c>
    </row>
    <row r="34">
      <c r="A34">
        <f>IF($AK$8="","",INDEX(posID,$AK$8))</f>
        <v/>
      </c>
      <c r="B34">
        <f>IF($AK$8="","",INDEX(posNome,$AK$8))</f>
        <v/>
      </c>
      <c r="C34" s="80">
        <f>IF($AK$8="",NA(),INDEX($AE$5:$AE$24,$AK$8))</f>
        <v/>
      </c>
      <c r="D34" s="80">
        <f>IF($AK$8="",NA(),INDEX($AF$5:$AF$24,$AK$8))</f>
        <v/>
      </c>
      <c r="E34" s="80">
        <f>IF($AK$8="",NA(),INDEX($AG$5:$AG$24,$AK$8))</f>
        <v/>
      </c>
      <c r="F34" s="80">
        <f>IF($AK$8="",NA(),INDEX($AH$5:$AH$24,$AK$8))</f>
        <v/>
      </c>
      <c r="G34" s="80">
        <f>IF($AK$8="",NA(),INDEX($AI$5:$AI$24,$AK$8))</f>
        <v/>
      </c>
      <c r="K34">
        <f>IF($A34="","",IF(NOT(ISNUMBER(G34)),"Nuovo o non valutato in uno dei due cicli",IF(_xlfn.AGGREGATE(4,6,C34:F34)&gt;1,"Aumento &gt; 1 punto: viola la rubrica",IF(_xlfn.AGGREGATE(5,6,C34:F34)&lt;-1,"Riduzione &gt; 1 punto: viola la rubrica",IF(ISNA(F34),"Velocity non valutata in uno dei due cicli: lo score ridistribuisce i pesi","")))))</f>
        <v/>
      </c>
    </row>
    <row r="35">
      <c r="A35">
        <f>IF($AK$9="","",INDEX(posID,$AK$9))</f>
        <v/>
      </c>
      <c r="B35">
        <f>IF($AK$9="","",INDEX(posNome,$AK$9))</f>
        <v/>
      </c>
      <c r="C35" s="80">
        <f>IF($AK$9="",NA(),INDEX($AE$5:$AE$24,$AK$9))</f>
        <v/>
      </c>
      <c r="D35" s="80">
        <f>IF($AK$9="",NA(),INDEX($AF$5:$AF$24,$AK$9))</f>
        <v/>
      </c>
      <c r="E35" s="80">
        <f>IF($AK$9="",NA(),INDEX($AG$5:$AG$24,$AK$9))</f>
        <v/>
      </c>
      <c r="F35" s="80">
        <f>IF($AK$9="",NA(),INDEX($AH$5:$AH$24,$AK$9))</f>
        <v/>
      </c>
      <c r="G35" s="80">
        <f>IF($AK$9="",NA(),INDEX($AI$5:$AI$24,$AK$9))</f>
        <v/>
      </c>
      <c r="K35">
        <f>IF($A35="","",IF(NOT(ISNUMBER(G35)),"Nuovo o non valutato in uno dei due cicli",IF(_xlfn.AGGREGATE(4,6,C35:F35)&gt;1,"Aumento &gt; 1 punto: viola la rubrica",IF(_xlfn.AGGREGATE(5,6,C35:F35)&lt;-1,"Riduzione &gt; 1 punto: viola la rubrica",IF(ISNA(F35),"Velocity non valutata in uno dei due cicli: lo score ridistribuisce i pesi","")))))</f>
        <v/>
      </c>
    </row>
    <row r="36">
      <c r="A36">
        <f>IF($AK$10="","",INDEX(posID,$AK$10))</f>
        <v/>
      </c>
      <c r="B36">
        <f>IF($AK$10="","",INDEX(posNome,$AK$10))</f>
        <v/>
      </c>
      <c r="C36" s="80">
        <f>IF($AK$10="",NA(),INDEX($AE$5:$AE$24,$AK$10))</f>
        <v/>
      </c>
      <c r="D36" s="80">
        <f>IF($AK$10="",NA(),INDEX($AF$5:$AF$24,$AK$10))</f>
        <v/>
      </c>
      <c r="E36" s="80">
        <f>IF($AK$10="",NA(),INDEX($AG$5:$AG$24,$AK$10))</f>
        <v/>
      </c>
      <c r="F36" s="80">
        <f>IF($AK$10="",NA(),INDEX($AH$5:$AH$24,$AK$10))</f>
        <v/>
      </c>
      <c r="G36" s="80">
        <f>IF($AK$10="",NA(),INDEX($AI$5:$AI$24,$AK$10))</f>
        <v/>
      </c>
      <c r="K36">
        <f>IF($A36="","",IF(NOT(ISNUMBER(G36)),"Nuovo o non valutato in uno dei due cicli",IF(_xlfn.AGGREGATE(4,6,C36:F36)&gt;1,"Aumento &gt; 1 punto: viola la rubrica",IF(_xlfn.AGGREGATE(5,6,C36:F36)&lt;-1,"Riduzione &gt; 1 punto: viola la rubrica",IF(ISNA(F36),"Velocity non valutata in uno dei due cicli: lo score ridistribuisce i pesi","")))))</f>
        <v/>
      </c>
    </row>
    <row r="37">
      <c r="A37">
        <f>IF($AK$11="","",INDEX(posID,$AK$11))</f>
        <v/>
      </c>
      <c r="B37">
        <f>IF($AK$11="","",INDEX(posNome,$AK$11))</f>
        <v/>
      </c>
      <c r="C37" s="80">
        <f>IF($AK$11="",NA(),INDEX($AE$5:$AE$24,$AK$11))</f>
        <v/>
      </c>
      <c r="D37" s="80">
        <f>IF($AK$11="",NA(),INDEX($AF$5:$AF$24,$AK$11))</f>
        <v/>
      </c>
      <c r="E37" s="80">
        <f>IF($AK$11="",NA(),INDEX($AG$5:$AG$24,$AK$11))</f>
        <v/>
      </c>
      <c r="F37" s="80">
        <f>IF($AK$11="",NA(),INDEX($AH$5:$AH$24,$AK$11))</f>
        <v/>
      </c>
      <c r="G37" s="80">
        <f>IF($AK$11="",NA(),INDEX($AI$5:$AI$24,$AK$11))</f>
        <v/>
      </c>
      <c r="K37">
        <f>IF($A37="","",IF(NOT(ISNUMBER(G37)),"Nuovo o non valutato in uno dei due cicli",IF(_xlfn.AGGREGATE(4,6,C37:F37)&gt;1,"Aumento &gt; 1 punto: viola la rubrica",IF(_xlfn.AGGREGATE(5,6,C37:F37)&lt;-1,"Riduzione &gt; 1 punto: viola la rubrica",IF(ISNA(F37),"Velocity non valutata in uno dei due cicli: lo score ridistribuisce i pesi","")))))</f>
        <v/>
      </c>
    </row>
    <row r="38">
      <c r="A38">
        <f>IF($AK$12="","",INDEX(posID,$AK$12))</f>
        <v/>
      </c>
      <c r="B38">
        <f>IF($AK$12="","",INDEX(posNome,$AK$12))</f>
        <v/>
      </c>
      <c r="C38" s="80">
        <f>IF($AK$12="",NA(),INDEX($AE$5:$AE$24,$AK$12))</f>
        <v/>
      </c>
      <c r="D38" s="80">
        <f>IF($AK$12="",NA(),INDEX($AF$5:$AF$24,$AK$12))</f>
        <v/>
      </c>
      <c r="E38" s="80">
        <f>IF($AK$12="",NA(),INDEX($AG$5:$AG$24,$AK$12))</f>
        <v/>
      </c>
      <c r="F38" s="80">
        <f>IF($AK$12="",NA(),INDEX($AH$5:$AH$24,$AK$12))</f>
        <v/>
      </c>
      <c r="G38" s="80">
        <f>IF($AK$12="",NA(),INDEX($AI$5:$AI$24,$AK$12))</f>
        <v/>
      </c>
      <c r="K38">
        <f>IF($A38="","",IF(NOT(ISNUMBER(G38)),"Nuovo o non valutato in uno dei due cicli",IF(_xlfn.AGGREGATE(4,6,C38:F38)&gt;1,"Aumento &gt; 1 punto: viola la rubrica",IF(_xlfn.AGGREGATE(5,6,C38:F38)&lt;-1,"Riduzione &gt; 1 punto: viola la rubrica",IF(ISNA(F38),"Velocity non valutata in uno dei due cicli: lo score ridistribuisce i pesi","")))))</f>
        <v/>
      </c>
    </row>
    <row r="39">
      <c r="A39">
        <f>IF($AK$13="","",INDEX(posID,$AK$13))</f>
        <v/>
      </c>
      <c r="B39">
        <f>IF($AK$13="","",INDEX(posNome,$AK$13))</f>
        <v/>
      </c>
      <c r="C39" s="80">
        <f>IF($AK$13="",NA(),INDEX($AE$5:$AE$24,$AK$13))</f>
        <v/>
      </c>
      <c r="D39" s="80">
        <f>IF($AK$13="",NA(),INDEX($AF$5:$AF$24,$AK$13))</f>
        <v/>
      </c>
      <c r="E39" s="80">
        <f>IF($AK$13="",NA(),INDEX($AG$5:$AG$24,$AK$13))</f>
        <v/>
      </c>
      <c r="F39" s="80">
        <f>IF($AK$13="",NA(),INDEX($AH$5:$AH$24,$AK$13))</f>
        <v/>
      </c>
      <c r="G39" s="80">
        <f>IF($AK$13="",NA(),INDEX($AI$5:$AI$24,$AK$13))</f>
        <v/>
      </c>
      <c r="K39">
        <f>IF($A39="","",IF(NOT(ISNUMBER(G39)),"Nuovo o non valutato in uno dei due cicli",IF(_xlfn.AGGREGATE(4,6,C39:F39)&gt;1,"Aumento &gt; 1 punto: viola la rubrica",IF(_xlfn.AGGREGATE(5,6,C39:F39)&lt;-1,"Riduzione &gt; 1 punto: viola la rubrica",IF(ISNA(F39),"Velocity non valutata in uno dei due cicli: lo score ridistribuisce i pesi","")))))</f>
        <v/>
      </c>
    </row>
    <row r="40">
      <c r="A40">
        <f>IF($AK$14="","",INDEX(posID,$AK$14))</f>
        <v/>
      </c>
      <c r="B40">
        <f>IF($AK$14="","",INDEX(posNome,$AK$14))</f>
        <v/>
      </c>
      <c r="C40" s="80">
        <f>IF($AK$14="",NA(),INDEX($AE$5:$AE$24,$AK$14))</f>
        <v/>
      </c>
      <c r="D40" s="80">
        <f>IF($AK$14="",NA(),INDEX($AF$5:$AF$24,$AK$14))</f>
        <v/>
      </c>
      <c r="E40" s="80">
        <f>IF($AK$14="",NA(),INDEX($AG$5:$AG$24,$AK$14))</f>
        <v/>
      </c>
      <c r="F40" s="80">
        <f>IF($AK$14="",NA(),INDEX($AH$5:$AH$24,$AK$14))</f>
        <v/>
      </c>
      <c r="G40" s="80">
        <f>IF($AK$14="",NA(),INDEX($AI$5:$AI$24,$AK$14))</f>
        <v/>
      </c>
      <c r="K40">
        <f>IF($A40="","",IF(NOT(ISNUMBER(G40)),"Nuovo o non valutato in uno dei due cicli",IF(_xlfn.AGGREGATE(4,6,C40:F40)&gt;1,"Aumento &gt; 1 punto: viola la rubrica",IF(_xlfn.AGGREGATE(5,6,C40:F40)&lt;-1,"Riduzione &gt; 1 punto: viola la rubrica",IF(ISNA(F40),"Velocity non valutata in uno dei due cicli: lo score ridistribuisce i pesi","")))))</f>
        <v/>
      </c>
    </row>
    <row r="41">
      <c r="A41">
        <f>IF($AK$15="","",INDEX(posID,$AK$15))</f>
        <v/>
      </c>
      <c r="B41">
        <f>IF($AK$15="","",INDEX(posNome,$AK$15))</f>
        <v/>
      </c>
      <c r="C41" s="80">
        <f>IF($AK$15="",NA(),INDEX($AE$5:$AE$24,$AK$15))</f>
        <v/>
      </c>
      <c r="D41" s="80">
        <f>IF($AK$15="",NA(),INDEX($AF$5:$AF$24,$AK$15))</f>
        <v/>
      </c>
      <c r="E41" s="80">
        <f>IF($AK$15="",NA(),INDEX($AG$5:$AG$24,$AK$15))</f>
        <v/>
      </c>
      <c r="F41" s="80">
        <f>IF($AK$15="",NA(),INDEX($AH$5:$AH$24,$AK$15))</f>
        <v/>
      </c>
      <c r="G41" s="80">
        <f>IF($AK$15="",NA(),INDEX($AI$5:$AI$24,$AK$15))</f>
        <v/>
      </c>
      <c r="K41">
        <f>IF($A41="","",IF(NOT(ISNUMBER(G41)),"Nuovo o non valutato in uno dei due cicli",IF(_xlfn.AGGREGATE(4,6,C41:F41)&gt;1,"Aumento &gt; 1 punto: viola la rubrica",IF(_xlfn.AGGREGATE(5,6,C41:F41)&lt;-1,"Riduzione &gt; 1 punto: viola la rubrica",IF(ISNA(F41),"Velocity non valutata in uno dei due cicli: lo score ridistribuisce i pesi","")))))</f>
        <v/>
      </c>
    </row>
    <row r="42">
      <c r="A42">
        <f>IF($AK$16="","",INDEX(posID,$AK$16))</f>
        <v/>
      </c>
      <c r="B42">
        <f>IF($AK$16="","",INDEX(posNome,$AK$16))</f>
        <v/>
      </c>
      <c r="C42" s="80">
        <f>IF($AK$16="",NA(),INDEX($AE$5:$AE$24,$AK$16))</f>
        <v/>
      </c>
      <c r="D42" s="80">
        <f>IF($AK$16="",NA(),INDEX($AF$5:$AF$24,$AK$16))</f>
        <v/>
      </c>
      <c r="E42" s="80">
        <f>IF($AK$16="",NA(),INDEX($AG$5:$AG$24,$AK$16))</f>
        <v/>
      </c>
      <c r="F42" s="80">
        <f>IF($AK$16="",NA(),INDEX($AH$5:$AH$24,$AK$16))</f>
        <v/>
      </c>
      <c r="G42" s="80">
        <f>IF($AK$16="",NA(),INDEX($AI$5:$AI$24,$AK$16))</f>
        <v/>
      </c>
      <c r="K42">
        <f>IF($A42="","",IF(NOT(ISNUMBER(G42)),"Nuovo o non valutato in uno dei due cicli",IF(_xlfn.AGGREGATE(4,6,C42:F42)&gt;1,"Aumento &gt; 1 punto: viola la rubrica",IF(_xlfn.AGGREGATE(5,6,C42:F42)&lt;-1,"Riduzione &gt; 1 punto: viola la rubrica",IF(ISNA(F42),"Velocity non valutata in uno dei due cicli: lo score ridistribuisce i pesi","")))))</f>
        <v/>
      </c>
    </row>
    <row r="43">
      <c r="A43">
        <f>IF($AK$17="","",INDEX(posID,$AK$17))</f>
        <v/>
      </c>
      <c r="B43">
        <f>IF($AK$17="","",INDEX(posNome,$AK$17))</f>
        <v/>
      </c>
      <c r="C43" s="80">
        <f>IF($AK$17="",NA(),INDEX($AE$5:$AE$24,$AK$17))</f>
        <v/>
      </c>
      <c r="D43" s="80">
        <f>IF($AK$17="",NA(),INDEX($AF$5:$AF$24,$AK$17))</f>
        <v/>
      </c>
      <c r="E43" s="80">
        <f>IF($AK$17="",NA(),INDEX($AG$5:$AG$24,$AK$17))</f>
        <v/>
      </c>
      <c r="F43" s="80">
        <f>IF($AK$17="",NA(),INDEX($AH$5:$AH$24,$AK$17))</f>
        <v/>
      </c>
      <c r="G43" s="80">
        <f>IF($AK$17="",NA(),INDEX($AI$5:$AI$24,$AK$17))</f>
        <v/>
      </c>
      <c r="K43">
        <f>IF($A43="","",IF(NOT(ISNUMBER(G43)),"Nuovo o non valutato in uno dei due cicli",IF(_xlfn.AGGREGATE(4,6,C43:F43)&gt;1,"Aumento &gt; 1 punto: viola la rubrica",IF(_xlfn.AGGREGATE(5,6,C43:F43)&lt;-1,"Riduzione &gt; 1 punto: viola la rubrica",IF(ISNA(F43),"Velocity non valutata in uno dei due cicli: lo score ridistribuisce i pesi","")))))</f>
        <v/>
      </c>
    </row>
    <row r="44">
      <c r="A44">
        <f>IF($AK$18="","",INDEX(posID,$AK$18))</f>
        <v/>
      </c>
      <c r="B44">
        <f>IF($AK$18="","",INDEX(posNome,$AK$18))</f>
        <v/>
      </c>
      <c r="C44" s="80">
        <f>IF($AK$18="",NA(),INDEX($AE$5:$AE$24,$AK$18))</f>
        <v/>
      </c>
      <c r="D44" s="80">
        <f>IF($AK$18="",NA(),INDEX($AF$5:$AF$24,$AK$18))</f>
        <v/>
      </c>
      <c r="E44" s="80">
        <f>IF($AK$18="",NA(),INDEX($AG$5:$AG$24,$AK$18))</f>
        <v/>
      </c>
      <c r="F44" s="80">
        <f>IF($AK$18="",NA(),INDEX($AH$5:$AH$24,$AK$18))</f>
        <v/>
      </c>
      <c r="G44" s="80">
        <f>IF($AK$18="",NA(),INDEX($AI$5:$AI$24,$AK$18))</f>
        <v/>
      </c>
      <c r="K44">
        <f>IF($A44="","",IF(NOT(ISNUMBER(G44)),"Nuovo o non valutato in uno dei due cicli",IF(_xlfn.AGGREGATE(4,6,C44:F44)&gt;1,"Aumento &gt; 1 punto: viola la rubrica",IF(_xlfn.AGGREGATE(5,6,C44:F44)&lt;-1,"Riduzione &gt; 1 punto: viola la rubrica",IF(ISNA(F44),"Velocity non valutata in uno dei due cicli: lo score ridistribuisce i pesi","")))))</f>
        <v/>
      </c>
    </row>
    <row r="45">
      <c r="A45">
        <f>IF($AK$19="","",INDEX(posID,$AK$19))</f>
        <v/>
      </c>
      <c r="B45">
        <f>IF($AK$19="","",INDEX(posNome,$AK$19))</f>
        <v/>
      </c>
      <c r="C45" s="80">
        <f>IF($AK$19="",NA(),INDEX($AE$5:$AE$24,$AK$19))</f>
        <v/>
      </c>
      <c r="D45" s="80">
        <f>IF($AK$19="",NA(),INDEX($AF$5:$AF$24,$AK$19))</f>
        <v/>
      </c>
      <c r="E45" s="80">
        <f>IF($AK$19="",NA(),INDEX($AG$5:$AG$24,$AK$19))</f>
        <v/>
      </c>
      <c r="F45" s="80">
        <f>IF($AK$19="",NA(),INDEX($AH$5:$AH$24,$AK$19))</f>
        <v/>
      </c>
      <c r="G45" s="80">
        <f>IF($AK$19="",NA(),INDEX($AI$5:$AI$24,$AK$19))</f>
        <v/>
      </c>
      <c r="K45">
        <f>IF($A45="","",IF(NOT(ISNUMBER(G45)),"Nuovo o non valutato in uno dei due cicli",IF(_xlfn.AGGREGATE(4,6,C45:F45)&gt;1,"Aumento &gt; 1 punto: viola la rubrica",IF(_xlfn.AGGREGATE(5,6,C45:F45)&lt;-1,"Riduzione &gt; 1 punto: viola la rubrica",IF(ISNA(F45),"Velocity non valutata in uno dei due cicli: lo score ridistribuisce i pesi","")))))</f>
        <v/>
      </c>
    </row>
    <row r="46">
      <c r="A46">
        <f>IF($AK$20="","",INDEX(posID,$AK$20))</f>
        <v/>
      </c>
      <c r="B46">
        <f>IF($AK$20="","",INDEX(posNome,$AK$20))</f>
        <v/>
      </c>
      <c r="C46" s="80">
        <f>IF($AK$20="",NA(),INDEX($AE$5:$AE$24,$AK$20))</f>
        <v/>
      </c>
      <c r="D46" s="80">
        <f>IF($AK$20="",NA(),INDEX($AF$5:$AF$24,$AK$20))</f>
        <v/>
      </c>
      <c r="E46" s="80">
        <f>IF($AK$20="",NA(),INDEX($AG$5:$AG$24,$AK$20))</f>
        <v/>
      </c>
      <c r="F46" s="80">
        <f>IF($AK$20="",NA(),INDEX($AH$5:$AH$24,$AK$20))</f>
        <v/>
      </c>
      <c r="G46" s="80">
        <f>IF($AK$20="",NA(),INDEX($AI$5:$AI$24,$AK$20))</f>
        <v/>
      </c>
      <c r="K46">
        <f>IF($A46="","",IF(NOT(ISNUMBER(G46)),"Nuovo o non valutato in uno dei due cicli",IF(_xlfn.AGGREGATE(4,6,C46:F46)&gt;1,"Aumento &gt; 1 punto: viola la rubrica",IF(_xlfn.AGGREGATE(5,6,C46:F46)&lt;-1,"Riduzione &gt; 1 punto: viola la rubrica",IF(ISNA(F46),"Velocity non valutata in uno dei due cicli: lo score ridistribuisce i pesi","")))))</f>
        <v/>
      </c>
    </row>
    <row r="47">
      <c r="A47">
        <f>IF($AK$21="","",INDEX(posID,$AK$21))</f>
        <v/>
      </c>
      <c r="B47">
        <f>IF($AK$21="","",INDEX(posNome,$AK$21))</f>
        <v/>
      </c>
      <c r="C47" s="80">
        <f>IF($AK$21="",NA(),INDEX($AE$5:$AE$24,$AK$21))</f>
        <v/>
      </c>
      <c r="D47" s="80">
        <f>IF($AK$21="",NA(),INDEX($AF$5:$AF$24,$AK$21))</f>
        <v/>
      </c>
      <c r="E47" s="80">
        <f>IF($AK$21="",NA(),INDEX($AG$5:$AG$24,$AK$21))</f>
        <v/>
      </c>
      <c r="F47" s="80">
        <f>IF($AK$21="",NA(),INDEX($AH$5:$AH$24,$AK$21))</f>
        <v/>
      </c>
      <c r="G47" s="80">
        <f>IF($AK$21="",NA(),INDEX($AI$5:$AI$24,$AK$21))</f>
        <v/>
      </c>
      <c r="K47">
        <f>IF($A47="","",IF(NOT(ISNUMBER(G47)),"Nuovo o non valutato in uno dei due cicli",IF(_xlfn.AGGREGATE(4,6,C47:F47)&gt;1,"Aumento &gt; 1 punto: viola la rubrica",IF(_xlfn.AGGREGATE(5,6,C47:F47)&lt;-1,"Riduzione &gt; 1 punto: viola la rubrica",IF(ISNA(F47),"Velocity non valutata in uno dei due cicli: lo score ridistribuisce i pesi","")))))</f>
        <v/>
      </c>
    </row>
    <row r="48">
      <c r="A48">
        <f>IF($AK$22="","",INDEX(posID,$AK$22))</f>
        <v/>
      </c>
      <c r="B48">
        <f>IF($AK$22="","",INDEX(posNome,$AK$22))</f>
        <v/>
      </c>
      <c r="C48" s="80">
        <f>IF($AK$22="",NA(),INDEX($AE$5:$AE$24,$AK$22))</f>
        <v/>
      </c>
      <c r="D48" s="80">
        <f>IF($AK$22="",NA(),INDEX($AF$5:$AF$24,$AK$22))</f>
        <v/>
      </c>
      <c r="E48" s="80">
        <f>IF($AK$22="",NA(),INDEX($AG$5:$AG$24,$AK$22))</f>
        <v/>
      </c>
      <c r="F48" s="80">
        <f>IF($AK$22="",NA(),INDEX($AH$5:$AH$24,$AK$22))</f>
        <v/>
      </c>
      <c r="G48" s="80">
        <f>IF($AK$22="",NA(),INDEX($AI$5:$AI$24,$AK$22))</f>
        <v/>
      </c>
      <c r="K48">
        <f>IF($A48="","",IF(NOT(ISNUMBER(G48)),"Nuovo o non valutato in uno dei due cicli",IF(_xlfn.AGGREGATE(4,6,C48:F48)&gt;1,"Aumento &gt; 1 punto: viola la rubrica",IF(_xlfn.AGGREGATE(5,6,C48:F48)&lt;-1,"Riduzione &gt; 1 punto: viola la rubrica",IF(ISNA(F48),"Velocity non valutata in uno dei due cicli: lo score ridistribuisce i pesi","")))))</f>
        <v/>
      </c>
    </row>
    <row r="49">
      <c r="A49">
        <f>IF($AK$23="","",INDEX(posID,$AK$23))</f>
        <v/>
      </c>
      <c r="B49">
        <f>IF($AK$23="","",INDEX(posNome,$AK$23))</f>
        <v/>
      </c>
      <c r="C49" s="80">
        <f>IF($AK$23="",NA(),INDEX($AE$5:$AE$24,$AK$23))</f>
        <v/>
      </c>
      <c r="D49" s="80">
        <f>IF($AK$23="",NA(),INDEX($AF$5:$AF$24,$AK$23))</f>
        <v/>
      </c>
      <c r="E49" s="80">
        <f>IF($AK$23="",NA(),INDEX($AG$5:$AG$24,$AK$23))</f>
        <v/>
      </c>
      <c r="F49" s="80">
        <f>IF($AK$23="",NA(),INDEX($AH$5:$AH$24,$AK$23))</f>
        <v/>
      </c>
      <c r="G49" s="80">
        <f>IF($AK$23="",NA(),INDEX($AI$5:$AI$24,$AK$23))</f>
        <v/>
      </c>
      <c r="K49">
        <f>IF($A49="","",IF(NOT(ISNUMBER(G49)),"Nuovo o non valutato in uno dei due cicli",IF(_xlfn.AGGREGATE(4,6,C49:F49)&gt;1,"Aumento &gt; 1 punto: viola la rubrica",IF(_xlfn.AGGREGATE(5,6,C49:F49)&lt;-1,"Riduzione &gt; 1 punto: viola la rubrica",IF(ISNA(F49),"Velocity non valutata in uno dei due cicli: lo score ridistribuisce i pesi","")))))</f>
        <v/>
      </c>
    </row>
    <row r="50">
      <c r="A50">
        <f>IF($AK$24="","",INDEX(posID,$AK$24))</f>
        <v/>
      </c>
      <c r="B50">
        <f>IF($AK$24="","",INDEX(posNome,$AK$24))</f>
        <v/>
      </c>
      <c r="C50" s="80">
        <f>IF($AK$24="",NA(),INDEX($AE$5:$AE$24,$AK$24))</f>
        <v/>
      </c>
      <c r="D50" s="80">
        <f>IF($AK$24="",NA(),INDEX($AF$5:$AF$24,$AK$24))</f>
        <v/>
      </c>
      <c r="E50" s="80">
        <f>IF($AK$24="",NA(),INDEX($AG$5:$AG$24,$AK$24))</f>
        <v/>
      </c>
      <c r="F50" s="80">
        <f>IF($AK$24="",NA(),INDEX($AH$5:$AH$24,$AK$24))</f>
        <v/>
      </c>
      <c r="G50" s="80">
        <f>IF($AK$24="",NA(),INDEX($AI$5:$AI$24,$AK$24))</f>
        <v/>
      </c>
      <c r="K50">
        <f>IF($A50="","",IF(NOT(ISNUMBER(G50)),"Nuovo o non valutato in uno dei due cicli",IF(_xlfn.AGGREGATE(4,6,C50:F50)&gt;1,"Aumento &gt; 1 punto: viola la rubrica",IF(_xlfn.AGGREGATE(5,6,C50:F50)&lt;-1,"Riduzione &gt; 1 punto: viola la rubrica",IF(ISNA(F50),"Velocity non valutata in uno dei due cicli: lo score ridistribuisce i pesi","")))))</f>
        <v/>
      </c>
    </row>
    <row r="52" ht="15" customHeight="1">
      <c r="A52" s="56" t="inlineStr">
        <is>
          <t>Legenda — Δ = variazione sul ciclo precedente; #N/D = valore assente in uno dei due cicli (nuovo o Velocity n.v.); rosso = in aumento, blu = in diminuzione. NFR-nn = codice del rischio; ◆ = tema all'attenzione del supervisore (BCE, EBA, Banca d'Italia), indicato dal validatore.</t>
        </is>
      </c>
    </row>
  </sheetData>
  <mergeCells count="47">
    <mergeCell ref="K39:Q39"/>
    <mergeCell ref="K48:Q48"/>
    <mergeCell ref="A29:J29"/>
    <mergeCell ref="M9:Q9"/>
    <mergeCell ref="M5:Q5"/>
    <mergeCell ref="K38:Q38"/>
    <mergeCell ref="A1:Q1"/>
    <mergeCell ref="K37:Q37"/>
    <mergeCell ref="M20:Q20"/>
    <mergeCell ref="K4:Q4"/>
    <mergeCell ref="K49:Q49"/>
    <mergeCell ref="M11:Q11"/>
    <mergeCell ref="M10:Q10"/>
    <mergeCell ref="K34:Q34"/>
    <mergeCell ref="M22:Q22"/>
    <mergeCell ref="M13:Q13"/>
    <mergeCell ref="K33:Q33"/>
    <mergeCell ref="M7:Q7"/>
    <mergeCell ref="M16:Q16"/>
    <mergeCell ref="M12:Q12"/>
    <mergeCell ref="A27:Q27"/>
    <mergeCell ref="M25:Q25"/>
    <mergeCell ref="K36:Q36"/>
    <mergeCell ref="M15:Q15"/>
    <mergeCell ref="M21:Q21"/>
    <mergeCell ref="K45:Q45"/>
    <mergeCell ref="M6:Q6"/>
    <mergeCell ref="K35:Q35"/>
    <mergeCell ref="A2:Q2"/>
    <mergeCell ref="M18:Q18"/>
    <mergeCell ref="K47:Q47"/>
    <mergeCell ref="K32:Q32"/>
    <mergeCell ref="K50:Q50"/>
    <mergeCell ref="K44:Q44"/>
    <mergeCell ref="M8:Q8"/>
    <mergeCell ref="K41:Q41"/>
    <mergeCell ref="M17:Q17"/>
    <mergeCell ref="K31:Q31"/>
    <mergeCell ref="M24:Q24"/>
    <mergeCell ref="K46:Q46"/>
    <mergeCell ref="K40:Q40"/>
    <mergeCell ref="M23:Q23"/>
    <mergeCell ref="M14:Q14"/>
    <mergeCell ref="A52:Q52"/>
    <mergeCell ref="K43:Q43"/>
    <mergeCell ref="M19:Q19"/>
    <mergeCell ref="K42:Q42"/>
  </mergeCells>
  <conditionalFormatting sqref="L6:L25">
    <cfRule type="expression" priority="1" dxfId="2">
      <formula>AND(ISNUMBER(L6),L6&gt;0)</formula>
    </cfRule>
    <cfRule type="expression" priority="2" dxfId="3">
      <formula>AND(ISNUMBER(L6),L6&lt;0)</formula>
    </cfRule>
  </conditionalFormatting>
  <conditionalFormatting sqref="K6:Q25">
    <cfRule type="expression" priority="3" dxfId="10">
      <formula>$K6&lt;&gt;""</formula>
    </cfRule>
  </conditionalFormatting>
  <conditionalFormatting sqref="C31:G50">
    <cfRule type="expression" priority="4" dxfId="11">
      <formula>ISNA(C31)</formula>
    </cfRule>
  </conditionalFormatting>
  <conditionalFormatting sqref="G31:G50">
    <cfRule type="expression" priority="5" dxfId="15">
      <formula>AND(ISNUMBER(G31),G31&gt;=sogliaDelta)</formula>
    </cfRule>
    <cfRule type="expression" priority="6" dxfId="16">
      <formula>AND(ISNUMBER(G31),G31&lt;=-sogliaDelta)</formula>
    </cfRule>
  </conditionalFormatting>
  <pageMargins left="0.4" right="0.4" top="1" bottom="1" header="0.5" footer="0.5"/>
  <pageSetup orientation="landscape" paperSize="9" fitToHeight="0" fitToWidth="1"/>
  <headerFooter>
    <oddHeader>&amp;L&amp;A&amp;CUso interno&amp;RHorizon Scan NFR</oddHeader>
    <oddFooter>&amp;L&amp;F&amp;RPagina &amp;P di &amp;N</oddFooter>
    <evenHeader/>
    <evenFooter/>
    <firstHeader/>
    <firstFooter/>
  </headerFooter>
  <rowBreaks count="1" manualBreakCount="1">
    <brk id="26" min="0" max="16383" man="1"/>
  </rowBreaks>
  <drawing xmlns:r="http://schemas.openxmlformats.org/officeDocument/2006/relationships" r:id="rId1"/>
</worksheet>
</file>

<file path=xl/worksheets/sheet7.xml><?xml version="1.0" encoding="utf-8"?>
<worksheet xmlns="http://schemas.openxmlformats.org/spreadsheetml/2006/main">
  <sheetPr>
    <tabColor rgb="001F3864"/>
    <outlinePr summaryBelow="1" summaryRight="1"/>
    <pageSetUpPr fitToPage="1"/>
  </sheetPr>
  <dimension ref="A1:L37"/>
  <sheetViews>
    <sheetView showGridLines="0" workbookViewId="0">
      <selection activeCell="A1" sqref="A1"/>
    </sheetView>
  </sheetViews>
  <sheetFormatPr baseColWidth="8" defaultRowHeight="15"/>
  <cols>
    <col width="4" customWidth="1" min="1" max="1"/>
    <col width="8" customWidth="1" min="2" max="2"/>
    <col width="30" customWidth="1" min="3" max="3"/>
    <col width="18" customWidth="1" min="4" max="4"/>
    <col width="12" customWidth="1" min="5" max="5"/>
    <col width="7" customWidth="1" min="6" max="6"/>
    <col width="34" customWidth="1" min="7" max="7"/>
    <col width="9" customWidth="1" min="8" max="8"/>
    <col width="38" customWidth="1" min="9" max="9"/>
    <col width="16" customWidth="1" min="10" max="10"/>
    <col width="9" customWidth="1" min="11" max="11"/>
    <col hidden="1" width="13" customWidth="1" min="12" max="12"/>
  </cols>
  <sheetData>
    <row r="1" ht="28" customHeight="1">
      <c r="A1" s="1">
        <f>"Horizon Scan NFR — Rischi in osservazione   ·   "&amp;etichettaCiclo</f>
        <v/>
      </c>
      <c r="B1" s="2" t="n"/>
      <c r="C1" s="2" t="n"/>
      <c r="D1" s="2" t="n"/>
      <c r="E1" s="2" t="n"/>
      <c r="F1" s="2" t="n"/>
      <c r="G1" s="2" t="n"/>
      <c r="H1" s="2" t="n"/>
      <c r="I1" s="2" t="n"/>
      <c r="J1" s="2" t="n"/>
      <c r="K1" s="2" t="n"/>
    </row>
    <row r="2" ht="45.5" customHeight="1">
      <c r="A2" s="13" t="inlineStr">
        <is>
          <r>
            <rPr>
              <rFont val="Calibri"/>
              <b val="1"/>
              <color rgb="001F4E79"/>
              <sz val="10"/>
            </rPr>
            <t>CICLO TRIMESTRALE — A1 valuta i rischi in osservazione quando trova evidenza nuova, il validatore decide; lo stato (radar o osservazione) lo calcola lo script con la regola di Parametri (D-79).</t>
          </r>
          <r>
            <rPr>
              <rFont val="Calibri"/>
              <color rgb="00262626"/>
              <sz val="10"/>
            </rPr>
            <t xml:space="preserve">
I rischi del registro rimasti fuori dal radar: stessa scala e stesso score dei rischi del radar, niente KRI ne' azioni. Per ognuno: perche' e' fuori (quale soglia di Prossimita o Probabilita manca, o la capienza), l'orizzonte stimato e il segnale che lo farebbe salire. Dal piu' alto per score; in fondo chi e' entrato o uscito dal radar nel ciclo.</t>
          </r>
        </is>
      </c>
    </row>
    <row r="4" ht="20" customHeight="1">
      <c r="A4" s="81">
        <f>IF(cicloCorrente="","","Registro unico: nel radar "&amp;COUNTIF(ANA_ID,"NFR-*")&amp;" rischi (capienza "&amp;capienzaRadar&amp;"), in osservazione "&amp;COUNTIFS(RR_Ciclo,cicloCorrente,RR_Stato,"Osservazione")&amp;" (al massimo 20) · nel ciclo: entrati nel radar "&amp;COUNTIFS(RR_Ciclo,cicloCorrente,RR_Movimento,"Entrato")&amp;", usciti "&amp;COUNTIFS(RR_Ciclo,cicloCorrente,RR_Movimento,"Uscito")&amp;", in uscita "&amp;COUNTIFS(RR_Ciclo,cicloCorrente,RR_Stato,"Radar, in uscita")&amp;".")</f>
        <v/>
      </c>
    </row>
    <row r="6" ht="28" customHeight="1">
      <c r="A6" s="82" t="inlineStr">
        <is>
          <t>#</t>
        </is>
      </c>
      <c r="B6" s="82" t="inlineStr">
        <is>
          <t>ID</t>
        </is>
      </c>
      <c r="C6" s="82" t="inlineStr">
        <is>
          <t>Rischio</t>
        </is>
      </c>
      <c r="D6" s="82" t="inlineStr">
        <is>
          <t>Categoria</t>
        </is>
      </c>
      <c r="E6" s="82" t="inlineStr">
        <is>
          <t>Imp · Prob · Pross · Vel</t>
        </is>
      </c>
      <c r="F6" s="82" t="inlineStr">
        <is>
          <t>Score</t>
        </is>
      </c>
      <c r="G6" s="82" t="inlineStr">
        <is>
          <t>Perché fuori dal radar</t>
        </is>
      </c>
      <c r="H6" s="82" t="inlineStr">
        <is>
          <t>Orizzonte</t>
        </is>
      </c>
      <c r="I6" s="82" t="inlineStr">
        <is>
          <t>Segnale che lo porterebbe nel radar</t>
        </is>
      </c>
      <c r="J6" s="82" t="inlineStr">
        <is>
          <t>Driver</t>
        </is>
      </c>
      <c r="K6" s="82" t="inlineStr">
        <is>
          <t>Notizie A3 (4 sett.)</t>
        </is>
      </c>
    </row>
    <row r="7" ht="3" customHeight="1">
      <c r="A7" s="83">
        <f>IF($L7="","",1)</f>
        <v/>
      </c>
      <c r="B7" s="84">
        <f>IF($L7="","",INDEX(RiskRegister!$C:$C,$L7)&amp;"")</f>
        <v/>
      </c>
      <c r="C7" s="85">
        <f>IF($L7="","",INDEX(RiskRegister!$D:$D,$L7)&amp;"")</f>
        <v/>
      </c>
      <c r="D7" s="85">
        <f>IF($L7="","",INDEX(RiskRegister!$E:$E,$L7)&amp;" "&amp;IFERROR(INDEX(nomiL1,MATCH(INDEX(RiskRegister!$E:$E,$L7),codiciL1,0)),""))</f>
        <v/>
      </c>
      <c r="E7" s="83">
        <f>IF($L7="","",INDEX(RiskRegister!$G:$G,$L7)&amp;" · "&amp;INDEX(RiskRegister!$K:$K,$L7)&amp;" · "&amp;INDEX(RiskRegister!$I:$I,$L7)&amp;" · "&amp;IF(INDEX(RiskRegister!$H:$H,$L7)="","—",INDEX(RiskRegister!$H:$H,$L7)))</f>
        <v/>
      </c>
      <c r="F7" s="86">
        <f>IF($L7="","",IF(INDEX(RiskRegister!$J:$J,$L7)="","",INDEX(RiskRegister!$J:$J,$L7)))</f>
        <v/>
      </c>
      <c r="G7" s="85">
        <f>IF($L7="","",INDEX(RiskRegister!$AA:$AA,$L7)&amp;"")</f>
        <v/>
      </c>
      <c r="H7" s="83">
        <f>IF($L7="","",IF(INDEX(RiskRegister!$AD:$AD,$L7)="","—",INDEX(RiskRegister!$AD:$AD,$L7)&amp;" anni"))</f>
        <v/>
      </c>
      <c r="I7" s="85">
        <f>IF($L7="","",INDEX(RiskRegister!$AE:$AE,$L7)&amp;"")</f>
        <v/>
      </c>
      <c r="J7" s="85">
        <f>SUBSTITUTE(SUBSTITUTE(SUBSTITUTE(SUBSTITUTE(SUBSTITUTE(SUBSTITUTE(SUBSTITUTE(SUBSTITUTE(IF($L7="","",INDEX(RiskRegister!$F:$F,$L7)&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7" s="83">
        <f>IF($L7="","",COUNTIFS(NW_Rischio_ID,INDEX(RiskRegister!$C:$C,$L7),NW_Settimana,"&gt;="&amp;inizioFinestra4,NW_Settimana,"&lt;="&amp;settimanaCorrente))</f>
        <v/>
      </c>
      <c r="L7">
        <f>IFERROR(MATCH(_xlfn.AGGREGATE(14,6,RR_Ordine_Osservazione,1),RR_Ordine_Osservazione,0)+5,"")</f>
        <v/>
      </c>
    </row>
    <row r="8" ht="3" customHeight="1">
      <c r="A8" s="83">
        <f>IF($L8="","",2)</f>
        <v/>
      </c>
      <c r="B8" s="84">
        <f>IF($L8="","",INDEX(RiskRegister!$C:$C,$L8)&amp;"")</f>
        <v/>
      </c>
      <c r="C8" s="85">
        <f>IF($L8="","",INDEX(RiskRegister!$D:$D,$L8)&amp;"")</f>
        <v/>
      </c>
      <c r="D8" s="85">
        <f>IF($L8="","",INDEX(RiskRegister!$E:$E,$L8)&amp;" "&amp;IFERROR(INDEX(nomiL1,MATCH(INDEX(RiskRegister!$E:$E,$L8),codiciL1,0)),""))</f>
        <v/>
      </c>
      <c r="E8" s="83">
        <f>IF($L8="","",INDEX(RiskRegister!$G:$G,$L8)&amp;" · "&amp;INDEX(RiskRegister!$K:$K,$L8)&amp;" · "&amp;INDEX(RiskRegister!$I:$I,$L8)&amp;" · "&amp;IF(INDEX(RiskRegister!$H:$H,$L8)="","—",INDEX(RiskRegister!$H:$H,$L8)))</f>
        <v/>
      </c>
      <c r="F8" s="86">
        <f>IF($L8="","",IF(INDEX(RiskRegister!$J:$J,$L8)="","",INDEX(RiskRegister!$J:$J,$L8)))</f>
        <v/>
      </c>
      <c r="G8" s="85">
        <f>IF($L8="","",INDEX(RiskRegister!$AA:$AA,$L8)&amp;"")</f>
        <v/>
      </c>
      <c r="H8" s="83">
        <f>IF($L8="","",IF(INDEX(RiskRegister!$AD:$AD,$L8)="","—",INDEX(RiskRegister!$AD:$AD,$L8)&amp;" anni"))</f>
        <v/>
      </c>
      <c r="I8" s="85">
        <f>IF($L8="","",INDEX(RiskRegister!$AE:$AE,$L8)&amp;"")</f>
        <v/>
      </c>
      <c r="J8" s="85">
        <f>SUBSTITUTE(SUBSTITUTE(SUBSTITUTE(SUBSTITUTE(SUBSTITUTE(SUBSTITUTE(SUBSTITUTE(SUBSTITUTE(IF($L8="","",INDEX(RiskRegister!$F:$F,$L8)&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8" s="83">
        <f>IF($L8="","",COUNTIFS(NW_Rischio_ID,INDEX(RiskRegister!$C:$C,$L8),NW_Settimana,"&gt;="&amp;inizioFinestra4,NW_Settimana,"&lt;="&amp;settimanaCorrente))</f>
        <v/>
      </c>
      <c r="L8">
        <f>IFERROR(MATCH(_xlfn.AGGREGATE(14,6,RR_Ordine_Osservazione,2),RR_Ordine_Osservazione,0)+5,"")</f>
        <v/>
      </c>
    </row>
    <row r="9" ht="3" customHeight="1">
      <c r="A9" s="83">
        <f>IF($L9="","",3)</f>
        <v/>
      </c>
      <c r="B9" s="84">
        <f>IF($L9="","",INDEX(RiskRegister!$C:$C,$L9)&amp;"")</f>
        <v/>
      </c>
      <c r="C9" s="85">
        <f>IF($L9="","",INDEX(RiskRegister!$D:$D,$L9)&amp;"")</f>
        <v/>
      </c>
      <c r="D9" s="85">
        <f>IF($L9="","",INDEX(RiskRegister!$E:$E,$L9)&amp;" "&amp;IFERROR(INDEX(nomiL1,MATCH(INDEX(RiskRegister!$E:$E,$L9),codiciL1,0)),""))</f>
        <v/>
      </c>
      <c r="E9" s="83">
        <f>IF($L9="","",INDEX(RiskRegister!$G:$G,$L9)&amp;" · "&amp;INDEX(RiskRegister!$K:$K,$L9)&amp;" · "&amp;INDEX(RiskRegister!$I:$I,$L9)&amp;" · "&amp;IF(INDEX(RiskRegister!$H:$H,$L9)="","—",INDEX(RiskRegister!$H:$H,$L9)))</f>
        <v/>
      </c>
      <c r="F9" s="86">
        <f>IF($L9="","",IF(INDEX(RiskRegister!$J:$J,$L9)="","",INDEX(RiskRegister!$J:$J,$L9)))</f>
        <v/>
      </c>
      <c r="G9" s="85">
        <f>IF($L9="","",INDEX(RiskRegister!$AA:$AA,$L9)&amp;"")</f>
        <v/>
      </c>
      <c r="H9" s="83">
        <f>IF($L9="","",IF(INDEX(RiskRegister!$AD:$AD,$L9)="","—",INDEX(RiskRegister!$AD:$AD,$L9)&amp;" anni"))</f>
        <v/>
      </c>
      <c r="I9" s="85">
        <f>IF($L9="","",INDEX(RiskRegister!$AE:$AE,$L9)&amp;"")</f>
        <v/>
      </c>
      <c r="J9" s="85">
        <f>SUBSTITUTE(SUBSTITUTE(SUBSTITUTE(SUBSTITUTE(SUBSTITUTE(SUBSTITUTE(SUBSTITUTE(SUBSTITUTE(IF($L9="","",INDEX(RiskRegister!$F:$F,$L9)&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9" s="83">
        <f>IF($L9="","",COUNTIFS(NW_Rischio_ID,INDEX(RiskRegister!$C:$C,$L9),NW_Settimana,"&gt;="&amp;inizioFinestra4,NW_Settimana,"&lt;="&amp;settimanaCorrente))</f>
        <v/>
      </c>
      <c r="L9">
        <f>IFERROR(MATCH(_xlfn.AGGREGATE(14,6,RR_Ordine_Osservazione,3),RR_Ordine_Osservazione,0)+5,"")</f>
        <v/>
      </c>
    </row>
    <row r="10" ht="3" customHeight="1">
      <c r="A10" s="83">
        <f>IF($L10="","",4)</f>
        <v/>
      </c>
      <c r="B10" s="84">
        <f>IF($L10="","",INDEX(RiskRegister!$C:$C,$L10)&amp;"")</f>
        <v/>
      </c>
      <c r="C10" s="85">
        <f>IF($L10="","",INDEX(RiskRegister!$D:$D,$L10)&amp;"")</f>
        <v/>
      </c>
      <c r="D10" s="85">
        <f>IF($L10="","",INDEX(RiskRegister!$E:$E,$L10)&amp;" "&amp;IFERROR(INDEX(nomiL1,MATCH(INDEX(RiskRegister!$E:$E,$L10),codiciL1,0)),""))</f>
        <v/>
      </c>
      <c r="E10" s="83">
        <f>IF($L10="","",INDEX(RiskRegister!$G:$G,$L10)&amp;" · "&amp;INDEX(RiskRegister!$K:$K,$L10)&amp;" · "&amp;INDEX(RiskRegister!$I:$I,$L10)&amp;" · "&amp;IF(INDEX(RiskRegister!$H:$H,$L10)="","—",INDEX(RiskRegister!$H:$H,$L10)))</f>
        <v/>
      </c>
      <c r="F10" s="86">
        <f>IF($L10="","",IF(INDEX(RiskRegister!$J:$J,$L10)="","",INDEX(RiskRegister!$J:$J,$L10)))</f>
        <v/>
      </c>
      <c r="G10" s="85">
        <f>IF($L10="","",INDEX(RiskRegister!$AA:$AA,$L10)&amp;"")</f>
        <v/>
      </c>
      <c r="H10" s="83">
        <f>IF($L10="","",IF(INDEX(RiskRegister!$AD:$AD,$L10)="","—",INDEX(RiskRegister!$AD:$AD,$L10)&amp;" anni"))</f>
        <v/>
      </c>
      <c r="I10" s="85">
        <f>IF($L10="","",INDEX(RiskRegister!$AE:$AE,$L10)&amp;"")</f>
        <v/>
      </c>
      <c r="J10" s="85">
        <f>SUBSTITUTE(SUBSTITUTE(SUBSTITUTE(SUBSTITUTE(SUBSTITUTE(SUBSTITUTE(SUBSTITUTE(SUBSTITUTE(IF($L10="","",INDEX(RiskRegister!$F:$F,$L10)&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0" s="83">
        <f>IF($L10="","",COUNTIFS(NW_Rischio_ID,INDEX(RiskRegister!$C:$C,$L10),NW_Settimana,"&gt;="&amp;inizioFinestra4,NW_Settimana,"&lt;="&amp;settimanaCorrente))</f>
        <v/>
      </c>
      <c r="L10">
        <f>IFERROR(MATCH(_xlfn.AGGREGATE(14,6,RR_Ordine_Osservazione,4),RR_Ordine_Osservazione,0)+5,"")</f>
        <v/>
      </c>
    </row>
    <row r="11" ht="3" customHeight="1">
      <c r="A11" s="83">
        <f>IF($L11="","",5)</f>
        <v/>
      </c>
      <c r="B11" s="84">
        <f>IF($L11="","",INDEX(RiskRegister!$C:$C,$L11)&amp;"")</f>
        <v/>
      </c>
      <c r="C11" s="85">
        <f>IF($L11="","",INDEX(RiskRegister!$D:$D,$L11)&amp;"")</f>
        <v/>
      </c>
      <c r="D11" s="85">
        <f>IF($L11="","",INDEX(RiskRegister!$E:$E,$L11)&amp;" "&amp;IFERROR(INDEX(nomiL1,MATCH(INDEX(RiskRegister!$E:$E,$L11),codiciL1,0)),""))</f>
        <v/>
      </c>
      <c r="E11" s="83">
        <f>IF($L11="","",INDEX(RiskRegister!$G:$G,$L11)&amp;" · "&amp;INDEX(RiskRegister!$K:$K,$L11)&amp;" · "&amp;INDEX(RiskRegister!$I:$I,$L11)&amp;" · "&amp;IF(INDEX(RiskRegister!$H:$H,$L11)="","—",INDEX(RiskRegister!$H:$H,$L11)))</f>
        <v/>
      </c>
      <c r="F11" s="86">
        <f>IF($L11="","",IF(INDEX(RiskRegister!$J:$J,$L11)="","",INDEX(RiskRegister!$J:$J,$L11)))</f>
        <v/>
      </c>
      <c r="G11" s="85">
        <f>IF($L11="","",INDEX(RiskRegister!$AA:$AA,$L11)&amp;"")</f>
        <v/>
      </c>
      <c r="H11" s="83">
        <f>IF($L11="","",IF(INDEX(RiskRegister!$AD:$AD,$L11)="","—",INDEX(RiskRegister!$AD:$AD,$L11)&amp;" anni"))</f>
        <v/>
      </c>
      <c r="I11" s="85">
        <f>IF($L11="","",INDEX(RiskRegister!$AE:$AE,$L11)&amp;"")</f>
        <v/>
      </c>
      <c r="J11" s="85">
        <f>SUBSTITUTE(SUBSTITUTE(SUBSTITUTE(SUBSTITUTE(SUBSTITUTE(SUBSTITUTE(SUBSTITUTE(SUBSTITUTE(IF($L11="","",INDEX(RiskRegister!$F:$F,$L11)&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1" s="83">
        <f>IF($L11="","",COUNTIFS(NW_Rischio_ID,INDEX(RiskRegister!$C:$C,$L11),NW_Settimana,"&gt;="&amp;inizioFinestra4,NW_Settimana,"&lt;="&amp;settimanaCorrente))</f>
        <v/>
      </c>
      <c r="L11">
        <f>IFERROR(MATCH(_xlfn.AGGREGATE(14,6,RR_Ordine_Osservazione,5),RR_Ordine_Osservazione,0)+5,"")</f>
        <v/>
      </c>
    </row>
    <row r="12" ht="3" customHeight="1">
      <c r="A12" s="83">
        <f>IF($L12="","",6)</f>
        <v/>
      </c>
      <c r="B12" s="84">
        <f>IF($L12="","",INDEX(RiskRegister!$C:$C,$L12)&amp;"")</f>
        <v/>
      </c>
      <c r="C12" s="85">
        <f>IF($L12="","",INDEX(RiskRegister!$D:$D,$L12)&amp;"")</f>
        <v/>
      </c>
      <c r="D12" s="85">
        <f>IF($L12="","",INDEX(RiskRegister!$E:$E,$L12)&amp;" "&amp;IFERROR(INDEX(nomiL1,MATCH(INDEX(RiskRegister!$E:$E,$L12),codiciL1,0)),""))</f>
        <v/>
      </c>
      <c r="E12" s="83">
        <f>IF($L12="","",INDEX(RiskRegister!$G:$G,$L12)&amp;" · "&amp;INDEX(RiskRegister!$K:$K,$L12)&amp;" · "&amp;INDEX(RiskRegister!$I:$I,$L12)&amp;" · "&amp;IF(INDEX(RiskRegister!$H:$H,$L12)="","—",INDEX(RiskRegister!$H:$H,$L12)))</f>
        <v/>
      </c>
      <c r="F12" s="86">
        <f>IF($L12="","",IF(INDEX(RiskRegister!$J:$J,$L12)="","",INDEX(RiskRegister!$J:$J,$L12)))</f>
        <v/>
      </c>
      <c r="G12" s="85">
        <f>IF($L12="","",INDEX(RiskRegister!$AA:$AA,$L12)&amp;"")</f>
        <v/>
      </c>
      <c r="H12" s="83">
        <f>IF($L12="","",IF(INDEX(RiskRegister!$AD:$AD,$L12)="","—",INDEX(RiskRegister!$AD:$AD,$L12)&amp;" anni"))</f>
        <v/>
      </c>
      <c r="I12" s="85">
        <f>IF($L12="","",INDEX(RiskRegister!$AE:$AE,$L12)&amp;"")</f>
        <v/>
      </c>
      <c r="J12" s="85">
        <f>SUBSTITUTE(SUBSTITUTE(SUBSTITUTE(SUBSTITUTE(SUBSTITUTE(SUBSTITUTE(SUBSTITUTE(SUBSTITUTE(IF($L12="","",INDEX(RiskRegister!$F:$F,$L12)&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2" s="83">
        <f>IF($L12="","",COUNTIFS(NW_Rischio_ID,INDEX(RiskRegister!$C:$C,$L12),NW_Settimana,"&gt;="&amp;inizioFinestra4,NW_Settimana,"&lt;="&amp;settimanaCorrente))</f>
        <v/>
      </c>
      <c r="L12">
        <f>IFERROR(MATCH(_xlfn.AGGREGATE(14,6,RR_Ordine_Osservazione,6),RR_Ordine_Osservazione,0)+5,"")</f>
        <v/>
      </c>
    </row>
    <row r="13" ht="3" customHeight="1">
      <c r="A13" s="83">
        <f>IF($L13="","",7)</f>
        <v/>
      </c>
      <c r="B13" s="84">
        <f>IF($L13="","",INDEX(RiskRegister!$C:$C,$L13)&amp;"")</f>
        <v/>
      </c>
      <c r="C13" s="85">
        <f>IF($L13="","",INDEX(RiskRegister!$D:$D,$L13)&amp;"")</f>
        <v/>
      </c>
      <c r="D13" s="85">
        <f>IF($L13="","",INDEX(RiskRegister!$E:$E,$L13)&amp;" "&amp;IFERROR(INDEX(nomiL1,MATCH(INDEX(RiskRegister!$E:$E,$L13),codiciL1,0)),""))</f>
        <v/>
      </c>
      <c r="E13" s="83">
        <f>IF($L13="","",INDEX(RiskRegister!$G:$G,$L13)&amp;" · "&amp;INDEX(RiskRegister!$K:$K,$L13)&amp;" · "&amp;INDEX(RiskRegister!$I:$I,$L13)&amp;" · "&amp;IF(INDEX(RiskRegister!$H:$H,$L13)="","—",INDEX(RiskRegister!$H:$H,$L13)))</f>
        <v/>
      </c>
      <c r="F13" s="86">
        <f>IF($L13="","",IF(INDEX(RiskRegister!$J:$J,$L13)="","",INDEX(RiskRegister!$J:$J,$L13)))</f>
        <v/>
      </c>
      <c r="G13" s="85">
        <f>IF($L13="","",INDEX(RiskRegister!$AA:$AA,$L13)&amp;"")</f>
        <v/>
      </c>
      <c r="H13" s="83">
        <f>IF($L13="","",IF(INDEX(RiskRegister!$AD:$AD,$L13)="","—",INDEX(RiskRegister!$AD:$AD,$L13)&amp;" anni"))</f>
        <v/>
      </c>
      <c r="I13" s="85">
        <f>IF($L13="","",INDEX(RiskRegister!$AE:$AE,$L13)&amp;"")</f>
        <v/>
      </c>
      <c r="J13" s="85">
        <f>SUBSTITUTE(SUBSTITUTE(SUBSTITUTE(SUBSTITUTE(SUBSTITUTE(SUBSTITUTE(SUBSTITUTE(SUBSTITUTE(IF($L13="","",INDEX(RiskRegister!$F:$F,$L13)&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3" s="83">
        <f>IF($L13="","",COUNTIFS(NW_Rischio_ID,INDEX(RiskRegister!$C:$C,$L13),NW_Settimana,"&gt;="&amp;inizioFinestra4,NW_Settimana,"&lt;="&amp;settimanaCorrente))</f>
        <v/>
      </c>
      <c r="L13">
        <f>IFERROR(MATCH(_xlfn.AGGREGATE(14,6,RR_Ordine_Osservazione,7),RR_Ordine_Osservazione,0)+5,"")</f>
        <v/>
      </c>
    </row>
    <row r="14" ht="3" customHeight="1">
      <c r="A14" s="83">
        <f>IF($L14="","",8)</f>
        <v/>
      </c>
      <c r="B14" s="84">
        <f>IF($L14="","",INDEX(RiskRegister!$C:$C,$L14)&amp;"")</f>
        <v/>
      </c>
      <c r="C14" s="85">
        <f>IF($L14="","",INDEX(RiskRegister!$D:$D,$L14)&amp;"")</f>
        <v/>
      </c>
      <c r="D14" s="85">
        <f>IF($L14="","",INDEX(RiskRegister!$E:$E,$L14)&amp;" "&amp;IFERROR(INDEX(nomiL1,MATCH(INDEX(RiskRegister!$E:$E,$L14),codiciL1,0)),""))</f>
        <v/>
      </c>
      <c r="E14" s="83">
        <f>IF($L14="","",INDEX(RiskRegister!$G:$G,$L14)&amp;" · "&amp;INDEX(RiskRegister!$K:$K,$L14)&amp;" · "&amp;INDEX(RiskRegister!$I:$I,$L14)&amp;" · "&amp;IF(INDEX(RiskRegister!$H:$H,$L14)="","—",INDEX(RiskRegister!$H:$H,$L14)))</f>
        <v/>
      </c>
      <c r="F14" s="86">
        <f>IF($L14="","",IF(INDEX(RiskRegister!$J:$J,$L14)="","",INDEX(RiskRegister!$J:$J,$L14)))</f>
        <v/>
      </c>
      <c r="G14" s="85">
        <f>IF($L14="","",INDEX(RiskRegister!$AA:$AA,$L14)&amp;"")</f>
        <v/>
      </c>
      <c r="H14" s="83">
        <f>IF($L14="","",IF(INDEX(RiskRegister!$AD:$AD,$L14)="","—",INDEX(RiskRegister!$AD:$AD,$L14)&amp;" anni"))</f>
        <v/>
      </c>
      <c r="I14" s="85">
        <f>IF($L14="","",INDEX(RiskRegister!$AE:$AE,$L14)&amp;"")</f>
        <v/>
      </c>
      <c r="J14" s="85">
        <f>SUBSTITUTE(SUBSTITUTE(SUBSTITUTE(SUBSTITUTE(SUBSTITUTE(SUBSTITUTE(SUBSTITUTE(SUBSTITUTE(IF($L14="","",INDEX(RiskRegister!$F:$F,$L14)&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4" s="83">
        <f>IF($L14="","",COUNTIFS(NW_Rischio_ID,INDEX(RiskRegister!$C:$C,$L14),NW_Settimana,"&gt;="&amp;inizioFinestra4,NW_Settimana,"&lt;="&amp;settimanaCorrente))</f>
        <v/>
      </c>
      <c r="L14">
        <f>IFERROR(MATCH(_xlfn.AGGREGATE(14,6,RR_Ordine_Osservazione,8),RR_Ordine_Osservazione,0)+5,"")</f>
        <v/>
      </c>
    </row>
    <row r="15" ht="3" customHeight="1">
      <c r="A15" s="83">
        <f>IF($L15="","",9)</f>
        <v/>
      </c>
      <c r="B15" s="84">
        <f>IF($L15="","",INDEX(RiskRegister!$C:$C,$L15)&amp;"")</f>
        <v/>
      </c>
      <c r="C15" s="85">
        <f>IF($L15="","",INDEX(RiskRegister!$D:$D,$L15)&amp;"")</f>
        <v/>
      </c>
      <c r="D15" s="85">
        <f>IF($L15="","",INDEX(RiskRegister!$E:$E,$L15)&amp;" "&amp;IFERROR(INDEX(nomiL1,MATCH(INDEX(RiskRegister!$E:$E,$L15),codiciL1,0)),""))</f>
        <v/>
      </c>
      <c r="E15" s="83">
        <f>IF($L15="","",INDEX(RiskRegister!$G:$G,$L15)&amp;" · "&amp;INDEX(RiskRegister!$K:$K,$L15)&amp;" · "&amp;INDEX(RiskRegister!$I:$I,$L15)&amp;" · "&amp;IF(INDEX(RiskRegister!$H:$H,$L15)="","—",INDEX(RiskRegister!$H:$H,$L15)))</f>
        <v/>
      </c>
      <c r="F15" s="86">
        <f>IF($L15="","",IF(INDEX(RiskRegister!$J:$J,$L15)="","",INDEX(RiskRegister!$J:$J,$L15)))</f>
        <v/>
      </c>
      <c r="G15" s="85">
        <f>IF($L15="","",INDEX(RiskRegister!$AA:$AA,$L15)&amp;"")</f>
        <v/>
      </c>
      <c r="H15" s="83">
        <f>IF($L15="","",IF(INDEX(RiskRegister!$AD:$AD,$L15)="","—",INDEX(RiskRegister!$AD:$AD,$L15)&amp;" anni"))</f>
        <v/>
      </c>
      <c r="I15" s="85">
        <f>IF($L15="","",INDEX(RiskRegister!$AE:$AE,$L15)&amp;"")</f>
        <v/>
      </c>
      <c r="J15" s="85">
        <f>SUBSTITUTE(SUBSTITUTE(SUBSTITUTE(SUBSTITUTE(SUBSTITUTE(SUBSTITUTE(SUBSTITUTE(SUBSTITUTE(IF($L15="","",INDEX(RiskRegister!$F:$F,$L15)&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5" s="83">
        <f>IF($L15="","",COUNTIFS(NW_Rischio_ID,INDEX(RiskRegister!$C:$C,$L15),NW_Settimana,"&gt;="&amp;inizioFinestra4,NW_Settimana,"&lt;="&amp;settimanaCorrente))</f>
        <v/>
      </c>
      <c r="L15">
        <f>IFERROR(MATCH(_xlfn.AGGREGATE(14,6,RR_Ordine_Osservazione,9),RR_Ordine_Osservazione,0)+5,"")</f>
        <v/>
      </c>
    </row>
    <row r="16" ht="3" customHeight="1">
      <c r="A16" s="83">
        <f>IF($L16="","",10)</f>
        <v/>
      </c>
      <c r="B16" s="84">
        <f>IF($L16="","",INDEX(RiskRegister!$C:$C,$L16)&amp;"")</f>
        <v/>
      </c>
      <c r="C16" s="85">
        <f>IF($L16="","",INDEX(RiskRegister!$D:$D,$L16)&amp;"")</f>
        <v/>
      </c>
      <c r="D16" s="85">
        <f>IF($L16="","",INDEX(RiskRegister!$E:$E,$L16)&amp;" "&amp;IFERROR(INDEX(nomiL1,MATCH(INDEX(RiskRegister!$E:$E,$L16),codiciL1,0)),""))</f>
        <v/>
      </c>
      <c r="E16" s="83">
        <f>IF($L16="","",INDEX(RiskRegister!$G:$G,$L16)&amp;" · "&amp;INDEX(RiskRegister!$K:$K,$L16)&amp;" · "&amp;INDEX(RiskRegister!$I:$I,$L16)&amp;" · "&amp;IF(INDEX(RiskRegister!$H:$H,$L16)="","—",INDEX(RiskRegister!$H:$H,$L16)))</f>
        <v/>
      </c>
      <c r="F16" s="86">
        <f>IF($L16="","",IF(INDEX(RiskRegister!$J:$J,$L16)="","",INDEX(RiskRegister!$J:$J,$L16)))</f>
        <v/>
      </c>
      <c r="G16" s="85">
        <f>IF($L16="","",INDEX(RiskRegister!$AA:$AA,$L16)&amp;"")</f>
        <v/>
      </c>
      <c r="H16" s="83">
        <f>IF($L16="","",IF(INDEX(RiskRegister!$AD:$AD,$L16)="","—",INDEX(RiskRegister!$AD:$AD,$L16)&amp;" anni"))</f>
        <v/>
      </c>
      <c r="I16" s="85">
        <f>IF($L16="","",INDEX(RiskRegister!$AE:$AE,$L16)&amp;"")</f>
        <v/>
      </c>
      <c r="J16" s="85">
        <f>SUBSTITUTE(SUBSTITUTE(SUBSTITUTE(SUBSTITUTE(SUBSTITUTE(SUBSTITUTE(SUBSTITUTE(SUBSTITUTE(IF($L16="","",INDEX(RiskRegister!$F:$F,$L16)&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6" s="83">
        <f>IF($L16="","",COUNTIFS(NW_Rischio_ID,INDEX(RiskRegister!$C:$C,$L16),NW_Settimana,"&gt;="&amp;inizioFinestra4,NW_Settimana,"&lt;="&amp;settimanaCorrente))</f>
        <v/>
      </c>
      <c r="L16">
        <f>IFERROR(MATCH(_xlfn.AGGREGATE(14,6,RR_Ordine_Osservazione,10),RR_Ordine_Osservazione,0)+5,"")</f>
        <v/>
      </c>
    </row>
    <row r="17" ht="3" customHeight="1">
      <c r="A17" s="83">
        <f>IF($L17="","",11)</f>
        <v/>
      </c>
      <c r="B17" s="84">
        <f>IF($L17="","",INDEX(RiskRegister!$C:$C,$L17)&amp;"")</f>
        <v/>
      </c>
      <c r="C17" s="85">
        <f>IF($L17="","",INDEX(RiskRegister!$D:$D,$L17)&amp;"")</f>
        <v/>
      </c>
      <c r="D17" s="85">
        <f>IF($L17="","",INDEX(RiskRegister!$E:$E,$L17)&amp;" "&amp;IFERROR(INDEX(nomiL1,MATCH(INDEX(RiskRegister!$E:$E,$L17),codiciL1,0)),""))</f>
        <v/>
      </c>
      <c r="E17" s="83">
        <f>IF($L17="","",INDEX(RiskRegister!$G:$G,$L17)&amp;" · "&amp;INDEX(RiskRegister!$K:$K,$L17)&amp;" · "&amp;INDEX(RiskRegister!$I:$I,$L17)&amp;" · "&amp;IF(INDEX(RiskRegister!$H:$H,$L17)="","—",INDEX(RiskRegister!$H:$H,$L17)))</f>
        <v/>
      </c>
      <c r="F17" s="86">
        <f>IF($L17="","",IF(INDEX(RiskRegister!$J:$J,$L17)="","",INDEX(RiskRegister!$J:$J,$L17)))</f>
        <v/>
      </c>
      <c r="G17" s="85">
        <f>IF($L17="","",INDEX(RiskRegister!$AA:$AA,$L17)&amp;"")</f>
        <v/>
      </c>
      <c r="H17" s="83">
        <f>IF($L17="","",IF(INDEX(RiskRegister!$AD:$AD,$L17)="","—",INDEX(RiskRegister!$AD:$AD,$L17)&amp;" anni"))</f>
        <v/>
      </c>
      <c r="I17" s="85">
        <f>IF($L17="","",INDEX(RiskRegister!$AE:$AE,$L17)&amp;"")</f>
        <v/>
      </c>
      <c r="J17" s="85">
        <f>SUBSTITUTE(SUBSTITUTE(SUBSTITUTE(SUBSTITUTE(SUBSTITUTE(SUBSTITUTE(SUBSTITUTE(SUBSTITUTE(IF($L17="","",INDEX(RiskRegister!$F:$F,$L17)&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7" s="83">
        <f>IF($L17="","",COUNTIFS(NW_Rischio_ID,INDEX(RiskRegister!$C:$C,$L17),NW_Settimana,"&gt;="&amp;inizioFinestra4,NW_Settimana,"&lt;="&amp;settimanaCorrente))</f>
        <v/>
      </c>
      <c r="L17">
        <f>IFERROR(MATCH(_xlfn.AGGREGATE(14,6,RR_Ordine_Osservazione,11),RR_Ordine_Osservazione,0)+5,"")</f>
        <v/>
      </c>
    </row>
    <row r="18" ht="3" customHeight="1">
      <c r="A18" s="83">
        <f>IF($L18="","",12)</f>
        <v/>
      </c>
      <c r="B18" s="84">
        <f>IF($L18="","",INDEX(RiskRegister!$C:$C,$L18)&amp;"")</f>
        <v/>
      </c>
      <c r="C18" s="85">
        <f>IF($L18="","",INDEX(RiskRegister!$D:$D,$L18)&amp;"")</f>
        <v/>
      </c>
      <c r="D18" s="85">
        <f>IF($L18="","",INDEX(RiskRegister!$E:$E,$L18)&amp;" "&amp;IFERROR(INDEX(nomiL1,MATCH(INDEX(RiskRegister!$E:$E,$L18),codiciL1,0)),""))</f>
        <v/>
      </c>
      <c r="E18" s="83">
        <f>IF($L18="","",INDEX(RiskRegister!$G:$G,$L18)&amp;" · "&amp;INDEX(RiskRegister!$K:$K,$L18)&amp;" · "&amp;INDEX(RiskRegister!$I:$I,$L18)&amp;" · "&amp;IF(INDEX(RiskRegister!$H:$H,$L18)="","—",INDEX(RiskRegister!$H:$H,$L18)))</f>
        <v/>
      </c>
      <c r="F18" s="86">
        <f>IF($L18="","",IF(INDEX(RiskRegister!$J:$J,$L18)="","",INDEX(RiskRegister!$J:$J,$L18)))</f>
        <v/>
      </c>
      <c r="G18" s="85">
        <f>IF($L18="","",INDEX(RiskRegister!$AA:$AA,$L18)&amp;"")</f>
        <v/>
      </c>
      <c r="H18" s="83">
        <f>IF($L18="","",IF(INDEX(RiskRegister!$AD:$AD,$L18)="","—",INDEX(RiskRegister!$AD:$AD,$L18)&amp;" anni"))</f>
        <v/>
      </c>
      <c r="I18" s="85">
        <f>IF($L18="","",INDEX(RiskRegister!$AE:$AE,$L18)&amp;"")</f>
        <v/>
      </c>
      <c r="J18" s="85">
        <f>SUBSTITUTE(SUBSTITUTE(SUBSTITUTE(SUBSTITUTE(SUBSTITUTE(SUBSTITUTE(SUBSTITUTE(SUBSTITUTE(IF($L18="","",INDEX(RiskRegister!$F:$F,$L18)&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8" s="83">
        <f>IF($L18="","",COUNTIFS(NW_Rischio_ID,INDEX(RiskRegister!$C:$C,$L18),NW_Settimana,"&gt;="&amp;inizioFinestra4,NW_Settimana,"&lt;="&amp;settimanaCorrente))</f>
        <v/>
      </c>
      <c r="L18">
        <f>IFERROR(MATCH(_xlfn.AGGREGATE(14,6,RR_Ordine_Osservazione,12),RR_Ordine_Osservazione,0)+5,"")</f>
        <v/>
      </c>
    </row>
    <row r="19" ht="3" customHeight="1">
      <c r="A19" s="83">
        <f>IF($L19="","",13)</f>
        <v/>
      </c>
      <c r="B19" s="84">
        <f>IF($L19="","",INDEX(RiskRegister!$C:$C,$L19)&amp;"")</f>
        <v/>
      </c>
      <c r="C19" s="85">
        <f>IF($L19="","",INDEX(RiskRegister!$D:$D,$L19)&amp;"")</f>
        <v/>
      </c>
      <c r="D19" s="85">
        <f>IF($L19="","",INDEX(RiskRegister!$E:$E,$L19)&amp;" "&amp;IFERROR(INDEX(nomiL1,MATCH(INDEX(RiskRegister!$E:$E,$L19),codiciL1,0)),""))</f>
        <v/>
      </c>
      <c r="E19" s="83">
        <f>IF($L19="","",INDEX(RiskRegister!$G:$G,$L19)&amp;" · "&amp;INDEX(RiskRegister!$K:$K,$L19)&amp;" · "&amp;INDEX(RiskRegister!$I:$I,$L19)&amp;" · "&amp;IF(INDEX(RiskRegister!$H:$H,$L19)="","—",INDEX(RiskRegister!$H:$H,$L19)))</f>
        <v/>
      </c>
      <c r="F19" s="86">
        <f>IF($L19="","",IF(INDEX(RiskRegister!$J:$J,$L19)="","",INDEX(RiskRegister!$J:$J,$L19)))</f>
        <v/>
      </c>
      <c r="G19" s="85">
        <f>IF($L19="","",INDEX(RiskRegister!$AA:$AA,$L19)&amp;"")</f>
        <v/>
      </c>
      <c r="H19" s="83">
        <f>IF($L19="","",IF(INDEX(RiskRegister!$AD:$AD,$L19)="","—",INDEX(RiskRegister!$AD:$AD,$L19)&amp;" anni"))</f>
        <v/>
      </c>
      <c r="I19" s="85">
        <f>IF($L19="","",INDEX(RiskRegister!$AE:$AE,$L19)&amp;"")</f>
        <v/>
      </c>
      <c r="J19" s="85">
        <f>SUBSTITUTE(SUBSTITUTE(SUBSTITUTE(SUBSTITUTE(SUBSTITUTE(SUBSTITUTE(SUBSTITUTE(SUBSTITUTE(IF($L19="","",INDEX(RiskRegister!$F:$F,$L19)&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9" s="83">
        <f>IF($L19="","",COUNTIFS(NW_Rischio_ID,INDEX(RiskRegister!$C:$C,$L19),NW_Settimana,"&gt;="&amp;inizioFinestra4,NW_Settimana,"&lt;="&amp;settimanaCorrente))</f>
        <v/>
      </c>
      <c r="L19">
        <f>IFERROR(MATCH(_xlfn.AGGREGATE(14,6,RR_Ordine_Osservazione,13),RR_Ordine_Osservazione,0)+5,"")</f>
        <v/>
      </c>
    </row>
    <row r="20" ht="3" customHeight="1">
      <c r="A20" s="83">
        <f>IF($L20="","",14)</f>
        <v/>
      </c>
      <c r="B20" s="84">
        <f>IF($L20="","",INDEX(RiskRegister!$C:$C,$L20)&amp;"")</f>
        <v/>
      </c>
      <c r="C20" s="85">
        <f>IF($L20="","",INDEX(RiskRegister!$D:$D,$L20)&amp;"")</f>
        <v/>
      </c>
      <c r="D20" s="85">
        <f>IF($L20="","",INDEX(RiskRegister!$E:$E,$L20)&amp;" "&amp;IFERROR(INDEX(nomiL1,MATCH(INDEX(RiskRegister!$E:$E,$L20),codiciL1,0)),""))</f>
        <v/>
      </c>
      <c r="E20" s="83">
        <f>IF($L20="","",INDEX(RiskRegister!$G:$G,$L20)&amp;" · "&amp;INDEX(RiskRegister!$K:$K,$L20)&amp;" · "&amp;INDEX(RiskRegister!$I:$I,$L20)&amp;" · "&amp;IF(INDEX(RiskRegister!$H:$H,$L20)="","—",INDEX(RiskRegister!$H:$H,$L20)))</f>
        <v/>
      </c>
      <c r="F20" s="86">
        <f>IF($L20="","",IF(INDEX(RiskRegister!$J:$J,$L20)="","",INDEX(RiskRegister!$J:$J,$L20)))</f>
        <v/>
      </c>
      <c r="G20" s="85">
        <f>IF($L20="","",INDEX(RiskRegister!$AA:$AA,$L20)&amp;"")</f>
        <v/>
      </c>
      <c r="H20" s="83">
        <f>IF($L20="","",IF(INDEX(RiskRegister!$AD:$AD,$L20)="","—",INDEX(RiskRegister!$AD:$AD,$L20)&amp;" anni"))</f>
        <v/>
      </c>
      <c r="I20" s="85">
        <f>IF($L20="","",INDEX(RiskRegister!$AE:$AE,$L20)&amp;"")</f>
        <v/>
      </c>
      <c r="J20" s="85">
        <f>SUBSTITUTE(SUBSTITUTE(SUBSTITUTE(SUBSTITUTE(SUBSTITUTE(SUBSTITUTE(SUBSTITUTE(SUBSTITUTE(IF($L20="","",INDEX(RiskRegister!$F:$F,$L20)&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0" s="83">
        <f>IF($L20="","",COUNTIFS(NW_Rischio_ID,INDEX(RiskRegister!$C:$C,$L20),NW_Settimana,"&gt;="&amp;inizioFinestra4,NW_Settimana,"&lt;="&amp;settimanaCorrente))</f>
        <v/>
      </c>
      <c r="L20">
        <f>IFERROR(MATCH(_xlfn.AGGREGATE(14,6,RR_Ordine_Osservazione,14),RR_Ordine_Osservazione,0)+5,"")</f>
        <v/>
      </c>
    </row>
    <row r="21" ht="3" customHeight="1">
      <c r="A21" s="83">
        <f>IF($L21="","",15)</f>
        <v/>
      </c>
      <c r="B21" s="84">
        <f>IF($L21="","",INDEX(RiskRegister!$C:$C,$L21)&amp;"")</f>
        <v/>
      </c>
      <c r="C21" s="85">
        <f>IF($L21="","",INDEX(RiskRegister!$D:$D,$L21)&amp;"")</f>
        <v/>
      </c>
      <c r="D21" s="85">
        <f>IF($L21="","",INDEX(RiskRegister!$E:$E,$L21)&amp;" "&amp;IFERROR(INDEX(nomiL1,MATCH(INDEX(RiskRegister!$E:$E,$L21),codiciL1,0)),""))</f>
        <v/>
      </c>
      <c r="E21" s="83">
        <f>IF($L21="","",INDEX(RiskRegister!$G:$G,$L21)&amp;" · "&amp;INDEX(RiskRegister!$K:$K,$L21)&amp;" · "&amp;INDEX(RiskRegister!$I:$I,$L21)&amp;" · "&amp;IF(INDEX(RiskRegister!$H:$H,$L21)="","—",INDEX(RiskRegister!$H:$H,$L21)))</f>
        <v/>
      </c>
      <c r="F21" s="86">
        <f>IF($L21="","",IF(INDEX(RiskRegister!$J:$J,$L21)="","",INDEX(RiskRegister!$J:$J,$L21)))</f>
        <v/>
      </c>
      <c r="G21" s="85">
        <f>IF($L21="","",INDEX(RiskRegister!$AA:$AA,$L21)&amp;"")</f>
        <v/>
      </c>
      <c r="H21" s="83">
        <f>IF($L21="","",IF(INDEX(RiskRegister!$AD:$AD,$L21)="","—",INDEX(RiskRegister!$AD:$AD,$L21)&amp;" anni"))</f>
        <v/>
      </c>
      <c r="I21" s="85">
        <f>IF($L21="","",INDEX(RiskRegister!$AE:$AE,$L21)&amp;"")</f>
        <v/>
      </c>
      <c r="J21" s="85">
        <f>SUBSTITUTE(SUBSTITUTE(SUBSTITUTE(SUBSTITUTE(SUBSTITUTE(SUBSTITUTE(SUBSTITUTE(SUBSTITUTE(IF($L21="","",INDEX(RiskRegister!$F:$F,$L21)&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1" s="83">
        <f>IF($L21="","",COUNTIFS(NW_Rischio_ID,INDEX(RiskRegister!$C:$C,$L21),NW_Settimana,"&gt;="&amp;inizioFinestra4,NW_Settimana,"&lt;="&amp;settimanaCorrente))</f>
        <v/>
      </c>
      <c r="L21">
        <f>IFERROR(MATCH(_xlfn.AGGREGATE(14,6,RR_Ordine_Osservazione,15),RR_Ordine_Osservazione,0)+5,"")</f>
        <v/>
      </c>
    </row>
    <row r="22" ht="3" customHeight="1">
      <c r="A22" s="83">
        <f>IF($L22="","",16)</f>
        <v/>
      </c>
      <c r="B22" s="84">
        <f>IF($L22="","",INDEX(RiskRegister!$C:$C,$L22)&amp;"")</f>
        <v/>
      </c>
      <c r="C22" s="85">
        <f>IF($L22="","",INDEX(RiskRegister!$D:$D,$L22)&amp;"")</f>
        <v/>
      </c>
      <c r="D22" s="85">
        <f>IF($L22="","",INDEX(RiskRegister!$E:$E,$L22)&amp;" "&amp;IFERROR(INDEX(nomiL1,MATCH(INDEX(RiskRegister!$E:$E,$L22),codiciL1,0)),""))</f>
        <v/>
      </c>
      <c r="E22" s="83">
        <f>IF($L22="","",INDEX(RiskRegister!$G:$G,$L22)&amp;" · "&amp;INDEX(RiskRegister!$K:$K,$L22)&amp;" · "&amp;INDEX(RiskRegister!$I:$I,$L22)&amp;" · "&amp;IF(INDEX(RiskRegister!$H:$H,$L22)="","—",INDEX(RiskRegister!$H:$H,$L22)))</f>
        <v/>
      </c>
      <c r="F22" s="86">
        <f>IF($L22="","",IF(INDEX(RiskRegister!$J:$J,$L22)="","",INDEX(RiskRegister!$J:$J,$L22)))</f>
        <v/>
      </c>
      <c r="G22" s="85">
        <f>IF($L22="","",INDEX(RiskRegister!$AA:$AA,$L22)&amp;"")</f>
        <v/>
      </c>
      <c r="H22" s="83">
        <f>IF($L22="","",IF(INDEX(RiskRegister!$AD:$AD,$L22)="","—",INDEX(RiskRegister!$AD:$AD,$L22)&amp;" anni"))</f>
        <v/>
      </c>
      <c r="I22" s="85">
        <f>IF($L22="","",INDEX(RiskRegister!$AE:$AE,$L22)&amp;"")</f>
        <v/>
      </c>
      <c r="J22" s="85">
        <f>SUBSTITUTE(SUBSTITUTE(SUBSTITUTE(SUBSTITUTE(SUBSTITUTE(SUBSTITUTE(SUBSTITUTE(SUBSTITUTE(IF($L22="","",INDEX(RiskRegister!$F:$F,$L22)&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2" s="83">
        <f>IF($L22="","",COUNTIFS(NW_Rischio_ID,INDEX(RiskRegister!$C:$C,$L22),NW_Settimana,"&gt;="&amp;inizioFinestra4,NW_Settimana,"&lt;="&amp;settimanaCorrente))</f>
        <v/>
      </c>
      <c r="L22">
        <f>IFERROR(MATCH(_xlfn.AGGREGATE(14,6,RR_Ordine_Osservazione,16),RR_Ordine_Osservazione,0)+5,"")</f>
        <v/>
      </c>
    </row>
    <row r="23" ht="3" customHeight="1">
      <c r="A23" s="83">
        <f>IF($L23="","",17)</f>
        <v/>
      </c>
      <c r="B23" s="84">
        <f>IF($L23="","",INDEX(RiskRegister!$C:$C,$L23)&amp;"")</f>
        <v/>
      </c>
      <c r="C23" s="85">
        <f>IF($L23="","",INDEX(RiskRegister!$D:$D,$L23)&amp;"")</f>
        <v/>
      </c>
      <c r="D23" s="85">
        <f>IF($L23="","",INDEX(RiskRegister!$E:$E,$L23)&amp;" "&amp;IFERROR(INDEX(nomiL1,MATCH(INDEX(RiskRegister!$E:$E,$L23),codiciL1,0)),""))</f>
        <v/>
      </c>
      <c r="E23" s="83">
        <f>IF($L23="","",INDEX(RiskRegister!$G:$G,$L23)&amp;" · "&amp;INDEX(RiskRegister!$K:$K,$L23)&amp;" · "&amp;INDEX(RiskRegister!$I:$I,$L23)&amp;" · "&amp;IF(INDEX(RiskRegister!$H:$H,$L23)="","—",INDEX(RiskRegister!$H:$H,$L23)))</f>
        <v/>
      </c>
      <c r="F23" s="86">
        <f>IF($L23="","",IF(INDEX(RiskRegister!$J:$J,$L23)="","",INDEX(RiskRegister!$J:$J,$L23)))</f>
        <v/>
      </c>
      <c r="G23" s="85">
        <f>IF($L23="","",INDEX(RiskRegister!$AA:$AA,$L23)&amp;"")</f>
        <v/>
      </c>
      <c r="H23" s="83">
        <f>IF($L23="","",IF(INDEX(RiskRegister!$AD:$AD,$L23)="","—",INDEX(RiskRegister!$AD:$AD,$L23)&amp;" anni"))</f>
        <v/>
      </c>
      <c r="I23" s="85">
        <f>IF($L23="","",INDEX(RiskRegister!$AE:$AE,$L23)&amp;"")</f>
        <v/>
      </c>
      <c r="J23" s="85">
        <f>SUBSTITUTE(SUBSTITUTE(SUBSTITUTE(SUBSTITUTE(SUBSTITUTE(SUBSTITUTE(SUBSTITUTE(SUBSTITUTE(IF($L23="","",INDEX(RiskRegister!$F:$F,$L23)&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3" s="83">
        <f>IF($L23="","",COUNTIFS(NW_Rischio_ID,INDEX(RiskRegister!$C:$C,$L23),NW_Settimana,"&gt;="&amp;inizioFinestra4,NW_Settimana,"&lt;="&amp;settimanaCorrente))</f>
        <v/>
      </c>
      <c r="L23">
        <f>IFERROR(MATCH(_xlfn.AGGREGATE(14,6,RR_Ordine_Osservazione,17),RR_Ordine_Osservazione,0)+5,"")</f>
        <v/>
      </c>
    </row>
    <row r="24" ht="3" customHeight="1">
      <c r="A24" s="83">
        <f>IF($L24="","",18)</f>
        <v/>
      </c>
      <c r="B24" s="84">
        <f>IF($L24="","",INDEX(RiskRegister!$C:$C,$L24)&amp;"")</f>
        <v/>
      </c>
      <c r="C24" s="85">
        <f>IF($L24="","",INDEX(RiskRegister!$D:$D,$L24)&amp;"")</f>
        <v/>
      </c>
      <c r="D24" s="85">
        <f>IF($L24="","",INDEX(RiskRegister!$E:$E,$L24)&amp;" "&amp;IFERROR(INDEX(nomiL1,MATCH(INDEX(RiskRegister!$E:$E,$L24),codiciL1,0)),""))</f>
        <v/>
      </c>
      <c r="E24" s="83">
        <f>IF($L24="","",INDEX(RiskRegister!$G:$G,$L24)&amp;" · "&amp;INDEX(RiskRegister!$K:$K,$L24)&amp;" · "&amp;INDEX(RiskRegister!$I:$I,$L24)&amp;" · "&amp;IF(INDEX(RiskRegister!$H:$H,$L24)="","—",INDEX(RiskRegister!$H:$H,$L24)))</f>
        <v/>
      </c>
      <c r="F24" s="86">
        <f>IF($L24="","",IF(INDEX(RiskRegister!$J:$J,$L24)="","",INDEX(RiskRegister!$J:$J,$L24)))</f>
        <v/>
      </c>
      <c r="G24" s="85">
        <f>IF($L24="","",INDEX(RiskRegister!$AA:$AA,$L24)&amp;"")</f>
        <v/>
      </c>
      <c r="H24" s="83">
        <f>IF($L24="","",IF(INDEX(RiskRegister!$AD:$AD,$L24)="","—",INDEX(RiskRegister!$AD:$AD,$L24)&amp;" anni"))</f>
        <v/>
      </c>
      <c r="I24" s="85">
        <f>IF($L24="","",INDEX(RiskRegister!$AE:$AE,$L24)&amp;"")</f>
        <v/>
      </c>
      <c r="J24" s="85">
        <f>SUBSTITUTE(SUBSTITUTE(SUBSTITUTE(SUBSTITUTE(SUBSTITUTE(SUBSTITUTE(SUBSTITUTE(SUBSTITUTE(IF($L24="","",INDEX(RiskRegister!$F:$F,$L24)&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4" s="83">
        <f>IF($L24="","",COUNTIFS(NW_Rischio_ID,INDEX(RiskRegister!$C:$C,$L24),NW_Settimana,"&gt;="&amp;inizioFinestra4,NW_Settimana,"&lt;="&amp;settimanaCorrente))</f>
        <v/>
      </c>
      <c r="L24">
        <f>IFERROR(MATCH(_xlfn.AGGREGATE(14,6,RR_Ordine_Osservazione,18),RR_Ordine_Osservazione,0)+5,"")</f>
        <v/>
      </c>
    </row>
    <row r="25" ht="3" customHeight="1">
      <c r="A25" s="83">
        <f>IF($L25="","",19)</f>
        <v/>
      </c>
      <c r="B25" s="84">
        <f>IF($L25="","",INDEX(RiskRegister!$C:$C,$L25)&amp;"")</f>
        <v/>
      </c>
      <c r="C25" s="85">
        <f>IF($L25="","",INDEX(RiskRegister!$D:$D,$L25)&amp;"")</f>
        <v/>
      </c>
      <c r="D25" s="85">
        <f>IF($L25="","",INDEX(RiskRegister!$E:$E,$L25)&amp;" "&amp;IFERROR(INDEX(nomiL1,MATCH(INDEX(RiskRegister!$E:$E,$L25),codiciL1,0)),""))</f>
        <v/>
      </c>
      <c r="E25" s="83">
        <f>IF($L25="","",INDEX(RiskRegister!$G:$G,$L25)&amp;" · "&amp;INDEX(RiskRegister!$K:$K,$L25)&amp;" · "&amp;INDEX(RiskRegister!$I:$I,$L25)&amp;" · "&amp;IF(INDEX(RiskRegister!$H:$H,$L25)="","—",INDEX(RiskRegister!$H:$H,$L25)))</f>
        <v/>
      </c>
      <c r="F25" s="86">
        <f>IF($L25="","",IF(INDEX(RiskRegister!$J:$J,$L25)="","",INDEX(RiskRegister!$J:$J,$L25)))</f>
        <v/>
      </c>
      <c r="G25" s="85">
        <f>IF($L25="","",INDEX(RiskRegister!$AA:$AA,$L25)&amp;"")</f>
        <v/>
      </c>
      <c r="H25" s="83">
        <f>IF($L25="","",IF(INDEX(RiskRegister!$AD:$AD,$L25)="","—",INDEX(RiskRegister!$AD:$AD,$L25)&amp;" anni"))</f>
        <v/>
      </c>
      <c r="I25" s="85">
        <f>IF($L25="","",INDEX(RiskRegister!$AE:$AE,$L25)&amp;"")</f>
        <v/>
      </c>
      <c r="J25" s="85">
        <f>SUBSTITUTE(SUBSTITUTE(SUBSTITUTE(SUBSTITUTE(SUBSTITUTE(SUBSTITUTE(SUBSTITUTE(SUBSTITUTE(IF($L25="","",INDEX(RiskRegister!$F:$F,$L25)&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5" s="83">
        <f>IF($L25="","",COUNTIFS(NW_Rischio_ID,INDEX(RiskRegister!$C:$C,$L25),NW_Settimana,"&gt;="&amp;inizioFinestra4,NW_Settimana,"&lt;="&amp;settimanaCorrente))</f>
        <v/>
      </c>
      <c r="L25">
        <f>IFERROR(MATCH(_xlfn.AGGREGATE(14,6,RR_Ordine_Osservazione,19),RR_Ordine_Osservazione,0)+5,"")</f>
        <v/>
      </c>
    </row>
    <row r="26" ht="3" customHeight="1">
      <c r="A26" s="83">
        <f>IF($L26="","",20)</f>
        <v/>
      </c>
      <c r="B26" s="84">
        <f>IF($L26="","",INDEX(RiskRegister!$C:$C,$L26)&amp;"")</f>
        <v/>
      </c>
      <c r="C26" s="85">
        <f>IF($L26="","",INDEX(RiskRegister!$D:$D,$L26)&amp;"")</f>
        <v/>
      </c>
      <c r="D26" s="85">
        <f>IF($L26="","",INDEX(RiskRegister!$E:$E,$L26)&amp;" "&amp;IFERROR(INDEX(nomiL1,MATCH(INDEX(RiskRegister!$E:$E,$L26),codiciL1,0)),""))</f>
        <v/>
      </c>
      <c r="E26" s="83">
        <f>IF($L26="","",INDEX(RiskRegister!$G:$G,$L26)&amp;" · "&amp;INDEX(RiskRegister!$K:$K,$L26)&amp;" · "&amp;INDEX(RiskRegister!$I:$I,$L26)&amp;" · "&amp;IF(INDEX(RiskRegister!$H:$H,$L26)="","—",INDEX(RiskRegister!$H:$H,$L26)))</f>
        <v/>
      </c>
      <c r="F26" s="86">
        <f>IF($L26="","",IF(INDEX(RiskRegister!$J:$J,$L26)="","",INDEX(RiskRegister!$J:$J,$L26)))</f>
        <v/>
      </c>
      <c r="G26" s="85">
        <f>IF($L26="","",INDEX(RiskRegister!$AA:$AA,$L26)&amp;"")</f>
        <v/>
      </c>
      <c r="H26" s="83">
        <f>IF($L26="","",IF(INDEX(RiskRegister!$AD:$AD,$L26)="","—",INDEX(RiskRegister!$AD:$AD,$L26)&amp;" anni"))</f>
        <v/>
      </c>
      <c r="I26" s="85">
        <f>IF($L26="","",INDEX(RiskRegister!$AE:$AE,$L26)&amp;"")</f>
        <v/>
      </c>
      <c r="J26" s="85">
        <f>SUBSTITUTE(SUBSTITUTE(SUBSTITUTE(SUBSTITUTE(SUBSTITUTE(SUBSTITUTE(SUBSTITUTE(SUBSTITUTE(IF($L26="","",INDEX(RiskRegister!$F:$F,$L26)&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6" s="83">
        <f>IF($L26="","",COUNTIFS(NW_Rischio_ID,INDEX(RiskRegister!$C:$C,$L26),NW_Settimana,"&gt;="&amp;inizioFinestra4,NW_Settimana,"&lt;="&amp;settimanaCorrente))</f>
        <v/>
      </c>
      <c r="L26">
        <f>IFERROR(MATCH(_xlfn.AGGREGATE(14,6,RR_Ordine_Osservazione,20),RR_Ordine_Osservazione,0)+5,"")</f>
        <v/>
      </c>
    </row>
    <row r="28">
      <c r="A28" s="29" t="inlineStr">
        <is>
          <t>Entrati e usciti dal radar in questo ciclo</t>
        </is>
      </c>
      <c r="B28" s="30" t="n"/>
      <c r="C28" s="30" t="n"/>
      <c r="D28" s="30" t="n"/>
      <c r="E28" s="30" t="n"/>
      <c r="F28" s="30" t="n"/>
      <c r="G28" s="30" t="n"/>
      <c r="H28" s="30" t="n"/>
      <c r="I28" s="30" t="n"/>
      <c r="J28" s="30" t="n"/>
      <c r="K28" s="30" t="n"/>
    </row>
    <row r="29" ht="28" customHeight="1">
      <c r="B29" s="82" t="inlineStr">
        <is>
          <t>ID</t>
        </is>
      </c>
      <c r="C29" s="82" t="inlineStr">
        <is>
          <t>Rischio</t>
        </is>
      </c>
      <c r="D29" s="82" t="inlineStr">
        <is>
          <t>Movimento</t>
        </is>
      </c>
      <c r="E29" s="82" t="inlineStr">
        <is>
          <t>Motivo (regola, D-79)</t>
        </is>
      </c>
    </row>
    <row r="30" ht="3" customHeight="1">
      <c r="B30" s="87">
        <f>IF($L30="","",INDEX(RiskRegister!$C:$C,$L30)&amp;"")</f>
        <v/>
      </c>
      <c r="C30" s="88">
        <f>IF($L30="","",INDEX(RiskRegister!$D:$D,$L30)&amp;"")</f>
        <v/>
      </c>
      <c r="D30" s="88">
        <f>IF($L30="","",INDEX(RiskRegister!$AB:$AB,$L30)&amp;"")</f>
        <v/>
      </c>
      <c r="E30" s="88">
        <f>IF($L30="","",INDEX(RiskRegister!$AA:$AA,$L30)&amp;"")</f>
        <v/>
      </c>
      <c r="L30">
        <f>IFERROR(_xlfn.AGGREGATE(15,6,ROW(RR_Ciclo)/((RR_Ciclo=cicloCorrente)*(RR_Movimento&lt;&gt;"")),1),"")</f>
        <v/>
      </c>
    </row>
    <row r="31" ht="3" customHeight="1">
      <c r="B31" s="87">
        <f>IF($L31="","",INDEX(RiskRegister!$C:$C,$L31)&amp;"")</f>
        <v/>
      </c>
      <c r="C31" s="88">
        <f>IF($L31="","",INDEX(RiskRegister!$D:$D,$L31)&amp;"")</f>
        <v/>
      </c>
      <c r="D31" s="88">
        <f>IF($L31="","",INDEX(RiskRegister!$AB:$AB,$L31)&amp;"")</f>
        <v/>
      </c>
      <c r="E31" s="88">
        <f>IF($L31="","",INDEX(RiskRegister!$AA:$AA,$L31)&amp;"")</f>
        <v/>
      </c>
      <c r="L31">
        <f>IFERROR(_xlfn.AGGREGATE(15,6,ROW(RR_Ciclo)/((RR_Ciclo=cicloCorrente)*(RR_Movimento&lt;&gt;"")),2),"")</f>
        <v/>
      </c>
    </row>
    <row r="32" ht="3" customHeight="1">
      <c r="B32" s="87">
        <f>IF($L32="","",INDEX(RiskRegister!$C:$C,$L32)&amp;"")</f>
        <v/>
      </c>
      <c r="C32" s="88">
        <f>IF($L32="","",INDEX(RiskRegister!$D:$D,$L32)&amp;"")</f>
        <v/>
      </c>
      <c r="D32" s="88">
        <f>IF($L32="","",INDEX(RiskRegister!$AB:$AB,$L32)&amp;"")</f>
        <v/>
      </c>
      <c r="E32" s="88">
        <f>IF($L32="","",INDEX(RiskRegister!$AA:$AA,$L32)&amp;"")</f>
        <v/>
      </c>
      <c r="L32">
        <f>IFERROR(_xlfn.AGGREGATE(15,6,ROW(RR_Ciclo)/((RR_Ciclo=cicloCorrente)*(RR_Movimento&lt;&gt;"")),3),"")</f>
        <v/>
      </c>
    </row>
    <row r="33" ht="3" customHeight="1">
      <c r="B33" s="87">
        <f>IF($L33="","",INDEX(RiskRegister!$C:$C,$L33)&amp;"")</f>
        <v/>
      </c>
      <c r="C33" s="88">
        <f>IF($L33="","",INDEX(RiskRegister!$D:$D,$L33)&amp;"")</f>
        <v/>
      </c>
      <c r="D33" s="88">
        <f>IF($L33="","",INDEX(RiskRegister!$AB:$AB,$L33)&amp;"")</f>
        <v/>
      </c>
      <c r="E33" s="88">
        <f>IF($L33="","",INDEX(RiskRegister!$AA:$AA,$L33)&amp;"")</f>
        <v/>
      </c>
      <c r="L33">
        <f>IFERROR(_xlfn.AGGREGATE(15,6,ROW(RR_Ciclo)/((RR_Ciclo=cicloCorrente)*(RR_Movimento&lt;&gt;"")),4),"")</f>
        <v/>
      </c>
    </row>
    <row r="34" ht="3" customHeight="1">
      <c r="B34" s="87">
        <f>IF($L34="","",INDEX(RiskRegister!$C:$C,$L34)&amp;"")</f>
        <v/>
      </c>
      <c r="C34" s="88">
        <f>IF($L34="","",INDEX(RiskRegister!$D:$D,$L34)&amp;"")</f>
        <v/>
      </c>
      <c r="D34" s="88">
        <f>IF($L34="","",INDEX(RiskRegister!$AB:$AB,$L34)&amp;"")</f>
        <v/>
      </c>
      <c r="E34" s="88">
        <f>IF($L34="","",INDEX(RiskRegister!$AA:$AA,$L34)&amp;"")</f>
        <v/>
      </c>
      <c r="L34">
        <f>IFERROR(_xlfn.AGGREGATE(15,6,ROW(RR_Ciclo)/((RR_Ciclo=cicloCorrente)*(RR_Movimento&lt;&gt;"")),5),"")</f>
        <v/>
      </c>
    </row>
    <row r="35" ht="3" customHeight="1">
      <c r="B35" s="87">
        <f>IF($L35="","",INDEX(RiskRegister!$C:$C,$L35)&amp;"")</f>
        <v/>
      </c>
      <c r="C35" s="88">
        <f>IF($L35="","",INDEX(RiskRegister!$D:$D,$L35)&amp;"")</f>
        <v/>
      </c>
      <c r="D35" s="88">
        <f>IF($L35="","",INDEX(RiskRegister!$AB:$AB,$L35)&amp;"")</f>
        <v/>
      </c>
      <c r="E35" s="88">
        <f>IF($L35="","",INDEX(RiskRegister!$AA:$AA,$L35)&amp;"")</f>
        <v/>
      </c>
      <c r="L35">
        <f>IFERROR(_xlfn.AGGREGATE(15,6,ROW(RR_Ciclo)/((RR_Ciclo=cicloCorrente)*(RR_Movimento&lt;&gt;"")),6),"")</f>
        <v/>
      </c>
    </row>
    <row r="37" ht="37" customHeight="1">
      <c r="A37" s="56" t="inlineStr">
        <is>
          <t>Legenda — Registro unico (D-79): tutti i rischi hanno la stessa scala (Impatto, Probabilita, Prossimita, Velocity; — = non valutata) e lo stesso score; nel radar di Mosca entrano quelli con Prossimita e Probabilita alle soglie di Parametri, fino alla capienza, piu' le eccezioni (AGIRE ORA, tema del supervisore, decisione del validatore). Gli altri restano qui, senza KRI ne' azioni, con l'orizzonte stimato e il segnale che li porterebbe nel radar. Notizie A3 = notizie delle ultime 4 settimane collegate al rischio (foglio Notizie).</t>
        </is>
      </c>
    </row>
  </sheetData>
  <mergeCells count="12">
    <mergeCell ref="E31:K31"/>
    <mergeCell ref="A4:K4"/>
    <mergeCell ref="A37:K37"/>
    <mergeCell ref="E30:K30"/>
    <mergeCell ref="E34:K34"/>
    <mergeCell ref="E29:K29"/>
    <mergeCell ref="E35:K35"/>
    <mergeCell ref="A2:K2"/>
    <mergeCell ref="A28:K28"/>
    <mergeCell ref="E32:K32"/>
    <mergeCell ref="A1:K1"/>
    <mergeCell ref="E33:K33"/>
  </mergeCells>
  <conditionalFormatting sqref="D30:D35">
    <cfRule type="expression" priority="1" dxfId="17">
      <formula>LEFT(D30,7)="Entrato"</formula>
    </cfRule>
    <cfRule type="expression" priority="2" dxfId="18">
      <formula>LEFT(D30,6)="Uscito"</formula>
    </cfRule>
  </conditionalFormatting>
  <pageMargins left="0.4" right="0.4" top="1" bottom="1" header="0.5" footer="0.5"/>
  <pageSetup orientation="landscape" paperSize="9" fitToHeight="0" fitToWidth="1"/>
  <headerFooter>
    <oddHeader>&amp;L&amp;A&amp;CUso interno&amp;RHorizon Scan NFR</oddHeader>
    <oddFooter>&amp;L&amp;F&amp;RPagina &amp;P di &amp;N</oddFooter>
    <evenHeader/>
    <evenFooter/>
    <firstHeader/>
    <firstFooter/>
  </headerFooter>
</worksheet>
</file>

<file path=xl/worksheets/sheet8.xml><?xml version="1.0" encoding="utf-8"?>
<worksheet xmlns="http://schemas.openxmlformats.org/spreadsheetml/2006/main">
  <sheetPr>
    <tabColor rgb="001F3864"/>
    <outlinePr summaryBelow="1" summaryRight="1"/>
    <pageSetUpPr fitToPage="1"/>
  </sheetPr>
  <dimension ref="A1:B108"/>
  <sheetViews>
    <sheetView showGridLines="0" workbookViewId="0">
      <selection activeCell="A1" sqref="A1"/>
    </sheetView>
  </sheetViews>
  <sheetFormatPr baseColWidth="8" defaultRowHeight="15"/>
  <cols>
    <col width="34" customWidth="1" min="1" max="1"/>
    <col width="120" customWidth="1" min="2" max="2"/>
  </cols>
  <sheetData>
    <row r="1" ht="28" customHeight="1">
      <c r="A1" s="1">
        <f>"Horizon Scan NFR — Metodologia: come si leggono i numeri   ·   "&amp;etichettaCiclo</f>
        <v/>
      </c>
      <c r="B1" s="2" t="n"/>
    </row>
    <row r="2" ht="32" customHeight="1">
      <c r="A2" s="89" t="inlineStr">
        <is>
          <r>
            <rPr>
              <rFont val="Calibri"/>
              <b val="1"/>
              <color rgb="00404040"/>
              <sz val="10"/>
            </rPr>
            <t>COME SI LEGGONO I NUMERI DEL REPORT — scale e regole dalla rubrica del pacchetto, pesi e parametri letti dal foglio Parametri: sono sempre quelli in vigore.</t>
          </r>
          <r>
            <rPr>
              <rFont val="Calibri"/>
              <color rgb="00262626"/>
              <sz val="10"/>
            </rPr>
            <t xml:space="preserve">
Nessun punteggio composito, urgenza o stato di un KRI e' stimato da un agente: li calcola il foglio.</t>
          </r>
        </is>
      </c>
    </row>
    <row r="4">
      <c r="A4" s="6" t="inlineStr">
        <is>
          <t>CHI PRODUCE I NUMERI</t>
        </is>
      </c>
      <c r="B4" s="90" t="inlineStr"/>
    </row>
    <row r="5">
      <c r="A5" s="4" t="inlineStr">
        <is>
          <t>Ciclo trimestrale</t>
        </is>
      </c>
      <c r="B5" s="91" t="inlineStr">
        <is>
          <t>A1 legge le fonti e valuta ogni rischio; lo script verifica le regole (si ferma solo se il registro diventerebbe incoerente) e scrive nel registro; A5, un secondo agente facoltativo che vede solo la valutazione e la baseline, la controlla con nove controlli. Le segnalazioni dei controlli e di A5 passano al validatore, che accetta, rettifica o respinge ogni valore proposto e motiva le segnalazioni da motivare (D-71).</t>
        </is>
      </c>
    </row>
    <row r="6">
      <c r="A6" s="4" t="inlineStr">
        <is>
          <t>Ciclo settimanale</t>
        </is>
      </c>
      <c r="B6" s="91" t="inlineStr">
        <is>
          <t>A3 valuta le notizie della settimana. Le notizie non cambiano nessuno score: segnalano temi e direzioni da portare al trimestre successivo.</t>
        </is>
      </c>
    </row>
    <row r="7">
      <c r="A7" s="4" t="inlineStr">
        <is>
          <t>Schede dei rischi</t>
        </is>
      </c>
      <c r="B7" s="91" t="inlineStr">
        <is>
          <t>Dopo la validazione, A6 scrive i testi estesi delle schede (descrizione, spiegazione di ogni punteggio, a cosa serve ogni fonte) sui dati validati; lo script controlla che non cambi numeri ne' fonti e produce il file delle schede.</t>
        </is>
      </c>
    </row>
    <row r="8">
      <c r="A8" s="4" t="inlineStr">
        <is>
          <t>Calcoli del foglio</t>
        </is>
      </c>
      <c r="B8" s="91" t="inlineStr">
        <is>
          <t>Score composito, urgenza, classifica e stato dei KRI li calcola il foglio con i parametri qui sotto: nessun agente li stima. Ogni dato e' spiegato nel foglio Dizionario.</t>
        </is>
      </c>
    </row>
    <row r="10">
      <c r="A10" s="6" t="inlineStr">
        <is>
          <t>FONTI ED EVIDENZE</t>
        </is>
      </c>
      <c r="B10" s="90" t="inlineStr"/>
    </row>
    <row r="11">
      <c r="A11" s="4" t="inlineStr">
        <is>
          <t>Da dove</t>
        </is>
      </c>
      <c r="B11" s="91" t="inlineStr">
        <is>
          <t>Analisi interne della Banca (audit, test, incidenti, report delle funzioni), notizie raccolte ogni giorno dalle fonti del catalogo approvato (codici FNT) e siti pubblici configurati. Ogni rischio cita le sue fonti con data, tipo (Interna o Esterna) e rilevanza (file delle schede).</t>
        </is>
      </c>
    </row>
    <row r="12">
      <c r="A12" s="4" t="inlineStr">
        <is>
          <t>Evidenza nuova</t>
        </is>
      </c>
      <c r="B12" s="91" t="inlineStr">
        <is>
          <t>Solo cio' che e' datato dopo la data di riferimento del ciclo precedente e non dopo quella del ciclo corrente. Senza evidenza nuova il punteggio resta quello del ciclo prima.</t>
        </is>
      </c>
    </row>
    <row r="13">
      <c r="A13" s="4" t="inlineStr">
        <is>
          <t>Cosa non e' evidenza</t>
        </is>
      </c>
      <c r="B13" s="91" t="inlineStr">
        <is>
          <t>La copertura mediatica (dieci articoli sullo stesso fatto sono un fatto) e le frasi generiche. Un numero senza fonte e' una valutazione e il razionale lo dichiara.</t>
        </is>
      </c>
    </row>
    <row r="14">
      <c r="A14" s="4" t="inlineStr">
        <is>
          <t>Rilevanza delle fonti</t>
        </is>
      </c>
      <c r="B14" s="91" t="inlineStr">
        <is>
          <t>Ogni fonte ha una rilevanza 1-3 per la previsione (scala sotto): alta per una fonte primaria o un caso documentato, bassa per la stampa generalista. Stesso ente o stesso fatto contano una volta. Probabilita 5 o Prossimita 4-5 chiedono almeno una fonte di rilevanza alta (D-58). Non entra nello score.</t>
        </is>
      </c>
    </row>
    <row r="16">
      <c r="A16" s="6" t="inlineStr">
        <is>
          <t>ANALISI PER DIMENSIONI</t>
        </is>
      </c>
      <c r="B16" s="90" t="inlineStr"/>
    </row>
    <row r="17">
      <c r="A17" s="4" t="inlineStr">
        <is>
          <t>Principio</t>
        </is>
      </c>
      <c r="B17" s="91" t="inlineStr">
        <is>
          <t>Un rischio per ogni meccanismo di perdita sostenuto da almeno una fonte specifica, anche piu' d'uno nella stessa categoria; nessuna categoria e' obbligatoria. Ogni rischio e' valutato su quattro dimensioni, intere da 1 a 5 (5 = peggiore): per ognuna il descrittore piu' aderente all'evidenza, senza interpolare. Solo cio' che le fonti sostengono (D-49).</t>
        </is>
      </c>
    </row>
    <row r="18">
      <c r="A18" s="4" t="inlineStr">
        <is>
          <t>Impatto</t>
        </is>
      </c>
      <c r="B18" s="91" t="inlineStr">
        <is>
          <t>Quanto danno, se il rischio si manifesta?</t>
        </is>
      </c>
    </row>
    <row r="19">
      <c r="A19" s="4" t="inlineStr">
        <is>
          <t>Probabilita</t>
        </is>
      </c>
      <c r="B19" s="91" t="inlineStr">
        <is>
          <t>Quanto e' plausibile che accada alla Banca? (da Remota a Quasi certa; 4-5 solo se la Banca e' esposta)</t>
        </is>
      </c>
    </row>
    <row r="20">
      <c r="A20" s="4" t="inlineStr">
        <is>
          <t>Prossimita</t>
        </is>
      </c>
      <c r="B20" s="91" t="inlineStr">
        <is>
          <t>Quando puo' manifestarsi? 4-5 solo con casi documentati o un evento certo, salvo fenomeni ad altissimo impatto dichiarati (da' anche la Z dell'urgenza)</t>
        </is>
      </c>
    </row>
    <row r="21">
      <c r="A21" s="4" t="inlineStr">
        <is>
          <t>Velocity</t>
        </is>
      </c>
      <c r="B21" s="91" t="inlineStr">
        <is>
          <t>Quanto in fretta arriva il pieno impatto dopo l'innesco? Facoltativa: n.v. (non valutata) se nessuna fonte ne documenta i tempi; conta di piu' con i cicli, man mano che l'evidenza arriva.</t>
        </is>
      </c>
    </row>
    <row r="22">
      <c r="A22" s="4" t="inlineStr">
        <is>
          <t>Anni di adeguamento</t>
        </is>
      </c>
      <c r="B22" s="91" t="inlineStr">
        <is>
          <t>Anni di un adeguamento strutturale della Banca (migrazione, sostituzione di sistemi, uscita da un fornitore): li stima A1, li decide il validatore e vanno nell'anagrafica (D-60). Non sono uno score: allungano la Y dell'urgenza.</t>
        </is>
      </c>
    </row>
    <row r="23">
      <c r="A23" s="4" t="inlineStr">
        <is>
          <t>Presidio dei controlli</t>
        </is>
      </c>
      <c r="B23" s="91" t="inlineStr">
        <is>
          <t>Giudizio qualitativo della Banca sui controlli esistenti (Non verificato, Adeguato, Parziale, Assente), scritto dal validatore nell'anagrafica: gli agenti non vedono i controlli interni. Si legge nel Registro e nelle schede; non entra nello score.</t>
        </is>
      </c>
    </row>
    <row r="25">
      <c r="A25" s="92" t="inlineStr">
        <is>
          <t>SCORE COMPOSITO</t>
        </is>
      </c>
      <c r="B25" s="93" t="inlineStr"/>
    </row>
    <row r="26">
      <c r="A26" s="4" t="inlineStr">
        <is>
          <t>Che cos'e'</t>
        </is>
      </c>
      <c r="B26" s="91" t="inlineStr">
        <is>
          <t>Media pesata delle dimensioni valutate, da 1 a 5, calcolata dal foglio: se la Velocity non e' valutata, il suo peso si ridistribuisce su Impatto, Probabilita e Prossimita. I pesi valgono per tutti i cicli, passati compresi: il trend resta confrontabile.</t>
        </is>
      </c>
    </row>
    <row r="27">
      <c r="A27" s="4" t="inlineStr">
        <is>
          <t>Peso Impatto</t>
        </is>
      </c>
      <c r="B27" s="94">
        <f>pesoImpatto</f>
        <v/>
      </c>
    </row>
    <row r="28">
      <c r="A28" s="4" t="inlineStr">
        <is>
          <t>Peso Probabilita</t>
        </is>
      </c>
      <c r="B28" s="94">
        <f>pesoProbabilita</f>
        <v/>
      </c>
    </row>
    <row r="29">
      <c r="A29" s="4" t="inlineStr">
        <is>
          <t>Peso Prossimita</t>
        </is>
      </c>
      <c r="B29" s="94">
        <f>pesoProssimita</f>
        <v/>
      </c>
    </row>
    <row r="30">
      <c r="A30" s="4" t="inlineStr">
        <is>
          <t>Peso Velocity (se valutata)</t>
        </is>
      </c>
      <c r="B30" s="94">
        <f>pesoVelocity</f>
        <v/>
      </c>
    </row>
    <row r="31">
      <c r="A31" s="4" t="inlineStr">
        <is>
          <t>Somma dei pesi</t>
        </is>
      </c>
      <c r="B31" s="91">
        <f>FIXED(Parametri!B8,2)&amp;" — "&amp;Parametri!C8</f>
        <v/>
      </c>
    </row>
    <row r="33">
      <c r="A33" s="6" t="inlineStr">
        <is>
          <t>SCALE (descrittori della rubrica)</t>
        </is>
      </c>
      <c r="B33" s="90" t="inlineStr"/>
    </row>
    <row r="34">
      <c r="A34" s="9" t="inlineStr">
        <is>
          <t>Impatto — danno se il rischio si manifesta</t>
        </is>
      </c>
    </row>
    <row r="35">
      <c r="A35" s="4" t="inlineStr">
        <is>
          <t xml:space="preserve">  1</t>
        </is>
      </c>
      <c r="B35" s="91" t="inlineStr">
        <is>
          <t>Limitato: nessun cliente toccato, perdita entro 100.000 euro.</t>
        </is>
      </c>
    </row>
    <row r="36">
      <c r="A36" s="4" t="inlineStr">
        <is>
          <t xml:space="preserve">  2</t>
        </is>
      </c>
      <c r="B36" s="91" t="inlineStr">
        <is>
          <t>Contenuto: alcuni clienti coinvolti o un processo non critico.</t>
        </is>
      </c>
    </row>
    <row r="37">
      <c r="A37" s="4" t="inlineStr">
        <is>
          <t xml:space="preserve">  3</t>
        </is>
      </c>
      <c r="B37" s="91" t="inlineStr">
        <is>
          <t>Rilevante: processo critico degradato o clientela ampia; segnalazione all'autorita' possibile.</t>
        </is>
      </c>
    </row>
    <row r="38">
      <c r="A38" s="4" t="inlineStr">
        <is>
          <t xml:space="preserve">  4</t>
        </is>
      </c>
      <c r="B38" s="91" t="inlineStr">
        <is>
          <t>Grave: interruzione di una funzione essenziale, sanzione probabile, danno reputazionale nazionale.</t>
        </is>
      </c>
    </row>
    <row r="39">
      <c r="A39" s="4" t="inlineStr">
        <is>
          <t xml:space="preserve">  5</t>
        </is>
      </c>
      <c r="B39" s="91" t="inlineStr">
        <is>
          <t>Critico: effetto sulla continuita', sui prodotti o sulla solvibilita' della Banca; intervento dell'autorita' certo.</t>
        </is>
      </c>
    </row>
    <row r="40">
      <c r="A40" s="9" t="inlineStr">
        <is>
          <t>Probabilita — plausibilita' per la Banca</t>
        </is>
      </c>
    </row>
    <row r="41">
      <c r="A41" s="4" t="inlineStr">
        <is>
          <t xml:space="preserve">  1</t>
        </is>
      </c>
      <c r="B41" s="91" t="inlineStr">
        <is>
          <t>Remota: solo teorica, nessun caso noto.</t>
        </is>
      </c>
    </row>
    <row r="42">
      <c r="A42" s="4" t="inlineStr">
        <is>
          <t xml:space="preserve">  2</t>
        </is>
      </c>
      <c r="B42" s="91" t="inlineStr">
        <is>
          <t>Improbabile: casi solo in altri settori o paesi, o Banca poco esposta.</t>
        </is>
      </c>
    </row>
    <row r="43">
      <c r="A43" s="4" t="inlineStr">
        <is>
          <t xml:space="preserve">  3</t>
        </is>
      </c>
      <c r="B43" s="91" t="inlineStr">
        <is>
          <t>Possibile: casi in altri settori anche non finanziari; Banca esposta.</t>
        </is>
      </c>
    </row>
    <row r="44">
      <c r="A44" s="4" t="inlineStr">
        <is>
          <t xml:space="preserve">  4</t>
        </is>
      </c>
      <c r="B44" s="91" t="inlineStr">
        <is>
          <t>Probabile: casi ripetuti in aziende strutturate o banche, o crescita del fenomeno documentata.</t>
        </is>
      </c>
    </row>
    <row r="45">
      <c r="A45" s="4" t="inlineStr">
        <is>
          <t xml:space="preserve">  5</t>
        </is>
      </c>
      <c r="B45" s="91" t="inlineStr">
        <is>
          <t>Quasi certa: gia' osservato presso istituzioni finanziarie o la loro filiera, anche di fornitori, o fenomeno in rapida accelerazione.</t>
        </is>
      </c>
    </row>
    <row r="46">
      <c r="A46" s="9" t="inlineStr">
        <is>
          <t>Prossimita — quando puo' manifestarsi</t>
        </is>
      </c>
    </row>
    <row r="47">
      <c r="A47" s="4" t="inlineStr">
        <is>
          <t xml:space="preserve">  1</t>
        </is>
      </c>
      <c r="B47" s="91" t="inlineStr">
        <is>
          <t>Oltre 3 anni.</t>
        </is>
      </c>
    </row>
    <row r="48">
      <c r="A48" s="4" t="inlineStr">
        <is>
          <t xml:space="preserve">  2</t>
        </is>
      </c>
      <c r="B48" s="91" t="inlineStr">
        <is>
          <t>Da 2 a 3 anni.</t>
        </is>
      </c>
    </row>
    <row r="49">
      <c r="A49" s="4" t="inlineStr">
        <is>
          <t xml:space="preserve">  3</t>
        </is>
      </c>
      <c r="B49" s="91" t="inlineStr">
        <is>
          <t>Da 1 a 2 anni.</t>
        </is>
      </c>
    </row>
    <row r="50">
      <c r="A50" s="4" t="inlineStr">
        <is>
          <t xml:space="preserve">  4</t>
        </is>
      </c>
      <c r="B50" s="91" t="inlineStr">
        <is>
          <t>Entro 12 mesi.</t>
        </is>
      </c>
    </row>
    <row r="51">
      <c r="A51" s="4" t="inlineStr">
        <is>
          <t xml:space="preserve">  5</t>
        </is>
      </c>
      <c r="B51" s="91" t="inlineStr">
        <is>
          <t>In corso o imminente presso la Banca, la sua filiera o aziende ampie e complesse.</t>
        </is>
      </c>
    </row>
    <row r="52">
      <c r="A52" s="9" t="inlineStr">
        <is>
          <t>Velocity — tempo fra innesco e pieno impatto</t>
        </is>
      </c>
    </row>
    <row r="53">
      <c r="A53" s="4" t="inlineStr">
        <is>
          <t xml:space="preserve">  1</t>
        </is>
      </c>
      <c r="B53" s="91" t="inlineStr">
        <is>
          <t>Oltre 12 mesi.</t>
        </is>
      </c>
    </row>
    <row r="54">
      <c r="A54" s="4" t="inlineStr">
        <is>
          <t xml:space="preserve">  2</t>
        </is>
      </c>
      <c r="B54" s="91" t="inlineStr">
        <is>
          <t>Da 6 a 12 mesi.</t>
        </is>
      </c>
    </row>
    <row r="55">
      <c r="A55" s="4" t="inlineStr">
        <is>
          <t xml:space="preserve">  3</t>
        </is>
      </c>
      <c r="B55" s="91" t="inlineStr">
        <is>
          <t>Da 3 a 6 mesi.</t>
        </is>
      </c>
    </row>
    <row r="56">
      <c r="A56" s="4" t="inlineStr">
        <is>
          <t xml:space="preserve">  4</t>
        </is>
      </c>
      <c r="B56" s="91" t="inlineStr">
        <is>
          <t>Da 1 a 3 mesi.</t>
        </is>
      </c>
    </row>
    <row r="57">
      <c r="A57" s="4" t="inlineStr">
        <is>
          <t xml:space="preserve">  5</t>
        </is>
      </c>
      <c r="B57" s="91" t="inlineStr">
        <is>
          <t>Entro 1 mese.</t>
        </is>
      </c>
    </row>
    <row r="58">
      <c r="A58" s="9" t="inlineStr">
        <is>
          <t>Rilevanza di ogni fonte per la previsione (1-3, D-58)</t>
        </is>
      </c>
    </row>
    <row r="59">
      <c r="A59" s="4" t="inlineStr">
        <is>
          <t xml:space="preserve">  1</t>
        </is>
      </c>
      <c r="B59" s="91" t="inlineStr">
        <is>
          <t>Bassa: stampa generalista, opinioni.</t>
        </is>
      </c>
    </row>
    <row r="60">
      <c r="A60" s="4" t="inlineStr">
        <is>
          <t xml:space="preserve">  2</t>
        </is>
      </c>
      <c r="B60" s="91" t="inlineStr">
        <is>
          <t>Media: fonte specializzata con dati o casi (report di settore, threat intelligence).</t>
        </is>
      </c>
    </row>
    <row r="61">
      <c r="A61" s="4" t="inlineStr">
        <is>
          <t xml:space="preserve">  3</t>
        </is>
      </c>
      <c r="B61" s="91" t="inlineStr">
        <is>
          <t>Alta: regolatore o autorita', consorzio di dati (es. ORX); caso documentato presso la Banca, una banca comparabile o un fornitore.</t>
        </is>
      </c>
    </row>
    <row r="63">
      <c r="A63" s="6" t="inlineStr">
        <is>
          <t>REGOLE DI VARIAZIONE FRA CICLI</t>
        </is>
      </c>
      <c r="B63" s="90" t="inlineStr"/>
    </row>
    <row r="64">
      <c r="A64" s="4" t="inlineStr"/>
      <c r="B64" s="91" t="inlineStr">
        <is>
          <t>1. Senza evidenza nuova il valore resta quello del ciclo precedente.</t>
        </is>
      </c>
    </row>
    <row r="65">
      <c r="A65" s="4" t="inlineStr"/>
      <c r="B65" s="91" t="inlineStr">
        <is>
          <t>2. Al massimo un punto per dimensione fra due cicli consecutivi; una Velocity prima null entra con qualunque valore.</t>
        </is>
      </c>
    </row>
    <row r="66">
      <c r="A66" s="4" t="inlineStr"/>
      <c r="B66" s="91" t="inlineStr">
        <is>
          <t>3. Ogni valore cambiato cita un'evidenza specifica datata dopo il ciclo precedente; frasi generiche non sono evidenza.</t>
        </is>
      </c>
    </row>
    <row r="67">
      <c r="A67" s="4" t="inlineStr"/>
      <c r="B67" s="91" t="inlineStr">
        <is>
          <t>4. Una riduzione ha lo stesso onere di un aumento: l'Impatto scende solo se cambia il danno possibile.</t>
        </is>
      </c>
    </row>
    <row r="68">
      <c r="A68" s="4" t="inlineStr"/>
      <c r="B68" s="91" t="inlineStr">
        <is>
          <t>5. Confermare = riprendere le fonti che giustificavano il valore; se non valgono piu', il valore va rivisto.</t>
        </is>
      </c>
    </row>
    <row r="69">
      <c r="A69" s="4" t="inlineStr"/>
      <c r="B69" s="91" t="inlineStr">
        <is>
          <t>6. La copertura mediatica non e' evidenza.</t>
        </is>
      </c>
    </row>
    <row r="70">
      <c r="A70" s="4" t="inlineStr"/>
      <c r="B70" s="91" t="inlineStr">
        <is>
          <t>7. Un numero nel razionale cita la sua fonte, o e' dichiarato come valutazione.</t>
        </is>
      </c>
    </row>
    <row r="72">
      <c r="A72" s="92" t="inlineStr">
        <is>
          <t>URGENZA: DISUGUAGLIANZA DI MOSCA</t>
        </is>
      </c>
      <c r="B72" s="93" t="inlineStr"/>
    </row>
    <row r="73">
      <c r="A73" s="4" t="inlineStr">
        <is>
          <t>Principio</t>
        </is>
      </c>
      <c r="B73" s="91" t="inlineStr">
        <is>
          <t>Se il tempo necessario per decidere (X) e per mitigare (Y) supera il tempo prima che il rischio possa manifestarsi (Z), cioe' X + Y &gt; Z, si e' gia' in ritardo anche se l'evento non e' imminente (M. Mosca, 2015, per la migrazione alla crittografia post-quantistica).</t>
        </is>
      </c>
    </row>
    <row r="74">
      <c r="A74" s="4" t="inlineStr">
        <is>
          <t>X: anni per decidere e avviare</t>
        </is>
      </c>
      <c r="B74" s="94">
        <f>moscaX</f>
        <v/>
      </c>
    </row>
    <row r="75">
      <c r="A75" s="4" t="inlineStr">
        <is>
          <t>Y: anni per mitigare</t>
        </is>
      </c>
      <c r="B75" s="91" t="inlineStr">
        <is>
          <t>L'orizzonte piu' lungo delle azioni del ciclo non respinte (3, 6 o 12 mesi); se il rischio non ha azioni, la riserva qui sotto; se l'anagrafica indica anni di adeguamento strutturale (stimati da A1 e validati) e sono di piu', quelli.</t>
        </is>
      </c>
    </row>
    <row r="76">
      <c r="A76" s="4" t="inlineStr">
        <is>
          <t>Y di riserva (anni)</t>
        </is>
      </c>
      <c r="B76" s="94">
        <f>moscaYDefault</f>
        <v/>
      </c>
    </row>
    <row r="77">
      <c r="A77" s="4" t="inlineStr">
        <is>
          <t>Z per Prossimita 1 (anni, meta' della fascia)</t>
        </is>
      </c>
      <c r="B77" s="94">
        <f>INDEX(anniProssimita,1)</f>
        <v/>
      </c>
    </row>
    <row r="78">
      <c r="A78" s="4" t="inlineStr">
        <is>
          <t>Z per Prossimita 2 (anni, meta' della fascia)</t>
        </is>
      </c>
      <c r="B78" s="94">
        <f>INDEX(anniProssimita,2)</f>
        <v/>
      </c>
    </row>
    <row r="79">
      <c r="A79" s="4" t="inlineStr">
        <is>
          <t>Z per Prossimita 3 (anni, meta' della fascia)</t>
        </is>
      </c>
      <c r="B79" s="94">
        <f>INDEX(anniProssimita,3)</f>
        <v/>
      </c>
    </row>
    <row r="80">
      <c r="A80" s="4" t="inlineStr">
        <is>
          <t>Z per Prossimita 4 (anni, meta' della fascia)</t>
        </is>
      </c>
      <c r="B80" s="94">
        <f>INDEX(anniProssimita,4)</f>
        <v/>
      </c>
    </row>
    <row r="81">
      <c r="A81" s="4" t="inlineStr">
        <is>
          <t>Z per Prossimita 5 (anni, meta' della fascia)</t>
        </is>
      </c>
      <c r="B81" s="94">
        <f>INDEX(anniProssimita,5)</f>
        <v/>
      </c>
    </row>
    <row r="82">
      <c r="A82" s="4" t="inlineStr">
        <is>
          <t>Esito</t>
        </is>
      </c>
      <c r="B82" s="91" t="inlineStr">
        <is>
          <t>Margine = Z - (X + Y). Sotto zero: AGIRE ORA. Da 0 a 1 anno: agire entro l'anno. Oltre: margine in anni.</t>
        </is>
      </c>
    </row>
    <row r="83">
      <c r="A83" s="4" t="inlineStr">
        <is>
          <t>Limite</t>
        </is>
      </c>
      <c r="B83" s="91" t="inlineStr">
        <is>
          <t>Z e' la meta' della fascia della Prossimita (D-59: 3,5 anni per 'oltre 3 anni' e' una convenzione) e Y viene da orizzonti a scaglioni o dagli anni di adeguamento: l'urgenza e' una graduatoria ancorata, non una previsione.</t>
        </is>
      </c>
    </row>
    <row r="85">
      <c r="A85" s="92" t="inlineStr">
        <is>
          <t>LIVELLO DI ALLERTA (colore del radar)</t>
        </is>
      </c>
      <c r="B85" s="93" t="inlineStr"/>
    </row>
    <row r="86">
      <c r="A86" s="4" t="inlineStr">
        <is>
          <t>Principio</t>
        </is>
      </c>
      <c r="B86" s="91" t="inlineStr">
        <is>
          <t>Unisce in una decisione segnali che stanno in colonne diverse. Segnali forti: AGIRE ORA, un KRI in rosso, notizie in peggioramento oltre la soglia di direzione. Aggravanti, che contano solo con il margine stretto: P x I alta, presidio dei controlli assente, KRI in ambra o rosso (D-63). Lo calcola il foglio: nessun agente lo stima e non e' uno score.</t>
        </is>
      </c>
    </row>
    <row r="87">
      <c r="A87" s="4" t="inlineStr">
        <is>
          <t>Attivazione (rosso)</t>
        </is>
      </c>
      <c r="B87" s="91">
        <f>"Almeno "&amp;livelloForti&amp;" segnali forti: al comitato con un piano d'azione."</f>
        <v/>
      </c>
    </row>
    <row r="88">
      <c r="A88" s="4" t="inlineStr">
        <is>
          <t>Attenzione (giallo)</t>
        </is>
      </c>
      <c r="B88" s="91">
        <f>"Un segnale forte, oppure margine sotto "&amp;FIXED(livelloMargine,1)&amp;" anni con un aggravante (P x I da "&amp;livelloPxI&amp;", presidio assente, almeno il "&amp;FIXED(livelloQuotaKRI*100,0)&amp;"% dei KRI in ambra o rosso): l'owner verifica azioni e KRI."</f>
        <v/>
      </c>
    </row>
    <row r="89">
      <c r="A89" s="4" t="inlineStr">
        <is>
          <t>Monitoraggio (verde)</t>
        </is>
      </c>
      <c r="B89" s="91" t="inlineStr">
        <is>
          <t>Gli altri casi: ciclo trimestrale ordinario.</t>
        </is>
      </c>
    </row>
    <row r="91">
      <c r="A91" s="6" t="inlineStr">
        <is>
          <t>KRI</t>
        </is>
      </c>
      <c r="B91" s="90" t="inlineStr"/>
    </row>
    <row r="92">
      <c r="A92" s="4" t="inlineStr">
        <is>
          <t>Verso e soglie</t>
        </is>
      </c>
      <c r="B92" s="91" t="inlineStr">
        <is>
          <t>Due per rischio (D-64): uno di esposizione (quanto la Banca e' esposta: di solito un dato interno) e uno di evoluzione (quanto cresce il fenomeno, anche da fonti esterne). Valori crescenti = peggio (un indicatore 'piu' alto e' meglio' si esprime come complemento, es. quota NON testata). Le soglie le propone A1 solo se una fonte le sostiene, altrimenti le fissa la Banca in validazione: finche' mancano lo stato e' 'Soglie da definire'. Verde sotto la soglia di attenzione, Ambra fra attenzione e allerta, Rosso da allerta in su, Non rilevato se il valore manca: mai ricopiato dal ciclo prima.</t>
        </is>
      </c>
    </row>
    <row r="93">
      <c r="A93" s="4" t="inlineStr">
        <is>
          <t>Fonte</t>
        </is>
      </c>
      <c r="B93" s="91" t="inlineStr">
        <is>
          <t>Ogni KRI ha una fonte dati identificabile; A1 rilegge i valori che trova, gli altri restano Non rilevato.</t>
        </is>
      </c>
    </row>
    <row r="95">
      <c r="A95" s="6" t="inlineStr">
        <is>
          <t>REGISTRO UNICO: RADAR E OSSERVAZIONE (pagina Fenomeni)</t>
        </is>
      </c>
      <c r="B95" s="90" t="inlineStr"/>
    </row>
    <row r="96">
      <c r="A96" s="4" t="inlineStr">
        <is>
          <t>Che cos'e'</t>
        </is>
      </c>
      <c r="B96" s="91" t="inlineStr">
        <is>
          <t>Un solo registro di rischi, tutti valutati con la stessa rubrica e lo stesso score (D-79). I rischi nel radar di Mosca hanno la gestione completa (KRI, azioni, urgenza, schede); gli altri sono in osservazione: niente KRI ne' azioni, fuori da radar, classifica e urgenza, con l'orizzonte stimato e il segnale che li porterebbe nel radar.</t>
        </is>
      </c>
    </row>
    <row r="97">
      <c r="A97" s="4" t="inlineStr">
        <is>
          <t>Chi entra nel radar</t>
        </is>
      </c>
      <c r="B97" s="91">
        <f>"Prossimita almeno "&amp;sogliaProssimitaRadar&amp;" e Probabilita almeno "&amp;sogliaProbabilitaRadar&amp;", fino a "&amp;capienzaRadar&amp;" rischi (i più alti per score); sempre dentro, anche oltre la capienza: AGIRE ORA (margine di Mosca negativo), tema del supervisore, decisione Radar del validatore; mai dentro: decisione Osservazione del validatore."</f>
        <v/>
      </c>
    </row>
    <row r="98">
      <c r="A98" s="4" t="inlineStr">
        <is>
          <t>Come cambia</t>
        </is>
      </c>
      <c r="B98" s="91">
        <f>"Lo script ricalcola lo stato a ogni ciclo e a ogni validazione. Un rischio che sale entra subito (KRI e azioni li propone A1); uno che scende resta Radar, in uscita per "&amp;(cicliUscitaRadar-1)&amp;" ciclo ed esce se lo è ancora dopo: i suoi KRI escono di vigore, la storia resta. Al massimo 20 rischi in osservazione. Regola e parametri: foglio Parametri, righe 65-75."</f>
        <v/>
      </c>
    </row>
    <row r="100">
      <c r="A100" s="92" t="inlineStr">
        <is>
          <t>COME SI LEGGONO I GRAFICI</t>
        </is>
      </c>
      <c r="B100" s="93" t="inlineStr"/>
    </row>
    <row r="101">
      <c r="A101" s="4" t="inlineStr">
        <is>
          <t>Classifica</t>
        </is>
      </c>
      <c r="B101" s="91" t="inlineStr">
        <is>
          <t>Una barra per rischio, dal piu' alto per score composito; colore = esito dell'urgenza; freccia = variazione sul ciclo prima.</t>
        </is>
      </c>
    </row>
    <row r="102">
      <c r="A102" s="4" t="inlineStr">
        <is>
          <t>Lente di Mosca</t>
        </is>
      </c>
      <c r="B102" s="91" t="inlineStr">
        <is>
          <t>Colonna = X + Y (tempo necessario), rombo = Z (tempo disponibile), dal piu' in ritardo: la parte rossa della colonna sfora il tempo disponibile.</t>
        </is>
      </c>
    </row>
    <row r="103">
      <c r="A103" s="4" t="inlineStr">
        <is>
          <t>Radar di Mosca</t>
        </is>
      </c>
      <c r="B103" s="91" t="inlineStr">
        <is>
          <t>Piu' vicino al centro = agire prima (dentro il cerchio rosso: X + Y &gt; Z). Area del cerchio = Probabilita x Impatto (riferimenti 4, 12, 25 nel grafico); colore = livello di allerta; ◆ accanto all'ID = tema all'attenzione del supervisore (BCE, EBA, Banca d'Italia), indicato dal validatore. Settore = categoria della tassonomia interna, con il nome.</t>
        </is>
      </c>
    </row>
    <row r="104">
      <c r="A104" s="4" t="inlineStr">
        <is>
          <t>Matrice</t>
        </is>
      </c>
      <c r="B104" s="91" t="inlineStr">
        <is>
          <t>Ogni rischio nella cella della sua Probabilita e Impatto; colore = P x I (verde fino a 6, ambra 8-12, rosso da 15). Dice la gravita', non l'urgenza.</t>
        </is>
      </c>
    </row>
    <row r="105">
      <c r="A105" s="4" t="inlineStr">
        <is>
          <t>Delta</t>
        </is>
      </c>
      <c r="B105" s="91" t="inlineStr">
        <is>
          <t>Variazione dello score composito sul ciclo precedente, scala fissa da -1,5 a +1,5: un punto di una dimensione vale il suo peso diviso per la somma dei pesi valutati (la nota sotto il grafico lo calcola dai pesi in vigore); quando la Velocity entra o esce i pesi si ridistribuiscono. A fianco il motivo, con l'evidenza.</t>
        </is>
      </c>
    </row>
    <row r="107">
      <c r="A107" s="7" t="inlineStr">
        <is>
          <t>VALIDAZIONE</t>
        </is>
      </c>
      <c r="B107" s="95" t="inlineStr"/>
    </row>
    <row r="108">
      <c r="A108" s="4" t="inlineStr"/>
      <c r="B108" s="91" t="inlineStr">
        <is>
          <t>Ogni valore proposto dagli agenti passa dal validatore, una riga per rischio (nel radar o in osservazione), KRI, azione e notizia: accettato, rettificato con motivazione o respinto. Il report mostra i valori validati; la proposta originale resta nel foglio Storico_Validazioni del registro. Un rischio con una segnalazione da motivare dei controlli o di A5 richiede sempre una motivazione (Quadro, pagina 2).</t>
        </is>
      </c>
    </row>
  </sheetData>
  <mergeCells count="2">
    <mergeCell ref="A2:B2"/>
    <mergeCell ref="A1:B1"/>
  </mergeCells>
  <pageMargins left="0.4" right="0.4" top="1" bottom="1" header="0.5" footer="0.5"/>
  <pageSetup orientation="landscape" paperSize="9" fitToHeight="0" fitToWidth="1"/>
  <headerFooter>
    <oddHeader>&amp;L&amp;A&amp;CUso interno&amp;RHorizon Scan NFR</oddHeader>
    <oddFooter>&amp;L&amp;F&amp;RPagina &amp;P di &amp;N</oddFooter>
    <evenHeader/>
    <evenFooter/>
    <firstHeader/>
    <firstFooter/>
  </headerFooter>
</worksheet>
</file>

<file path=xl/worksheets/sheet9.xml><?xml version="1.0" encoding="utf-8"?>
<worksheet xmlns="http://schemas.openxmlformats.org/spreadsheetml/2006/main">
  <sheetPr>
    <tabColor rgb="002E75B6"/>
    <outlinePr summaryBelow="1" summaryRight="1"/>
    <pageSetUpPr fitToPage="1"/>
  </sheetPr>
  <dimension ref="A1:AN30"/>
  <sheetViews>
    <sheetView showGridLines="0" workbookViewId="0">
      <pane xSplit="2" ySplit="8" topLeftCell="C9" activePane="bottomRight" state="frozen"/>
      <selection pane="topRight"/>
      <selection pane="bottomLeft"/>
      <selection pane="bottomRight" activeCell="A1" sqref="A1"/>
    </sheetView>
  </sheetViews>
  <sheetFormatPr baseColWidth="8" defaultRowHeight="15"/>
  <cols>
    <col width="9" customWidth="1" min="1" max="1"/>
    <col width="38" customWidth="1" min="2" max="2"/>
    <col width="8" customWidth="1" min="3" max="3"/>
    <col width="6" customWidth="1" min="4" max="4"/>
    <col width="6" customWidth="1" min="5" max="5"/>
    <col width="6" customWidth="1" min="6" max="6"/>
    <col width="6" customWidth="1" min="7" max="7"/>
    <col width="8" customWidth="1" min="8" max="8"/>
    <col width="9" customWidth="1" min="9" max="9"/>
    <col width="9" customWidth="1" min="10" max="10"/>
    <col width="16" customWidth="1" min="11" max="11"/>
    <col width="8" customWidth="1" min="12" max="12"/>
    <col width="4" customWidth="1" min="13" max="13"/>
    <col width="4" customWidth="1" min="14" max="14"/>
    <col width="4" customWidth="1" min="15" max="15"/>
    <col width="4" customWidth="1" min="16" max="16"/>
    <col width="11" customWidth="1" min="17" max="17"/>
    <col width="13" customWidth="1" min="18" max="18"/>
    <col width="11" customWidth="1" min="19" max="19"/>
    <col width="28" customWidth="1" min="20" max="20"/>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s>
  <sheetData>
    <row r="1" ht="28" customHeight="1">
      <c r="A1" s="1">
        <f>"Horizon Scan NFR — Registro: il ciclo corrente   ·   "&amp;etichettaCiclo</f>
        <v/>
      </c>
      <c r="B1" s="2" t="n"/>
      <c r="C1" s="2" t="n"/>
      <c r="D1" s="2" t="n"/>
      <c r="E1" s="2" t="n"/>
      <c r="F1" s="2" t="n"/>
      <c r="G1" s="2" t="n"/>
      <c r="H1" s="2" t="n"/>
      <c r="I1" s="2" t="n"/>
      <c r="J1" s="2" t="n"/>
      <c r="K1" s="2" t="n"/>
      <c r="L1" s="2" t="n"/>
      <c r="M1" s="2" t="n"/>
      <c r="N1" s="2" t="n"/>
      <c r="O1" s="2" t="n"/>
      <c r="P1" s="2" t="n"/>
      <c r="Q1" s="2" t="n"/>
      <c r="R1" s="2" t="n"/>
      <c r="S1" s="2" t="n"/>
      <c r="T1" s="2" t="n"/>
    </row>
    <row r="2" ht="59" customHeight="1">
      <c r="A2" s="96" t="inlineStr">
        <is>
          <r>
            <rPr>
              <rFont val="Calibri"/>
              <b val="1"/>
              <color rgb="00262626"/>
              <sz val="10"/>
            </rPr>
            <t>CICLO TRIMESTRALE (dimensioni, score, urgenza, KRI, rilievi) · CICLO SETTIMANALE (colonna Q: segnali netti) · VALIDATORE (riga 4, presidio e anagrafica).</t>
          </r>
          <r>
            <rPr>
              <rFont val="Calibri"/>
              <color rgb="00262626"/>
              <sz val="10"/>
            </rPr>
            <t xml:space="preserve">
Come si legge: prima le righe 4 e 5 — se il ciclo non e' validato o e' incompleto i numeri non sono definitivi. Un rischio per riga, dal piu' alto per score. Punteggi 1-5, 5 = peggiore; #N/A = non valutato, non zero; Velocity n.v. = nessuna fonte ne documenta i tempi (lo score usa le altre tre). Presidio = giudizio della Banca sui controlli, fuori dallo score. Rilievi = segnalazioni di A5 e dei controlli (⚑ = da motivare in validazione). Segnali netti = notizie peggiorative meno migliorative delle ultime 4 settimane (▲ ▼ oltre la soglia di Parametri): e' un allarme per il prossimo trimestre, non cambia lo score. L'andamento di un rischio e' nella sua scheda (file delle schede).</t>
          </r>
        </is>
      </c>
    </row>
    <row r="4">
      <c r="A4" s="97" t="inlineStr">
        <is>
          <t>VALIDAZIONE DEL CICLO</t>
        </is>
      </c>
      <c r="B4" t="inlineStr">
        <is>
          <t>Righe da validare</t>
        </is>
      </c>
      <c r="D4">
        <f>COUNTIFS(VAL_Periodo,cicloCorrente,VAL_Stato,"Da decidere",VAL_Oggetto,"Rischio",VAL_Campo,"Impatto")+COUNTIFS(VAL_Periodo,cicloCorrente,VAL_Stato,"Da decidere",VAL_Oggetto,"KRI",VAL_Campo,"Valore_Corrente")+COUNTIFS(VAL_Periodo,cicloCorrente,VAL_Stato,"Da decidere",VAL_Oggetto,"Azione",VAL_Campo,"Owner")</f>
        <v/>
      </c>
      <c r="E4" t="inlineStr">
        <is>
          <t>Rettifiche applicate</t>
        </is>
      </c>
      <c r="G4">
        <f>COUNTIFS(VAL_Periodo,cicloCorrente,VAL_Decisione,"Rettificato",VAL_Stato,"Applicata")</f>
        <v/>
      </c>
      <c r="H4" s="98">
        <f>IF(D4&gt;0,"CICLO NON ANCORA VALIDATO — vedi foglio Validazione","Ciclo validato")</f>
        <v/>
      </c>
    </row>
    <row r="5">
      <c r="A5" s="99" t="inlineStr">
        <is>
          <t>CONTROLLO DI COPERTURA</t>
        </is>
      </c>
      <c r="B5" t="inlineStr">
        <is>
          <t>Rischi in anagrafica</t>
        </is>
      </c>
      <c r="D5">
        <f>COUNTIF(ANA_ID,"NFR-*")</f>
        <v/>
      </c>
      <c r="E5" t="inlineStr">
        <is>
          <t>Valutati nel ciclo</t>
        </is>
      </c>
      <c r="G5">
        <f>SUMPRODUCT((ANA_ID&lt;&gt;"")*(COUNTIFS(RR_ID_Rischio,ANA_ID,RR_Ciclo,cicloCorrente)&gt;0))</f>
        <v/>
      </c>
      <c r="H5" s="98">
        <f>IF(D5=G5,"Ciclo completo","CICLO INCOMPLETO — i rischi mancanti non sono valutazioni")</f>
        <v/>
      </c>
    </row>
    <row r="7" ht="26" customHeight="1">
      <c r="A7" s="100" t="inlineStr">
        <is>
          <t>Rischio</t>
        </is>
      </c>
      <c r="B7" s="101" t="n"/>
      <c r="C7" s="101" t="n"/>
      <c r="D7" s="102" t="inlineStr">
        <is>
          <t>Dimensioni 1-5 (A1, validate)</t>
        </is>
      </c>
      <c r="E7" s="103" t="n"/>
      <c r="F7" s="103" t="n"/>
      <c r="G7" s="103" t="n"/>
      <c r="H7" s="100" t="inlineStr">
        <is>
          <t>Calcolati dal foglio</t>
        </is>
      </c>
      <c r="I7" s="101" t="n"/>
      <c r="J7" s="101" t="n"/>
      <c r="K7" s="101" t="n"/>
      <c r="L7" s="101" t="n"/>
      <c r="M7" s="104" t="inlineStr">
        <is>
          <t>Sup.</t>
        </is>
      </c>
      <c r="N7" s="102" t="inlineStr">
        <is>
          <t>KRI del ciclo</t>
        </is>
      </c>
      <c r="O7" s="103" t="n"/>
      <c r="P7" s="103" t="n"/>
      <c r="Q7" s="105" t="inlineStr">
        <is>
          <t>Notizie · 4 settimane</t>
        </is>
      </c>
      <c r="R7" s="104" t="inlineStr">
        <is>
          <t>Banca</t>
        </is>
      </c>
      <c r="S7" s="100" t="inlineStr">
        <is>
          <t>A5 e controlli</t>
        </is>
      </c>
      <c r="T7" s="104" t="inlineStr">
        <is>
          <t>Anagrafica</t>
        </is>
      </c>
    </row>
    <row r="8" ht="28" customHeight="1">
      <c r="A8" s="106" t="inlineStr">
        <is>
          <t>ID</t>
        </is>
      </c>
      <c r="B8" s="106" t="inlineStr">
        <is>
          <t>Nome</t>
        </is>
      </c>
      <c r="C8" s="107" t="inlineStr">
        <is>
          <t>Categoria</t>
        </is>
      </c>
      <c r="D8" s="107" t="inlineStr">
        <is>
          <t>Imp</t>
        </is>
      </c>
      <c r="E8" s="107" t="inlineStr">
        <is>
          <t>Prob</t>
        </is>
      </c>
      <c r="F8" s="107" t="inlineStr">
        <is>
          <t>Pross</t>
        </is>
      </c>
      <c r="G8" s="107" t="inlineStr">
        <is>
          <t>Vel</t>
        </is>
      </c>
      <c r="H8" s="107" t="inlineStr">
        <is>
          <t>Score</t>
        </is>
      </c>
      <c r="I8" s="107" t="inlineStr">
        <is>
          <t>Δ ciclo prima</t>
        </is>
      </c>
      <c r="J8" s="107" t="inlineStr">
        <is>
          <t>Δ 6 mesi</t>
        </is>
      </c>
      <c r="K8" s="107" t="inlineStr">
        <is>
          <t>Urgenza</t>
        </is>
      </c>
      <c r="L8" s="107" t="inlineStr">
        <is>
          <t>Margine (anni)</t>
        </is>
      </c>
      <c r="M8" s="108" t="inlineStr">
        <is>
          <t>◆</t>
        </is>
      </c>
      <c r="N8" s="107" t="inlineStr">
        <is>
          <t>R</t>
        </is>
      </c>
      <c r="O8" s="107" t="inlineStr">
        <is>
          <t>A</t>
        </is>
      </c>
      <c r="P8" s="107" t="inlineStr">
        <is>
          <t>V</t>
        </is>
      </c>
      <c r="Q8" s="107" t="inlineStr">
        <is>
          <t>Segnali netti</t>
        </is>
      </c>
      <c r="R8" s="107" t="inlineStr">
        <is>
          <t>Presidio</t>
        </is>
      </c>
      <c r="S8" s="107" t="inlineStr">
        <is>
          <t>Rilievi</t>
        </is>
      </c>
      <c r="T8" s="107" t="inlineStr">
        <is>
          <t>Owner</t>
        </is>
      </c>
      <c r="AA8" t="inlineStr">
        <is>
          <t>ID</t>
        </is>
      </c>
      <c r="AB8" t="inlineStr">
        <is>
          <t>Nome</t>
        </is>
      </c>
      <c r="AC8" t="inlineStr">
        <is>
          <t>Impatto</t>
        </is>
      </c>
      <c r="AD8" t="inlineStr">
        <is>
          <t>Probabilita</t>
        </is>
      </c>
      <c r="AE8" t="inlineStr">
        <is>
          <t>Prossimita</t>
        </is>
      </c>
      <c r="AF8" t="inlineStr">
        <is>
          <t>Velocity</t>
        </is>
      </c>
      <c r="AG8" t="inlineStr">
        <is>
          <t>Score</t>
        </is>
      </c>
      <c r="AH8" t="inlineStr">
        <is>
          <t>ScorePrec</t>
        </is>
      </c>
      <c r="AI8" t="inlineStr">
        <is>
          <t>Score2</t>
        </is>
      </c>
      <c r="AJ8" t="inlineStr">
        <is>
          <t>Netti</t>
        </is>
      </c>
      <c r="AK8" t="inlineStr">
        <is>
          <t>Badge</t>
        </is>
      </c>
      <c r="AL8" t="inlineStr">
        <is>
          <t>Chiave d'ordine</t>
        </is>
      </c>
      <c r="AM8" t="inlineStr">
        <is>
          <t>Posizione del k-esimo</t>
        </is>
      </c>
      <c r="AN8" t="inlineStr">
        <is>
          <t>Livello</t>
        </is>
      </c>
    </row>
    <row r="9" ht="20" customHeight="1">
      <c r="A9" s="109">
        <f>IF($AM9="","",INDEX(posID,$AM9))</f>
        <v/>
      </c>
      <c r="B9" s="109">
        <f>IF($AM9="","",INDEX(posNome,$AM9))</f>
        <v/>
      </c>
      <c r="C9" s="110">
        <f>IF($AM9="","",INDEX(ANA_Event_Type,$AM9)&amp;"")</f>
        <v/>
      </c>
      <c r="D9" s="110">
        <f>IF($AM9="","",IF(ISNUMBER(INDEX(posImpatto,$AM9)),INDEX(posImpatto,$AM9),NA()))</f>
        <v/>
      </c>
      <c r="E9" s="110">
        <f>IF($AM9="","",IF(ISNUMBER(INDEX(posProbabilita,$AM9)),INDEX(posProbabilita,$AM9),NA()))</f>
        <v/>
      </c>
      <c r="F9" s="110">
        <f>IF($AM9="","",IF(ISNUMBER(INDEX(posProssimita,$AM9)),INDEX(posProssimita,$AM9),NA()))</f>
        <v/>
      </c>
      <c r="G9" s="110">
        <f>IF($AM9="","",IF(ISNUMBER(INDEX(posVelocity,$AM9)),INDEX(posVelocity,$AM9),"n.v."))</f>
        <v/>
      </c>
      <c r="H9" s="111">
        <f>IF($AM9="","",IF(ISNUMBER(INDEX(posScore,$AM9)),INDEX(posScore,$AM9),NA()))</f>
        <v/>
      </c>
      <c r="I9" s="38">
        <f>IF($AM9="","",IF(ISNUMBER(INDEX(posScorePrec,$AM9)),IFERROR(H9-INDEX(posScorePrec,$AM9),""),IF(ISNUMBER(H9),"nuovo","")))</f>
        <v/>
      </c>
      <c r="J9" s="38">
        <f>IF($AM9="","",IF(ISNUMBER(INDEX(posScore2,$AM9)),IFERROR(H9-INDEX(posScore2,$AM9),""),IF(ISNUMBER(H9),"nuovo","")))</f>
        <v/>
      </c>
      <c r="K9" s="110">
        <f>IF($AM9="","",INDEX(Radar_Mosca!$L$5:$L$24,$AM9)&amp;"")</f>
        <v/>
      </c>
      <c r="L9" s="112">
        <f>IF($AM9="","",IFERROR(INDEX(Radar_Mosca!$K$5:$K$24,$AM9),""))</f>
        <v/>
      </c>
      <c r="M9" s="110">
        <f>IF($AM9="","",IF(INDEX(ANA_Attenzione_Supervisore,$AM9)="Sì","◆",""))</f>
        <v/>
      </c>
      <c r="N9" s="113">
        <f>IF($A9="","",COUNTIFS(KRI_ID_Rischio,$A9,KRI_Ciclo,cicloCorrente,KRI_In_Vigore,"Sì",KRI_Stato,"Rosso"))</f>
        <v/>
      </c>
      <c r="O9" s="113">
        <f>IF($A9="","",COUNTIFS(KRI_ID_Rischio,$A9,KRI_Ciclo,cicloCorrente,KRI_In_Vigore,"Sì",KRI_Stato,"Ambra"))</f>
        <v/>
      </c>
      <c r="P9" s="113">
        <f>IF($A9="","",COUNTIFS(KRI_ID_Rischio,$A9,KRI_Ciclo,cicloCorrente,KRI_In_Vigore,"Sì",KRI_Stato,"Verde"))</f>
        <v/>
      </c>
      <c r="Q9" s="110">
        <f>IF($AM9="","",INDEX(posBadge,$AM9))</f>
        <v/>
      </c>
      <c r="R9" s="110">
        <f>IF($AM9="","",INDEX(ANA_Presidio_Controlli,$AM9)&amp;"")</f>
        <v/>
      </c>
      <c r="S9" s="110">
        <f>IF($A9="","",IF(OR(ISNUMBER(SEARCH("DA MOTIVARE",IFERROR(INDEX(RR_Rilievi,MATCH(cicloCorrente&amp;"|"&amp;$A9,RR_Chiave,0))&amp;"",""))),ISNUMBER(SEARCH("BLOCCANTE SUPERATO",IFERROR(INDEX(RR_Rilievi,MATCH(cicloCorrente&amp;"|"&amp;$A9,RR_Chiave,0))&amp;"","")))),"⚑ da motivare",IF(IFERROR(INDEX(RR_Rilievi,MATCH(cicloCorrente&amp;"|"&amp;$A9,RR_Chiave,0))&amp;"","")="","",LEN(IFERROR(INDEX(RR_Rilievi,MATCH(cicloCorrente&amp;"|"&amp;$A9,RR_Chiave,0))&amp;"",""))-LEN(SUBSTITUTE(IFERROR(INDEX(RR_Rilievi,MATCH(cicloCorrente&amp;"|"&amp;$A9,RR_Chiave,0))&amp;"",""),CHAR(10),""))+1&amp;" oss.")))</f>
        <v/>
      </c>
      <c r="T9" s="110">
        <f>IF($AM9="","",INDEX(ANA_Owner,$AM9)&amp;"")</f>
        <v/>
      </c>
      <c r="AA9">
        <f>IF(Parametri!$H4="","",Parametri!$H4)</f>
        <v/>
      </c>
      <c r="AB9">
        <f>IF($AA9="","",Parametri!$I4)</f>
        <v/>
      </c>
      <c r="AC9">
        <f>IF($AA9="",NA(),IF(COUNTIFS(RR_ID_Rischio,$AA9,RR_Ciclo,cicloCorrente,RR_Impatto,"&lt;&gt;")=0,NA(),SUMIFS(RR_Impatto,RR_ID_Rischio,$AA9,RR_Ciclo,cicloCorrente)))</f>
        <v/>
      </c>
      <c r="AD9">
        <f>IF($AA9="",NA(),IF(COUNTIFS(RR_ID_Rischio,$AA9,RR_Ciclo,cicloCorrente,RR_Probabilita,"&lt;&gt;")=0,NA(),SUMIFS(RR_Probabilita,RR_ID_Rischio,$AA9,RR_Ciclo,cicloCorrente)))</f>
        <v/>
      </c>
      <c r="AE9">
        <f>IF($AA9="",NA(),IF(COUNTIFS(RR_ID_Rischio,$AA9,RR_Ciclo,cicloCorrente,RR_Prossimita,"&lt;&gt;")=0,NA(),SUMIFS(RR_Prossimita,RR_ID_Rischio,$AA9,RR_Ciclo,cicloCorrente)))</f>
        <v/>
      </c>
      <c r="AF9">
        <f>IF($AA9="",NA(),IF(COUNTIFS(RR_ID_Rischio,$AA9,RR_Ciclo,cicloCorrente,RR_Velocity,"&lt;&gt;")=0,NA(),SUMIFS(RR_Velocity,RR_ID_Rischio,$AA9,RR_Ciclo,cicloCorrente)))</f>
        <v/>
      </c>
      <c r="AG9">
        <f>IF($AA9="",NA(),IF(COUNTIFS(RR_ID_Rischio,$AA9,RR_Ciclo,cicloCorrente,RR_Score_Composito,"&lt;&gt;")=0,NA(),SUMIFS(RR_Score_Composito,RR_ID_Rischio,$AA9,RR_Ciclo,cicloCorrente)))</f>
        <v/>
      </c>
      <c r="AH9">
        <f>IF($AA9="",NA(),IF(COUNTIFS(RR_ID_Rischio,$AA9,RR_Ciclo,cicloPrecedente,RR_Score_Composito,"&lt;&gt;")=0,NA(),SUMIFS(RR_Score_Composito,RR_ID_Rischio,$AA9,RR_Ciclo,cicloPrecedente)))</f>
        <v/>
      </c>
      <c r="AI9">
        <f>IF($AA9="",NA(),IF(COUNTIFS(RR_ID_Rischio,$AA9,RR_Ciclo,cicloMeno2,RR_Score_Composito,"&lt;&gt;")=0,NA(),SUMIFS(RR_Score_Composito,RR_ID_Rischio,$AA9,RR_Ciclo,cicloMeno2)))</f>
        <v/>
      </c>
      <c r="AJ9">
        <f>IF($AA9="","",COUNTIFS(NW_Rischio_ID,$AA9,NW_Segnale,"Peggiorativo",NW_Settimana,"&gt;="&amp;inizioFinestra4,NW_Settimana,"&lt;="&amp;settimanaCorrente)-COUNTIFS(NW_Rischio_ID,$AA9,NW_Segnale,"Migliorativo",NW_Settimana,"&gt;="&amp;inizioFinestra4,NW_Settimana,"&lt;="&amp;settimanaCorrente))</f>
        <v/>
      </c>
      <c r="AK9">
        <f>IF($AA9="","",IF(AJ9&gt;=sogliaDirezione,"▲ +"&amp;AJ9,IF(AJ9&lt;=-sogliaDirezione,"▼ "&amp;AJ9,"● "&amp;IF(AJ9&gt;0,"+","")&amp;AJ9)))</f>
        <v/>
      </c>
      <c r="AL9">
        <f>IF($AA9="","",IF(ISNUMBER(AG9),AG9,-1)-1/100000)</f>
        <v/>
      </c>
      <c r="AM9">
        <f>IFERROR(MATCH(_xlfn.AGGREGATE(14,6,$AL$9:$AL$28,1),$AL$9:$AL$28,0),"")</f>
        <v/>
      </c>
      <c r="AN9">
        <f>IF($AA9="","",Radar_Mosca!$AA$5&amp;"")</f>
        <v/>
      </c>
    </row>
    <row r="10" ht="20" customHeight="1">
      <c r="A10" s="109">
        <f>IF($AM10="","",INDEX(posID,$AM10))</f>
        <v/>
      </c>
      <c r="B10" s="109">
        <f>IF($AM10="","",INDEX(posNome,$AM10))</f>
        <v/>
      </c>
      <c r="C10" s="110">
        <f>IF($AM10="","",INDEX(ANA_Event_Type,$AM10)&amp;"")</f>
        <v/>
      </c>
      <c r="D10" s="110">
        <f>IF($AM10="","",IF(ISNUMBER(INDEX(posImpatto,$AM10)),INDEX(posImpatto,$AM10),NA()))</f>
        <v/>
      </c>
      <c r="E10" s="110">
        <f>IF($AM10="","",IF(ISNUMBER(INDEX(posProbabilita,$AM10)),INDEX(posProbabilita,$AM10),NA()))</f>
        <v/>
      </c>
      <c r="F10" s="110">
        <f>IF($AM10="","",IF(ISNUMBER(INDEX(posProssimita,$AM10)),INDEX(posProssimita,$AM10),NA()))</f>
        <v/>
      </c>
      <c r="G10" s="110">
        <f>IF($AM10="","",IF(ISNUMBER(INDEX(posVelocity,$AM10)),INDEX(posVelocity,$AM10),"n.v."))</f>
        <v/>
      </c>
      <c r="H10" s="111">
        <f>IF($AM10="","",IF(ISNUMBER(INDEX(posScore,$AM10)),INDEX(posScore,$AM10),NA()))</f>
        <v/>
      </c>
      <c r="I10" s="38">
        <f>IF($AM10="","",IF(ISNUMBER(INDEX(posScorePrec,$AM10)),IFERROR(H10-INDEX(posScorePrec,$AM10),""),IF(ISNUMBER(H10),"nuovo","")))</f>
        <v/>
      </c>
      <c r="J10" s="38">
        <f>IF($AM10="","",IF(ISNUMBER(INDEX(posScore2,$AM10)),IFERROR(H10-INDEX(posScore2,$AM10),""),IF(ISNUMBER(H10),"nuovo","")))</f>
        <v/>
      </c>
      <c r="K10" s="110">
        <f>IF($AM10="","",INDEX(Radar_Mosca!$L$5:$L$24,$AM10)&amp;"")</f>
        <v/>
      </c>
      <c r="L10" s="112">
        <f>IF($AM10="","",IFERROR(INDEX(Radar_Mosca!$K$5:$K$24,$AM10),""))</f>
        <v/>
      </c>
      <c r="M10" s="110">
        <f>IF($AM10="","",IF(INDEX(ANA_Attenzione_Supervisore,$AM10)="Sì","◆",""))</f>
        <v/>
      </c>
      <c r="N10" s="113">
        <f>IF($A10="","",COUNTIFS(KRI_ID_Rischio,$A10,KRI_Ciclo,cicloCorrente,KRI_In_Vigore,"Sì",KRI_Stato,"Rosso"))</f>
        <v/>
      </c>
      <c r="O10" s="113">
        <f>IF($A10="","",COUNTIFS(KRI_ID_Rischio,$A10,KRI_Ciclo,cicloCorrente,KRI_In_Vigore,"Sì",KRI_Stato,"Ambra"))</f>
        <v/>
      </c>
      <c r="P10" s="113">
        <f>IF($A10="","",COUNTIFS(KRI_ID_Rischio,$A10,KRI_Ciclo,cicloCorrente,KRI_In_Vigore,"Sì",KRI_Stato,"Verde"))</f>
        <v/>
      </c>
      <c r="Q10" s="110">
        <f>IF($AM10="","",INDEX(posBadge,$AM10))</f>
        <v/>
      </c>
      <c r="R10" s="110">
        <f>IF($AM10="","",INDEX(ANA_Presidio_Controlli,$AM10)&amp;"")</f>
        <v/>
      </c>
      <c r="S10" s="110">
        <f>IF($A10="","",IF(OR(ISNUMBER(SEARCH("DA MOTIVARE",IFERROR(INDEX(RR_Rilievi,MATCH(cicloCorrente&amp;"|"&amp;$A10,RR_Chiave,0))&amp;"",""))),ISNUMBER(SEARCH("BLOCCANTE SUPERATO",IFERROR(INDEX(RR_Rilievi,MATCH(cicloCorrente&amp;"|"&amp;$A10,RR_Chiave,0))&amp;"","")))),"⚑ da motivare",IF(IFERROR(INDEX(RR_Rilievi,MATCH(cicloCorrente&amp;"|"&amp;$A10,RR_Chiave,0))&amp;"","")="","",LEN(IFERROR(INDEX(RR_Rilievi,MATCH(cicloCorrente&amp;"|"&amp;$A10,RR_Chiave,0))&amp;"",""))-LEN(SUBSTITUTE(IFERROR(INDEX(RR_Rilievi,MATCH(cicloCorrente&amp;"|"&amp;$A10,RR_Chiave,0))&amp;"",""),CHAR(10),""))+1&amp;" oss.")))</f>
        <v/>
      </c>
      <c r="T10" s="110">
        <f>IF($AM10="","",INDEX(ANA_Owner,$AM10)&amp;"")</f>
        <v/>
      </c>
      <c r="AA10">
        <f>IF(Parametri!$H5="","",Parametri!$H5)</f>
        <v/>
      </c>
      <c r="AB10">
        <f>IF($AA10="","",Parametri!$I5)</f>
        <v/>
      </c>
      <c r="AC10">
        <f>IF($AA10="",NA(),IF(COUNTIFS(RR_ID_Rischio,$AA10,RR_Ciclo,cicloCorrente,RR_Impatto,"&lt;&gt;")=0,NA(),SUMIFS(RR_Impatto,RR_ID_Rischio,$AA10,RR_Ciclo,cicloCorrente)))</f>
        <v/>
      </c>
      <c r="AD10">
        <f>IF($AA10="",NA(),IF(COUNTIFS(RR_ID_Rischio,$AA10,RR_Ciclo,cicloCorrente,RR_Probabilita,"&lt;&gt;")=0,NA(),SUMIFS(RR_Probabilita,RR_ID_Rischio,$AA10,RR_Ciclo,cicloCorrente)))</f>
        <v/>
      </c>
      <c r="AE10">
        <f>IF($AA10="",NA(),IF(COUNTIFS(RR_ID_Rischio,$AA10,RR_Ciclo,cicloCorrente,RR_Prossimita,"&lt;&gt;")=0,NA(),SUMIFS(RR_Prossimita,RR_ID_Rischio,$AA10,RR_Ciclo,cicloCorrente)))</f>
        <v/>
      </c>
      <c r="AF10">
        <f>IF($AA10="",NA(),IF(COUNTIFS(RR_ID_Rischio,$AA10,RR_Ciclo,cicloCorrente,RR_Velocity,"&lt;&gt;")=0,NA(),SUMIFS(RR_Velocity,RR_ID_Rischio,$AA10,RR_Ciclo,cicloCorrente)))</f>
        <v/>
      </c>
      <c r="AG10">
        <f>IF($AA10="",NA(),IF(COUNTIFS(RR_ID_Rischio,$AA10,RR_Ciclo,cicloCorrente,RR_Score_Composito,"&lt;&gt;")=0,NA(),SUMIFS(RR_Score_Composito,RR_ID_Rischio,$AA10,RR_Ciclo,cicloCorrente)))</f>
        <v/>
      </c>
      <c r="AH10">
        <f>IF($AA10="",NA(),IF(COUNTIFS(RR_ID_Rischio,$AA10,RR_Ciclo,cicloPrecedente,RR_Score_Composito,"&lt;&gt;")=0,NA(),SUMIFS(RR_Score_Composito,RR_ID_Rischio,$AA10,RR_Ciclo,cicloPrecedente)))</f>
        <v/>
      </c>
      <c r="AI10">
        <f>IF($AA10="",NA(),IF(COUNTIFS(RR_ID_Rischio,$AA10,RR_Ciclo,cicloMeno2,RR_Score_Composito,"&lt;&gt;")=0,NA(),SUMIFS(RR_Score_Composito,RR_ID_Rischio,$AA10,RR_Ciclo,cicloMeno2)))</f>
        <v/>
      </c>
      <c r="AJ10">
        <f>IF($AA10="","",COUNTIFS(NW_Rischio_ID,$AA10,NW_Segnale,"Peggiorativo",NW_Settimana,"&gt;="&amp;inizioFinestra4,NW_Settimana,"&lt;="&amp;settimanaCorrente)-COUNTIFS(NW_Rischio_ID,$AA10,NW_Segnale,"Migliorativo",NW_Settimana,"&gt;="&amp;inizioFinestra4,NW_Settimana,"&lt;="&amp;settimanaCorrente))</f>
        <v/>
      </c>
      <c r="AK10">
        <f>IF($AA10="","",IF(AJ10&gt;=sogliaDirezione,"▲ +"&amp;AJ10,IF(AJ10&lt;=-sogliaDirezione,"▼ "&amp;AJ10,"● "&amp;IF(AJ10&gt;0,"+","")&amp;AJ10)))</f>
        <v/>
      </c>
      <c r="AL10">
        <f>IF($AA10="","",IF(ISNUMBER(AG10),AG10,-1)-2/100000)</f>
        <v/>
      </c>
      <c r="AM10">
        <f>IFERROR(MATCH(_xlfn.AGGREGATE(14,6,$AL$9:$AL$28,2),$AL$9:$AL$28,0),"")</f>
        <v/>
      </c>
      <c r="AN10">
        <f>IF($AA10="","",Radar_Mosca!$AA$6&amp;"")</f>
        <v/>
      </c>
    </row>
    <row r="11" ht="20" customHeight="1">
      <c r="A11" s="109">
        <f>IF($AM11="","",INDEX(posID,$AM11))</f>
        <v/>
      </c>
      <c r="B11" s="109">
        <f>IF($AM11="","",INDEX(posNome,$AM11))</f>
        <v/>
      </c>
      <c r="C11" s="110">
        <f>IF($AM11="","",INDEX(ANA_Event_Type,$AM11)&amp;"")</f>
        <v/>
      </c>
      <c r="D11" s="110">
        <f>IF($AM11="","",IF(ISNUMBER(INDEX(posImpatto,$AM11)),INDEX(posImpatto,$AM11),NA()))</f>
        <v/>
      </c>
      <c r="E11" s="110">
        <f>IF($AM11="","",IF(ISNUMBER(INDEX(posProbabilita,$AM11)),INDEX(posProbabilita,$AM11),NA()))</f>
        <v/>
      </c>
      <c r="F11" s="110">
        <f>IF($AM11="","",IF(ISNUMBER(INDEX(posProssimita,$AM11)),INDEX(posProssimita,$AM11),NA()))</f>
        <v/>
      </c>
      <c r="G11" s="110">
        <f>IF($AM11="","",IF(ISNUMBER(INDEX(posVelocity,$AM11)),INDEX(posVelocity,$AM11),"n.v."))</f>
        <v/>
      </c>
      <c r="H11" s="111">
        <f>IF($AM11="","",IF(ISNUMBER(INDEX(posScore,$AM11)),INDEX(posScore,$AM11),NA()))</f>
        <v/>
      </c>
      <c r="I11" s="38">
        <f>IF($AM11="","",IF(ISNUMBER(INDEX(posScorePrec,$AM11)),IFERROR(H11-INDEX(posScorePrec,$AM11),""),IF(ISNUMBER(H11),"nuovo","")))</f>
        <v/>
      </c>
      <c r="J11" s="38">
        <f>IF($AM11="","",IF(ISNUMBER(INDEX(posScore2,$AM11)),IFERROR(H11-INDEX(posScore2,$AM11),""),IF(ISNUMBER(H11),"nuovo","")))</f>
        <v/>
      </c>
      <c r="K11" s="110">
        <f>IF($AM11="","",INDEX(Radar_Mosca!$L$5:$L$24,$AM11)&amp;"")</f>
        <v/>
      </c>
      <c r="L11" s="112">
        <f>IF($AM11="","",IFERROR(INDEX(Radar_Mosca!$K$5:$K$24,$AM11),""))</f>
        <v/>
      </c>
      <c r="M11" s="110">
        <f>IF($AM11="","",IF(INDEX(ANA_Attenzione_Supervisore,$AM11)="Sì","◆",""))</f>
        <v/>
      </c>
      <c r="N11" s="113">
        <f>IF($A11="","",COUNTIFS(KRI_ID_Rischio,$A11,KRI_Ciclo,cicloCorrente,KRI_In_Vigore,"Sì",KRI_Stato,"Rosso"))</f>
        <v/>
      </c>
      <c r="O11" s="113">
        <f>IF($A11="","",COUNTIFS(KRI_ID_Rischio,$A11,KRI_Ciclo,cicloCorrente,KRI_In_Vigore,"Sì",KRI_Stato,"Ambra"))</f>
        <v/>
      </c>
      <c r="P11" s="113">
        <f>IF($A11="","",COUNTIFS(KRI_ID_Rischio,$A11,KRI_Ciclo,cicloCorrente,KRI_In_Vigore,"Sì",KRI_Stato,"Verde"))</f>
        <v/>
      </c>
      <c r="Q11" s="110">
        <f>IF($AM11="","",INDEX(posBadge,$AM11))</f>
        <v/>
      </c>
      <c r="R11" s="110">
        <f>IF($AM11="","",INDEX(ANA_Presidio_Controlli,$AM11)&amp;"")</f>
        <v/>
      </c>
      <c r="S11" s="110">
        <f>IF($A11="","",IF(OR(ISNUMBER(SEARCH("DA MOTIVARE",IFERROR(INDEX(RR_Rilievi,MATCH(cicloCorrente&amp;"|"&amp;$A11,RR_Chiave,0))&amp;"",""))),ISNUMBER(SEARCH("BLOCCANTE SUPERATO",IFERROR(INDEX(RR_Rilievi,MATCH(cicloCorrente&amp;"|"&amp;$A11,RR_Chiave,0))&amp;"","")))),"⚑ da motivare",IF(IFERROR(INDEX(RR_Rilievi,MATCH(cicloCorrente&amp;"|"&amp;$A11,RR_Chiave,0))&amp;"","")="","",LEN(IFERROR(INDEX(RR_Rilievi,MATCH(cicloCorrente&amp;"|"&amp;$A11,RR_Chiave,0))&amp;"",""))-LEN(SUBSTITUTE(IFERROR(INDEX(RR_Rilievi,MATCH(cicloCorrente&amp;"|"&amp;$A11,RR_Chiave,0))&amp;"",""),CHAR(10),""))+1&amp;" oss.")))</f>
        <v/>
      </c>
      <c r="T11" s="110">
        <f>IF($AM11="","",INDEX(ANA_Owner,$AM11)&amp;"")</f>
        <v/>
      </c>
      <c r="AA11">
        <f>IF(Parametri!$H6="","",Parametri!$H6)</f>
        <v/>
      </c>
      <c r="AB11">
        <f>IF($AA11="","",Parametri!$I6)</f>
        <v/>
      </c>
      <c r="AC11">
        <f>IF($AA11="",NA(),IF(COUNTIFS(RR_ID_Rischio,$AA11,RR_Ciclo,cicloCorrente,RR_Impatto,"&lt;&gt;")=0,NA(),SUMIFS(RR_Impatto,RR_ID_Rischio,$AA11,RR_Ciclo,cicloCorrente)))</f>
        <v/>
      </c>
      <c r="AD11">
        <f>IF($AA11="",NA(),IF(COUNTIFS(RR_ID_Rischio,$AA11,RR_Ciclo,cicloCorrente,RR_Probabilita,"&lt;&gt;")=0,NA(),SUMIFS(RR_Probabilita,RR_ID_Rischio,$AA11,RR_Ciclo,cicloCorrente)))</f>
        <v/>
      </c>
      <c r="AE11">
        <f>IF($AA11="",NA(),IF(COUNTIFS(RR_ID_Rischio,$AA11,RR_Ciclo,cicloCorrente,RR_Prossimita,"&lt;&gt;")=0,NA(),SUMIFS(RR_Prossimita,RR_ID_Rischio,$AA11,RR_Ciclo,cicloCorrente)))</f>
        <v/>
      </c>
      <c r="AF11">
        <f>IF($AA11="",NA(),IF(COUNTIFS(RR_ID_Rischio,$AA11,RR_Ciclo,cicloCorrente,RR_Velocity,"&lt;&gt;")=0,NA(),SUMIFS(RR_Velocity,RR_ID_Rischio,$AA11,RR_Ciclo,cicloCorrente)))</f>
        <v/>
      </c>
      <c r="AG11">
        <f>IF($AA11="",NA(),IF(COUNTIFS(RR_ID_Rischio,$AA11,RR_Ciclo,cicloCorrente,RR_Score_Composito,"&lt;&gt;")=0,NA(),SUMIFS(RR_Score_Composito,RR_ID_Rischio,$AA11,RR_Ciclo,cicloCorrente)))</f>
        <v/>
      </c>
      <c r="AH11">
        <f>IF($AA11="",NA(),IF(COUNTIFS(RR_ID_Rischio,$AA11,RR_Ciclo,cicloPrecedente,RR_Score_Composito,"&lt;&gt;")=0,NA(),SUMIFS(RR_Score_Composito,RR_ID_Rischio,$AA11,RR_Ciclo,cicloPrecedente)))</f>
        <v/>
      </c>
      <c r="AI11">
        <f>IF($AA11="",NA(),IF(COUNTIFS(RR_ID_Rischio,$AA11,RR_Ciclo,cicloMeno2,RR_Score_Composito,"&lt;&gt;")=0,NA(),SUMIFS(RR_Score_Composito,RR_ID_Rischio,$AA11,RR_Ciclo,cicloMeno2)))</f>
        <v/>
      </c>
      <c r="AJ11">
        <f>IF($AA11="","",COUNTIFS(NW_Rischio_ID,$AA11,NW_Segnale,"Peggiorativo",NW_Settimana,"&gt;="&amp;inizioFinestra4,NW_Settimana,"&lt;="&amp;settimanaCorrente)-COUNTIFS(NW_Rischio_ID,$AA11,NW_Segnale,"Migliorativo",NW_Settimana,"&gt;="&amp;inizioFinestra4,NW_Settimana,"&lt;="&amp;settimanaCorrente))</f>
        <v/>
      </c>
      <c r="AK11">
        <f>IF($AA11="","",IF(AJ11&gt;=sogliaDirezione,"▲ +"&amp;AJ11,IF(AJ11&lt;=-sogliaDirezione,"▼ "&amp;AJ11,"● "&amp;IF(AJ11&gt;0,"+","")&amp;AJ11)))</f>
        <v/>
      </c>
      <c r="AL11">
        <f>IF($AA11="","",IF(ISNUMBER(AG11),AG11,-1)-3/100000)</f>
        <v/>
      </c>
      <c r="AM11">
        <f>IFERROR(MATCH(_xlfn.AGGREGATE(14,6,$AL$9:$AL$28,3),$AL$9:$AL$28,0),"")</f>
        <v/>
      </c>
      <c r="AN11">
        <f>IF($AA11="","",Radar_Mosca!$AA$7&amp;"")</f>
        <v/>
      </c>
    </row>
    <row r="12" ht="20" customHeight="1">
      <c r="A12" s="109">
        <f>IF($AM12="","",INDEX(posID,$AM12))</f>
        <v/>
      </c>
      <c r="B12" s="109">
        <f>IF($AM12="","",INDEX(posNome,$AM12))</f>
        <v/>
      </c>
      <c r="C12" s="110">
        <f>IF($AM12="","",INDEX(ANA_Event_Type,$AM12)&amp;"")</f>
        <v/>
      </c>
      <c r="D12" s="110">
        <f>IF($AM12="","",IF(ISNUMBER(INDEX(posImpatto,$AM12)),INDEX(posImpatto,$AM12),NA()))</f>
        <v/>
      </c>
      <c r="E12" s="110">
        <f>IF($AM12="","",IF(ISNUMBER(INDEX(posProbabilita,$AM12)),INDEX(posProbabilita,$AM12),NA()))</f>
        <v/>
      </c>
      <c r="F12" s="110">
        <f>IF($AM12="","",IF(ISNUMBER(INDEX(posProssimita,$AM12)),INDEX(posProssimita,$AM12),NA()))</f>
        <v/>
      </c>
      <c r="G12" s="110">
        <f>IF($AM12="","",IF(ISNUMBER(INDEX(posVelocity,$AM12)),INDEX(posVelocity,$AM12),"n.v."))</f>
        <v/>
      </c>
      <c r="H12" s="111">
        <f>IF($AM12="","",IF(ISNUMBER(INDEX(posScore,$AM12)),INDEX(posScore,$AM12),NA()))</f>
        <v/>
      </c>
      <c r="I12" s="38">
        <f>IF($AM12="","",IF(ISNUMBER(INDEX(posScorePrec,$AM12)),IFERROR(H12-INDEX(posScorePrec,$AM12),""),IF(ISNUMBER(H12),"nuovo","")))</f>
        <v/>
      </c>
      <c r="J12" s="38">
        <f>IF($AM12="","",IF(ISNUMBER(INDEX(posScore2,$AM12)),IFERROR(H12-INDEX(posScore2,$AM12),""),IF(ISNUMBER(H12),"nuovo","")))</f>
        <v/>
      </c>
      <c r="K12" s="110">
        <f>IF($AM12="","",INDEX(Radar_Mosca!$L$5:$L$24,$AM12)&amp;"")</f>
        <v/>
      </c>
      <c r="L12" s="112">
        <f>IF($AM12="","",IFERROR(INDEX(Radar_Mosca!$K$5:$K$24,$AM12),""))</f>
        <v/>
      </c>
      <c r="M12" s="110">
        <f>IF($AM12="","",IF(INDEX(ANA_Attenzione_Supervisore,$AM12)="Sì","◆",""))</f>
        <v/>
      </c>
      <c r="N12" s="113">
        <f>IF($A12="","",COUNTIFS(KRI_ID_Rischio,$A12,KRI_Ciclo,cicloCorrente,KRI_In_Vigore,"Sì",KRI_Stato,"Rosso"))</f>
        <v/>
      </c>
      <c r="O12" s="113">
        <f>IF($A12="","",COUNTIFS(KRI_ID_Rischio,$A12,KRI_Ciclo,cicloCorrente,KRI_In_Vigore,"Sì",KRI_Stato,"Ambra"))</f>
        <v/>
      </c>
      <c r="P12" s="113">
        <f>IF($A12="","",COUNTIFS(KRI_ID_Rischio,$A12,KRI_Ciclo,cicloCorrente,KRI_In_Vigore,"Sì",KRI_Stato,"Verde"))</f>
        <v/>
      </c>
      <c r="Q12" s="110">
        <f>IF($AM12="","",INDEX(posBadge,$AM12))</f>
        <v/>
      </c>
      <c r="R12" s="110">
        <f>IF($AM12="","",INDEX(ANA_Presidio_Controlli,$AM12)&amp;"")</f>
        <v/>
      </c>
      <c r="S12" s="110">
        <f>IF($A12="","",IF(OR(ISNUMBER(SEARCH("DA MOTIVARE",IFERROR(INDEX(RR_Rilievi,MATCH(cicloCorrente&amp;"|"&amp;$A12,RR_Chiave,0))&amp;"",""))),ISNUMBER(SEARCH("BLOCCANTE SUPERATO",IFERROR(INDEX(RR_Rilievi,MATCH(cicloCorrente&amp;"|"&amp;$A12,RR_Chiave,0))&amp;"","")))),"⚑ da motivare",IF(IFERROR(INDEX(RR_Rilievi,MATCH(cicloCorrente&amp;"|"&amp;$A12,RR_Chiave,0))&amp;"","")="","",LEN(IFERROR(INDEX(RR_Rilievi,MATCH(cicloCorrente&amp;"|"&amp;$A12,RR_Chiave,0))&amp;"",""))-LEN(SUBSTITUTE(IFERROR(INDEX(RR_Rilievi,MATCH(cicloCorrente&amp;"|"&amp;$A12,RR_Chiave,0))&amp;"",""),CHAR(10),""))+1&amp;" oss.")))</f>
        <v/>
      </c>
      <c r="T12" s="110">
        <f>IF($AM12="","",INDEX(ANA_Owner,$AM12)&amp;"")</f>
        <v/>
      </c>
      <c r="AA12">
        <f>IF(Parametri!$H7="","",Parametri!$H7)</f>
        <v/>
      </c>
      <c r="AB12">
        <f>IF($AA12="","",Parametri!$I7)</f>
        <v/>
      </c>
      <c r="AC12">
        <f>IF($AA12="",NA(),IF(COUNTIFS(RR_ID_Rischio,$AA12,RR_Ciclo,cicloCorrente,RR_Impatto,"&lt;&gt;")=0,NA(),SUMIFS(RR_Impatto,RR_ID_Rischio,$AA12,RR_Ciclo,cicloCorrente)))</f>
        <v/>
      </c>
      <c r="AD12">
        <f>IF($AA12="",NA(),IF(COUNTIFS(RR_ID_Rischio,$AA12,RR_Ciclo,cicloCorrente,RR_Probabilita,"&lt;&gt;")=0,NA(),SUMIFS(RR_Probabilita,RR_ID_Rischio,$AA12,RR_Ciclo,cicloCorrente)))</f>
        <v/>
      </c>
      <c r="AE12">
        <f>IF($AA12="",NA(),IF(COUNTIFS(RR_ID_Rischio,$AA12,RR_Ciclo,cicloCorrente,RR_Prossimita,"&lt;&gt;")=0,NA(),SUMIFS(RR_Prossimita,RR_ID_Rischio,$AA12,RR_Ciclo,cicloCorrente)))</f>
        <v/>
      </c>
      <c r="AF12">
        <f>IF($AA12="",NA(),IF(COUNTIFS(RR_ID_Rischio,$AA12,RR_Ciclo,cicloCorrente,RR_Velocity,"&lt;&gt;")=0,NA(),SUMIFS(RR_Velocity,RR_ID_Rischio,$AA12,RR_Ciclo,cicloCorrente)))</f>
        <v/>
      </c>
      <c r="AG12">
        <f>IF($AA12="",NA(),IF(COUNTIFS(RR_ID_Rischio,$AA12,RR_Ciclo,cicloCorrente,RR_Score_Composito,"&lt;&gt;")=0,NA(),SUMIFS(RR_Score_Composito,RR_ID_Rischio,$AA12,RR_Ciclo,cicloCorrente)))</f>
        <v/>
      </c>
      <c r="AH12">
        <f>IF($AA12="",NA(),IF(COUNTIFS(RR_ID_Rischio,$AA12,RR_Ciclo,cicloPrecedente,RR_Score_Composito,"&lt;&gt;")=0,NA(),SUMIFS(RR_Score_Composito,RR_ID_Rischio,$AA12,RR_Ciclo,cicloPrecedente)))</f>
        <v/>
      </c>
      <c r="AI12">
        <f>IF($AA12="",NA(),IF(COUNTIFS(RR_ID_Rischio,$AA12,RR_Ciclo,cicloMeno2,RR_Score_Composito,"&lt;&gt;")=0,NA(),SUMIFS(RR_Score_Composito,RR_ID_Rischio,$AA12,RR_Ciclo,cicloMeno2)))</f>
        <v/>
      </c>
      <c r="AJ12">
        <f>IF($AA12="","",COUNTIFS(NW_Rischio_ID,$AA12,NW_Segnale,"Peggiorativo",NW_Settimana,"&gt;="&amp;inizioFinestra4,NW_Settimana,"&lt;="&amp;settimanaCorrente)-COUNTIFS(NW_Rischio_ID,$AA12,NW_Segnale,"Migliorativo",NW_Settimana,"&gt;="&amp;inizioFinestra4,NW_Settimana,"&lt;="&amp;settimanaCorrente))</f>
        <v/>
      </c>
      <c r="AK12">
        <f>IF($AA12="","",IF(AJ12&gt;=sogliaDirezione,"▲ +"&amp;AJ12,IF(AJ12&lt;=-sogliaDirezione,"▼ "&amp;AJ12,"● "&amp;IF(AJ12&gt;0,"+","")&amp;AJ12)))</f>
        <v/>
      </c>
      <c r="AL12">
        <f>IF($AA12="","",IF(ISNUMBER(AG12),AG12,-1)-4/100000)</f>
        <v/>
      </c>
      <c r="AM12">
        <f>IFERROR(MATCH(_xlfn.AGGREGATE(14,6,$AL$9:$AL$28,4),$AL$9:$AL$28,0),"")</f>
        <v/>
      </c>
      <c r="AN12">
        <f>IF($AA12="","",Radar_Mosca!$AA$8&amp;"")</f>
        <v/>
      </c>
    </row>
    <row r="13" ht="20" customHeight="1">
      <c r="A13" s="109">
        <f>IF($AM13="","",INDEX(posID,$AM13))</f>
        <v/>
      </c>
      <c r="B13" s="109">
        <f>IF($AM13="","",INDEX(posNome,$AM13))</f>
        <v/>
      </c>
      <c r="C13" s="110">
        <f>IF($AM13="","",INDEX(ANA_Event_Type,$AM13)&amp;"")</f>
        <v/>
      </c>
      <c r="D13" s="110">
        <f>IF($AM13="","",IF(ISNUMBER(INDEX(posImpatto,$AM13)),INDEX(posImpatto,$AM13),NA()))</f>
        <v/>
      </c>
      <c r="E13" s="110">
        <f>IF($AM13="","",IF(ISNUMBER(INDEX(posProbabilita,$AM13)),INDEX(posProbabilita,$AM13),NA()))</f>
        <v/>
      </c>
      <c r="F13" s="110">
        <f>IF($AM13="","",IF(ISNUMBER(INDEX(posProssimita,$AM13)),INDEX(posProssimita,$AM13),NA()))</f>
        <v/>
      </c>
      <c r="G13" s="110">
        <f>IF($AM13="","",IF(ISNUMBER(INDEX(posVelocity,$AM13)),INDEX(posVelocity,$AM13),"n.v."))</f>
        <v/>
      </c>
      <c r="H13" s="111">
        <f>IF($AM13="","",IF(ISNUMBER(INDEX(posScore,$AM13)),INDEX(posScore,$AM13),NA()))</f>
        <v/>
      </c>
      <c r="I13" s="38">
        <f>IF($AM13="","",IF(ISNUMBER(INDEX(posScorePrec,$AM13)),IFERROR(H13-INDEX(posScorePrec,$AM13),""),IF(ISNUMBER(H13),"nuovo","")))</f>
        <v/>
      </c>
      <c r="J13" s="38">
        <f>IF($AM13="","",IF(ISNUMBER(INDEX(posScore2,$AM13)),IFERROR(H13-INDEX(posScore2,$AM13),""),IF(ISNUMBER(H13),"nuovo","")))</f>
        <v/>
      </c>
      <c r="K13" s="110">
        <f>IF($AM13="","",INDEX(Radar_Mosca!$L$5:$L$24,$AM13)&amp;"")</f>
        <v/>
      </c>
      <c r="L13" s="112">
        <f>IF($AM13="","",IFERROR(INDEX(Radar_Mosca!$K$5:$K$24,$AM13),""))</f>
        <v/>
      </c>
      <c r="M13" s="110">
        <f>IF($AM13="","",IF(INDEX(ANA_Attenzione_Supervisore,$AM13)="Sì","◆",""))</f>
        <v/>
      </c>
      <c r="N13" s="113">
        <f>IF($A13="","",COUNTIFS(KRI_ID_Rischio,$A13,KRI_Ciclo,cicloCorrente,KRI_In_Vigore,"Sì",KRI_Stato,"Rosso"))</f>
        <v/>
      </c>
      <c r="O13" s="113">
        <f>IF($A13="","",COUNTIFS(KRI_ID_Rischio,$A13,KRI_Ciclo,cicloCorrente,KRI_In_Vigore,"Sì",KRI_Stato,"Ambra"))</f>
        <v/>
      </c>
      <c r="P13" s="113">
        <f>IF($A13="","",COUNTIFS(KRI_ID_Rischio,$A13,KRI_Ciclo,cicloCorrente,KRI_In_Vigore,"Sì",KRI_Stato,"Verde"))</f>
        <v/>
      </c>
      <c r="Q13" s="110">
        <f>IF($AM13="","",INDEX(posBadge,$AM13))</f>
        <v/>
      </c>
      <c r="R13" s="110">
        <f>IF($AM13="","",INDEX(ANA_Presidio_Controlli,$AM13)&amp;"")</f>
        <v/>
      </c>
      <c r="S13" s="110">
        <f>IF($A13="","",IF(OR(ISNUMBER(SEARCH("DA MOTIVARE",IFERROR(INDEX(RR_Rilievi,MATCH(cicloCorrente&amp;"|"&amp;$A13,RR_Chiave,0))&amp;"",""))),ISNUMBER(SEARCH("BLOCCANTE SUPERATO",IFERROR(INDEX(RR_Rilievi,MATCH(cicloCorrente&amp;"|"&amp;$A13,RR_Chiave,0))&amp;"","")))),"⚑ da motivare",IF(IFERROR(INDEX(RR_Rilievi,MATCH(cicloCorrente&amp;"|"&amp;$A13,RR_Chiave,0))&amp;"","")="","",LEN(IFERROR(INDEX(RR_Rilievi,MATCH(cicloCorrente&amp;"|"&amp;$A13,RR_Chiave,0))&amp;"",""))-LEN(SUBSTITUTE(IFERROR(INDEX(RR_Rilievi,MATCH(cicloCorrente&amp;"|"&amp;$A13,RR_Chiave,0))&amp;"",""),CHAR(10),""))+1&amp;" oss.")))</f>
        <v/>
      </c>
      <c r="T13" s="110">
        <f>IF($AM13="","",INDEX(ANA_Owner,$AM13)&amp;"")</f>
        <v/>
      </c>
      <c r="AA13">
        <f>IF(Parametri!$H8="","",Parametri!$H8)</f>
        <v/>
      </c>
      <c r="AB13">
        <f>IF($AA13="","",Parametri!$I8)</f>
        <v/>
      </c>
      <c r="AC13">
        <f>IF($AA13="",NA(),IF(COUNTIFS(RR_ID_Rischio,$AA13,RR_Ciclo,cicloCorrente,RR_Impatto,"&lt;&gt;")=0,NA(),SUMIFS(RR_Impatto,RR_ID_Rischio,$AA13,RR_Ciclo,cicloCorrente)))</f>
        <v/>
      </c>
      <c r="AD13">
        <f>IF($AA13="",NA(),IF(COUNTIFS(RR_ID_Rischio,$AA13,RR_Ciclo,cicloCorrente,RR_Probabilita,"&lt;&gt;")=0,NA(),SUMIFS(RR_Probabilita,RR_ID_Rischio,$AA13,RR_Ciclo,cicloCorrente)))</f>
        <v/>
      </c>
      <c r="AE13">
        <f>IF($AA13="",NA(),IF(COUNTIFS(RR_ID_Rischio,$AA13,RR_Ciclo,cicloCorrente,RR_Prossimita,"&lt;&gt;")=0,NA(),SUMIFS(RR_Prossimita,RR_ID_Rischio,$AA13,RR_Ciclo,cicloCorrente)))</f>
        <v/>
      </c>
      <c r="AF13">
        <f>IF($AA13="",NA(),IF(COUNTIFS(RR_ID_Rischio,$AA13,RR_Ciclo,cicloCorrente,RR_Velocity,"&lt;&gt;")=0,NA(),SUMIFS(RR_Velocity,RR_ID_Rischio,$AA13,RR_Ciclo,cicloCorrente)))</f>
        <v/>
      </c>
      <c r="AG13">
        <f>IF($AA13="",NA(),IF(COUNTIFS(RR_ID_Rischio,$AA13,RR_Ciclo,cicloCorrente,RR_Score_Composito,"&lt;&gt;")=0,NA(),SUMIFS(RR_Score_Composito,RR_ID_Rischio,$AA13,RR_Ciclo,cicloCorrente)))</f>
        <v/>
      </c>
      <c r="AH13">
        <f>IF($AA13="",NA(),IF(COUNTIFS(RR_ID_Rischio,$AA13,RR_Ciclo,cicloPrecedente,RR_Score_Composito,"&lt;&gt;")=0,NA(),SUMIFS(RR_Score_Composito,RR_ID_Rischio,$AA13,RR_Ciclo,cicloPrecedente)))</f>
        <v/>
      </c>
      <c r="AI13">
        <f>IF($AA13="",NA(),IF(COUNTIFS(RR_ID_Rischio,$AA13,RR_Ciclo,cicloMeno2,RR_Score_Composito,"&lt;&gt;")=0,NA(),SUMIFS(RR_Score_Composito,RR_ID_Rischio,$AA13,RR_Ciclo,cicloMeno2)))</f>
        <v/>
      </c>
      <c r="AJ13">
        <f>IF($AA13="","",COUNTIFS(NW_Rischio_ID,$AA13,NW_Segnale,"Peggiorativo",NW_Settimana,"&gt;="&amp;inizioFinestra4,NW_Settimana,"&lt;="&amp;settimanaCorrente)-COUNTIFS(NW_Rischio_ID,$AA13,NW_Segnale,"Migliorativo",NW_Settimana,"&gt;="&amp;inizioFinestra4,NW_Settimana,"&lt;="&amp;settimanaCorrente))</f>
        <v/>
      </c>
      <c r="AK13">
        <f>IF($AA13="","",IF(AJ13&gt;=sogliaDirezione,"▲ +"&amp;AJ13,IF(AJ13&lt;=-sogliaDirezione,"▼ "&amp;AJ13,"● "&amp;IF(AJ13&gt;0,"+","")&amp;AJ13)))</f>
        <v/>
      </c>
      <c r="AL13">
        <f>IF($AA13="","",IF(ISNUMBER(AG13),AG13,-1)-5/100000)</f>
        <v/>
      </c>
      <c r="AM13">
        <f>IFERROR(MATCH(_xlfn.AGGREGATE(14,6,$AL$9:$AL$28,5),$AL$9:$AL$28,0),"")</f>
        <v/>
      </c>
      <c r="AN13">
        <f>IF($AA13="","",Radar_Mosca!$AA$9&amp;"")</f>
        <v/>
      </c>
    </row>
    <row r="14" ht="20" customHeight="1">
      <c r="A14" s="109">
        <f>IF($AM14="","",INDEX(posID,$AM14))</f>
        <v/>
      </c>
      <c r="B14" s="109">
        <f>IF($AM14="","",INDEX(posNome,$AM14))</f>
        <v/>
      </c>
      <c r="C14" s="110">
        <f>IF($AM14="","",INDEX(ANA_Event_Type,$AM14)&amp;"")</f>
        <v/>
      </c>
      <c r="D14" s="110">
        <f>IF($AM14="","",IF(ISNUMBER(INDEX(posImpatto,$AM14)),INDEX(posImpatto,$AM14),NA()))</f>
        <v/>
      </c>
      <c r="E14" s="110">
        <f>IF($AM14="","",IF(ISNUMBER(INDEX(posProbabilita,$AM14)),INDEX(posProbabilita,$AM14),NA()))</f>
        <v/>
      </c>
      <c r="F14" s="110">
        <f>IF($AM14="","",IF(ISNUMBER(INDEX(posProssimita,$AM14)),INDEX(posProssimita,$AM14),NA()))</f>
        <v/>
      </c>
      <c r="G14" s="110">
        <f>IF($AM14="","",IF(ISNUMBER(INDEX(posVelocity,$AM14)),INDEX(posVelocity,$AM14),"n.v."))</f>
        <v/>
      </c>
      <c r="H14" s="111">
        <f>IF($AM14="","",IF(ISNUMBER(INDEX(posScore,$AM14)),INDEX(posScore,$AM14),NA()))</f>
        <v/>
      </c>
      <c r="I14" s="38">
        <f>IF($AM14="","",IF(ISNUMBER(INDEX(posScorePrec,$AM14)),IFERROR(H14-INDEX(posScorePrec,$AM14),""),IF(ISNUMBER(H14),"nuovo","")))</f>
        <v/>
      </c>
      <c r="J14" s="38">
        <f>IF($AM14="","",IF(ISNUMBER(INDEX(posScore2,$AM14)),IFERROR(H14-INDEX(posScore2,$AM14),""),IF(ISNUMBER(H14),"nuovo","")))</f>
        <v/>
      </c>
      <c r="K14" s="110">
        <f>IF($AM14="","",INDEX(Radar_Mosca!$L$5:$L$24,$AM14)&amp;"")</f>
        <v/>
      </c>
      <c r="L14" s="112">
        <f>IF($AM14="","",IFERROR(INDEX(Radar_Mosca!$K$5:$K$24,$AM14),""))</f>
        <v/>
      </c>
      <c r="M14" s="110">
        <f>IF($AM14="","",IF(INDEX(ANA_Attenzione_Supervisore,$AM14)="Sì","◆",""))</f>
        <v/>
      </c>
      <c r="N14" s="113">
        <f>IF($A14="","",COUNTIFS(KRI_ID_Rischio,$A14,KRI_Ciclo,cicloCorrente,KRI_In_Vigore,"Sì",KRI_Stato,"Rosso"))</f>
        <v/>
      </c>
      <c r="O14" s="113">
        <f>IF($A14="","",COUNTIFS(KRI_ID_Rischio,$A14,KRI_Ciclo,cicloCorrente,KRI_In_Vigore,"Sì",KRI_Stato,"Ambra"))</f>
        <v/>
      </c>
      <c r="P14" s="113">
        <f>IF($A14="","",COUNTIFS(KRI_ID_Rischio,$A14,KRI_Ciclo,cicloCorrente,KRI_In_Vigore,"Sì",KRI_Stato,"Verde"))</f>
        <v/>
      </c>
      <c r="Q14" s="110">
        <f>IF($AM14="","",INDEX(posBadge,$AM14))</f>
        <v/>
      </c>
      <c r="R14" s="110">
        <f>IF($AM14="","",INDEX(ANA_Presidio_Controlli,$AM14)&amp;"")</f>
        <v/>
      </c>
      <c r="S14" s="110">
        <f>IF($A14="","",IF(OR(ISNUMBER(SEARCH("DA MOTIVARE",IFERROR(INDEX(RR_Rilievi,MATCH(cicloCorrente&amp;"|"&amp;$A14,RR_Chiave,0))&amp;"",""))),ISNUMBER(SEARCH("BLOCCANTE SUPERATO",IFERROR(INDEX(RR_Rilievi,MATCH(cicloCorrente&amp;"|"&amp;$A14,RR_Chiave,0))&amp;"","")))),"⚑ da motivare",IF(IFERROR(INDEX(RR_Rilievi,MATCH(cicloCorrente&amp;"|"&amp;$A14,RR_Chiave,0))&amp;"","")="","",LEN(IFERROR(INDEX(RR_Rilievi,MATCH(cicloCorrente&amp;"|"&amp;$A14,RR_Chiave,0))&amp;"",""))-LEN(SUBSTITUTE(IFERROR(INDEX(RR_Rilievi,MATCH(cicloCorrente&amp;"|"&amp;$A14,RR_Chiave,0))&amp;"",""),CHAR(10),""))+1&amp;" oss.")))</f>
        <v/>
      </c>
      <c r="T14" s="110">
        <f>IF($AM14="","",INDEX(ANA_Owner,$AM14)&amp;"")</f>
        <v/>
      </c>
      <c r="AA14">
        <f>IF(Parametri!$H9="","",Parametri!$H9)</f>
        <v/>
      </c>
      <c r="AB14">
        <f>IF($AA14="","",Parametri!$I9)</f>
        <v/>
      </c>
      <c r="AC14">
        <f>IF($AA14="",NA(),IF(COUNTIFS(RR_ID_Rischio,$AA14,RR_Ciclo,cicloCorrente,RR_Impatto,"&lt;&gt;")=0,NA(),SUMIFS(RR_Impatto,RR_ID_Rischio,$AA14,RR_Ciclo,cicloCorrente)))</f>
        <v/>
      </c>
      <c r="AD14">
        <f>IF($AA14="",NA(),IF(COUNTIFS(RR_ID_Rischio,$AA14,RR_Ciclo,cicloCorrente,RR_Probabilita,"&lt;&gt;")=0,NA(),SUMIFS(RR_Probabilita,RR_ID_Rischio,$AA14,RR_Ciclo,cicloCorrente)))</f>
        <v/>
      </c>
      <c r="AE14">
        <f>IF($AA14="",NA(),IF(COUNTIFS(RR_ID_Rischio,$AA14,RR_Ciclo,cicloCorrente,RR_Prossimita,"&lt;&gt;")=0,NA(),SUMIFS(RR_Prossimita,RR_ID_Rischio,$AA14,RR_Ciclo,cicloCorrente)))</f>
        <v/>
      </c>
      <c r="AF14">
        <f>IF($AA14="",NA(),IF(COUNTIFS(RR_ID_Rischio,$AA14,RR_Ciclo,cicloCorrente,RR_Velocity,"&lt;&gt;")=0,NA(),SUMIFS(RR_Velocity,RR_ID_Rischio,$AA14,RR_Ciclo,cicloCorrente)))</f>
        <v/>
      </c>
      <c r="AG14">
        <f>IF($AA14="",NA(),IF(COUNTIFS(RR_ID_Rischio,$AA14,RR_Ciclo,cicloCorrente,RR_Score_Composito,"&lt;&gt;")=0,NA(),SUMIFS(RR_Score_Composito,RR_ID_Rischio,$AA14,RR_Ciclo,cicloCorrente)))</f>
        <v/>
      </c>
      <c r="AH14">
        <f>IF($AA14="",NA(),IF(COUNTIFS(RR_ID_Rischio,$AA14,RR_Ciclo,cicloPrecedente,RR_Score_Composito,"&lt;&gt;")=0,NA(),SUMIFS(RR_Score_Composito,RR_ID_Rischio,$AA14,RR_Ciclo,cicloPrecedente)))</f>
        <v/>
      </c>
      <c r="AI14">
        <f>IF($AA14="",NA(),IF(COUNTIFS(RR_ID_Rischio,$AA14,RR_Ciclo,cicloMeno2,RR_Score_Composito,"&lt;&gt;")=0,NA(),SUMIFS(RR_Score_Composito,RR_ID_Rischio,$AA14,RR_Ciclo,cicloMeno2)))</f>
        <v/>
      </c>
      <c r="AJ14">
        <f>IF($AA14="","",COUNTIFS(NW_Rischio_ID,$AA14,NW_Segnale,"Peggiorativo",NW_Settimana,"&gt;="&amp;inizioFinestra4,NW_Settimana,"&lt;="&amp;settimanaCorrente)-COUNTIFS(NW_Rischio_ID,$AA14,NW_Segnale,"Migliorativo",NW_Settimana,"&gt;="&amp;inizioFinestra4,NW_Settimana,"&lt;="&amp;settimanaCorrente))</f>
        <v/>
      </c>
      <c r="AK14">
        <f>IF($AA14="","",IF(AJ14&gt;=sogliaDirezione,"▲ +"&amp;AJ14,IF(AJ14&lt;=-sogliaDirezione,"▼ "&amp;AJ14,"● "&amp;IF(AJ14&gt;0,"+","")&amp;AJ14)))</f>
        <v/>
      </c>
      <c r="AL14">
        <f>IF($AA14="","",IF(ISNUMBER(AG14),AG14,-1)-6/100000)</f>
        <v/>
      </c>
      <c r="AM14">
        <f>IFERROR(MATCH(_xlfn.AGGREGATE(14,6,$AL$9:$AL$28,6),$AL$9:$AL$28,0),"")</f>
        <v/>
      </c>
      <c r="AN14">
        <f>IF($AA14="","",Radar_Mosca!$AA$10&amp;"")</f>
        <v/>
      </c>
    </row>
    <row r="15" ht="20" customHeight="1">
      <c r="A15" s="109">
        <f>IF($AM15="","",INDEX(posID,$AM15))</f>
        <v/>
      </c>
      <c r="B15" s="109">
        <f>IF($AM15="","",INDEX(posNome,$AM15))</f>
        <v/>
      </c>
      <c r="C15" s="110">
        <f>IF($AM15="","",INDEX(ANA_Event_Type,$AM15)&amp;"")</f>
        <v/>
      </c>
      <c r="D15" s="110">
        <f>IF($AM15="","",IF(ISNUMBER(INDEX(posImpatto,$AM15)),INDEX(posImpatto,$AM15),NA()))</f>
        <v/>
      </c>
      <c r="E15" s="110">
        <f>IF($AM15="","",IF(ISNUMBER(INDEX(posProbabilita,$AM15)),INDEX(posProbabilita,$AM15),NA()))</f>
        <v/>
      </c>
      <c r="F15" s="110">
        <f>IF($AM15="","",IF(ISNUMBER(INDEX(posProssimita,$AM15)),INDEX(posProssimita,$AM15),NA()))</f>
        <v/>
      </c>
      <c r="G15" s="110">
        <f>IF($AM15="","",IF(ISNUMBER(INDEX(posVelocity,$AM15)),INDEX(posVelocity,$AM15),"n.v."))</f>
        <v/>
      </c>
      <c r="H15" s="111">
        <f>IF($AM15="","",IF(ISNUMBER(INDEX(posScore,$AM15)),INDEX(posScore,$AM15),NA()))</f>
        <v/>
      </c>
      <c r="I15" s="38">
        <f>IF($AM15="","",IF(ISNUMBER(INDEX(posScorePrec,$AM15)),IFERROR(H15-INDEX(posScorePrec,$AM15),""),IF(ISNUMBER(H15),"nuovo","")))</f>
        <v/>
      </c>
      <c r="J15" s="38">
        <f>IF($AM15="","",IF(ISNUMBER(INDEX(posScore2,$AM15)),IFERROR(H15-INDEX(posScore2,$AM15),""),IF(ISNUMBER(H15),"nuovo","")))</f>
        <v/>
      </c>
      <c r="K15" s="110">
        <f>IF($AM15="","",INDEX(Radar_Mosca!$L$5:$L$24,$AM15)&amp;"")</f>
        <v/>
      </c>
      <c r="L15" s="112">
        <f>IF($AM15="","",IFERROR(INDEX(Radar_Mosca!$K$5:$K$24,$AM15),""))</f>
        <v/>
      </c>
      <c r="M15" s="110">
        <f>IF($AM15="","",IF(INDEX(ANA_Attenzione_Supervisore,$AM15)="Sì","◆",""))</f>
        <v/>
      </c>
      <c r="N15" s="113">
        <f>IF($A15="","",COUNTIFS(KRI_ID_Rischio,$A15,KRI_Ciclo,cicloCorrente,KRI_In_Vigore,"Sì",KRI_Stato,"Rosso"))</f>
        <v/>
      </c>
      <c r="O15" s="113">
        <f>IF($A15="","",COUNTIFS(KRI_ID_Rischio,$A15,KRI_Ciclo,cicloCorrente,KRI_In_Vigore,"Sì",KRI_Stato,"Ambra"))</f>
        <v/>
      </c>
      <c r="P15" s="113">
        <f>IF($A15="","",COUNTIFS(KRI_ID_Rischio,$A15,KRI_Ciclo,cicloCorrente,KRI_In_Vigore,"Sì",KRI_Stato,"Verde"))</f>
        <v/>
      </c>
      <c r="Q15" s="110">
        <f>IF($AM15="","",INDEX(posBadge,$AM15))</f>
        <v/>
      </c>
      <c r="R15" s="110">
        <f>IF($AM15="","",INDEX(ANA_Presidio_Controlli,$AM15)&amp;"")</f>
        <v/>
      </c>
      <c r="S15" s="110">
        <f>IF($A15="","",IF(OR(ISNUMBER(SEARCH("DA MOTIVARE",IFERROR(INDEX(RR_Rilievi,MATCH(cicloCorrente&amp;"|"&amp;$A15,RR_Chiave,0))&amp;"",""))),ISNUMBER(SEARCH("BLOCCANTE SUPERATO",IFERROR(INDEX(RR_Rilievi,MATCH(cicloCorrente&amp;"|"&amp;$A15,RR_Chiave,0))&amp;"","")))),"⚑ da motivare",IF(IFERROR(INDEX(RR_Rilievi,MATCH(cicloCorrente&amp;"|"&amp;$A15,RR_Chiave,0))&amp;"","")="","",LEN(IFERROR(INDEX(RR_Rilievi,MATCH(cicloCorrente&amp;"|"&amp;$A15,RR_Chiave,0))&amp;"",""))-LEN(SUBSTITUTE(IFERROR(INDEX(RR_Rilievi,MATCH(cicloCorrente&amp;"|"&amp;$A15,RR_Chiave,0))&amp;"",""),CHAR(10),""))+1&amp;" oss.")))</f>
        <v/>
      </c>
      <c r="T15" s="110">
        <f>IF($AM15="","",INDEX(ANA_Owner,$AM15)&amp;"")</f>
        <v/>
      </c>
      <c r="AA15">
        <f>IF(Parametri!$H10="","",Parametri!$H10)</f>
        <v/>
      </c>
      <c r="AB15">
        <f>IF($AA15="","",Parametri!$I10)</f>
        <v/>
      </c>
      <c r="AC15">
        <f>IF($AA15="",NA(),IF(COUNTIFS(RR_ID_Rischio,$AA15,RR_Ciclo,cicloCorrente,RR_Impatto,"&lt;&gt;")=0,NA(),SUMIFS(RR_Impatto,RR_ID_Rischio,$AA15,RR_Ciclo,cicloCorrente)))</f>
        <v/>
      </c>
      <c r="AD15">
        <f>IF($AA15="",NA(),IF(COUNTIFS(RR_ID_Rischio,$AA15,RR_Ciclo,cicloCorrente,RR_Probabilita,"&lt;&gt;")=0,NA(),SUMIFS(RR_Probabilita,RR_ID_Rischio,$AA15,RR_Ciclo,cicloCorrente)))</f>
        <v/>
      </c>
      <c r="AE15">
        <f>IF($AA15="",NA(),IF(COUNTIFS(RR_ID_Rischio,$AA15,RR_Ciclo,cicloCorrente,RR_Prossimita,"&lt;&gt;")=0,NA(),SUMIFS(RR_Prossimita,RR_ID_Rischio,$AA15,RR_Ciclo,cicloCorrente)))</f>
        <v/>
      </c>
      <c r="AF15">
        <f>IF($AA15="",NA(),IF(COUNTIFS(RR_ID_Rischio,$AA15,RR_Ciclo,cicloCorrente,RR_Velocity,"&lt;&gt;")=0,NA(),SUMIFS(RR_Velocity,RR_ID_Rischio,$AA15,RR_Ciclo,cicloCorrente)))</f>
        <v/>
      </c>
      <c r="AG15">
        <f>IF($AA15="",NA(),IF(COUNTIFS(RR_ID_Rischio,$AA15,RR_Ciclo,cicloCorrente,RR_Score_Composito,"&lt;&gt;")=0,NA(),SUMIFS(RR_Score_Composito,RR_ID_Rischio,$AA15,RR_Ciclo,cicloCorrente)))</f>
        <v/>
      </c>
      <c r="AH15">
        <f>IF($AA15="",NA(),IF(COUNTIFS(RR_ID_Rischio,$AA15,RR_Ciclo,cicloPrecedente,RR_Score_Composito,"&lt;&gt;")=0,NA(),SUMIFS(RR_Score_Composito,RR_ID_Rischio,$AA15,RR_Ciclo,cicloPrecedente)))</f>
        <v/>
      </c>
      <c r="AI15">
        <f>IF($AA15="",NA(),IF(COUNTIFS(RR_ID_Rischio,$AA15,RR_Ciclo,cicloMeno2,RR_Score_Composito,"&lt;&gt;")=0,NA(),SUMIFS(RR_Score_Composito,RR_ID_Rischio,$AA15,RR_Ciclo,cicloMeno2)))</f>
        <v/>
      </c>
      <c r="AJ15">
        <f>IF($AA15="","",COUNTIFS(NW_Rischio_ID,$AA15,NW_Segnale,"Peggiorativo",NW_Settimana,"&gt;="&amp;inizioFinestra4,NW_Settimana,"&lt;="&amp;settimanaCorrente)-COUNTIFS(NW_Rischio_ID,$AA15,NW_Segnale,"Migliorativo",NW_Settimana,"&gt;="&amp;inizioFinestra4,NW_Settimana,"&lt;="&amp;settimanaCorrente))</f>
        <v/>
      </c>
      <c r="AK15">
        <f>IF($AA15="","",IF(AJ15&gt;=sogliaDirezione,"▲ +"&amp;AJ15,IF(AJ15&lt;=-sogliaDirezione,"▼ "&amp;AJ15,"● "&amp;IF(AJ15&gt;0,"+","")&amp;AJ15)))</f>
        <v/>
      </c>
      <c r="AL15">
        <f>IF($AA15="","",IF(ISNUMBER(AG15),AG15,-1)-7/100000)</f>
        <v/>
      </c>
      <c r="AM15">
        <f>IFERROR(MATCH(_xlfn.AGGREGATE(14,6,$AL$9:$AL$28,7),$AL$9:$AL$28,0),"")</f>
        <v/>
      </c>
      <c r="AN15">
        <f>IF($AA15="","",Radar_Mosca!$AA$11&amp;"")</f>
        <v/>
      </c>
    </row>
    <row r="16" ht="20" customHeight="1">
      <c r="A16" s="109">
        <f>IF($AM16="","",INDEX(posID,$AM16))</f>
        <v/>
      </c>
      <c r="B16" s="109">
        <f>IF($AM16="","",INDEX(posNome,$AM16))</f>
        <v/>
      </c>
      <c r="C16" s="110">
        <f>IF($AM16="","",INDEX(ANA_Event_Type,$AM16)&amp;"")</f>
        <v/>
      </c>
      <c r="D16" s="110">
        <f>IF($AM16="","",IF(ISNUMBER(INDEX(posImpatto,$AM16)),INDEX(posImpatto,$AM16),NA()))</f>
        <v/>
      </c>
      <c r="E16" s="110">
        <f>IF($AM16="","",IF(ISNUMBER(INDEX(posProbabilita,$AM16)),INDEX(posProbabilita,$AM16),NA()))</f>
        <v/>
      </c>
      <c r="F16" s="110">
        <f>IF($AM16="","",IF(ISNUMBER(INDEX(posProssimita,$AM16)),INDEX(posProssimita,$AM16),NA()))</f>
        <v/>
      </c>
      <c r="G16" s="110">
        <f>IF($AM16="","",IF(ISNUMBER(INDEX(posVelocity,$AM16)),INDEX(posVelocity,$AM16),"n.v."))</f>
        <v/>
      </c>
      <c r="H16" s="111">
        <f>IF($AM16="","",IF(ISNUMBER(INDEX(posScore,$AM16)),INDEX(posScore,$AM16),NA()))</f>
        <v/>
      </c>
      <c r="I16" s="38">
        <f>IF($AM16="","",IF(ISNUMBER(INDEX(posScorePrec,$AM16)),IFERROR(H16-INDEX(posScorePrec,$AM16),""),IF(ISNUMBER(H16),"nuovo","")))</f>
        <v/>
      </c>
      <c r="J16" s="38">
        <f>IF($AM16="","",IF(ISNUMBER(INDEX(posScore2,$AM16)),IFERROR(H16-INDEX(posScore2,$AM16),""),IF(ISNUMBER(H16),"nuovo","")))</f>
        <v/>
      </c>
      <c r="K16" s="110">
        <f>IF($AM16="","",INDEX(Radar_Mosca!$L$5:$L$24,$AM16)&amp;"")</f>
        <v/>
      </c>
      <c r="L16" s="112">
        <f>IF($AM16="","",IFERROR(INDEX(Radar_Mosca!$K$5:$K$24,$AM16),""))</f>
        <v/>
      </c>
      <c r="M16" s="110">
        <f>IF($AM16="","",IF(INDEX(ANA_Attenzione_Supervisore,$AM16)="Sì","◆",""))</f>
        <v/>
      </c>
      <c r="N16" s="113">
        <f>IF($A16="","",COUNTIFS(KRI_ID_Rischio,$A16,KRI_Ciclo,cicloCorrente,KRI_In_Vigore,"Sì",KRI_Stato,"Rosso"))</f>
        <v/>
      </c>
      <c r="O16" s="113">
        <f>IF($A16="","",COUNTIFS(KRI_ID_Rischio,$A16,KRI_Ciclo,cicloCorrente,KRI_In_Vigore,"Sì",KRI_Stato,"Ambra"))</f>
        <v/>
      </c>
      <c r="P16" s="113">
        <f>IF($A16="","",COUNTIFS(KRI_ID_Rischio,$A16,KRI_Ciclo,cicloCorrente,KRI_In_Vigore,"Sì",KRI_Stato,"Verde"))</f>
        <v/>
      </c>
      <c r="Q16" s="110">
        <f>IF($AM16="","",INDEX(posBadge,$AM16))</f>
        <v/>
      </c>
      <c r="R16" s="110">
        <f>IF($AM16="","",INDEX(ANA_Presidio_Controlli,$AM16)&amp;"")</f>
        <v/>
      </c>
      <c r="S16" s="110">
        <f>IF($A16="","",IF(OR(ISNUMBER(SEARCH("DA MOTIVARE",IFERROR(INDEX(RR_Rilievi,MATCH(cicloCorrente&amp;"|"&amp;$A16,RR_Chiave,0))&amp;"",""))),ISNUMBER(SEARCH("BLOCCANTE SUPERATO",IFERROR(INDEX(RR_Rilievi,MATCH(cicloCorrente&amp;"|"&amp;$A16,RR_Chiave,0))&amp;"","")))),"⚑ da motivare",IF(IFERROR(INDEX(RR_Rilievi,MATCH(cicloCorrente&amp;"|"&amp;$A16,RR_Chiave,0))&amp;"","")="","",LEN(IFERROR(INDEX(RR_Rilievi,MATCH(cicloCorrente&amp;"|"&amp;$A16,RR_Chiave,0))&amp;"",""))-LEN(SUBSTITUTE(IFERROR(INDEX(RR_Rilievi,MATCH(cicloCorrente&amp;"|"&amp;$A16,RR_Chiave,0))&amp;"",""),CHAR(10),""))+1&amp;" oss.")))</f>
        <v/>
      </c>
      <c r="T16" s="110">
        <f>IF($AM16="","",INDEX(ANA_Owner,$AM16)&amp;"")</f>
        <v/>
      </c>
      <c r="AA16">
        <f>IF(Parametri!$H11="","",Parametri!$H11)</f>
        <v/>
      </c>
      <c r="AB16">
        <f>IF($AA16="","",Parametri!$I11)</f>
        <v/>
      </c>
      <c r="AC16">
        <f>IF($AA16="",NA(),IF(COUNTIFS(RR_ID_Rischio,$AA16,RR_Ciclo,cicloCorrente,RR_Impatto,"&lt;&gt;")=0,NA(),SUMIFS(RR_Impatto,RR_ID_Rischio,$AA16,RR_Ciclo,cicloCorrente)))</f>
        <v/>
      </c>
      <c r="AD16">
        <f>IF($AA16="",NA(),IF(COUNTIFS(RR_ID_Rischio,$AA16,RR_Ciclo,cicloCorrente,RR_Probabilita,"&lt;&gt;")=0,NA(),SUMIFS(RR_Probabilita,RR_ID_Rischio,$AA16,RR_Ciclo,cicloCorrente)))</f>
        <v/>
      </c>
      <c r="AE16">
        <f>IF($AA16="",NA(),IF(COUNTIFS(RR_ID_Rischio,$AA16,RR_Ciclo,cicloCorrente,RR_Prossimita,"&lt;&gt;")=0,NA(),SUMIFS(RR_Prossimita,RR_ID_Rischio,$AA16,RR_Ciclo,cicloCorrente)))</f>
        <v/>
      </c>
      <c r="AF16">
        <f>IF($AA16="",NA(),IF(COUNTIFS(RR_ID_Rischio,$AA16,RR_Ciclo,cicloCorrente,RR_Velocity,"&lt;&gt;")=0,NA(),SUMIFS(RR_Velocity,RR_ID_Rischio,$AA16,RR_Ciclo,cicloCorrente)))</f>
        <v/>
      </c>
      <c r="AG16">
        <f>IF($AA16="",NA(),IF(COUNTIFS(RR_ID_Rischio,$AA16,RR_Ciclo,cicloCorrente,RR_Score_Composito,"&lt;&gt;")=0,NA(),SUMIFS(RR_Score_Composito,RR_ID_Rischio,$AA16,RR_Ciclo,cicloCorrente)))</f>
        <v/>
      </c>
      <c r="AH16">
        <f>IF($AA16="",NA(),IF(COUNTIFS(RR_ID_Rischio,$AA16,RR_Ciclo,cicloPrecedente,RR_Score_Composito,"&lt;&gt;")=0,NA(),SUMIFS(RR_Score_Composito,RR_ID_Rischio,$AA16,RR_Ciclo,cicloPrecedente)))</f>
        <v/>
      </c>
      <c r="AI16">
        <f>IF($AA16="",NA(),IF(COUNTIFS(RR_ID_Rischio,$AA16,RR_Ciclo,cicloMeno2,RR_Score_Composito,"&lt;&gt;")=0,NA(),SUMIFS(RR_Score_Composito,RR_ID_Rischio,$AA16,RR_Ciclo,cicloMeno2)))</f>
        <v/>
      </c>
      <c r="AJ16">
        <f>IF($AA16="","",COUNTIFS(NW_Rischio_ID,$AA16,NW_Segnale,"Peggiorativo",NW_Settimana,"&gt;="&amp;inizioFinestra4,NW_Settimana,"&lt;="&amp;settimanaCorrente)-COUNTIFS(NW_Rischio_ID,$AA16,NW_Segnale,"Migliorativo",NW_Settimana,"&gt;="&amp;inizioFinestra4,NW_Settimana,"&lt;="&amp;settimanaCorrente))</f>
        <v/>
      </c>
      <c r="AK16">
        <f>IF($AA16="","",IF(AJ16&gt;=sogliaDirezione,"▲ +"&amp;AJ16,IF(AJ16&lt;=-sogliaDirezione,"▼ "&amp;AJ16,"● "&amp;IF(AJ16&gt;0,"+","")&amp;AJ16)))</f>
        <v/>
      </c>
      <c r="AL16">
        <f>IF($AA16="","",IF(ISNUMBER(AG16),AG16,-1)-8/100000)</f>
        <v/>
      </c>
      <c r="AM16">
        <f>IFERROR(MATCH(_xlfn.AGGREGATE(14,6,$AL$9:$AL$28,8),$AL$9:$AL$28,0),"")</f>
        <v/>
      </c>
      <c r="AN16">
        <f>IF($AA16="","",Radar_Mosca!$AA$12&amp;"")</f>
        <v/>
      </c>
    </row>
    <row r="17" ht="20" customHeight="1">
      <c r="A17" s="109">
        <f>IF($AM17="","",INDEX(posID,$AM17))</f>
        <v/>
      </c>
      <c r="B17" s="109">
        <f>IF($AM17="","",INDEX(posNome,$AM17))</f>
        <v/>
      </c>
      <c r="C17" s="110">
        <f>IF($AM17="","",INDEX(ANA_Event_Type,$AM17)&amp;"")</f>
        <v/>
      </c>
      <c r="D17" s="110">
        <f>IF($AM17="","",IF(ISNUMBER(INDEX(posImpatto,$AM17)),INDEX(posImpatto,$AM17),NA()))</f>
        <v/>
      </c>
      <c r="E17" s="110">
        <f>IF($AM17="","",IF(ISNUMBER(INDEX(posProbabilita,$AM17)),INDEX(posProbabilita,$AM17),NA()))</f>
        <v/>
      </c>
      <c r="F17" s="110">
        <f>IF($AM17="","",IF(ISNUMBER(INDEX(posProssimita,$AM17)),INDEX(posProssimita,$AM17),NA()))</f>
        <v/>
      </c>
      <c r="G17" s="110">
        <f>IF($AM17="","",IF(ISNUMBER(INDEX(posVelocity,$AM17)),INDEX(posVelocity,$AM17),"n.v."))</f>
        <v/>
      </c>
      <c r="H17" s="111">
        <f>IF($AM17="","",IF(ISNUMBER(INDEX(posScore,$AM17)),INDEX(posScore,$AM17),NA()))</f>
        <v/>
      </c>
      <c r="I17" s="38">
        <f>IF($AM17="","",IF(ISNUMBER(INDEX(posScorePrec,$AM17)),IFERROR(H17-INDEX(posScorePrec,$AM17),""),IF(ISNUMBER(H17),"nuovo","")))</f>
        <v/>
      </c>
      <c r="J17" s="38">
        <f>IF($AM17="","",IF(ISNUMBER(INDEX(posScore2,$AM17)),IFERROR(H17-INDEX(posScore2,$AM17),""),IF(ISNUMBER(H17),"nuovo","")))</f>
        <v/>
      </c>
      <c r="K17" s="110">
        <f>IF($AM17="","",INDEX(Radar_Mosca!$L$5:$L$24,$AM17)&amp;"")</f>
        <v/>
      </c>
      <c r="L17" s="112">
        <f>IF($AM17="","",IFERROR(INDEX(Radar_Mosca!$K$5:$K$24,$AM17),""))</f>
        <v/>
      </c>
      <c r="M17" s="110">
        <f>IF($AM17="","",IF(INDEX(ANA_Attenzione_Supervisore,$AM17)="Sì","◆",""))</f>
        <v/>
      </c>
      <c r="N17" s="113">
        <f>IF($A17="","",COUNTIFS(KRI_ID_Rischio,$A17,KRI_Ciclo,cicloCorrente,KRI_In_Vigore,"Sì",KRI_Stato,"Rosso"))</f>
        <v/>
      </c>
      <c r="O17" s="113">
        <f>IF($A17="","",COUNTIFS(KRI_ID_Rischio,$A17,KRI_Ciclo,cicloCorrente,KRI_In_Vigore,"Sì",KRI_Stato,"Ambra"))</f>
        <v/>
      </c>
      <c r="P17" s="113">
        <f>IF($A17="","",COUNTIFS(KRI_ID_Rischio,$A17,KRI_Ciclo,cicloCorrente,KRI_In_Vigore,"Sì",KRI_Stato,"Verde"))</f>
        <v/>
      </c>
      <c r="Q17" s="110">
        <f>IF($AM17="","",INDEX(posBadge,$AM17))</f>
        <v/>
      </c>
      <c r="R17" s="110">
        <f>IF($AM17="","",INDEX(ANA_Presidio_Controlli,$AM17)&amp;"")</f>
        <v/>
      </c>
      <c r="S17" s="110">
        <f>IF($A17="","",IF(OR(ISNUMBER(SEARCH("DA MOTIVARE",IFERROR(INDEX(RR_Rilievi,MATCH(cicloCorrente&amp;"|"&amp;$A17,RR_Chiave,0))&amp;"",""))),ISNUMBER(SEARCH("BLOCCANTE SUPERATO",IFERROR(INDEX(RR_Rilievi,MATCH(cicloCorrente&amp;"|"&amp;$A17,RR_Chiave,0))&amp;"","")))),"⚑ da motivare",IF(IFERROR(INDEX(RR_Rilievi,MATCH(cicloCorrente&amp;"|"&amp;$A17,RR_Chiave,0))&amp;"","")="","",LEN(IFERROR(INDEX(RR_Rilievi,MATCH(cicloCorrente&amp;"|"&amp;$A17,RR_Chiave,0))&amp;"",""))-LEN(SUBSTITUTE(IFERROR(INDEX(RR_Rilievi,MATCH(cicloCorrente&amp;"|"&amp;$A17,RR_Chiave,0))&amp;"",""),CHAR(10),""))+1&amp;" oss.")))</f>
        <v/>
      </c>
      <c r="T17" s="110">
        <f>IF($AM17="","",INDEX(ANA_Owner,$AM17)&amp;"")</f>
        <v/>
      </c>
      <c r="AA17">
        <f>IF(Parametri!$H12="","",Parametri!$H12)</f>
        <v/>
      </c>
      <c r="AB17">
        <f>IF($AA17="","",Parametri!$I12)</f>
        <v/>
      </c>
      <c r="AC17">
        <f>IF($AA17="",NA(),IF(COUNTIFS(RR_ID_Rischio,$AA17,RR_Ciclo,cicloCorrente,RR_Impatto,"&lt;&gt;")=0,NA(),SUMIFS(RR_Impatto,RR_ID_Rischio,$AA17,RR_Ciclo,cicloCorrente)))</f>
        <v/>
      </c>
      <c r="AD17">
        <f>IF($AA17="",NA(),IF(COUNTIFS(RR_ID_Rischio,$AA17,RR_Ciclo,cicloCorrente,RR_Probabilita,"&lt;&gt;")=0,NA(),SUMIFS(RR_Probabilita,RR_ID_Rischio,$AA17,RR_Ciclo,cicloCorrente)))</f>
        <v/>
      </c>
      <c r="AE17">
        <f>IF($AA17="",NA(),IF(COUNTIFS(RR_ID_Rischio,$AA17,RR_Ciclo,cicloCorrente,RR_Prossimita,"&lt;&gt;")=0,NA(),SUMIFS(RR_Prossimita,RR_ID_Rischio,$AA17,RR_Ciclo,cicloCorrente)))</f>
        <v/>
      </c>
      <c r="AF17">
        <f>IF($AA17="",NA(),IF(COUNTIFS(RR_ID_Rischio,$AA17,RR_Ciclo,cicloCorrente,RR_Velocity,"&lt;&gt;")=0,NA(),SUMIFS(RR_Velocity,RR_ID_Rischio,$AA17,RR_Ciclo,cicloCorrente)))</f>
        <v/>
      </c>
      <c r="AG17">
        <f>IF($AA17="",NA(),IF(COUNTIFS(RR_ID_Rischio,$AA17,RR_Ciclo,cicloCorrente,RR_Score_Composito,"&lt;&gt;")=0,NA(),SUMIFS(RR_Score_Composito,RR_ID_Rischio,$AA17,RR_Ciclo,cicloCorrente)))</f>
        <v/>
      </c>
      <c r="AH17">
        <f>IF($AA17="",NA(),IF(COUNTIFS(RR_ID_Rischio,$AA17,RR_Ciclo,cicloPrecedente,RR_Score_Composito,"&lt;&gt;")=0,NA(),SUMIFS(RR_Score_Composito,RR_ID_Rischio,$AA17,RR_Ciclo,cicloPrecedente)))</f>
        <v/>
      </c>
      <c r="AI17">
        <f>IF($AA17="",NA(),IF(COUNTIFS(RR_ID_Rischio,$AA17,RR_Ciclo,cicloMeno2,RR_Score_Composito,"&lt;&gt;")=0,NA(),SUMIFS(RR_Score_Composito,RR_ID_Rischio,$AA17,RR_Ciclo,cicloMeno2)))</f>
        <v/>
      </c>
      <c r="AJ17">
        <f>IF($AA17="","",COUNTIFS(NW_Rischio_ID,$AA17,NW_Segnale,"Peggiorativo",NW_Settimana,"&gt;="&amp;inizioFinestra4,NW_Settimana,"&lt;="&amp;settimanaCorrente)-COUNTIFS(NW_Rischio_ID,$AA17,NW_Segnale,"Migliorativo",NW_Settimana,"&gt;="&amp;inizioFinestra4,NW_Settimana,"&lt;="&amp;settimanaCorrente))</f>
        <v/>
      </c>
      <c r="AK17">
        <f>IF($AA17="","",IF(AJ17&gt;=sogliaDirezione,"▲ +"&amp;AJ17,IF(AJ17&lt;=-sogliaDirezione,"▼ "&amp;AJ17,"● "&amp;IF(AJ17&gt;0,"+","")&amp;AJ17)))</f>
        <v/>
      </c>
      <c r="AL17">
        <f>IF($AA17="","",IF(ISNUMBER(AG17),AG17,-1)-9/100000)</f>
        <v/>
      </c>
      <c r="AM17">
        <f>IFERROR(MATCH(_xlfn.AGGREGATE(14,6,$AL$9:$AL$28,9),$AL$9:$AL$28,0),"")</f>
        <v/>
      </c>
      <c r="AN17">
        <f>IF($AA17="","",Radar_Mosca!$AA$13&amp;"")</f>
        <v/>
      </c>
    </row>
    <row r="18" ht="20" customHeight="1">
      <c r="A18" s="109">
        <f>IF($AM18="","",INDEX(posID,$AM18))</f>
        <v/>
      </c>
      <c r="B18" s="109">
        <f>IF($AM18="","",INDEX(posNome,$AM18))</f>
        <v/>
      </c>
      <c r="C18" s="110">
        <f>IF($AM18="","",INDEX(ANA_Event_Type,$AM18)&amp;"")</f>
        <v/>
      </c>
      <c r="D18" s="110">
        <f>IF($AM18="","",IF(ISNUMBER(INDEX(posImpatto,$AM18)),INDEX(posImpatto,$AM18),NA()))</f>
        <v/>
      </c>
      <c r="E18" s="110">
        <f>IF($AM18="","",IF(ISNUMBER(INDEX(posProbabilita,$AM18)),INDEX(posProbabilita,$AM18),NA()))</f>
        <v/>
      </c>
      <c r="F18" s="110">
        <f>IF($AM18="","",IF(ISNUMBER(INDEX(posProssimita,$AM18)),INDEX(posProssimita,$AM18),NA()))</f>
        <v/>
      </c>
      <c r="G18" s="110">
        <f>IF($AM18="","",IF(ISNUMBER(INDEX(posVelocity,$AM18)),INDEX(posVelocity,$AM18),"n.v."))</f>
        <v/>
      </c>
      <c r="H18" s="111">
        <f>IF($AM18="","",IF(ISNUMBER(INDEX(posScore,$AM18)),INDEX(posScore,$AM18),NA()))</f>
        <v/>
      </c>
      <c r="I18" s="38">
        <f>IF($AM18="","",IF(ISNUMBER(INDEX(posScorePrec,$AM18)),IFERROR(H18-INDEX(posScorePrec,$AM18),""),IF(ISNUMBER(H18),"nuovo","")))</f>
        <v/>
      </c>
      <c r="J18" s="38">
        <f>IF($AM18="","",IF(ISNUMBER(INDEX(posScore2,$AM18)),IFERROR(H18-INDEX(posScore2,$AM18),""),IF(ISNUMBER(H18),"nuovo","")))</f>
        <v/>
      </c>
      <c r="K18" s="110">
        <f>IF($AM18="","",INDEX(Radar_Mosca!$L$5:$L$24,$AM18)&amp;"")</f>
        <v/>
      </c>
      <c r="L18" s="112">
        <f>IF($AM18="","",IFERROR(INDEX(Radar_Mosca!$K$5:$K$24,$AM18),""))</f>
        <v/>
      </c>
      <c r="M18" s="110">
        <f>IF($AM18="","",IF(INDEX(ANA_Attenzione_Supervisore,$AM18)="Sì","◆",""))</f>
        <v/>
      </c>
      <c r="N18" s="113">
        <f>IF($A18="","",COUNTIFS(KRI_ID_Rischio,$A18,KRI_Ciclo,cicloCorrente,KRI_In_Vigore,"Sì",KRI_Stato,"Rosso"))</f>
        <v/>
      </c>
      <c r="O18" s="113">
        <f>IF($A18="","",COUNTIFS(KRI_ID_Rischio,$A18,KRI_Ciclo,cicloCorrente,KRI_In_Vigore,"Sì",KRI_Stato,"Ambra"))</f>
        <v/>
      </c>
      <c r="P18" s="113">
        <f>IF($A18="","",COUNTIFS(KRI_ID_Rischio,$A18,KRI_Ciclo,cicloCorrente,KRI_In_Vigore,"Sì",KRI_Stato,"Verde"))</f>
        <v/>
      </c>
      <c r="Q18" s="110">
        <f>IF($AM18="","",INDEX(posBadge,$AM18))</f>
        <v/>
      </c>
      <c r="R18" s="110">
        <f>IF($AM18="","",INDEX(ANA_Presidio_Controlli,$AM18)&amp;"")</f>
        <v/>
      </c>
      <c r="S18" s="110">
        <f>IF($A18="","",IF(OR(ISNUMBER(SEARCH("DA MOTIVARE",IFERROR(INDEX(RR_Rilievi,MATCH(cicloCorrente&amp;"|"&amp;$A18,RR_Chiave,0))&amp;"",""))),ISNUMBER(SEARCH("BLOCCANTE SUPERATO",IFERROR(INDEX(RR_Rilievi,MATCH(cicloCorrente&amp;"|"&amp;$A18,RR_Chiave,0))&amp;"","")))),"⚑ da motivare",IF(IFERROR(INDEX(RR_Rilievi,MATCH(cicloCorrente&amp;"|"&amp;$A18,RR_Chiave,0))&amp;"","")="","",LEN(IFERROR(INDEX(RR_Rilievi,MATCH(cicloCorrente&amp;"|"&amp;$A18,RR_Chiave,0))&amp;"",""))-LEN(SUBSTITUTE(IFERROR(INDEX(RR_Rilievi,MATCH(cicloCorrente&amp;"|"&amp;$A18,RR_Chiave,0))&amp;"",""),CHAR(10),""))+1&amp;" oss.")))</f>
        <v/>
      </c>
      <c r="T18" s="110">
        <f>IF($AM18="","",INDEX(ANA_Owner,$AM18)&amp;"")</f>
        <v/>
      </c>
      <c r="AA18">
        <f>IF(Parametri!$H13="","",Parametri!$H13)</f>
        <v/>
      </c>
      <c r="AB18">
        <f>IF($AA18="","",Parametri!$I13)</f>
        <v/>
      </c>
      <c r="AC18">
        <f>IF($AA18="",NA(),IF(COUNTIFS(RR_ID_Rischio,$AA18,RR_Ciclo,cicloCorrente,RR_Impatto,"&lt;&gt;")=0,NA(),SUMIFS(RR_Impatto,RR_ID_Rischio,$AA18,RR_Ciclo,cicloCorrente)))</f>
        <v/>
      </c>
      <c r="AD18">
        <f>IF($AA18="",NA(),IF(COUNTIFS(RR_ID_Rischio,$AA18,RR_Ciclo,cicloCorrente,RR_Probabilita,"&lt;&gt;")=0,NA(),SUMIFS(RR_Probabilita,RR_ID_Rischio,$AA18,RR_Ciclo,cicloCorrente)))</f>
        <v/>
      </c>
      <c r="AE18">
        <f>IF($AA18="",NA(),IF(COUNTIFS(RR_ID_Rischio,$AA18,RR_Ciclo,cicloCorrente,RR_Prossimita,"&lt;&gt;")=0,NA(),SUMIFS(RR_Prossimita,RR_ID_Rischio,$AA18,RR_Ciclo,cicloCorrente)))</f>
        <v/>
      </c>
      <c r="AF18">
        <f>IF($AA18="",NA(),IF(COUNTIFS(RR_ID_Rischio,$AA18,RR_Ciclo,cicloCorrente,RR_Velocity,"&lt;&gt;")=0,NA(),SUMIFS(RR_Velocity,RR_ID_Rischio,$AA18,RR_Ciclo,cicloCorrente)))</f>
        <v/>
      </c>
      <c r="AG18">
        <f>IF($AA18="",NA(),IF(COUNTIFS(RR_ID_Rischio,$AA18,RR_Ciclo,cicloCorrente,RR_Score_Composito,"&lt;&gt;")=0,NA(),SUMIFS(RR_Score_Composito,RR_ID_Rischio,$AA18,RR_Ciclo,cicloCorrente)))</f>
        <v/>
      </c>
      <c r="AH18">
        <f>IF($AA18="",NA(),IF(COUNTIFS(RR_ID_Rischio,$AA18,RR_Ciclo,cicloPrecedente,RR_Score_Composito,"&lt;&gt;")=0,NA(),SUMIFS(RR_Score_Composito,RR_ID_Rischio,$AA18,RR_Ciclo,cicloPrecedente)))</f>
        <v/>
      </c>
      <c r="AI18">
        <f>IF($AA18="",NA(),IF(COUNTIFS(RR_ID_Rischio,$AA18,RR_Ciclo,cicloMeno2,RR_Score_Composito,"&lt;&gt;")=0,NA(),SUMIFS(RR_Score_Composito,RR_ID_Rischio,$AA18,RR_Ciclo,cicloMeno2)))</f>
        <v/>
      </c>
      <c r="AJ18">
        <f>IF($AA18="","",COUNTIFS(NW_Rischio_ID,$AA18,NW_Segnale,"Peggiorativo",NW_Settimana,"&gt;="&amp;inizioFinestra4,NW_Settimana,"&lt;="&amp;settimanaCorrente)-COUNTIFS(NW_Rischio_ID,$AA18,NW_Segnale,"Migliorativo",NW_Settimana,"&gt;="&amp;inizioFinestra4,NW_Settimana,"&lt;="&amp;settimanaCorrente))</f>
        <v/>
      </c>
      <c r="AK18">
        <f>IF($AA18="","",IF(AJ18&gt;=sogliaDirezione,"▲ +"&amp;AJ18,IF(AJ18&lt;=-sogliaDirezione,"▼ "&amp;AJ18,"● "&amp;IF(AJ18&gt;0,"+","")&amp;AJ18)))</f>
        <v/>
      </c>
      <c r="AL18">
        <f>IF($AA18="","",IF(ISNUMBER(AG18),AG18,-1)-10/100000)</f>
        <v/>
      </c>
      <c r="AM18">
        <f>IFERROR(MATCH(_xlfn.AGGREGATE(14,6,$AL$9:$AL$28,10),$AL$9:$AL$28,0),"")</f>
        <v/>
      </c>
      <c r="AN18">
        <f>IF($AA18="","",Radar_Mosca!$AA$14&amp;"")</f>
        <v/>
      </c>
    </row>
    <row r="19" ht="20" customHeight="1">
      <c r="A19" s="109">
        <f>IF($AM19="","",INDEX(posID,$AM19))</f>
        <v/>
      </c>
      <c r="B19" s="109">
        <f>IF($AM19="","",INDEX(posNome,$AM19))</f>
        <v/>
      </c>
      <c r="C19" s="110">
        <f>IF($AM19="","",INDEX(ANA_Event_Type,$AM19)&amp;"")</f>
        <v/>
      </c>
      <c r="D19" s="110">
        <f>IF($AM19="","",IF(ISNUMBER(INDEX(posImpatto,$AM19)),INDEX(posImpatto,$AM19),NA()))</f>
        <v/>
      </c>
      <c r="E19" s="110">
        <f>IF($AM19="","",IF(ISNUMBER(INDEX(posProbabilita,$AM19)),INDEX(posProbabilita,$AM19),NA()))</f>
        <v/>
      </c>
      <c r="F19" s="110">
        <f>IF($AM19="","",IF(ISNUMBER(INDEX(posProssimita,$AM19)),INDEX(posProssimita,$AM19),NA()))</f>
        <v/>
      </c>
      <c r="G19" s="110">
        <f>IF($AM19="","",IF(ISNUMBER(INDEX(posVelocity,$AM19)),INDEX(posVelocity,$AM19),"n.v."))</f>
        <v/>
      </c>
      <c r="H19" s="111">
        <f>IF($AM19="","",IF(ISNUMBER(INDEX(posScore,$AM19)),INDEX(posScore,$AM19),NA()))</f>
        <v/>
      </c>
      <c r="I19" s="38">
        <f>IF($AM19="","",IF(ISNUMBER(INDEX(posScorePrec,$AM19)),IFERROR(H19-INDEX(posScorePrec,$AM19),""),IF(ISNUMBER(H19),"nuovo","")))</f>
        <v/>
      </c>
      <c r="J19" s="38">
        <f>IF($AM19="","",IF(ISNUMBER(INDEX(posScore2,$AM19)),IFERROR(H19-INDEX(posScore2,$AM19),""),IF(ISNUMBER(H19),"nuovo","")))</f>
        <v/>
      </c>
      <c r="K19" s="110">
        <f>IF($AM19="","",INDEX(Radar_Mosca!$L$5:$L$24,$AM19)&amp;"")</f>
        <v/>
      </c>
      <c r="L19" s="112">
        <f>IF($AM19="","",IFERROR(INDEX(Radar_Mosca!$K$5:$K$24,$AM19),""))</f>
        <v/>
      </c>
      <c r="M19" s="110">
        <f>IF($AM19="","",IF(INDEX(ANA_Attenzione_Supervisore,$AM19)="Sì","◆",""))</f>
        <v/>
      </c>
      <c r="N19" s="113">
        <f>IF($A19="","",COUNTIFS(KRI_ID_Rischio,$A19,KRI_Ciclo,cicloCorrente,KRI_In_Vigore,"Sì",KRI_Stato,"Rosso"))</f>
        <v/>
      </c>
      <c r="O19" s="113">
        <f>IF($A19="","",COUNTIFS(KRI_ID_Rischio,$A19,KRI_Ciclo,cicloCorrente,KRI_In_Vigore,"Sì",KRI_Stato,"Ambra"))</f>
        <v/>
      </c>
      <c r="P19" s="113">
        <f>IF($A19="","",COUNTIFS(KRI_ID_Rischio,$A19,KRI_Ciclo,cicloCorrente,KRI_In_Vigore,"Sì",KRI_Stato,"Verde"))</f>
        <v/>
      </c>
      <c r="Q19" s="110">
        <f>IF($AM19="","",INDEX(posBadge,$AM19))</f>
        <v/>
      </c>
      <c r="R19" s="110">
        <f>IF($AM19="","",INDEX(ANA_Presidio_Controlli,$AM19)&amp;"")</f>
        <v/>
      </c>
      <c r="S19" s="110">
        <f>IF($A19="","",IF(OR(ISNUMBER(SEARCH("DA MOTIVARE",IFERROR(INDEX(RR_Rilievi,MATCH(cicloCorrente&amp;"|"&amp;$A19,RR_Chiave,0))&amp;"",""))),ISNUMBER(SEARCH("BLOCCANTE SUPERATO",IFERROR(INDEX(RR_Rilievi,MATCH(cicloCorrente&amp;"|"&amp;$A19,RR_Chiave,0))&amp;"","")))),"⚑ da motivare",IF(IFERROR(INDEX(RR_Rilievi,MATCH(cicloCorrente&amp;"|"&amp;$A19,RR_Chiave,0))&amp;"","")="","",LEN(IFERROR(INDEX(RR_Rilievi,MATCH(cicloCorrente&amp;"|"&amp;$A19,RR_Chiave,0))&amp;"",""))-LEN(SUBSTITUTE(IFERROR(INDEX(RR_Rilievi,MATCH(cicloCorrente&amp;"|"&amp;$A19,RR_Chiave,0))&amp;"",""),CHAR(10),""))+1&amp;" oss.")))</f>
        <v/>
      </c>
      <c r="T19" s="110">
        <f>IF($AM19="","",INDEX(ANA_Owner,$AM19)&amp;"")</f>
        <v/>
      </c>
      <c r="AA19">
        <f>IF(Parametri!$H14="","",Parametri!$H14)</f>
        <v/>
      </c>
      <c r="AB19">
        <f>IF($AA19="","",Parametri!$I14)</f>
        <v/>
      </c>
      <c r="AC19">
        <f>IF($AA19="",NA(),IF(COUNTIFS(RR_ID_Rischio,$AA19,RR_Ciclo,cicloCorrente,RR_Impatto,"&lt;&gt;")=0,NA(),SUMIFS(RR_Impatto,RR_ID_Rischio,$AA19,RR_Ciclo,cicloCorrente)))</f>
        <v/>
      </c>
      <c r="AD19">
        <f>IF($AA19="",NA(),IF(COUNTIFS(RR_ID_Rischio,$AA19,RR_Ciclo,cicloCorrente,RR_Probabilita,"&lt;&gt;")=0,NA(),SUMIFS(RR_Probabilita,RR_ID_Rischio,$AA19,RR_Ciclo,cicloCorrente)))</f>
        <v/>
      </c>
      <c r="AE19">
        <f>IF($AA19="",NA(),IF(COUNTIFS(RR_ID_Rischio,$AA19,RR_Ciclo,cicloCorrente,RR_Prossimita,"&lt;&gt;")=0,NA(),SUMIFS(RR_Prossimita,RR_ID_Rischio,$AA19,RR_Ciclo,cicloCorrente)))</f>
        <v/>
      </c>
      <c r="AF19">
        <f>IF($AA19="",NA(),IF(COUNTIFS(RR_ID_Rischio,$AA19,RR_Ciclo,cicloCorrente,RR_Velocity,"&lt;&gt;")=0,NA(),SUMIFS(RR_Velocity,RR_ID_Rischio,$AA19,RR_Ciclo,cicloCorrente)))</f>
        <v/>
      </c>
      <c r="AG19">
        <f>IF($AA19="",NA(),IF(COUNTIFS(RR_ID_Rischio,$AA19,RR_Ciclo,cicloCorrente,RR_Score_Composito,"&lt;&gt;")=0,NA(),SUMIFS(RR_Score_Composito,RR_ID_Rischio,$AA19,RR_Ciclo,cicloCorrente)))</f>
        <v/>
      </c>
      <c r="AH19">
        <f>IF($AA19="",NA(),IF(COUNTIFS(RR_ID_Rischio,$AA19,RR_Ciclo,cicloPrecedente,RR_Score_Composito,"&lt;&gt;")=0,NA(),SUMIFS(RR_Score_Composito,RR_ID_Rischio,$AA19,RR_Ciclo,cicloPrecedente)))</f>
        <v/>
      </c>
      <c r="AI19">
        <f>IF($AA19="",NA(),IF(COUNTIFS(RR_ID_Rischio,$AA19,RR_Ciclo,cicloMeno2,RR_Score_Composito,"&lt;&gt;")=0,NA(),SUMIFS(RR_Score_Composito,RR_ID_Rischio,$AA19,RR_Ciclo,cicloMeno2)))</f>
        <v/>
      </c>
      <c r="AJ19">
        <f>IF($AA19="","",COUNTIFS(NW_Rischio_ID,$AA19,NW_Segnale,"Peggiorativo",NW_Settimana,"&gt;="&amp;inizioFinestra4,NW_Settimana,"&lt;="&amp;settimanaCorrente)-COUNTIFS(NW_Rischio_ID,$AA19,NW_Segnale,"Migliorativo",NW_Settimana,"&gt;="&amp;inizioFinestra4,NW_Settimana,"&lt;="&amp;settimanaCorrente))</f>
        <v/>
      </c>
      <c r="AK19">
        <f>IF($AA19="","",IF(AJ19&gt;=sogliaDirezione,"▲ +"&amp;AJ19,IF(AJ19&lt;=-sogliaDirezione,"▼ "&amp;AJ19,"● "&amp;IF(AJ19&gt;0,"+","")&amp;AJ19)))</f>
        <v/>
      </c>
      <c r="AL19">
        <f>IF($AA19="","",IF(ISNUMBER(AG19),AG19,-1)-11/100000)</f>
        <v/>
      </c>
      <c r="AM19">
        <f>IFERROR(MATCH(_xlfn.AGGREGATE(14,6,$AL$9:$AL$28,11),$AL$9:$AL$28,0),"")</f>
        <v/>
      </c>
      <c r="AN19">
        <f>IF($AA19="","",Radar_Mosca!$AA$15&amp;"")</f>
        <v/>
      </c>
    </row>
    <row r="20" ht="20" customHeight="1">
      <c r="A20" s="109">
        <f>IF($AM20="","",INDEX(posID,$AM20))</f>
        <v/>
      </c>
      <c r="B20" s="109">
        <f>IF($AM20="","",INDEX(posNome,$AM20))</f>
        <v/>
      </c>
      <c r="C20" s="110">
        <f>IF($AM20="","",INDEX(ANA_Event_Type,$AM20)&amp;"")</f>
        <v/>
      </c>
      <c r="D20" s="110">
        <f>IF($AM20="","",IF(ISNUMBER(INDEX(posImpatto,$AM20)),INDEX(posImpatto,$AM20),NA()))</f>
        <v/>
      </c>
      <c r="E20" s="110">
        <f>IF($AM20="","",IF(ISNUMBER(INDEX(posProbabilita,$AM20)),INDEX(posProbabilita,$AM20),NA()))</f>
        <v/>
      </c>
      <c r="F20" s="110">
        <f>IF($AM20="","",IF(ISNUMBER(INDEX(posProssimita,$AM20)),INDEX(posProssimita,$AM20),NA()))</f>
        <v/>
      </c>
      <c r="G20" s="110">
        <f>IF($AM20="","",IF(ISNUMBER(INDEX(posVelocity,$AM20)),INDEX(posVelocity,$AM20),"n.v."))</f>
        <v/>
      </c>
      <c r="H20" s="111">
        <f>IF($AM20="","",IF(ISNUMBER(INDEX(posScore,$AM20)),INDEX(posScore,$AM20),NA()))</f>
        <v/>
      </c>
      <c r="I20" s="38">
        <f>IF($AM20="","",IF(ISNUMBER(INDEX(posScorePrec,$AM20)),IFERROR(H20-INDEX(posScorePrec,$AM20),""),IF(ISNUMBER(H20),"nuovo","")))</f>
        <v/>
      </c>
      <c r="J20" s="38">
        <f>IF($AM20="","",IF(ISNUMBER(INDEX(posScore2,$AM20)),IFERROR(H20-INDEX(posScore2,$AM20),""),IF(ISNUMBER(H20),"nuovo","")))</f>
        <v/>
      </c>
      <c r="K20" s="110">
        <f>IF($AM20="","",INDEX(Radar_Mosca!$L$5:$L$24,$AM20)&amp;"")</f>
        <v/>
      </c>
      <c r="L20" s="112">
        <f>IF($AM20="","",IFERROR(INDEX(Radar_Mosca!$K$5:$K$24,$AM20),""))</f>
        <v/>
      </c>
      <c r="M20" s="110">
        <f>IF($AM20="","",IF(INDEX(ANA_Attenzione_Supervisore,$AM20)="Sì","◆",""))</f>
        <v/>
      </c>
      <c r="N20" s="113">
        <f>IF($A20="","",COUNTIFS(KRI_ID_Rischio,$A20,KRI_Ciclo,cicloCorrente,KRI_In_Vigore,"Sì",KRI_Stato,"Rosso"))</f>
        <v/>
      </c>
      <c r="O20" s="113">
        <f>IF($A20="","",COUNTIFS(KRI_ID_Rischio,$A20,KRI_Ciclo,cicloCorrente,KRI_In_Vigore,"Sì",KRI_Stato,"Ambra"))</f>
        <v/>
      </c>
      <c r="P20" s="113">
        <f>IF($A20="","",COUNTIFS(KRI_ID_Rischio,$A20,KRI_Ciclo,cicloCorrente,KRI_In_Vigore,"Sì",KRI_Stato,"Verde"))</f>
        <v/>
      </c>
      <c r="Q20" s="110">
        <f>IF($AM20="","",INDEX(posBadge,$AM20))</f>
        <v/>
      </c>
      <c r="R20" s="110">
        <f>IF($AM20="","",INDEX(ANA_Presidio_Controlli,$AM20)&amp;"")</f>
        <v/>
      </c>
      <c r="S20" s="110">
        <f>IF($A20="","",IF(OR(ISNUMBER(SEARCH("DA MOTIVARE",IFERROR(INDEX(RR_Rilievi,MATCH(cicloCorrente&amp;"|"&amp;$A20,RR_Chiave,0))&amp;"",""))),ISNUMBER(SEARCH("BLOCCANTE SUPERATO",IFERROR(INDEX(RR_Rilievi,MATCH(cicloCorrente&amp;"|"&amp;$A20,RR_Chiave,0))&amp;"","")))),"⚑ da motivare",IF(IFERROR(INDEX(RR_Rilievi,MATCH(cicloCorrente&amp;"|"&amp;$A20,RR_Chiave,0))&amp;"","")="","",LEN(IFERROR(INDEX(RR_Rilievi,MATCH(cicloCorrente&amp;"|"&amp;$A20,RR_Chiave,0))&amp;"",""))-LEN(SUBSTITUTE(IFERROR(INDEX(RR_Rilievi,MATCH(cicloCorrente&amp;"|"&amp;$A20,RR_Chiave,0))&amp;"",""),CHAR(10),""))+1&amp;" oss.")))</f>
        <v/>
      </c>
      <c r="T20" s="110">
        <f>IF($AM20="","",INDEX(ANA_Owner,$AM20)&amp;"")</f>
        <v/>
      </c>
      <c r="AA20">
        <f>IF(Parametri!$H15="","",Parametri!$H15)</f>
        <v/>
      </c>
      <c r="AB20">
        <f>IF($AA20="","",Parametri!$I15)</f>
        <v/>
      </c>
      <c r="AC20">
        <f>IF($AA20="",NA(),IF(COUNTIFS(RR_ID_Rischio,$AA20,RR_Ciclo,cicloCorrente,RR_Impatto,"&lt;&gt;")=0,NA(),SUMIFS(RR_Impatto,RR_ID_Rischio,$AA20,RR_Ciclo,cicloCorrente)))</f>
        <v/>
      </c>
      <c r="AD20">
        <f>IF($AA20="",NA(),IF(COUNTIFS(RR_ID_Rischio,$AA20,RR_Ciclo,cicloCorrente,RR_Probabilita,"&lt;&gt;")=0,NA(),SUMIFS(RR_Probabilita,RR_ID_Rischio,$AA20,RR_Ciclo,cicloCorrente)))</f>
        <v/>
      </c>
      <c r="AE20">
        <f>IF($AA20="",NA(),IF(COUNTIFS(RR_ID_Rischio,$AA20,RR_Ciclo,cicloCorrente,RR_Prossimita,"&lt;&gt;")=0,NA(),SUMIFS(RR_Prossimita,RR_ID_Rischio,$AA20,RR_Ciclo,cicloCorrente)))</f>
        <v/>
      </c>
      <c r="AF20">
        <f>IF($AA20="",NA(),IF(COUNTIFS(RR_ID_Rischio,$AA20,RR_Ciclo,cicloCorrente,RR_Velocity,"&lt;&gt;")=0,NA(),SUMIFS(RR_Velocity,RR_ID_Rischio,$AA20,RR_Ciclo,cicloCorrente)))</f>
        <v/>
      </c>
      <c r="AG20">
        <f>IF($AA20="",NA(),IF(COUNTIFS(RR_ID_Rischio,$AA20,RR_Ciclo,cicloCorrente,RR_Score_Composito,"&lt;&gt;")=0,NA(),SUMIFS(RR_Score_Composito,RR_ID_Rischio,$AA20,RR_Ciclo,cicloCorrente)))</f>
        <v/>
      </c>
      <c r="AH20">
        <f>IF($AA20="",NA(),IF(COUNTIFS(RR_ID_Rischio,$AA20,RR_Ciclo,cicloPrecedente,RR_Score_Composito,"&lt;&gt;")=0,NA(),SUMIFS(RR_Score_Composito,RR_ID_Rischio,$AA20,RR_Ciclo,cicloPrecedente)))</f>
        <v/>
      </c>
      <c r="AI20">
        <f>IF($AA20="",NA(),IF(COUNTIFS(RR_ID_Rischio,$AA20,RR_Ciclo,cicloMeno2,RR_Score_Composito,"&lt;&gt;")=0,NA(),SUMIFS(RR_Score_Composito,RR_ID_Rischio,$AA20,RR_Ciclo,cicloMeno2)))</f>
        <v/>
      </c>
      <c r="AJ20">
        <f>IF($AA20="","",COUNTIFS(NW_Rischio_ID,$AA20,NW_Segnale,"Peggiorativo",NW_Settimana,"&gt;="&amp;inizioFinestra4,NW_Settimana,"&lt;="&amp;settimanaCorrente)-COUNTIFS(NW_Rischio_ID,$AA20,NW_Segnale,"Migliorativo",NW_Settimana,"&gt;="&amp;inizioFinestra4,NW_Settimana,"&lt;="&amp;settimanaCorrente))</f>
        <v/>
      </c>
      <c r="AK20">
        <f>IF($AA20="","",IF(AJ20&gt;=sogliaDirezione,"▲ +"&amp;AJ20,IF(AJ20&lt;=-sogliaDirezione,"▼ "&amp;AJ20,"● "&amp;IF(AJ20&gt;0,"+","")&amp;AJ20)))</f>
        <v/>
      </c>
      <c r="AL20">
        <f>IF($AA20="","",IF(ISNUMBER(AG20),AG20,-1)-12/100000)</f>
        <v/>
      </c>
      <c r="AM20">
        <f>IFERROR(MATCH(_xlfn.AGGREGATE(14,6,$AL$9:$AL$28,12),$AL$9:$AL$28,0),"")</f>
        <v/>
      </c>
      <c r="AN20">
        <f>IF($AA20="","",Radar_Mosca!$AA$16&amp;"")</f>
        <v/>
      </c>
    </row>
    <row r="21" ht="20" customHeight="1">
      <c r="A21" s="109">
        <f>IF($AM21="","",INDEX(posID,$AM21))</f>
        <v/>
      </c>
      <c r="B21" s="109">
        <f>IF($AM21="","",INDEX(posNome,$AM21))</f>
        <v/>
      </c>
      <c r="C21" s="110">
        <f>IF($AM21="","",INDEX(ANA_Event_Type,$AM21)&amp;"")</f>
        <v/>
      </c>
      <c r="D21" s="110">
        <f>IF($AM21="","",IF(ISNUMBER(INDEX(posImpatto,$AM21)),INDEX(posImpatto,$AM21),NA()))</f>
        <v/>
      </c>
      <c r="E21" s="110">
        <f>IF($AM21="","",IF(ISNUMBER(INDEX(posProbabilita,$AM21)),INDEX(posProbabilita,$AM21),NA()))</f>
        <v/>
      </c>
      <c r="F21" s="110">
        <f>IF($AM21="","",IF(ISNUMBER(INDEX(posProssimita,$AM21)),INDEX(posProssimita,$AM21),NA()))</f>
        <v/>
      </c>
      <c r="G21" s="110">
        <f>IF($AM21="","",IF(ISNUMBER(INDEX(posVelocity,$AM21)),INDEX(posVelocity,$AM21),"n.v."))</f>
        <v/>
      </c>
      <c r="H21" s="111">
        <f>IF($AM21="","",IF(ISNUMBER(INDEX(posScore,$AM21)),INDEX(posScore,$AM21),NA()))</f>
        <v/>
      </c>
      <c r="I21" s="38">
        <f>IF($AM21="","",IF(ISNUMBER(INDEX(posScorePrec,$AM21)),IFERROR(H21-INDEX(posScorePrec,$AM21),""),IF(ISNUMBER(H21),"nuovo","")))</f>
        <v/>
      </c>
      <c r="J21" s="38">
        <f>IF($AM21="","",IF(ISNUMBER(INDEX(posScore2,$AM21)),IFERROR(H21-INDEX(posScore2,$AM21),""),IF(ISNUMBER(H21),"nuovo","")))</f>
        <v/>
      </c>
      <c r="K21" s="110">
        <f>IF($AM21="","",INDEX(Radar_Mosca!$L$5:$L$24,$AM21)&amp;"")</f>
        <v/>
      </c>
      <c r="L21" s="112">
        <f>IF($AM21="","",IFERROR(INDEX(Radar_Mosca!$K$5:$K$24,$AM21),""))</f>
        <v/>
      </c>
      <c r="M21" s="110">
        <f>IF($AM21="","",IF(INDEX(ANA_Attenzione_Supervisore,$AM21)="Sì","◆",""))</f>
        <v/>
      </c>
      <c r="N21" s="113">
        <f>IF($A21="","",COUNTIFS(KRI_ID_Rischio,$A21,KRI_Ciclo,cicloCorrente,KRI_In_Vigore,"Sì",KRI_Stato,"Rosso"))</f>
        <v/>
      </c>
      <c r="O21" s="113">
        <f>IF($A21="","",COUNTIFS(KRI_ID_Rischio,$A21,KRI_Ciclo,cicloCorrente,KRI_In_Vigore,"Sì",KRI_Stato,"Ambra"))</f>
        <v/>
      </c>
      <c r="P21" s="113">
        <f>IF($A21="","",COUNTIFS(KRI_ID_Rischio,$A21,KRI_Ciclo,cicloCorrente,KRI_In_Vigore,"Sì",KRI_Stato,"Verde"))</f>
        <v/>
      </c>
      <c r="Q21" s="110">
        <f>IF($AM21="","",INDEX(posBadge,$AM21))</f>
        <v/>
      </c>
      <c r="R21" s="110">
        <f>IF($AM21="","",INDEX(ANA_Presidio_Controlli,$AM21)&amp;"")</f>
        <v/>
      </c>
      <c r="S21" s="110">
        <f>IF($A21="","",IF(OR(ISNUMBER(SEARCH("DA MOTIVARE",IFERROR(INDEX(RR_Rilievi,MATCH(cicloCorrente&amp;"|"&amp;$A21,RR_Chiave,0))&amp;"",""))),ISNUMBER(SEARCH("BLOCCANTE SUPERATO",IFERROR(INDEX(RR_Rilievi,MATCH(cicloCorrente&amp;"|"&amp;$A21,RR_Chiave,0))&amp;"","")))),"⚑ da motivare",IF(IFERROR(INDEX(RR_Rilievi,MATCH(cicloCorrente&amp;"|"&amp;$A21,RR_Chiave,0))&amp;"","")="","",LEN(IFERROR(INDEX(RR_Rilievi,MATCH(cicloCorrente&amp;"|"&amp;$A21,RR_Chiave,0))&amp;"",""))-LEN(SUBSTITUTE(IFERROR(INDEX(RR_Rilievi,MATCH(cicloCorrente&amp;"|"&amp;$A21,RR_Chiave,0))&amp;"",""),CHAR(10),""))+1&amp;" oss.")))</f>
        <v/>
      </c>
      <c r="T21" s="110">
        <f>IF($AM21="","",INDEX(ANA_Owner,$AM21)&amp;"")</f>
        <v/>
      </c>
      <c r="AA21">
        <f>IF(Parametri!$H16="","",Parametri!$H16)</f>
        <v/>
      </c>
      <c r="AB21">
        <f>IF($AA21="","",Parametri!$I16)</f>
        <v/>
      </c>
      <c r="AC21">
        <f>IF($AA21="",NA(),IF(COUNTIFS(RR_ID_Rischio,$AA21,RR_Ciclo,cicloCorrente,RR_Impatto,"&lt;&gt;")=0,NA(),SUMIFS(RR_Impatto,RR_ID_Rischio,$AA21,RR_Ciclo,cicloCorrente)))</f>
        <v/>
      </c>
      <c r="AD21">
        <f>IF($AA21="",NA(),IF(COUNTIFS(RR_ID_Rischio,$AA21,RR_Ciclo,cicloCorrente,RR_Probabilita,"&lt;&gt;")=0,NA(),SUMIFS(RR_Probabilita,RR_ID_Rischio,$AA21,RR_Ciclo,cicloCorrente)))</f>
        <v/>
      </c>
      <c r="AE21">
        <f>IF($AA21="",NA(),IF(COUNTIFS(RR_ID_Rischio,$AA21,RR_Ciclo,cicloCorrente,RR_Prossimita,"&lt;&gt;")=0,NA(),SUMIFS(RR_Prossimita,RR_ID_Rischio,$AA21,RR_Ciclo,cicloCorrente)))</f>
        <v/>
      </c>
      <c r="AF21">
        <f>IF($AA21="",NA(),IF(COUNTIFS(RR_ID_Rischio,$AA21,RR_Ciclo,cicloCorrente,RR_Velocity,"&lt;&gt;")=0,NA(),SUMIFS(RR_Velocity,RR_ID_Rischio,$AA21,RR_Ciclo,cicloCorrente)))</f>
        <v/>
      </c>
      <c r="AG21">
        <f>IF($AA21="",NA(),IF(COUNTIFS(RR_ID_Rischio,$AA21,RR_Ciclo,cicloCorrente,RR_Score_Composito,"&lt;&gt;")=0,NA(),SUMIFS(RR_Score_Composito,RR_ID_Rischio,$AA21,RR_Ciclo,cicloCorrente)))</f>
        <v/>
      </c>
      <c r="AH21">
        <f>IF($AA21="",NA(),IF(COUNTIFS(RR_ID_Rischio,$AA21,RR_Ciclo,cicloPrecedente,RR_Score_Composito,"&lt;&gt;")=0,NA(),SUMIFS(RR_Score_Composito,RR_ID_Rischio,$AA21,RR_Ciclo,cicloPrecedente)))</f>
        <v/>
      </c>
      <c r="AI21">
        <f>IF($AA21="",NA(),IF(COUNTIFS(RR_ID_Rischio,$AA21,RR_Ciclo,cicloMeno2,RR_Score_Composito,"&lt;&gt;")=0,NA(),SUMIFS(RR_Score_Composito,RR_ID_Rischio,$AA21,RR_Ciclo,cicloMeno2)))</f>
        <v/>
      </c>
      <c r="AJ21">
        <f>IF($AA21="","",COUNTIFS(NW_Rischio_ID,$AA21,NW_Segnale,"Peggiorativo",NW_Settimana,"&gt;="&amp;inizioFinestra4,NW_Settimana,"&lt;="&amp;settimanaCorrente)-COUNTIFS(NW_Rischio_ID,$AA21,NW_Segnale,"Migliorativo",NW_Settimana,"&gt;="&amp;inizioFinestra4,NW_Settimana,"&lt;="&amp;settimanaCorrente))</f>
        <v/>
      </c>
      <c r="AK21">
        <f>IF($AA21="","",IF(AJ21&gt;=sogliaDirezione,"▲ +"&amp;AJ21,IF(AJ21&lt;=-sogliaDirezione,"▼ "&amp;AJ21,"● "&amp;IF(AJ21&gt;0,"+","")&amp;AJ21)))</f>
        <v/>
      </c>
      <c r="AL21">
        <f>IF($AA21="","",IF(ISNUMBER(AG21),AG21,-1)-13/100000)</f>
        <v/>
      </c>
      <c r="AM21">
        <f>IFERROR(MATCH(_xlfn.AGGREGATE(14,6,$AL$9:$AL$28,13),$AL$9:$AL$28,0),"")</f>
        <v/>
      </c>
      <c r="AN21">
        <f>IF($AA21="","",Radar_Mosca!$AA$17&amp;"")</f>
        <v/>
      </c>
    </row>
    <row r="22" ht="20" customHeight="1">
      <c r="A22" s="109">
        <f>IF($AM22="","",INDEX(posID,$AM22))</f>
        <v/>
      </c>
      <c r="B22" s="109">
        <f>IF($AM22="","",INDEX(posNome,$AM22))</f>
        <v/>
      </c>
      <c r="C22" s="110">
        <f>IF($AM22="","",INDEX(ANA_Event_Type,$AM22)&amp;"")</f>
        <v/>
      </c>
      <c r="D22" s="110">
        <f>IF($AM22="","",IF(ISNUMBER(INDEX(posImpatto,$AM22)),INDEX(posImpatto,$AM22),NA()))</f>
        <v/>
      </c>
      <c r="E22" s="110">
        <f>IF($AM22="","",IF(ISNUMBER(INDEX(posProbabilita,$AM22)),INDEX(posProbabilita,$AM22),NA()))</f>
        <v/>
      </c>
      <c r="F22" s="110">
        <f>IF($AM22="","",IF(ISNUMBER(INDEX(posProssimita,$AM22)),INDEX(posProssimita,$AM22),NA()))</f>
        <v/>
      </c>
      <c r="G22" s="110">
        <f>IF($AM22="","",IF(ISNUMBER(INDEX(posVelocity,$AM22)),INDEX(posVelocity,$AM22),"n.v."))</f>
        <v/>
      </c>
      <c r="H22" s="111">
        <f>IF($AM22="","",IF(ISNUMBER(INDEX(posScore,$AM22)),INDEX(posScore,$AM22),NA()))</f>
        <v/>
      </c>
      <c r="I22" s="38">
        <f>IF($AM22="","",IF(ISNUMBER(INDEX(posScorePrec,$AM22)),IFERROR(H22-INDEX(posScorePrec,$AM22),""),IF(ISNUMBER(H22),"nuovo","")))</f>
        <v/>
      </c>
      <c r="J22" s="38">
        <f>IF($AM22="","",IF(ISNUMBER(INDEX(posScore2,$AM22)),IFERROR(H22-INDEX(posScore2,$AM22),""),IF(ISNUMBER(H22),"nuovo","")))</f>
        <v/>
      </c>
      <c r="K22" s="110">
        <f>IF($AM22="","",INDEX(Radar_Mosca!$L$5:$L$24,$AM22)&amp;"")</f>
        <v/>
      </c>
      <c r="L22" s="112">
        <f>IF($AM22="","",IFERROR(INDEX(Radar_Mosca!$K$5:$K$24,$AM22),""))</f>
        <v/>
      </c>
      <c r="M22" s="110">
        <f>IF($AM22="","",IF(INDEX(ANA_Attenzione_Supervisore,$AM22)="Sì","◆",""))</f>
        <v/>
      </c>
      <c r="N22" s="113">
        <f>IF($A22="","",COUNTIFS(KRI_ID_Rischio,$A22,KRI_Ciclo,cicloCorrente,KRI_In_Vigore,"Sì",KRI_Stato,"Rosso"))</f>
        <v/>
      </c>
      <c r="O22" s="113">
        <f>IF($A22="","",COUNTIFS(KRI_ID_Rischio,$A22,KRI_Ciclo,cicloCorrente,KRI_In_Vigore,"Sì",KRI_Stato,"Ambra"))</f>
        <v/>
      </c>
      <c r="P22" s="113">
        <f>IF($A22="","",COUNTIFS(KRI_ID_Rischio,$A22,KRI_Ciclo,cicloCorrente,KRI_In_Vigore,"Sì",KRI_Stato,"Verde"))</f>
        <v/>
      </c>
      <c r="Q22" s="110">
        <f>IF($AM22="","",INDEX(posBadge,$AM22))</f>
        <v/>
      </c>
      <c r="R22" s="110">
        <f>IF($AM22="","",INDEX(ANA_Presidio_Controlli,$AM22)&amp;"")</f>
        <v/>
      </c>
      <c r="S22" s="110">
        <f>IF($A22="","",IF(OR(ISNUMBER(SEARCH("DA MOTIVARE",IFERROR(INDEX(RR_Rilievi,MATCH(cicloCorrente&amp;"|"&amp;$A22,RR_Chiave,0))&amp;"",""))),ISNUMBER(SEARCH("BLOCCANTE SUPERATO",IFERROR(INDEX(RR_Rilievi,MATCH(cicloCorrente&amp;"|"&amp;$A22,RR_Chiave,0))&amp;"","")))),"⚑ da motivare",IF(IFERROR(INDEX(RR_Rilievi,MATCH(cicloCorrente&amp;"|"&amp;$A22,RR_Chiave,0))&amp;"","")="","",LEN(IFERROR(INDEX(RR_Rilievi,MATCH(cicloCorrente&amp;"|"&amp;$A22,RR_Chiave,0))&amp;"",""))-LEN(SUBSTITUTE(IFERROR(INDEX(RR_Rilievi,MATCH(cicloCorrente&amp;"|"&amp;$A22,RR_Chiave,0))&amp;"",""),CHAR(10),""))+1&amp;" oss.")))</f>
        <v/>
      </c>
      <c r="T22" s="110">
        <f>IF($AM22="","",INDEX(ANA_Owner,$AM22)&amp;"")</f>
        <v/>
      </c>
      <c r="AA22">
        <f>IF(Parametri!$H17="","",Parametri!$H17)</f>
        <v/>
      </c>
      <c r="AB22">
        <f>IF($AA22="","",Parametri!$I17)</f>
        <v/>
      </c>
      <c r="AC22">
        <f>IF($AA22="",NA(),IF(COUNTIFS(RR_ID_Rischio,$AA22,RR_Ciclo,cicloCorrente,RR_Impatto,"&lt;&gt;")=0,NA(),SUMIFS(RR_Impatto,RR_ID_Rischio,$AA22,RR_Ciclo,cicloCorrente)))</f>
        <v/>
      </c>
      <c r="AD22">
        <f>IF($AA22="",NA(),IF(COUNTIFS(RR_ID_Rischio,$AA22,RR_Ciclo,cicloCorrente,RR_Probabilita,"&lt;&gt;")=0,NA(),SUMIFS(RR_Probabilita,RR_ID_Rischio,$AA22,RR_Ciclo,cicloCorrente)))</f>
        <v/>
      </c>
      <c r="AE22">
        <f>IF($AA22="",NA(),IF(COUNTIFS(RR_ID_Rischio,$AA22,RR_Ciclo,cicloCorrente,RR_Prossimita,"&lt;&gt;")=0,NA(),SUMIFS(RR_Prossimita,RR_ID_Rischio,$AA22,RR_Ciclo,cicloCorrente)))</f>
        <v/>
      </c>
      <c r="AF22">
        <f>IF($AA22="",NA(),IF(COUNTIFS(RR_ID_Rischio,$AA22,RR_Ciclo,cicloCorrente,RR_Velocity,"&lt;&gt;")=0,NA(),SUMIFS(RR_Velocity,RR_ID_Rischio,$AA22,RR_Ciclo,cicloCorrente)))</f>
        <v/>
      </c>
      <c r="AG22">
        <f>IF($AA22="",NA(),IF(COUNTIFS(RR_ID_Rischio,$AA22,RR_Ciclo,cicloCorrente,RR_Score_Composito,"&lt;&gt;")=0,NA(),SUMIFS(RR_Score_Composito,RR_ID_Rischio,$AA22,RR_Ciclo,cicloCorrente)))</f>
        <v/>
      </c>
      <c r="AH22">
        <f>IF($AA22="",NA(),IF(COUNTIFS(RR_ID_Rischio,$AA22,RR_Ciclo,cicloPrecedente,RR_Score_Composito,"&lt;&gt;")=0,NA(),SUMIFS(RR_Score_Composito,RR_ID_Rischio,$AA22,RR_Ciclo,cicloPrecedente)))</f>
        <v/>
      </c>
      <c r="AI22">
        <f>IF($AA22="",NA(),IF(COUNTIFS(RR_ID_Rischio,$AA22,RR_Ciclo,cicloMeno2,RR_Score_Composito,"&lt;&gt;")=0,NA(),SUMIFS(RR_Score_Composito,RR_ID_Rischio,$AA22,RR_Ciclo,cicloMeno2)))</f>
        <v/>
      </c>
      <c r="AJ22">
        <f>IF($AA22="","",COUNTIFS(NW_Rischio_ID,$AA22,NW_Segnale,"Peggiorativo",NW_Settimana,"&gt;="&amp;inizioFinestra4,NW_Settimana,"&lt;="&amp;settimanaCorrente)-COUNTIFS(NW_Rischio_ID,$AA22,NW_Segnale,"Migliorativo",NW_Settimana,"&gt;="&amp;inizioFinestra4,NW_Settimana,"&lt;="&amp;settimanaCorrente))</f>
        <v/>
      </c>
      <c r="AK22">
        <f>IF($AA22="","",IF(AJ22&gt;=sogliaDirezione,"▲ +"&amp;AJ22,IF(AJ22&lt;=-sogliaDirezione,"▼ "&amp;AJ22,"● "&amp;IF(AJ22&gt;0,"+","")&amp;AJ22)))</f>
        <v/>
      </c>
      <c r="AL22">
        <f>IF($AA22="","",IF(ISNUMBER(AG22),AG22,-1)-14/100000)</f>
        <v/>
      </c>
      <c r="AM22">
        <f>IFERROR(MATCH(_xlfn.AGGREGATE(14,6,$AL$9:$AL$28,14),$AL$9:$AL$28,0),"")</f>
        <v/>
      </c>
      <c r="AN22">
        <f>IF($AA22="","",Radar_Mosca!$AA$18&amp;"")</f>
        <v/>
      </c>
    </row>
    <row r="23" ht="20" customHeight="1">
      <c r="A23" s="109">
        <f>IF($AM23="","",INDEX(posID,$AM23))</f>
        <v/>
      </c>
      <c r="B23" s="109">
        <f>IF($AM23="","",INDEX(posNome,$AM23))</f>
        <v/>
      </c>
      <c r="C23" s="110">
        <f>IF($AM23="","",INDEX(ANA_Event_Type,$AM23)&amp;"")</f>
        <v/>
      </c>
      <c r="D23" s="110">
        <f>IF($AM23="","",IF(ISNUMBER(INDEX(posImpatto,$AM23)),INDEX(posImpatto,$AM23),NA()))</f>
        <v/>
      </c>
      <c r="E23" s="110">
        <f>IF($AM23="","",IF(ISNUMBER(INDEX(posProbabilita,$AM23)),INDEX(posProbabilita,$AM23),NA()))</f>
        <v/>
      </c>
      <c r="F23" s="110">
        <f>IF($AM23="","",IF(ISNUMBER(INDEX(posProssimita,$AM23)),INDEX(posProssimita,$AM23),NA()))</f>
        <v/>
      </c>
      <c r="G23" s="110">
        <f>IF($AM23="","",IF(ISNUMBER(INDEX(posVelocity,$AM23)),INDEX(posVelocity,$AM23),"n.v."))</f>
        <v/>
      </c>
      <c r="H23" s="111">
        <f>IF($AM23="","",IF(ISNUMBER(INDEX(posScore,$AM23)),INDEX(posScore,$AM23),NA()))</f>
        <v/>
      </c>
      <c r="I23" s="38">
        <f>IF($AM23="","",IF(ISNUMBER(INDEX(posScorePrec,$AM23)),IFERROR(H23-INDEX(posScorePrec,$AM23),""),IF(ISNUMBER(H23),"nuovo","")))</f>
        <v/>
      </c>
      <c r="J23" s="38">
        <f>IF($AM23="","",IF(ISNUMBER(INDEX(posScore2,$AM23)),IFERROR(H23-INDEX(posScore2,$AM23),""),IF(ISNUMBER(H23),"nuovo","")))</f>
        <v/>
      </c>
      <c r="K23" s="110">
        <f>IF($AM23="","",INDEX(Radar_Mosca!$L$5:$L$24,$AM23)&amp;"")</f>
        <v/>
      </c>
      <c r="L23" s="112">
        <f>IF($AM23="","",IFERROR(INDEX(Radar_Mosca!$K$5:$K$24,$AM23),""))</f>
        <v/>
      </c>
      <c r="M23" s="110">
        <f>IF($AM23="","",IF(INDEX(ANA_Attenzione_Supervisore,$AM23)="Sì","◆",""))</f>
        <v/>
      </c>
      <c r="N23" s="113">
        <f>IF($A23="","",COUNTIFS(KRI_ID_Rischio,$A23,KRI_Ciclo,cicloCorrente,KRI_In_Vigore,"Sì",KRI_Stato,"Rosso"))</f>
        <v/>
      </c>
      <c r="O23" s="113">
        <f>IF($A23="","",COUNTIFS(KRI_ID_Rischio,$A23,KRI_Ciclo,cicloCorrente,KRI_In_Vigore,"Sì",KRI_Stato,"Ambra"))</f>
        <v/>
      </c>
      <c r="P23" s="113">
        <f>IF($A23="","",COUNTIFS(KRI_ID_Rischio,$A23,KRI_Ciclo,cicloCorrente,KRI_In_Vigore,"Sì",KRI_Stato,"Verde"))</f>
        <v/>
      </c>
      <c r="Q23" s="110">
        <f>IF($AM23="","",INDEX(posBadge,$AM23))</f>
        <v/>
      </c>
      <c r="R23" s="110">
        <f>IF($AM23="","",INDEX(ANA_Presidio_Controlli,$AM23)&amp;"")</f>
        <v/>
      </c>
      <c r="S23" s="110">
        <f>IF($A23="","",IF(OR(ISNUMBER(SEARCH("DA MOTIVARE",IFERROR(INDEX(RR_Rilievi,MATCH(cicloCorrente&amp;"|"&amp;$A23,RR_Chiave,0))&amp;"",""))),ISNUMBER(SEARCH("BLOCCANTE SUPERATO",IFERROR(INDEX(RR_Rilievi,MATCH(cicloCorrente&amp;"|"&amp;$A23,RR_Chiave,0))&amp;"","")))),"⚑ da motivare",IF(IFERROR(INDEX(RR_Rilievi,MATCH(cicloCorrente&amp;"|"&amp;$A23,RR_Chiave,0))&amp;"","")="","",LEN(IFERROR(INDEX(RR_Rilievi,MATCH(cicloCorrente&amp;"|"&amp;$A23,RR_Chiave,0))&amp;"",""))-LEN(SUBSTITUTE(IFERROR(INDEX(RR_Rilievi,MATCH(cicloCorrente&amp;"|"&amp;$A23,RR_Chiave,0))&amp;"",""),CHAR(10),""))+1&amp;" oss.")))</f>
        <v/>
      </c>
      <c r="T23" s="110">
        <f>IF($AM23="","",INDEX(ANA_Owner,$AM23)&amp;"")</f>
        <v/>
      </c>
      <c r="AA23">
        <f>IF(Parametri!$H18="","",Parametri!$H18)</f>
        <v/>
      </c>
      <c r="AB23">
        <f>IF($AA23="","",Parametri!$I18)</f>
        <v/>
      </c>
      <c r="AC23">
        <f>IF($AA23="",NA(),IF(COUNTIFS(RR_ID_Rischio,$AA23,RR_Ciclo,cicloCorrente,RR_Impatto,"&lt;&gt;")=0,NA(),SUMIFS(RR_Impatto,RR_ID_Rischio,$AA23,RR_Ciclo,cicloCorrente)))</f>
        <v/>
      </c>
      <c r="AD23">
        <f>IF($AA23="",NA(),IF(COUNTIFS(RR_ID_Rischio,$AA23,RR_Ciclo,cicloCorrente,RR_Probabilita,"&lt;&gt;")=0,NA(),SUMIFS(RR_Probabilita,RR_ID_Rischio,$AA23,RR_Ciclo,cicloCorrente)))</f>
        <v/>
      </c>
      <c r="AE23">
        <f>IF($AA23="",NA(),IF(COUNTIFS(RR_ID_Rischio,$AA23,RR_Ciclo,cicloCorrente,RR_Prossimita,"&lt;&gt;")=0,NA(),SUMIFS(RR_Prossimita,RR_ID_Rischio,$AA23,RR_Ciclo,cicloCorrente)))</f>
        <v/>
      </c>
      <c r="AF23">
        <f>IF($AA23="",NA(),IF(COUNTIFS(RR_ID_Rischio,$AA23,RR_Ciclo,cicloCorrente,RR_Velocity,"&lt;&gt;")=0,NA(),SUMIFS(RR_Velocity,RR_ID_Rischio,$AA23,RR_Ciclo,cicloCorrente)))</f>
        <v/>
      </c>
      <c r="AG23">
        <f>IF($AA23="",NA(),IF(COUNTIFS(RR_ID_Rischio,$AA23,RR_Ciclo,cicloCorrente,RR_Score_Composito,"&lt;&gt;")=0,NA(),SUMIFS(RR_Score_Composito,RR_ID_Rischio,$AA23,RR_Ciclo,cicloCorrente)))</f>
        <v/>
      </c>
      <c r="AH23">
        <f>IF($AA23="",NA(),IF(COUNTIFS(RR_ID_Rischio,$AA23,RR_Ciclo,cicloPrecedente,RR_Score_Composito,"&lt;&gt;")=0,NA(),SUMIFS(RR_Score_Composito,RR_ID_Rischio,$AA23,RR_Ciclo,cicloPrecedente)))</f>
        <v/>
      </c>
      <c r="AI23">
        <f>IF($AA23="",NA(),IF(COUNTIFS(RR_ID_Rischio,$AA23,RR_Ciclo,cicloMeno2,RR_Score_Composito,"&lt;&gt;")=0,NA(),SUMIFS(RR_Score_Composito,RR_ID_Rischio,$AA23,RR_Ciclo,cicloMeno2)))</f>
        <v/>
      </c>
      <c r="AJ23">
        <f>IF($AA23="","",COUNTIFS(NW_Rischio_ID,$AA23,NW_Segnale,"Peggiorativo",NW_Settimana,"&gt;="&amp;inizioFinestra4,NW_Settimana,"&lt;="&amp;settimanaCorrente)-COUNTIFS(NW_Rischio_ID,$AA23,NW_Segnale,"Migliorativo",NW_Settimana,"&gt;="&amp;inizioFinestra4,NW_Settimana,"&lt;="&amp;settimanaCorrente))</f>
        <v/>
      </c>
      <c r="AK23">
        <f>IF($AA23="","",IF(AJ23&gt;=sogliaDirezione,"▲ +"&amp;AJ23,IF(AJ23&lt;=-sogliaDirezione,"▼ "&amp;AJ23,"● "&amp;IF(AJ23&gt;0,"+","")&amp;AJ23)))</f>
        <v/>
      </c>
      <c r="AL23">
        <f>IF($AA23="","",IF(ISNUMBER(AG23),AG23,-1)-15/100000)</f>
        <v/>
      </c>
      <c r="AM23">
        <f>IFERROR(MATCH(_xlfn.AGGREGATE(14,6,$AL$9:$AL$28,15),$AL$9:$AL$28,0),"")</f>
        <v/>
      </c>
      <c r="AN23">
        <f>IF($AA23="","",Radar_Mosca!$AA$19&amp;"")</f>
        <v/>
      </c>
    </row>
    <row r="24" ht="20" customHeight="1">
      <c r="A24" s="109">
        <f>IF($AM24="","",INDEX(posID,$AM24))</f>
        <v/>
      </c>
      <c r="B24" s="109">
        <f>IF($AM24="","",INDEX(posNome,$AM24))</f>
        <v/>
      </c>
      <c r="C24" s="110">
        <f>IF($AM24="","",INDEX(ANA_Event_Type,$AM24)&amp;"")</f>
        <v/>
      </c>
      <c r="D24" s="110">
        <f>IF($AM24="","",IF(ISNUMBER(INDEX(posImpatto,$AM24)),INDEX(posImpatto,$AM24),NA()))</f>
        <v/>
      </c>
      <c r="E24" s="110">
        <f>IF($AM24="","",IF(ISNUMBER(INDEX(posProbabilita,$AM24)),INDEX(posProbabilita,$AM24),NA()))</f>
        <v/>
      </c>
      <c r="F24" s="110">
        <f>IF($AM24="","",IF(ISNUMBER(INDEX(posProssimita,$AM24)),INDEX(posProssimita,$AM24),NA()))</f>
        <v/>
      </c>
      <c r="G24" s="110">
        <f>IF($AM24="","",IF(ISNUMBER(INDEX(posVelocity,$AM24)),INDEX(posVelocity,$AM24),"n.v."))</f>
        <v/>
      </c>
      <c r="H24" s="111">
        <f>IF($AM24="","",IF(ISNUMBER(INDEX(posScore,$AM24)),INDEX(posScore,$AM24),NA()))</f>
        <v/>
      </c>
      <c r="I24" s="38">
        <f>IF($AM24="","",IF(ISNUMBER(INDEX(posScorePrec,$AM24)),IFERROR(H24-INDEX(posScorePrec,$AM24),""),IF(ISNUMBER(H24),"nuovo","")))</f>
        <v/>
      </c>
      <c r="J24" s="38">
        <f>IF($AM24="","",IF(ISNUMBER(INDEX(posScore2,$AM24)),IFERROR(H24-INDEX(posScore2,$AM24),""),IF(ISNUMBER(H24),"nuovo","")))</f>
        <v/>
      </c>
      <c r="K24" s="110">
        <f>IF($AM24="","",INDEX(Radar_Mosca!$L$5:$L$24,$AM24)&amp;"")</f>
        <v/>
      </c>
      <c r="L24" s="112">
        <f>IF($AM24="","",IFERROR(INDEX(Radar_Mosca!$K$5:$K$24,$AM24),""))</f>
        <v/>
      </c>
      <c r="M24" s="110">
        <f>IF($AM24="","",IF(INDEX(ANA_Attenzione_Supervisore,$AM24)="Sì","◆",""))</f>
        <v/>
      </c>
      <c r="N24" s="113">
        <f>IF($A24="","",COUNTIFS(KRI_ID_Rischio,$A24,KRI_Ciclo,cicloCorrente,KRI_In_Vigore,"Sì",KRI_Stato,"Rosso"))</f>
        <v/>
      </c>
      <c r="O24" s="113">
        <f>IF($A24="","",COUNTIFS(KRI_ID_Rischio,$A24,KRI_Ciclo,cicloCorrente,KRI_In_Vigore,"Sì",KRI_Stato,"Ambra"))</f>
        <v/>
      </c>
      <c r="P24" s="113">
        <f>IF($A24="","",COUNTIFS(KRI_ID_Rischio,$A24,KRI_Ciclo,cicloCorrente,KRI_In_Vigore,"Sì",KRI_Stato,"Verde"))</f>
        <v/>
      </c>
      <c r="Q24" s="110">
        <f>IF($AM24="","",INDEX(posBadge,$AM24))</f>
        <v/>
      </c>
      <c r="R24" s="110">
        <f>IF($AM24="","",INDEX(ANA_Presidio_Controlli,$AM24)&amp;"")</f>
        <v/>
      </c>
      <c r="S24" s="110">
        <f>IF($A24="","",IF(OR(ISNUMBER(SEARCH("DA MOTIVARE",IFERROR(INDEX(RR_Rilievi,MATCH(cicloCorrente&amp;"|"&amp;$A24,RR_Chiave,0))&amp;"",""))),ISNUMBER(SEARCH("BLOCCANTE SUPERATO",IFERROR(INDEX(RR_Rilievi,MATCH(cicloCorrente&amp;"|"&amp;$A24,RR_Chiave,0))&amp;"","")))),"⚑ da motivare",IF(IFERROR(INDEX(RR_Rilievi,MATCH(cicloCorrente&amp;"|"&amp;$A24,RR_Chiave,0))&amp;"","")="","",LEN(IFERROR(INDEX(RR_Rilievi,MATCH(cicloCorrente&amp;"|"&amp;$A24,RR_Chiave,0))&amp;"",""))-LEN(SUBSTITUTE(IFERROR(INDEX(RR_Rilievi,MATCH(cicloCorrente&amp;"|"&amp;$A24,RR_Chiave,0))&amp;"",""),CHAR(10),""))+1&amp;" oss.")))</f>
        <v/>
      </c>
      <c r="T24" s="110">
        <f>IF($AM24="","",INDEX(ANA_Owner,$AM24)&amp;"")</f>
        <v/>
      </c>
      <c r="AA24">
        <f>IF(Parametri!$H19="","",Parametri!$H19)</f>
        <v/>
      </c>
      <c r="AB24">
        <f>IF($AA24="","",Parametri!$I19)</f>
        <v/>
      </c>
      <c r="AC24">
        <f>IF($AA24="",NA(),IF(COUNTIFS(RR_ID_Rischio,$AA24,RR_Ciclo,cicloCorrente,RR_Impatto,"&lt;&gt;")=0,NA(),SUMIFS(RR_Impatto,RR_ID_Rischio,$AA24,RR_Ciclo,cicloCorrente)))</f>
        <v/>
      </c>
      <c r="AD24">
        <f>IF($AA24="",NA(),IF(COUNTIFS(RR_ID_Rischio,$AA24,RR_Ciclo,cicloCorrente,RR_Probabilita,"&lt;&gt;")=0,NA(),SUMIFS(RR_Probabilita,RR_ID_Rischio,$AA24,RR_Ciclo,cicloCorrente)))</f>
        <v/>
      </c>
      <c r="AE24">
        <f>IF($AA24="",NA(),IF(COUNTIFS(RR_ID_Rischio,$AA24,RR_Ciclo,cicloCorrente,RR_Prossimita,"&lt;&gt;")=0,NA(),SUMIFS(RR_Prossimita,RR_ID_Rischio,$AA24,RR_Ciclo,cicloCorrente)))</f>
        <v/>
      </c>
      <c r="AF24">
        <f>IF($AA24="",NA(),IF(COUNTIFS(RR_ID_Rischio,$AA24,RR_Ciclo,cicloCorrente,RR_Velocity,"&lt;&gt;")=0,NA(),SUMIFS(RR_Velocity,RR_ID_Rischio,$AA24,RR_Ciclo,cicloCorrente)))</f>
        <v/>
      </c>
      <c r="AG24">
        <f>IF($AA24="",NA(),IF(COUNTIFS(RR_ID_Rischio,$AA24,RR_Ciclo,cicloCorrente,RR_Score_Composito,"&lt;&gt;")=0,NA(),SUMIFS(RR_Score_Composito,RR_ID_Rischio,$AA24,RR_Ciclo,cicloCorrente)))</f>
        <v/>
      </c>
      <c r="AH24">
        <f>IF($AA24="",NA(),IF(COUNTIFS(RR_ID_Rischio,$AA24,RR_Ciclo,cicloPrecedente,RR_Score_Composito,"&lt;&gt;")=0,NA(),SUMIFS(RR_Score_Composito,RR_ID_Rischio,$AA24,RR_Ciclo,cicloPrecedente)))</f>
        <v/>
      </c>
      <c r="AI24">
        <f>IF($AA24="",NA(),IF(COUNTIFS(RR_ID_Rischio,$AA24,RR_Ciclo,cicloMeno2,RR_Score_Composito,"&lt;&gt;")=0,NA(),SUMIFS(RR_Score_Composito,RR_ID_Rischio,$AA24,RR_Ciclo,cicloMeno2)))</f>
        <v/>
      </c>
      <c r="AJ24">
        <f>IF($AA24="","",COUNTIFS(NW_Rischio_ID,$AA24,NW_Segnale,"Peggiorativo",NW_Settimana,"&gt;="&amp;inizioFinestra4,NW_Settimana,"&lt;="&amp;settimanaCorrente)-COUNTIFS(NW_Rischio_ID,$AA24,NW_Segnale,"Migliorativo",NW_Settimana,"&gt;="&amp;inizioFinestra4,NW_Settimana,"&lt;="&amp;settimanaCorrente))</f>
        <v/>
      </c>
      <c r="AK24">
        <f>IF($AA24="","",IF(AJ24&gt;=sogliaDirezione,"▲ +"&amp;AJ24,IF(AJ24&lt;=-sogliaDirezione,"▼ "&amp;AJ24,"● "&amp;IF(AJ24&gt;0,"+","")&amp;AJ24)))</f>
        <v/>
      </c>
      <c r="AL24">
        <f>IF($AA24="","",IF(ISNUMBER(AG24),AG24,-1)-16/100000)</f>
        <v/>
      </c>
      <c r="AM24">
        <f>IFERROR(MATCH(_xlfn.AGGREGATE(14,6,$AL$9:$AL$28,16),$AL$9:$AL$28,0),"")</f>
        <v/>
      </c>
      <c r="AN24">
        <f>IF($AA24="","",Radar_Mosca!$AA$20&amp;"")</f>
        <v/>
      </c>
    </row>
    <row r="25" ht="20" customHeight="1">
      <c r="A25" s="109">
        <f>IF($AM25="","",INDEX(posID,$AM25))</f>
        <v/>
      </c>
      <c r="B25" s="109">
        <f>IF($AM25="","",INDEX(posNome,$AM25))</f>
        <v/>
      </c>
      <c r="C25" s="110">
        <f>IF($AM25="","",INDEX(ANA_Event_Type,$AM25)&amp;"")</f>
        <v/>
      </c>
      <c r="D25" s="110">
        <f>IF($AM25="","",IF(ISNUMBER(INDEX(posImpatto,$AM25)),INDEX(posImpatto,$AM25),NA()))</f>
        <v/>
      </c>
      <c r="E25" s="110">
        <f>IF($AM25="","",IF(ISNUMBER(INDEX(posProbabilita,$AM25)),INDEX(posProbabilita,$AM25),NA()))</f>
        <v/>
      </c>
      <c r="F25" s="110">
        <f>IF($AM25="","",IF(ISNUMBER(INDEX(posProssimita,$AM25)),INDEX(posProssimita,$AM25),NA()))</f>
        <v/>
      </c>
      <c r="G25" s="110">
        <f>IF($AM25="","",IF(ISNUMBER(INDEX(posVelocity,$AM25)),INDEX(posVelocity,$AM25),"n.v."))</f>
        <v/>
      </c>
      <c r="H25" s="111">
        <f>IF($AM25="","",IF(ISNUMBER(INDEX(posScore,$AM25)),INDEX(posScore,$AM25),NA()))</f>
        <v/>
      </c>
      <c r="I25" s="38">
        <f>IF($AM25="","",IF(ISNUMBER(INDEX(posScorePrec,$AM25)),IFERROR(H25-INDEX(posScorePrec,$AM25),""),IF(ISNUMBER(H25),"nuovo","")))</f>
        <v/>
      </c>
      <c r="J25" s="38">
        <f>IF($AM25="","",IF(ISNUMBER(INDEX(posScore2,$AM25)),IFERROR(H25-INDEX(posScore2,$AM25),""),IF(ISNUMBER(H25),"nuovo","")))</f>
        <v/>
      </c>
      <c r="K25" s="110">
        <f>IF($AM25="","",INDEX(Radar_Mosca!$L$5:$L$24,$AM25)&amp;"")</f>
        <v/>
      </c>
      <c r="L25" s="112">
        <f>IF($AM25="","",IFERROR(INDEX(Radar_Mosca!$K$5:$K$24,$AM25),""))</f>
        <v/>
      </c>
      <c r="M25" s="110">
        <f>IF($AM25="","",IF(INDEX(ANA_Attenzione_Supervisore,$AM25)="Sì","◆",""))</f>
        <v/>
      </c>
      <c r="N25" s="113">
        <f>IF($A25="","",COUNTIFS(KRI_ID_Rischio,$A25,KRI_Ciclo,cicloCorrente,KRI_In_Vigore,"Sì",KRI_Stato,"Rosso"))</f>
        <v/>
      </c>
      <c r="O25" s="113">
        <f>IF($A25="","",COUNTIFS(KRI_ID_Rischio,$A25,KRI_Ciclo,cicloCorrente,KRI_In_Vigore,"Sì",KRI_Stato,"Ambra"))</f>
        <v/>
      </c>
      <c r="P25" s="113">
        <f>IF($A25="","",COUNTIFS(KRI_ID_Rischio,$A25,KRI_Ciclo,cicloCorrente,KRI_In_Vigore,"Sì",KRI_Stato,"Verde"))</f>
        <v/>
      </c>
      <c r="Q25" s="110">
        <f>IF($AM25="","",INDEX(posBadge,$AM25))</f>
        <v/>
      </c>
      <c r="R25" s="110">
        <f>IF($AM25="","",INDEX(ANA_Presidio_Controlli,$AM25)&amp;"")</f>
        <v/>
      </c>
      <c r="S25" s="110">
        <f>IF($A25="","",IF(OR(ISNUMBER(SEARCH("DA MOTIVARE",IFERROR(INDEX(RR_Rilievi,MATCH(cicloCorrente&amp;"|"&amp;$A25,RR_Chiave,0))&amp;"",""))),ISNUMBER(SEARCH("BLOCCANTE SUPERATO",IFERROR(INDEX(RR_Rilievi,MATCH(cicloCorrente&amp;"|"&amp;$A25,RR_Chiave,0))&amp;"","")))),"⚑ da motivare",IF(IFERROR(INDEX(RR_Rilievi,MATCH(cicloCorrente&amp;"|"&amp;$A25,RR_Chiave,0))&amp;"","")="","",LEN(IFERROR(INDEX(RR_Rilievi,MATCH(cicloCorrente&amp;"|"&amp;$A25,RR_Chiave,0))&amp;"",""))-LEN(SUBSTITUTE(IFERROR(INDEX(RR_Rilievi,MATCH(cicloCorrente&amp;"|"&amp;$A25,RR_Chiave,0))&amp;"",""),CHAR(10),""))+1&amp;" oss.")))</f>
        <v/>
      </c>
      <c r="T25" s="110">
        <f>IF($AM25="","",INDEX(ANA_Owner,$AM25)&amp;"")</f>
        <v/>
      </c>
      <c r="AA25">
        <f>IF(Parametri!$H20="","",Parametri!$H20)</f>
        <v/>
      </c>
      <c r="AB25">
        <f>IF($AA25="","",Parametri!$I20)</f>
        <v/>
      </c>
      <c r="AC25">
        <f>IF($AA25="",NA(),IF(COUNTIFS(RR_ID_Rischio,$AA25,RR_Ciclo,cicloCorrente,RR_Impatto,"&lt;&gt;")=0,NA(),SUMIFS(RR_Impatto,RR_ID_Rischio,$AA25,RR_Ciclo,cicloCorrente)))</f>
        <v/>
      </c>
      <c r="AD25">
        <f>IF($AA25="",NA(),IF(COUNTIFS(RR_ID_Rischio,$AA25,RR_Ciclo,cicloCorrente,RR_Probabilita,"&lt;&gt;")=0,NA(),SUMIFS(RR_Probabilita,RR_ID_Rischio,$AA25,RR_Ciclo,cicloCorrente)))</f>
        <v/>
      </c>
      <c r="AE25">
        <f>IF($AA25="",NA(),IF(COUNTIFS(RR_ID_Rischio,$AA25,RR_Ciclo,cicloCorrente,RR_Prossimita,"&lt;&gt;")=0,NA(),SUMIFS(RR_Prossimita,RR_ID_Rischio,$AA25,RR_Ciclo,cicloCorrente)))</f>
        <v/>
      </c>
      <c r="AF25">
        <f>IF($AA25="",NA(),IF(COUNTIFS(RR_ID_Rischio,$AA25,RR_Ciclo,cicloCorrente,RR_Velocity,"&lt;&gt;")=0,NA(),SUMIFS(RR_Velocity,RR_ID_Rischio,$AA25,RR_Ciclo,cicloCorrente)))</f>
        <v/>
      </c>
      <c r="AG25">
        <f>IF($AA25="",NA(),IF(COUNTIFS(RR_ID_Rischio,$AA25,RR_Ciclo,cicloCorrente,RR_Score_Composito,"&lt;&gt;")=0,NA(),SUMIFS(RR_Score_Composito,RR_ID_Rischio,$AA25,RR_Ciclo,cicloCorrente)))</f>
        <v/>
      </c>
      <c r="AH25">
        <f>IF($AA25="",NA(),IF(COUNTIFS(RR_ID_Rischio,$AA25,RR_Ciclo,cicloPrecedente,RR_Score_Composito,"&lt;&gt;")=0,NA(),SUMIFS(RR_Score_Composito,RR_ID_Rischio,$AA25,RR_Ciclo,cicloPrecedente)))</f>
        <v/>
      </c>
      <c r="AI25">
        <f>IF($AA25="",NA(),IF(COUNTIFS(RR_ID_Rischio,$AA25,RR_Ciclo,cicloMeno2,RR_Score_Composito,"&lt;&gt;")=0,NA(),SUMIFS(RR_Score_Composito,RR_ID_Rischio,$AA25,RR_Ciclo,cicloMeno2)))</f>
        <v/>
      </c>
      <c r="AJ25">
        <f>IF($AA25="","",COUNTIFS(NW_Rischio_ID,$AA25,NW_Segnale,"Peggiorativo",NW_Settimana,"&gt;="&amp;inizioFinestra4,NW_Settimana,"&lt;="&amp;settimanaCorrente)-COUNTIFS(NW_Rischio_ID,$AA25,NW_Segnale,"Migliorativo",NW_Settimana,"&gt;="&amp;inizioFinestra4,NW_Settimana,"&lt;="&amp;settimanaCorrente))</f>
        <v/>
      </c>
      <c r="AK25">
        <f>IF($AA25="","",IF(AJ25&gt;=sogliaDirezione,"▲ +"&amp;AJ25,IF(AJ25&lt;=-sogliaDirezione,"▼ "&amp;AJ25,"● "&amp;IF(AJ25&gt;0,"+","")&amp;AJ25)))</f>
        <v/>
      </c>
      <c r="AL25">
        <f>IF($AA25="","",IF(ISNUMBER(AG25),AG25,-1)-17/100000)</f>
        <v/>
      </c>
      <c r="AM25">
        <f>IFERROR(MATCH(_xlfn.AGGREGATE(14,6,$AL$9:$AL$28,17),$AL$9:$AL$28,0),"")</f>
        <v/>
      </c>
      <c r="AN25">
        <f>IF($AA25="","",Radar_Mosca!$AA$21&amp;"")</f>
        <v/>
      </c>
    </row>
    <row r="26" ht="20" customHeight="1">
      <c r="A26" s="109">
        <f>IF($AM26="","",INDEX(posID,$AM26))</f>
        <v/>
      </c>
      <c r="B26" s="109">
        <f>IF($AM26="","",INDEX(posNome,$AM26))</f>
        <v/>
      </c>
      <c r="C26" s="110">
        <f>IF($AM26="","",INDEX(ANA_Event_Type,$AM26)&amp;"")</f>
        <v/>
      </c>
      <c r="D26" s="110">
        <f>IF($AM26="","",IF(ISNUMBER(INDEX(posImpatto,$AM26)),INDEX(posImpatto,$AM26),NA()))</f>
        <v/>
      </c>
      <c r="E26" s="110">
        <f>IF($AM26="","",IF(ISNUMBER(INDEX(posProbabilita,$AM26)),INDEX(posProbabilita,$AM26),NA()))</f>
        <v/>
      </c>
      <c r="F26" s="110">
        <f>IF($AM26="","",IF(ISNUMBER(INDEX(posProssimita,$AM26)),INDEX(posProssimita,$AM26),NA()))</f>
        <v/>
      </c>
      <c r="G26" s="110">
        <f>IF($AM26="","",IF(ISNUMBER(INDEX(posVelocity,$AM26)),INDEX(posVelocity,$AM26),"n.v."))</f>
        <v/>
      </c>
      <c r="H26" s="111">
        <f>IF($AM26="","",IF(ISNUMBER(INDEX(posScore,$AM26)),INDEX(posScore,$AM26),NA()))</f>
        <v/>
      </c>
      <c r="I26" s="38">
        <f>IF($AM26="","",IF(ISNUMBER(INDEX(posScorePrec,$AM26)),IFERROR(H26-INDEX(posScorePrec,$AM26),""),IF(ISNUMBER(H26),"nuovo","")))</f>
        <v/>
      </c>
      <c r="J26" s="38">
        <f>IF($AM26="","",IF(ISNUMBER(INDEX(posScore2,$AM26)),IFERROR(H26-INDEX(posScore2,$AM26),""),IF(ISNUMBER(H26),"nuovo","")))</f>
        <v/>
      </c>
      <c r="K26" s="110">
        <f>IF($AM26="","",INDEX(Radar_Mosca!$L$5:$L$24,$AM26)&amp;"")</f>
        <v/>
      </c>
      <c r="L26" s="112">
        <f>IF($AM26="","",IFERROR(INDEX(Radar_Mosca!$K$5:$K$24,$AM26),""))</f>
        <v/>
      </c>
      <c r="M26" s="110">
        <f>IF($AM26="","",IF(INDEX(ANA_Attenzione_Supervisore,$AM26)="Sì","◆",""))</f>
        <v/>
      </c>
      <c r="N26" s="113">
        <f>IF($A26="","",COUNTIFS(KRI_ID_Rischio,$A26,KRI_Ciclo,cicloCorrente,KRI_In_Vigore,"Sì",KRI_Stato,"Rosso"))</f>
        <v/>
      </c>
      <c r="O26" s="113">
        <f>IF($A26="","",COUNTIFS(KRI_ID_Rischio,$A26,KRI_Ciclo,cicloCorrente,KRI_In_Vigore,"Sì",KRI_Stato,"Ambra"))</f>
        <v/>
      </c>
      <c r="P26" s="113">
        <f>IF($A26="","",COUNTIFS(KRI_ID_Rischio,$A26,KRI_Ciclo,cicloCorrente,KRI_In_Vigore,"Sì",KRI_Stato,"Verde"))</f>
        <v/>
      </c>
      <c r="Q26" s="110">
        <f>IF($AM26="","",INDEX(posBadge,$AM26))</f>
        <v/>
      </c>
      <c r="R26" s="110">
        <f>IF($AM26="","",INDEX(ANA_Presidio_Controlli,$AM26)&amp;"")</f>
        <v/>
      </c>
      <c r="S26" s="110">
        <f>IF($A26="","",IF(OR(ISNUMBER(SEARCH("DA MOTIVARE",IFERROR(INDEX(RR_Rilievi,MATCH(cicloCorrente&amp;"|"&amp;$A26,RR_Chiave,0))&amp;"",""))),ISNUMBER(SEARCH("BLOCCANTE SUPERATO",IFERROR(INDEX(RR_Rilievi,MATCH(cicloCorrente&amp;"|"&amp;$A26,RR_Chiave,0))&amp;"","")))),"⚑ da motivare",IF(IFERROR(INDEX(RR_Rilievi,MATCH(cicloCorrente&amp;"|"&amp;$A26,RR_Chiave,0))&amp;"","")="","",LEN(IFERROR(INDEX(RR_Rilievi,MATCH(cicloCorrente&amp;"|"&amp;$A26,RR_Chiave,0))&amp;"",""))-LEN(SUBSTITUTE(IFERROR(INDEX(RR_Rilievi,MATCH(cicloCorrente&amp;"|"&amp;$A26,RR_Chiave,0))&amp;"",""),CHAR(10),""))+1&amp;" oss.")))</f>
        <v/>
      </c>
      <c r="T26" s="110">
        <f>IF($AM26="","",INDEX(ANA_Owner,$AM26)&amp;"")</f>
        <v/>
      </c>
      <c r="AA26">
        <f>IF(Parametri!$H21="","",Parametri!$H21)</f>
        <v/>
      </c>
      <c r="AB26">
        <f>IF($AA26="","",Parametri!$I21)</f>
        <v/>
      </c>
      <c r="AC26">
        <f>IF($AA26="",NA(),IF(COUNTIFS(RR_ID_Rischio,$AA26,RR_Ciclo,cicloCorrente,RR_Impatto,"&lt;&gt;")=0,NA(),SUMIFS(RR_Impatto,RR_ID_Rischio,$AA26,RR_Ciclo,cicloCorrente)))</f>
        <v/>
      </c>
      <c r="AD26">
        <f>IF($AA26="",NA(),IF(COUNTIFS(RR_ID_Rischio,$AA26,RR_Ciclo,cicloCorrente,RR_Probabilita,"&lt;&gt;")=0,NA(),SUMIFS(RR_Probabilita,RR_ID_Rischio,$AA26,RR_Ciclo,cicloCorrente)))</f>
        <v/>
      </c>
      <c r="AE26">
        <f>IF($AA26="",NA(),IF(COUNTIFS(RR_ID_Rischio,$AA26,RR_Ciclo,cicloCorrente,RR_Prossimita,"&lt;&gt;")=0,NA(),SUMIFS(RR_Prossimita,RR_ID_Rischio,$AA26,RR_Ciclo,cicloCorrente)))</f>
        <v/>
      </c>
      <c r="AF26">
        <f>IF($AA26="",NA(),IF(COUNTIFS(RR_ID_Rischio,$AA26,RR_Ciclo,cicloCorrente,RR_Velocity,"&lt;&gt;")=0,NA(),SUMIFS(RR_Velocity,RR_ID_Rischio,$AA26,RR_Ciclo,cicloCorrente)))</f>
        <v/>
      </c>
      <c r="AG26">
        <f>IF($AA26="",NA(),IF(COUNTIFS(RR_ID_Rischio,$AA26,RR_Ciclo,cicloCorrente,RR_Score_Composito,"&lt;&gt;")=0,NA(),SUMIFS(RR_Score_Composito,RR_ID_Rischio,$AA26,RR_Ciclo,cicloCorrente)))</f>
        <v/>
      </c>
      <c r="AH26">
        <f>IF($AA26="",NA(),IF(COUNTIFS(RR_ID_Rischio,$AA26,RR_Ciclo,cicloPrecedente,RR_Score_Composito,"&lt;&gt;")=0,NA(),SUMIFS(RR_Score_Composito,RR_ID_Rischio,$AA26,RR_Ciclo,cicloPrecedente)))</f>
        <v/>
      </c>
      <c r="AI26">
        <f>IF($AA26="",NA(),IF(COUNTIFS(RR_ID_Rischio,$AA26,RR_Ciclo,cicloMeno2,RR_Score_Composito,"&lt;&gt;")=0,NA(),SUMIFS(RR_Score_Composito,RR_ID_Rischio,$AA26,RR_Ciclo,cicloMeno2)))</f>
        <v/>
      </c>
      <c r="AJ26">
        <f>IF($AA26="","",COUNTIFS(NW_Rischio_ID,$AA26,NW_Segnale,"Peggiorativo",NW_Settimana,"&gt;="&amp;inizioFinestra4,NW_Settimana,"&lt;="&amp;settimanaCorrente)-COUNTIFS(NW_Rischio_ID,$AA26,NW_Segnale,"Migliorativo",NW_Settimana,"&gt;="&amp;inizioFinestra4,NW_Settimana,"&lt;="&amp;settimanaCorrente))</f>
        <v/>
      </c>
      <c r="AK26">
        <f>IF($AA26="","",IF(AJ26&gt;=sogliaDirezione,"▲ +"&amp;AJ26,IF(AJ26&lt;=-sogliaDirezione,"▼ "&amp;AJ26,"● "&amp;IF(AJ26&gt;0,"+","")&amp;AJ26)))</f>
        <v/>
      </c>
      <c r="AL26">
        <f>IF($AA26="","",IF(ISNUMBER(AG26),AG26,-1)-18/100000)</f>
        <v/>
      </c>
      <c r="AM26">
        <f>IFERROR(MATCH(_xlfn.AGGREGATE(14,6,$AL$9:$AL$28,18),$AL$9:$AL$28,0),"")</f>
        <v/>
      </c>
      <c r="AN26">
        <f>IF($AA26="","",Radar_Mosca!$AA$22&amp;"")</f>
        <v/>
      </c>
    </row>
    <row r="27" ht="20" customHeight="1">
      <c r="A27" s="109">
        <f>IF($AM27="","",INDEX(posID,$AM27))</f>
        <v/>
      </c>
      <c r="B27" s="109">
        <f>IF($AM27="","",INDEX(posNome,$AM27))</f>
        <v/>
      </c>
      <c r="C27" s="110">
        <f>IF($AM27="","",INDEX(ANA_Event_Type,$AM27)&amp;"")</f>
        <v/>
      </c>
      <c r="D27" s="110">
        <f>IF($AM27="","",IF(ISNUMBER(INDEX(posImpatto,$AM27)),INDEX(posImpatto,$AM27),NA()))</f>
        <v/>
      </c>
      <c r="E27" s="110">
        <f>IF($AM27="","",IF(ISNUMBER(INDEX(posProbabilita,$AM27)),INDEX(posProbabilita,$AM27),NA()))</f>
        <v/>
      </c>
      <c r="F27" s="110">
        <f>IF($AM27="","",IF(ISNUMBER(INDEX(posProssimita,$AM27)),INDEX(posProssimita,$AM27),NA()))</f>
        <v/>
      </c>
      <c r="G27" s="110">
        <f>IF($AM27="","",IF(ISNUMBER(INDEX(posVelocity,$AM27)),INDEX(posVelocity,$AM27),"n.v."))</f>
        <v/>
      </c>
      <c r="H27" s="111">
        <f>IF($AM27="","",IF(ISNUMBER(INDEX(posScore,$AM27)),INDEX(posScore,$AM27),NA()))</f>
        <v/>
      </c>
      <c r="I27" s="38">
        <f>IF($AM27="","",IF(ISNUMBER(INDEX(posScorePrec,$AM27)),IFERROR(H27-INDEX(posScorePrec,$AM27),""),IF(ISNUMBER(H27),"nuovo","")))</f>
        <v/>
      </c>
      <c r="J27" s="38">
        <f>IF($AM27="","",IF(ISNUMBER(INDEX(posScore2,$AM27)),IFERROR(H27-INDEX(posScore2,$AM27),""),IF(ISNUMBER(H27),"nuovo","")))</f>
        <v/>
      </c>
      <c r="K27" s="110">
        <f>IF($AM27="","",INDEX(Radar_Mosca!$L$5:$L$24,$AM27)&amp;"")</f>
        <v/>
      </c>
      <c r="L27" s="112">
        <f>IF($AM27="","",IFERROR(INDEX(Radar_Mosca!$K$5:$K$24,$AM27),""))</f>
        <v/>
      </c>
      <c r="M27" s="110">
        <f>IF($AM27="","",IF(INDEX(ANA_Attenzione_Supervisore,$AM27)="Sì","◆",""))</f>
        <v/>
      </c>
      <c r="N27" s="113">
        <f>IF($A27="","",COUNTIFS(KRI_ID_Rischio,$A27,KRI_Ciclo,cicloCorrente,KRI_In_Vigore,"Sì",KRI_Stato,"Rosso"))</f>
        <v/>
      </c>
      <c r="O27" s="113">
        <f>IF($A27="","",COUNTIFS(KRI_ID_Rischio,$A27,KRI_Ciclo,cicloCorrente,KRI_In_Vigore,"Sì",KRI_Stato,"Ambra"))</f>
        <v/>
      </c>
      <c r="P27" s="113">
        <f>IF($A27="","",COUNTIFS(KRI_ID_Rischio,$A27,KRI_Ciclo,cicloCorrente,KRI_In_Vigore,"Sì",KRI_Stato,"Verde"))</f>
        <v/>
      </c>
      <c r="Q27" s="110">
        <f>IF($AM27="","",INDEX(posBadge,$AM27))</f>
        <v/>
      </c>
      <c r="R27" s="110">
        <f>IF($AM27="","",INDEX(ANA_Presidio_Controlli,$AM27)&amp;"")</f>
        <v/>
      </c>
      <c r="S27" s="110">
        <f>IF($A27="","",IF(OR(ISNUMBER(SEARCH("DA MOTIVARE",IFERROR(INDEX(RR_Rilievi,MATCH(cicloCorrente&amp;"|"&amp;$A27,RR_Chiave,0))&amp;"",""))),ISNUMBER(SEARCH("BLOCCANTE SUPERATO",IFERROR(INDEX(RR_Rilievi,MATCH(cicloCorrente&amp;"|"&amp;$A27,RR_Chiave,0))&amp;"","")))),"⚑ da motivare",IF(IFERROR(INDEX(RR_Rilievi,MATCH(cicloCorrente&amp;"|"&amp;$A27,RR_Chiave,0))&amp;"","")="","",LEN(IFERROR(INDEX(RR_Rilievi,MATCH(cicloCorrente&amp;"|"&amp;$A27,RR_Chiave,0))&amp;"",""))-LEN(SUBSTITUTE(IFERROR(INDEX(RR_Rilievi,MATCH(cicloCorrente&amp;"|"&amp;$A27,RR_Chiave,0))&amp;"",""),CHAR(10),""))+1&amp;" oss.")))</f>
        <v/>
      </c>
      <c r="T27" s="110">
        <f>IF($AM27="","",INDEX(ANA_Owner,$AM27)&amp;"")</f>
        <v/>
      </c>
      <c r="AA27">
        <f>IF(Parametri!$H22="","",Parametri!$H22)</f>
        <v/>
      </c>
      <c r="AB27">
        <f>IF($AA27="","",Parametri!$I22)</f>
        <v/>
      </c>
      <c r="AC27">
        <f>IF($AA27="",NA(),IF(COUNTIFS(RR_ID_Rischio,$AA27,RR_Ciclo,cicloCorrente,RR_Impatto,"&lt;&gt;")=0,NA(),SUMIFS(RR_Impatto,RR_ID_Rischio,$AA27,RR_Ciclo,cicloCorrente)))</f>
        <v/>
      </c>
      <c r="AD27">
        <f>IF($AA27="",NA(),IF(COUNTIFS(RR_ID_Rischio,$AA27,RR_Ciclo,cicloCorrente,RR_Probabilita,"&lt;&gt;")=0,NA(),SUMIFS(RR_Probabilita,RR_ID_Rischio,$AA27,RR_Ciclo,cicloCorrente)))</f>
        <v/>
      </c>
      <c r="AE27">
        <f>IF($AA27="",NA(),IF(COUNTIFS(RR_ID_Rischio,$AA27,RR_Ciclo,cicloCorrente,RR_Prossimita,"&lt;&gt;")=0,NA(),SUMIFS(RR_Prossimita,RR_ID_Rischio,$AA27,RR_Ciclo,cicloCorrente)))</f>
        <v/>
      </c>
      <c r="AF27">
        <f>IF($AA27="",NA(),IF(COUNTIFS(RR_ID_Rischio,$AA27,RR_Ciclo,cicloCorrente,RR_Velocity,"&lt;&gt;")=0,NA(),SUMIFS(RR_Velocity,RR_ID_Rischio,$AA27,RR_Ciclo,cicloCorrente)))</f>
        <v/>
      </c>
      <c r="AG27">
        <f>IF($AA27="",NA(),IF(COUNTIFS(RR_ID_Rischio,$AA27,RR_Ciclo,cicloCorrente,RR_Score_Composito,"&lt;&gt;")=0,NA(),SUMIFS(RR_Score_Composito,RR_ID_Rischio,$AA27,RR_Ciclo,cicloCorrente)))</f>
        <v/>
      </c>
      <c r="AH27">
        <f>IF($AA27="",NA(),IF(COUNTIFS(RR_ID_Rischio,$AA27,RR_Ciclo,cicloPrecedente,RR_Score_Composito,"&lt;&gt;")=0,NA(),SUMIFS(RR_Score_Composito,RR_ID_Rischio,$AA27,RR_Ciclo,cicloPrecedente)))</f>
        <v/>
      </c>
      <c r="AI27">
        <f>IF($AA27="",NA(),IF(COUNTIFS(RR_ID_Rischio,$AA27,RR_Ciclo,cicloMeno2,RR_Score_Composito,"&lt;&gt;")=0,NA(),SUMIFS(RR_Score_Composito,RR_ID_Rischio,$AA27,RR_Ciclo,cicloMeno2)))</f>
        <v/>
      </c>
      <c r="AJ27">
        <f>IF($AA27="","",COUNTIFS(NW_Rischio_ID,$AA27,NW_Segnale,"Peggiorativo",NW_Settimana,"&gt;="&amp;inizioFinestra4,NW_Settimana,"&lt;="&amp;settimanaCorrente)-COUNTIFS(NW_Rischio_ID,$AA27,NW_Segnale,"Migliorativo",NW_Settimana,"&gt;="&amp;inizioFinestra4,NW_Settimana,"&lt;="&amp;settimanaCorrente))</f>
        <v/>
      </c>
      <c r="AK27">
        <f>IF($AA27="","",IF(AJ27&gt;=sogliaDirezione,"▲ +"&amp;AJ27,IF(AJ27&lt;=-sogliaDirezione,"▼ "&amp;AJ27,"● "&amp;IF(AJ27&gt;0,"+","")&amp;AJ27)))</f>
        <v/>
      </c>
      <c r="AL27">
        <f>IF($AA27="","",IF(ISNUMBER(AG27),AG27,-1)-19/100000)</f>
        <v/>
      </c>
      <c r="AM27">
        <f>IFERROR(MATCH(_xlfn.AGGREGATE(14,6,$AL$9:$AL$28,19),$AL$9:$AL$28,0),"")</f>
        <v/>
      </c>
      <c r="AN27">
        <f>IF($AA27="","",Radar_Mosca!$AA$23&amp;"")</f>
        <v/>
      </c>
    </row>
    <row r="28" ht="20" customHeight="1">
      <c r="A28" s="109">
        <f>IF($AM28="","",INDEX(posID,$AM28))</f>
        <v/>
      </c>
      <c r="B28" s="109">
        <f>IF($AM28="","",INDEX(posNome,$AM28))</f>
        <v/>
      </c>
      <c r="C28" s="110">
        <f>IF($AM28="","",INDEX(ANA_Event_Type,$AM28)&amp;"")</f>
        <v/>
      </c>
      <c r="D28" s="110">
        <f>IF($AM28="","",IF(ISNUMBER(INDEX(posImpatto,$AM28)),INDEX(posImpatto,$AM28),NA()))</f>
        <v/>
      </c>
      <c r="E28" s="110">
        <f>IF($AM28="","",IF(ISNUMBER(INDEX(posProbabilita,$AM28)),INDEX(posProbabilita,$AM28),NA()))</f>
        <v/>
      </c>
      <c r="F28" s="110">
        <f>IF($AM28="","",IF(ISNUMBER(INDEX(posProssimita,$AM28)),INDEX(posProssimita,$AM28),NA()))</f>
        <v/>
      </c>
      <c r="G28" s="110">
        <f>IF($AM28="","",IF(ISNUMBER(INDEX(posVelocity,$AM28)),INDEX(posVelocity,$AM28),"n.v."))</f>
        <v/>
      </c>
      <c r="H28" s="111">
        <f>IF($AM28="","",IF(ISNUMBER(INDEX(posScore,$AM28)),INDEX(posScore,$AM28),NA()))</f>
        <v/>
      </c>
      <c r="I28" s="38">
        <f>IF($AM28="","",IF(ISNUMBER(INDEX(posScorePrec,$AM28)),IFERROR(H28-INDEX(posScorePrec,$AM28),""),IF(ISNUMBER(H28),"nuovo","")))</f>
        <v/>
      </c>
      <c r="J28" s="38">
        <f>IF($AM28="","",IF(ISNUMBER(INDEX(posScore2,$AM28)),IFERROR(H28-INDEX(posScore2,$AM28),""),IF(ISNUMBER(H28),"nuovo","")))</f>
        <v/>
      </c>
      <c r="K28" s="110">
        <f>IF($AM28="","",INDEX(Radar_Mosca!$L$5:$L$24,$AM28)&amp;"")</f>
        <v/>
      </c>
      <c r="L28" s="112">
        <f>IF($AM28="","",IFERROR(INDEX(Radar_Mosca!$K$5:$K$24,$AM28),""))</f>
        <v/>
      </c>
      <c r="M28" s="110">
        <f>IF($AM28="","",IF(INDEX(ANA_Attenzione_Supervisore,$AM28)="Sì","◆",""))</f>
        <v/>
      </c>
      <c r="N28" s="113">
        <f>IF($A28="","",COUNTIFS(KRI_ID_Rischio,$A28,KRI_Ciclo,cicloCorrente,KRI_In_Vigore,"Sì",KRI_Stato,"Rosso"))</f>
        <v/>
      </c>
      <c r="O28" s="113">
        <f>IF($A28="","",COUNTIFS(KRI_ID_Rischio,$A28,KRI_Ciclo,cicloCorrente,KRI_In_Vigore,"Sì",KRI_Stato,"Ambra"))</f>
        <v/>
      </c>
      <c r="P28" s="113">
        <f>IF($A28="","",COUNTIFS(KRI_ID_Rischio,$A28,KRI_Ciclo,cicloCorrente,KRI_In_Vigore,"Sì",KRI_Stato,"Verde"))</f>
        <v/>
      </c>
      <c r="Q28" s="110">
        <f>IF($AM28="","",INDEX(posBadge,$AM28))</f>
        <v/>
      </c>
      <c r="R28" s="110">
        <f>IF($AM28="","",INDEX(ANA_Presidio_Controlli,$AM28)&amp;"")</f>
        <v/>
      </c>
      <c r="S28" s="110">
        <f>IF($A28="","",IF(OR(ISNUMBER(SEARCH("DA MOTIVARE",IFERROR(INDEX(RR_Rilievi,MATCH(cicloCorrente&amp;"|"&amp;$A28,RR_Chiave,0))&amp;"",""))),ISNUMBER(SEARCH("BLOCCANTE SUPERATO",IFERROR(INDEX(RR_Rilievi,MATCH(cicloCorrente&amp;"|"&amp;$A28,RR_Chiave,0))&amp;"","")))),"⚑ da motivare",IF(IFERROR(INDEX(RR_Rilievi,MATCH(cicloCorrente&amp;"|"&amp;$A28,RR_Chiave,0))&amp;"","")="","",LEN(IFERROR(INDEX(RR_Rilievi,MATCH(cicloCorrente&amp;"|"&amp;$A28,RR_Chiave,0))&amp;"",""))-LEN(SUBSTITUTE(IFERROR(INDEX(RR_Rilievi,MATCH(cicloCorrente&amp;"|"&amp;$A28,RR_Chiave,0))&amp;"",""),CHAR(10),""))+1&amp;" oss.")))</f>
        <v/>
      </c>
      <c r="T28" s="110">
        <f>IF($AM28="","",INDEX(ANA_Owner,$AM28)&amp;"")</f>
        <v/>
      </c>
      <c r="AA28">
        <f>IF(Parametri!$H23="","",Parametri!$H23)</f>
        <v/>
      </c>
      <c r="AB28">
        <f>IF($AA28="","",Parametri!$I23)</f>
        <v/>
      </c>
      <c r="AC28">
        <f>IF($AA28="",NA(),IF(COUNTIFS(RR_ID_Rischio,$AA28,RR_Ciclo,cicloCorrente,RR_Impatto,"&lt;&gt;")=0,NA(),SUMIFS(RR_Impatto,RR_ID_Rischio,$AA28,RR_Ciclo,cicloCorrente)))</f>
        <v/>
      </c>
      <c r="AD28">
        <f>IF($AA28="",NA(),IF(COUNTIFS(RR_ID_Rischio,$AA28,RR_Ciclo,cicloCorrente,RR_Probabilita,"&lt;&gt;")=0,NA(),SUMIFS(RR_Probabilita,RR_ID_Rischio,$AA28,RR_Ciclo,cicloCorrente)))</f>
        <v/>
      </c>
      <c r="AE28">
        <f>IF($AA28="",NA(),IF(COUNTIFS(RR_ID_Rischio,$AA28,RR_Ciclo,cicloCorrente,RR_Prossimita,"&lt;&gt;")=0,NA(),SUMIFS(RR_Prossimita,RR_ID_Rischio,$AA28,RR_Ciclo,cicloCorrente)))</f>
        <v/>
      </c>
      <c r="AF28">
        <f>IF($AA28="",NA(),IF(COUNTIFS(RR_ID_Rischio,$AA28,RR_Ciclo,cicloCorrente,RR_Velocity,"&lt;&gt;")=0,NA(),SUMIFS(RR_Velocity,RR_ID_Rischio,$AA28,RR_Ciclo,cicloCorrente)))</f>
        <v/>
      </c>
      <c r="AG28">
        <f>IF($AA28="",NA(),IF(COUNTIFS(RR_ID_Rischio,$AA28,RR_Ciclo,cicloCorrente,RR_Score_Composito,"&lt;&gt;")=0,NA(),SUMIFS(RR_Score_Composito,RR_ID_Rischio,$AA28,RR_Ciclo,cicloCorrente)))</f>
        <v/>
      </c>
      <c r="AH28">
        <f>IF($AA28="",NA(),IF(COUNTIFS(RR_ID_Rischio,$AA28,RR_Ciclo,cicloPrecedente,RR_Score_Composito,"&lt;&gt;")=0,NA(),SUMIFS(RR_Score_Composito,RR_ID_Rischio,$AA28,RR_Ciclo,cicloPrecedente)))</f>
        <v/>
      </c>
      <c r="AI28">
        <f>IF($AA28="",NA(),IF(COUNTIFS(RR_ID_Rischio,$AA28,RR_Ciclo,cicloMeno2,RR_Score_Composito,"&lt;&gt;")=0,NA(),SUMIFS(RR_Score_Composito,RR_ID_Rischio,$AA28,RR_Ciclo,cicloMeno2)))</f>
        <v/>
      </c>
      <c r="AJ28">
        <f>IF($AA28="","",COUNTIFS(NW_Rischio_ID,$AA28,NW_Segnale,"Peggiorativo",NW_Settimana,"&gt;="&amp;inizioFinestra4,NW_Settimana,"&lt;="&amp;settimanaCorrente)-COUNTIFS(NW_Rischio_ID,$AA28,NW_Segnale,"Migliorativo",NW_Settimana,"&gt;="&amp;inizioFinestra4,NW_Settimana,"&lt;="&amp;settimanaCorrente))</f>
        <v/>
      </c>
      <c r="AK28">
        <f>IF($AA28="","",IF(AJ28&gt;=sogliaDirezione,"▲ +"&amp;AJ28,IF(AJ28&lt;=-sogliaDirezione,"▼ "&amp;AJ28,"● "&amp;IF(AJ28&gt;0,"+","")&amp;AJ28)))</f>
        <v/>
      </c>
      <c r="AL28">
        <f>IF($AA28="","",IF(ISNUMBER(AG28),AG28,-1)-20/100000)</f>
        <v/>
      </c>
      <c r="AM28">
        <f>IFERROR(MATCH(_xlfn.AGGREGATE(14,6,$AL$9:$AL$28,20),$AL$9:$AL$28,0),"")</f>
        <v/>
      </c>
      <c r="AN28">
        <f>IF($AA28="","",Radar_Mosca!$AA$24&amp;"")</f>
        <v/>
      </c>
    </row>
    <row r="30" ht="48" customHeight="1">
      <c r="A30" s="56" t="inlineStr">
        <is>
          <t>Legenda — Fondo dell'ID = livello di allerta (rosso attivazione, giallo attenzione, verde monitoraggio: foglio Radar_Mosca). Imp = Impatto (danno se il rischio si manifesta); Prob = Probabilita (plausibilita' per la Banca); Pross = Prossimita (quando puo' manifestarsi); Vel = Velocity (quanto in fretta arriva il danno; n.v. = non valutata, lo score usa le altre tre); Presidio = giudizio della Banca sui controlli (fuori dallo score); Δ = variazione dello score (ciclo prima, due cicli prima); Sup. / ◆ = tema all'attenzione del supervisore; R, A, V = KRI in rosso, ambra, verde; Segnali netti = notizie peggiorative meno migliorative nelle ultime 4 settimane (▲ ▼ oltre la soglia di Parametri); Rilievi = segnalazioni di A5 e dei controlli sul rischio (⚑ = da motivare in validazione: testo nel RiskRegister). Categoria = tassonomia interna della Banca (9.1 ... 9.13; FP fuori perimetro). X = anni per decidere e avviare la mitigazione (un trimestre); Y = anni per mitigare (azioni o adeguamento strutturale); Z = anni prima che il rischio possa manifestarsi (dalla Prossimita); AGIRE ORA = X + Y &gt; Z.</t>
        </is>
      </c>
    </row>
  </sheetData>
  <mergeCells count="9">
    <mergeCell ref="A1:T1"/>
    <mergeCell ref="H5:N5"/>
    <mergeCell ref="N7:P7"/>
    <mergeCell ref="H4:N4"/>
    <mergeCell ref="A2:U2"/>
    <mergeCell ref="H7:L7"/>
    <mergeCell ref="A30:T30"/>
    <mergeCell ref="D7:G7"/>
    <mergeCell ref="A7:C7"/>
  </mergeCells>
  <conditionalFormatting sqref="H4">
    <cfRule type="expression" priority="1" dxfId="19">
      <formula>$D$4&gt;0</formula>
    </cfRule>
    <cfRule type="expression" priority="2" dxfId="20">
      <formula>$D$4=0</formula>
    </cfRule>
  </conditionalFormatting>
  <conditionalFormatting sqref="H5">
    <cfRule type="expression" priority="3" dxfId="15">
      <formula>$D$5&lt;&gt;$G$5</formula>
    </cfRule>
    <cfRule type="expression" priority="4" dxfId="20">
      <formula>$D$5=$G$5</formula>
    </cfRule>
  </conditionalFormatting>
  <conditionalFormatting sqref="D9:G28">
    <cfRule type="expression" priority="5" dxfId="21">
      <formula>D9=1</formula>
    </cfRule>
    <cfRule type="expression" priority="6" dxfId="22">
      <formula>D9=2</formula>
    </cfRule>
    <cfRule type="expression" priority="7" dxfId="23">
      <formula>D9=3</formula>
    </cfRule>
    <cfRule type="expression" priority="8" dxfId="24">
      <formula>D9=4</formula>
    </cfRule>
    <cfRule type="expression" priority="9" dxfId="25">
      <formula>D9=5</formula>
    </cfRule>
  </conditionalFormatting>
  <conditionalFormatting sqref="D9:H28">
    <cfRule type="expression" priority="10" dxfId="11">
      <formula>ISNA(D9)</formula>
    </cfRule>
  </conditionalFormatting>
  <conditionalFormatting sqref="G9:G28">
    <cfRule type="expression" priority="11" dxfId="11">
      <formula>G9="n.v."</formula>
    </cfRule>
  </conditionalFormatting>
  <conditionalFormatting sqref="H9:H28">
    <cfRule type="dataBar" priority="12">
      <dataBar>
        <cfvo type="num" val="0"/>
        <cfvo type="num" val="5"/>
        <color rgb="008EA9DB"/>
      </dataBar>
    </cfRule>
  </conditionalFormatting>
  <conditionalFormatting sqref="I9:J28">
    <cfRule type="expression" priority="13" dxfId="2">
      <formula>AND(ISNUMBER(I9),I9&gt;0)</formula>
    </cfRule>
    <cfRule type="expression" priority="14" dxfId="3">
      <formula>AND(ISNUMBER(I9),I9&lt;0)</formula>
    </cfRule>
  </conditionalFormatting>
  <conditionalFormatting sqref="K9:K28">
    <cfRule type="expression" priority="15" dxfId="4">
      <formula>LEFT(K9,9)="AGIRE ORA"</formula>
    </cfRule>
    <cfRule type="expression" priority="16" dxfId="5">
      <formula>OR(LEFT(K9,11)="Agire entro",LEFT(K9,12)="Entro l'anno")</formula>
    </cfRule>
    <cfRule type="expression" priority="17" dxfId="6">
      <formula>LEFT(K9,7)="Margine"</formula>
    </cfRule>
  </conditionalFormatting>
  <conditionalFormatting sqref="A9:A28">
    <cfRule type="expression" priority="18" dxfId="26">
      <formula>IFERROR(INDEX($AN$9:$AN$28,$AM9)="Attivazione",FALSE)</formula>
    </cfRule>
    <cfRule type="expression" priority="19" dxfId="13">
      <formula>IFERROR(INDEX($AN$9:$AN$28,$AM9)="Attenzione",FALSE)</formula>
    </cfRule>
    <cfRule type="expression" priority="20" dxfId="27">
      <formula>IFERROR(INDEX($AN$9:$AN$28,$AM9)="Monitoraggio",FALSE)</formula>
    </cfRule>
  </conditionalFormatting>
  <conditionalFormatting sqref="N9:N28">
    <cfRule type="expression" priority="21" dxfId="4">
      <formula>AND(ISNUMBER(N9),N9&gt;0)</formula>
    </cfRule>
  </conditionalFormatting>
  <conditionalFormatting sqref="O9:O28">
    <cfRule type="expression" priority="22" dxfId="28">
      <formula>AND(ISNUMBER(O9),O9&gt;0)</formula>
    </cfRule>
  </conditionalFormatting>
  <conditionalFormatting sqref="P9:P28">
    <cfRule type="expression" priority="23" dxfId="29">
      <formula>AND(ISNUMBER(P9),P9&gt;0)</formula>
    </cfRule>
  </conditionalFormatting>
  <conditionalFormatting sqref="Q9:Q28">
    <cfRule type="expression" priority="24" dxfId="30">
      <formula>LEFT(Q9,1)="▲"</formula>
    </cfRule>
    <cfRule type="expression" priority="25" dxfId="31">
      <formula>LEFT(Q9,1)="▼"</formula>
    </cfRule>
  </conditionalFormatting>
  <conditionalFormatting sqref="R9:R28">
    <cfRule type="expression" priority="26" dxfId="32">
      <formula>R9="Assente"</formula>
    </cfRule>
    <cfRule type="expression" priority="27" dxfId="1">
      <formula>R9="Parziale"</formula>
    </cfRule>
    <cfRule type="expression" priority="28" dxfId="33">
      <formula>R9="Adeguato"</formula>
    </cfRule>
    <cfRule type="expression" priority="29" dxfId="0">
      <formula>R9="Non verificato"</formula>
    </cfRule>
  </conditionalFormatting>
  <conditionalFormatting sqref="S9:S28">
    <cfRule type="expression" priority="30" dxfId="30">
      <formula>LEFT(S9,1)="⚑"</formula>
    </cfRule>
  </conditionalFormatting>
  <pageMargins left="0.4" right="0.4" top="1" bottom="1" header="0.5" footer="0.5"/>
  <pageSetup orientation="landscape" paperSize="9" fitToHeight="0" fitToWidth="1"/>
  <headerFooter>
    <oddHeader>&amp;L&amp;A&amp;CUso interno&amp;RHorizon Scan NFR</oddHeader>
    <oddFooter>&amp;L&amp;F&amp;RPagina &amp;P di &amp;N</oddFooter>
    <evenHeader/>
    <evenFooter/>
    <firstHeader/>
    <firstFooter/>
  </headerFooter>
</worksheet>
</file>

<file path=xl/worksheets/sheet10.xml><?xml version="1.0" encoding="utf-8"?>
<worksheet xmlns="http://schemas.openxmlformats.org/spreadsheetml/2006/main">
  <sheetPr>
    <tabColor rgb="002E75B6"/>
    <outlinePr summaryBelow="1" summaryRight="1"/>
    <pageSetUpPr/>
  </sheetPr>
  <dimension ref="A1:J24"/>
  <sheetViews>
    <sheetView showGridLines="0" workbookViewId="0">
      <selection activeCell="A1" sqref="A1"/>
    </sheetView>
  </sheetViews>
  <sheetFormatPr baseColWidth="8" defaultRowHeight="15"/>
  <cols>
    <col width="10" customWidth="1" min="1" max="1"/>
    <col width="48"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s>
  <sheetData>
    <row r="1" ht="28" customHeight="1">
      <c r="A1" s="1">
        <f>"Horizon Scan NFR — Storico: score composito negli ultimi otto cicli   ·   "&amp;etichettaCiclo</f>
        <v/>
      </c>
      <c r="B1" s="2" t="n"/>
      <c r="C1" s="2" t="n"/>
      <c r="D1" s="2" t="n"/>
      <c r="E1" s="2" t="n"/>
      <c r="F1" s="2" t="n"/>
      <c r="G1" s="2" t="n"/>
      <c r="H1" s="2" t="n"/>
      <c r="I1" s="2" t="n"/>
      <c r="J1" s="2" t="n"/>
    </row>
    <row r="2" ht="32" customHeight="1">
      <c r="A2" s="13" t="inlineStr">
        <is>
          <r>
            <rPr>
              <rFont val="Calibri"/>
              <b val="1"/>
              <color rgb="001F4E79"/>
              <sz val="10"/>
            </rPr>
            <t>CICLO TRIMESTRALE — solo formule: score composito di ogni rischio negli ultimi otto cicli.</t>
          </r>
          <r>
            <rPr>
              <rFont val="Calibri"/>
              <color rgb="00262626"/>
              <sz val="10"/>
            </rPr>
            <t xml:space="preserve">
Scala fissa 0-5. Un punto mancante = rischio non valutato in quel ciclo, non score zero. I cicli passati sono ricalcolati con i pesi in vigore: il trend resta confrontabile.</t>
          </r>
        </is>
      </c>
    </row>
    <row r="4">
      <c r="A4" s="98" t="inlineStr">
        <is>
          <t>ID</t>
        </is>
      </c>
      <c r="B4" s="98" t="inlineStr">
        <is>
          <t>Nome</t>
        </is>
      </c>
      <c r="C4" s="98">
        <f>Parametri!$B$20</f>
        <v/>
      </c>
      <c r="D4" s="98">
        <f>Parametri!$B$21</f>
        <v/>
      </c>
      <c r="E4" s="98">
        <f>Parametri!$B$22</f>
        <v/>
      </c>
      <c r="F4" s="98">
        <f>Parametri!$B$23</f>
        <v/>
      </c>
      <c r="G4" s="98">
        <f>Parametri!$B$24</f>
        <v/>
      </c>
      <c r="H4" s="98">
        <f>Parametri!$B$25</f>
        <v/>
      </c>
      <c r="I4" s="98">
        <f>Parametri!$B$26</f>
        <v/>
      </c>
      <c r="J4" s="98">
        <f>Parametri!$B$27</f>
        <v/>
      </c>
    </row>
    <row r="5">
      <c r="A5">
        <f>INDEX(posID,1)&amp;""</f>
        <v/>
      </c>
      <c r="B5">
        <f>INDEX(posNome,1)&amp;""</f>
        <v/>
      </c>
      <c r="C5" s="58">
        <f>IF(OR($A5="",C$4=""),NA(),IF(COUNTIFS(RR_ID_Rischio,$A5,RR_Ciclo,C$4)=0,NA(),SUMIFS(RR_Score_Composito,RR_ID_Rischio,$A5,RR_Ciclo,C$4)))</f>
        <v/>
      </c>
      <c r="D5" s="58">
        <f>IF(OR($A5="",D$4=""),NA(),IF(COUNTIFS(RR_ID_Rischio,$A5,RR_Ciclo,D$4)=0,NA(),SUMIFS(RR_Score_Composito,RR_ID_Rischio,$A5,RR_Ciclo,D$4)))</f>
        <v/>
      </c>
      <c r="E5" s="58">
        <f>IF(OR($A5="",E$4=""),NA(),IF(COUNTIFS(RR_ID_Rischio,$A5,RR_Ciclo,E$4)=0,NA(),SUMIFS(RR_Score_Composito,RR_ID_Rischio,$A5,RR_Ciclo,E$4)))</f>
        <v/>
      </c>
      <c r="F5" s="58">
        <f>IF(OR($A5="",F$4=""),NA(),IF(COUNTIFS(RR_ID_Rischio,$A5,RR_Ciclo,F$4)=0,NA(),SUMIFS(RR_Score_Composito,RR_ID_Rischio,$A5,RR_Ciclo,F$4)))</f>
        <v/>
      </c>
      <c r="G5" s="58">
        <f>IF(OR($A5="",G$4=""),NA(),IF(COUNTIFS(RR_ID_Rischio,$A5,RR_Ciclo,G$4)=0,NA(),SUMIFS(RR_Score_Composito,RR_ID_Rischio,$A5,RR_Ciclo,G$4)))</f>
        <v/>
      </c>
      <c r="H5" s="58">
        <f>IF(OR($A5="",H$4=""),NA(),IF(COUNTIFS(RR_ID_Rischio,$A5,RR_Ciclo,H$4)=0,NA(),SUMIFS(RR_Score_Composito,RR_ID_Rischio,$A5,RR_Ciclo,H$4)))</f>
        <v/>
      </c>
      <c r="I5" s="58">
        <f>IF(OR($A5="",I$4=""),NA(),IF(COUNTIFS(RR_ID_Rischio,$A5,RR_Ciclo,I$4)=0,NA(),SUMIFS(RR_Score_Composito,RR_ID_Rischio,$A5,RR_Ciclo,I$4)))</f>
        <v/>
      </c>
      <c r="J5" s="58">
        <f>IF(OR($A5="",J$4=""),NA(),IF(COUNTIFS(RR_ID_Rischio,$A5,RR_Ciclo,J$4)=0,NA(),SUMIFS(RR_Score_Composito,RR_ID_Rischio,$A5,RR_Ciclo,J$4)))</f>
        <v/>
      </c>
    </row>
    <row r="6">
      <c r="A6">
        <f>INDEX(posID,2)&amp;""</f>
        <v/>
      </c>
      <c r="B6">
        <f>INDEX(posNome,2)&amp;""</f>
        <v/>
      </c>
      <c r="C6" s="58">
        <f>IF(OR($A6="",C$4=""),NA(),IF(COUNTIFS(RR_ID_Rischio,$A6,RR_Ciclo,C$4)=0,NA(),SUMIFS(RR_Score_Composito,RR_ID_Rischio,$A6,RR_Ciclo,C$4)))</f>
        <v/>
      </c>
      <c r="D6" s="58">
        <f>IF(OR($A6="",D$4=""),NA(),IF(COUNTIFS(RR_ID_Rischio,$A6,RR_Ciclo,D$4)=0,NA(),SUMIFS(RR_Score_Composito,RR_ID_Rischio,$A6,RR_Ciclo,D$4)))</f>
        <v/>
      </c>
      <c r="E6" s="58">
        <f>IF(OR($A6="",E$4=""),NA(),IF(COUNTIFS(RR_ID_Rischio,$A6,RR_Ciclo,E$4)=0,NA(),SUMIFS(RR_Score_Composito,RR_ID_Rischio,$A6,RR_Ciclo,E$4)))</f>
        <v/>
      </c>
      <c r="F6" s="58">
        <f>IF(OR($A6="",F$4=""),NA(),IF(COUNTIFS(RR_ID_Rischio,$A6,RR_Ciclo,F$4)=0,NA(),SUMIFS(RR_Score_Composito,RR_ID_Rischio,$A6,RR_Ciclo,F$4)))</f>
        <v/>
      </c>
      <c r="G6" s="58">
        <f>IF(OR($A6="",G$4=""),NA(),IF(COUNTIFS(RR_ID_Rischio,$A6,RR_Ciclo,G$4)=0,NA(),SUMIFS(RR_Score_Composito,RR_ID_Rischio,$A6,RR_Ciclo,G$4)))</f>
        <v/>
      </c>
      <c r="H6" s="58">
        <f>IF(OR($A6="",H$4=""),NA(),IF(COUNTIFS(RR_ID_Rischio,$A6,RR_Ciclo,H$4)=0,NA(),SUMIFS(RR_Score_Composito,RR_ID_Rischio,$A6,RR_Ciclo,H$4)))</f>
        <v/>
      </c>
      <c r="I6" s="58">
        <f>IF(OR($A6="",I$4=""),NA(),IF(COUNTIFS(RR_ID_Rischio,$A6,RR_Ciclo,I$4)=0,NA(),SUMIFS(RR_Score_Composito,RR_ID_Rischio,$A6,RR_Ciclo,I$4)))</f>
        <v/>
      </c>
      <c r="J6" s="58">
        <f>IF(OR($A6="",J$4=""),NA(),IF(COUNTIFS(RR_ID_Rischio,$A6,RR_Ciclo,J$4)=0,NA(),SUMIFS(RR_Score_Composito,RR_ID_Rischio,$A6,RR_Ciclo,J$4)))</f>
        <v/>
      </c>
    </row>
    <row r="7">
      <c r="A7">
        <f>INDEX(posID,3)&amp;""</f>
        <v/>
      </c>
      <c r="B7">
        <f>INDEX(posNome,3)&amp;""</f>
        <v/>
      </c>
      <c r="C7" s="58">
        <f>IF(OR($A7="",C$4=""),NA(),IF(COUNTIFS(RR_ID_Rischio,$A7,RR_Ciclo,C$4)=0,NA(),SUMIFS(RR_Score_Composito,RR_ID_Rischio,$A7,RR_Ciclo,C$4)))</f>
        <v/>
      </c>
      <c r="D7" s="58">
        <f>IF(OR($A7="",D$4=""),NA(),IF(COUNTIFS(RR_ID_Rischio,$A7,RR_Ciclo,D$4)=0,NA(),SUMIFS(RR_Score_Composito,RR_ID_Rischio,$A7,RR_Ciclo,D$4)))</f>
        <v/>
      </c>
      <c r="E7" s="58">
        <f>IF(OR($A7="",E$4=""),NA(),IF(COUNTIFS(RR_ID_Rischio,$A7,RR_Ciclo,E$4)=0,NA(),SUMIFS(RR_Score_Composito,RR_ID_Rischio,$A7,RR_Ciclo,E$4)))</f>
        <v/>
      </c>
      <c r="F7" s="58">
        <f>IF(OR($A7="",F$4=""),NA(),IF(COUNTIFS(RR_ID_Rischio,$A7,RR_Ciclo,F$4)=0,NA(),SUMIFS(RR_Score_Composito,RR_ID_Rischio,$A7,RR_Ciclo,F$4)))</f>
        <v/>
      </c>
      <c r="G7" s="58">
        <f>IF(OR($A7="",G$4=""),NA(),IF(COUNTIFS(RR_ID_Rischio,$A7,RR_Ciclo,G$4)=0,NA(),SUMIFS(RR_Score_Composito,RR_ID_Rischio,$A7,RR_Ciclo,G$4)))</f>
        <v/>
      </c>
      <c r="H7" s="58">
        <f>IF(OR($A7="",H$4=""),NA(),IF(COUNTIFS(RR_ID_Rischio,$A7,RR_Ciclo,H$4)=0,NA(),SUMIFS(RR_Score_Composito,RR_ID_Rischio,$A7,RR_Ciclo,H$4)))</f>
        <v/>
      </c>
      <c r="I7" s="58">
        <f>IF(OR($A7="",I$4=""),NA(),IF(COUNTIFS(RR_ID_Rischio,$A7,RR_Ciclo,I$4)=0,NA(),SUMIFS(RR_Score_Composito,RR_ID_Rischio,$A7,RR_Ciclo,I$4)))</f>
        <v/>
      </c>
      <c r="J7" s="58">
        <f>IF(OR($A7="",J$4=""),NA(),IF(COUNTIFS(RR_ID_Rischio,$A7,RR_Ciclo,J$4)=0,NA(),SUMIFS(RR_Score_Composito,RR_ID_Rischio,$A7,RR_Ciclo,J$4)))</f>
        <v/>
      </c>
    </row>
    <row r="8">
      <c r="A8">
        <f>INDEX(posID,4)&amp;""</f>
        <v/>
      </c>
      <c r="B8">
        <f>INDEX(posNome,4)&amp;""</f>
        <v/>
      </c>
      <c r="C8" s="58">
        <f>IF(OR($A8="",C$4=""),NA(),IF(COUNTIFS(RR_ID_Rischio,$A8,RR_Ciclo,C$4)=0,NA(),SUMIFS(RR_Score_Composito,RR_ID_Rischio,$A8,RR_Ciclo,C$4)))</f>
        <v/>
      </c>
      <c r="D8" s="58">
        <f>IF(OR($A8="",D$4=""),NA(),IF(COUNTIFS(RR_ID_Rischio,$A8,RR_Ciclo,D$4)=0,NA(),SUMIFS(RR_Score_Composito,RR_ID_Rischio,$A8,RR_Ciclo,D$4)))</f>
        <v/>
      </c>
      <c r="E8" s="58">
        <f>IF(OR($A8="",E$4=""),NA(),IF(COUNTIFS(RR_ID_Rischio,$A8,RR_Ciclo,E$4)=0,NA(),SUMIFS(RR_Score_Composito,RR_ID_Rischio,$A8,RR_Ciclo,E$4)))</f>
        <v/>
      </c>
      <c r="F8" s="58">
        <f>IF(OR($A8="",F$4=""),NA(),IF(COUNTIFS(RR_ID_Rischio,$A8,RR_Ciclo,F$4)=0,NA(),SUMIFS(RR_Score_Composito,RR_ID_Rischio,$A8,RR_Ciclo,F$4)))</f>
        <v/>
      </c>
      <c r="G8" s="58">
        <f>IF(OR($A8="",G$4=""),NA(),IF(COUNTIFS(RR_ID_Rischio,$A8,RR_Ciclo,G$4)=0,NA(),SUMIFS(RR_Score_Composito,RR_ID_Rischio,$A8,RR_Ciclo,G$4)))</f>
        <v/>
      </c>
      <c r="H8" s="58">
        <f>IF(OR($A8="",H$4=""),NA(),IF(COUNTIFS(RR_ID_Rischio,$A8,RR_Ciclo,H$4)=0,NA(),SUMIFS(RR_Score_Composito,RR_ID_Rischio,$A8,RR_Ciclo,H$4)))</f>
        <v/>
      </c>
      <c r="I8" s="58">
        <f>IF(OR($A8="",I$4=""),NA(),IF(COUNTIFS(RR_ID_Rischio,$A8,RR_Ciclo,I$4)=0,NA(),SUMIFS(RR_Score_Composito,RR_ID_Rischio,$A8,RR_Ciclo,I$4)))</f>
        <v/>
      </c>
      <c r="J8" s="58">
        <f>IF(OR($A8="",J$4=""),NA(),IF(COUNTIFS(RR_ID_Rischio,$A8,RR_Ciclo,J$4)=0,NA(),SUMIFS(RR_Score_Composito,RR_ID_Rischio,$A8,RR_Ciclo,J$4)))</f>
        <v/>
      </c>
    </row>
    <row r="9">
      <c r="A9">
        <f>INDEX(posID,5)&amp;""</f>
        <v/>
      </c>
      <c r="B9">
        <f>INDEX(posNome,5)&amp;""</f>
        <v/>
      </c>
      <c r="C9" s="58">
        <f>IF(OR($A9="",C$4=""),NA(),IF(COUNTIFS(RR_ID_Rischio,$A9,RR_Ciclo,C$4)=0,NA(),SUMIFS(RR_Score_Composito,RR_ID_Rischio,$A9,RR_Ciclo,C$4)))</f>
        <v/>
      </c>
      <c r="D9" s="58">
        <f>IF(OR($A9="",D$4=""),NA(),IF(COUNTIFS(RR_ID_Rischio,$A9,RR_Ciclo,D$4)=0,NA(),SUMIFS(RR_Score_Composito,RR_ID_Rischio,$A9,RR_Ciclo,D$4)))</f>
        <v/>
      </c>
      <c r="E9" s="58">
        <f>IF(OR($A9="",E$4=""),NA(),IF(COUNTIFS(RR_ID_Rischio,$A9,RR_Ciclo,E$4)=0,NA(),SUMIFS(RR_Score_Composito,RR_ID_Rischio,$A9,RR_Ciclo,E$4)))</f>
        <v/>
      </c>
      <c r="F9" s="58">
        <f>IF(OR($A9="",F$4=""),NA(),IF(COUNTIFS(RR_ID_Rischio,$A9,RR_Ciclo,F$4)=0,NA(),SUMIFS(RR_Score_Composito,RR_ID_Rischio,$A9,RR_Ciclo,F$4)))</f>
        <v/>
      </c>
      <c r="G9" s="58">
        <f>IF(OR($A9="",G$4=""),NA(),IF(COUNTIFS(RR_ID_Rischio,$A9,RR_Ciclo,G$4)=0,NA(),SUMIFS(RR_Score_Composito,RR_ID_Rischio,$A9,RR_Ciclo,G$4)))</f>
        <v/>
      </c>
      <c r="H9" s="58">
        <f>IF(OR($A9="",H$4=""),NA(),IF(COUNTIFS(RR_ID_Rischio,$A9,RR_Ciclo,H$4)=0,NA(),SUMIFS(RR_Score_Composito,RR_ID_Rischio,$A9,RR_Ciclo,H$4)))</f>
        <v/>
      </c>
      <c r="I9" s="58">
        <f>IF(OR($A9="",I$4=""),NA(),IF(COUNTIFS(RR_ID_Rischio,$A9,RR_Ciclo,I$4)=0,NA(),SUMIFS(RR_Score_Composito,RR_ID_Rischio,$A9,RR_Ciclo,I$4)))</f>
        <v/>
      </c>
      <c r="J9" s="58">
        <f>IF(OR($A9="",J$4=""),NA(),IF(COUNTIFS(RR_ID_Rischio,$A9,RR_Ciclo,J$4)=0,NA(),SUMIFS(RR_Score_Composito,RR_ID_Rischio,$A9,RR_Ciclo,J$4)))</f>
        <v/>
      </c>
    </row>
    <row r="10">
      <c r="A10">
        <f>INDEX(posID,6)&amp;""</f>
        <v/>
      </c>
      <c r="B10">
        <f>INDEX(posNome,6)&amp;""</f>
        <v/>
      </c>
      <c r="C10" s="58">
        <f>IF(OR($A10="",C$4=""),NA(),IF(COUNTIFS(RR_ID_Rischio,$A10,RR_Ciclo,C$4)=0,NA(),SUMIFS(RR_Score_Composito,RR_ID_Rischio,$A10,RR_Ciclo,C$4)))</f>
        <v/>
      </c>
      <c r="D10" s="58">
        <f>IF(OR($A10="",D$4=""),NA(),IF(COUNTIFS(RR_ID_Rischio,$A10,RR_Ciclo,D$4)=0,NA(),SUMIFS(RR_Score_Composito,RR_ID_Rischio,$A10,RR_Ciclo,D$4)))</f>
        <v/>
      </c>
      <c r="E10" s="58">
        <f>IF(OR($A10="",E$4=""),NA(),IF(COUNTIFS(RR_ID_Rischio,$A10,RR_Ciclo,E$4)=0,NA(),SUMIFS(RR_Score_Composito,RR_ID_Rischio,$A10,RR_Ciclo,E$4)))</f>
        <v/>
      </c>
      <c r="F10" s="58">
        <f>IF(OR($A10="",F$4=""),NA(),IF(COUNTIFS(RR_ID_Rischio,$A10,RR_Ciclo,F$4)=0,NA(),SUMIFS(RR_Score_Composito,RR_ID_Rischio,$A10,RR_Ciclo,F$4)))</f>
        <v/>
      </c>
      <c r="G10" s="58">
        <f>IF(OR($A10="",G$4=""),NA(),IF(COUNTIFS(RR_ID_Rischio,$A10,RR_Ciclo,G$4)=0,NA(),SUMIFS(RR_Score_Composito,RR_ID_Rischio,$A10,RR_Ciclo,G$4)))</f>
        <v/>
      </c>
      <c r="H10" s="58">
        <f>IF(OR($A10="",H$4=""),NA(),IF(COUNTIFS(RR_ID_Rischio,$A10,RR_Ciclo,H$4)=0,NA(),SUMIFS(RR_Score_Composito,RR_ID_Rischio,$A10,RR_Ciclo,H$4)))</f>
        <v/>
      </c>
      <c r="I10" s="58">
        <f>IF(OR($A10="",I$4=""),NA(),IF(COUNTIFS(RR_ID_Rischio,$A10,RR_Ciclo,I$4)=0,NA(),SUMIFS(RR_Score_Composito,RR_ID_Rischio,$A10,RR_Ciclo,I$4)))</f>
        <v/>
      </c>
      <c r="J10" s="58">
        <f>IF(OR($A10="",J$4=""),NA(),IF(COUNTIFS(RR_ID_Rischio,$A10,RR_Ciclo,J$4)=0,NA(),SUMIFS(RR_Score_Composito,RR_ID_Rischio,$A10,RR_Ciclo,J$4)))</f>
        <v/>
      </c>
    </row>
    <row r="11">
      <c r="A11">
        <f>INDEX(posID,7)&amp;""</f>
        <v/>
      </c>
      <c r="B11">
        <f>INDEX(posNome,7)&amp;""</f>
        <v/>
      </c>
      <c r="C11" s="58">
        <f>IF(OR($A11="",C$4=""),NA(),IF(COUNTIFS(RR_ID_Rischio,$A11,RR_Ciclo,C$4)=0,NA(),SUMIFS(RR_Score_Composito,RR_ID_Rischio,$A11,RR_Ciclo,C$4)))</f>
        <v/>
      </c>
      <c r="D11" s="58">
        <f>IF(OR($A11="",D$4=""),NA(),IF(COUNTIFS(RR_ID_Rischio,$A11,RR_Ciclo,D$4)=0,NA(),SUMIFS(RR_Score_Composito,RR_ID_Rischio,$A11,RR_Ciclo,D$4)))</f>
        <v/>
      </c>
      <c r="E11" s="58">
        <f>IF(OR($A11="",E$4=""),NA(),IF(COUNTIFS(RR_ID_Rischio,$A11,RR_Ciclo,E$4)=0,NA(),SUMIFS(RR_Score_Composito,RR_ID_Rischio,$A11,RR_Ciclo,E$4)))</f>
        <v/>
      </c>
      <c r="F11" s="58">
        <f>IF(OR($A11="",F$4=""),NA(),IF(COUNTIFS(RR_ID_Rischio,$A11,RR_Ciclo,F$4)=0,NA(),SUMIFS(RR_Score_Composito,RR_ID_Rischio,$A11,RR_Ciclo,F$4)))</f>
        <v/>
      </c>
      <c r="G11" s="58">
        <f>IF(OR($A11="",G$4=""),NA(),IF(COUNTIFS(RR_ID_Rischio,$A11,RR_Ciclo,G$4)=0,NA(),SUMIFS(RR_Score_Composito,RR_ID_Rischio,$A11,RR_Ciclo,G$4)))</f>
        <v/>
      </c>
      <c r="H11" s="58">
        <f>IF(OR($A11="",H$4=""),NA(),IF(COUNTIFS(RR_ID_Rischio,$A11,RR_Ciclo,H$4)=0,NA(),SUMIFS(RR_Score_Composito,RR_ID_Rischio,$A11,RR_Ciclo,H$4)))</f>
        <v/>
      </c>
      <c r="I11" s="58">
        <f>IF(OR($A11="",I$4=""),NA(),IF(COUNTIFS(RR_ID_Rischio,$A11,RR_Ciclo,I$4)=0,NA(),SUMIFS(RR_Score_Composito,RR_ID_Rischio,$A11,RR_Ciclo,I$4)))</f>
        <v/>
      </c>
      <c r="J11" s="58">
        <f>IF(OR($A11="",J$4=""),NA(),IF(COUNTIFS(RR_ID_Rischio,$A11,RR_Ciclo,J$4)=0,NA(),SUMIFS(RR_Score_Composito,RR_ID_Rischio,$A11,RR_Ciclo,J$4)))</f>
        <v/>
      </c>
    </row>
    <row r="12">
      <c r="A12">
        <f>INDEX(posID,8)&amp;""</f>
        <v/>
      </c>
      <c r="B12">
        <f>INDEX(posNome,8)&amp;""</f>
        <v/>
      </c>
      <c r="C12" s="58">
        <f>IF(OR($A12="",C$4=""),NA(),IF(COUNTIFS(RR_ID_Rischio,$A12,RR_Ciclo,C$4)=0,NA(),SUMIFS(RR_Score_Composito,RR_ID_Rischio,$A12,RR_Ciclo,C$4)))</f>
        <v/>
      </c>
      <c r="D12" s="58">
        <f>IF(OR($A12="",D$4=""),NA(),IF(COUNTIFS(RR_ID_Rischio,$A12,RR_Ciclo,D$4)=0,NA(),SUMIFS(RR_Score_Composito,RR_ID_Rischio,$A12,RR_Ciclo,D$4)))</f>
        <v/>
      </c>
      <c r="E12" s="58">
        <f>IF(OR($A12="",E$4=""),NA(),IF(COUNTIFS(RR_ID_Rischio,$A12,RR_Ciclo,E$4)=0,NA(),SUMIFS(RR_Score_Composito,RR_ID_Rischio,$A12,RR_Ciclo,E$4)))</f>
        <v/>
      </c>
      <c r="F12" s="58">
        <f>IF(OR($A12="",F$4=""),NA(),IF(COUNTIFS(RR_ID_Rischio,$A12,RR_Ciclo,F$4)=0,NA(),SUMIFS(RR_Score_Composito,RR_ID_Rischio,$A12,RR_Ciclo,F$4)))</f>
        <v/>
      </c>
      <c r="G12" s="58">
        <f>IF(OR($A12="",G$4=""),NA(),IF(COUNTIFS(RR_ID_Rischio,$A12,RR_Ciclo,G$4)=0,NA(),SUMIFS(RR_Score_Composito,RR_ID_Rischio,$A12,RR_Ciclo,G$4)))</f>
        <v/>
      </c>
      <c r="H12" s="58">
        <f>IF(OR($A12="",H$4=""),NA(),IF(COUNTIFS(RR_ID_Rischio,$A12,RR_Ciclo,H$4)=0,NA(),SUMIFS(RR_Score_Composito,RR_ID_Rischio,$A12,RR_Ciclo,H$4)))</f>
        <v/>
      </c>
      <c r="I12" s="58">
        <f>IF(OR($A12="",I$4=""),NA(),IF(COUNTIFS(RR_ID_Rischio,$A12,RR_Ciclo,I$4)=0,NA(),SUMIFS(RR_Score_Composito,RR_ID_Rischio,$A12,RR_Ciclo,I$4)))</f>
        <v/>
      </c>
      <c r="J12" s="58">
        <f>IF(OR($A12="",J$4=""),NA(),IF(COUNTIFS(RR_ID_Rischio,$A12,RR_Ciclo,J$4)=0,NA(),SUMIFS(RR_Score_Composito,RR_ID_Rischio,$A12,RR_Ciclo,J$4)))</f>
        <v/>
      </c>
    </row>
    <row r="13">
      <c r="A13">
        <f>INDEX(posID,9)&amp;""</f>
        <v/>
      </c>
      <c r="B13">
        <f>INDEX(posNome,9)&amp;""</f>
        <v/>
      </c>
      <c r="C13" s="58">
        <f>IF(OR($A13="",C$4=""),NA(),IF(COUNTIFS(RR_ID_Rischio,$A13,RR_Ciclo,C$4)=0,NA(),SUMIFS(RR_Score_Composito,RR_ID_Rischio,$A13,RR_Ciclo,C$4)))</f>
        <v/>
      </c>
      <c r="D13" s="58">
        <f>IF(OR($A13="",D$4=""),NA(),IF(COUNTIFS(RR_ID_Rischio,$A13,RR_Ciclo,D$4)=0,NA(),SUMIFS(RR_Score_Composito,RR_ID_Rischio,$A13,RR_Ciclo,D$4)))</f>
        <v/>
      </c>
      <c r="E13" s="58">
        <f>IF(OR($A13="",E$4=""),NA(),IF(COUNTIFS(RR_ID_Rischio,$A13,RR_Ciclo,E$4)=0,NA(),SUMIFS(RR_Score_Composito,RR_ID_Rischio,$A13,RR_Ciclo,E$4)))</f>
        <v/>
      </c>
      <c r="F13" s="58">
        <f>IF(OR($A13="",F$4=""),NA(),IF(COUNTIFS(RR_ID_Rischio,$A13,RR_Ciclo,F$4)=0,NA(),SUMIFS(RR_Score_Composito,RR_ID_Rischio,$A13,RR_Ciclo,F$4)))</f>
        <v/>
      </c>
      <c r="G13" s="58">
        <f>IF(OR($A13="",G$4=""),NA(),IF(COUNTIFS(RR_ID_Rischio,$A13,RR_Ciclo,G$4)=0,NA(),SUMIFS(RR_Score_Composito,RR_ID_Rischio,$A13,RR_Ciclo,G$4)))</f>
        <v/>
      </c>
      <c r="H13" s="58">
        <f>IF(OR($A13="",H$4=""),NA(),IF(COUNTIFS(RR_ID_Rischio,$A13,RR_Ciclo,H$4)=0,NA(),SUMIFS(RR_Score_Composito,RR_ID_Rischio,$A13,RR_Ciclo,H$4)))</f>
        <v/>
      </c>
      <c r="I13" s="58">
        <f>IF(OR($A13="",I$4=""),NA(),IF(COUNTIFS(RR_ID_Rischio,$A13,RR_Ciclo,I$4)=0,NA(),SUMIFS(RR_Score_Composito,RR_ID_Rischio,$A13,RR_Ciclo,I$4)))</f>
        <v/>
      </c>
      <c r="J13" s="58">
        <f>IF(OR($A13="",J$4=""),NA(),IF(COUNTIFS(RR_ID_Rischio,$A13,RR_Ciclo,J$4)=0,NA(),SUMIFS(RR_Score_Composito,RR_ID_Rischio,$A13,RR_Ciclo,J$4)))</f>
        <v/>
      </c>
    </row>
    <row r="14">
      <c r="A14">
        <f>INDEX(posID,10)&amp;""</f>
        <v/>
      </c>
      <c r="B14">
        <f>INDEX(posNome,10)&amp;""</f>
        <v/>
      </c>
      <c r="C14" s="58">
        <f>IF(OR($A14="",C$4=""),NA(),IF(COUNTIFS(RR_ID_Rischio,$A14,RR_Ciclo,C$4)=0,NA(),SUMIFS(RR_Score_Composito,RR_ID_Rischio,$A14,RR_Ciclo,C$4)))</f>
        <v/>
      </c>
      <c r="D14" s="58">
        <f>IF(OR($A14="",D$4=""),NA(),IF(COUNTIFS(RR_ID_Rischio,$A14,RR_Ciclo,D$4)=0,NA(),SUMIFS(RR_Score_Composito,RR_ID_Rischio,$A14,RR_Ciclo,D$4)))</f>
        <v/>
      </c>
      <c r="E14" s="58">
        <f>IF(OR($A14="",E$4=""),NA(),IF(COUNTIFS(RR_ID_Rischio,$A14,RR_Ciclo,E$4)=0,NA(),SUMIFS(RR_Score_Composito,RR_ID_Rischio,$A14,RR_Ciclo,E$4)))</f>
        <v/>
      </c>
      <c r="F14" s="58">
        <f>IF(OR($A14="",F$4=""),NA(),IF(COUNTIFS(RR_ID_Rischio,$A14,RR_Ciclo,F$4)=0,NA(),SUMIFS(RR_Score_Composito,RR_ID_Rischio,$A14,RR_Ciclo,F$4)))</f>
        <v/>
      </c>
      <c r="G14" s="58">
        <f>IF(OR($A14="",G$4=""),NA(),IF(COUNTIFS(RR_ID_Rischio,$A14,RR_Ciclo,G$4)=0,NA(),SUMIFS(RR_Score_Composito,RR_ID_Rischio,$A14,RR_Ciclo,G$4)))</f>
        <v/>
      </c>
      <c r="H14" s="58">
        <f>IF(OR($A14="",H$4=""),NA(),IF(COUNTIFS(RR_ID_Rischio,$A14,RR_Ciclo,H$4)=0,NA(),SUMIFS(RR_Score_Composito,RR_ID_Rischio,$A14,RR_Ciclo,H$4)))</f>
        <v/>
      </c>
      <c r="I14" s="58">
        <f>IF(OR($A14="",I$4=""),NA(),IF(COUNTIFS(RR_ID_Rischio,$A14,RR_Ciclo,I$4)=0,NA(),SUMIFS(RR_Score_Composito,RR_ID_Rischio,$A14,RR_Ciclo,I$4)))</f>
        <v/>
      </c>
      <c r="J14" s="58">
        <f>IF(OR($A14="",J$4=""),NA(),IF(COUNTIFS(RR_ID_Rischio,$A14,RR_Ciclo,J$4)=0,NA(),SUMIFS(RR_Score_Composito,RR_ID_Rischio,$A14,RR_Ciclo,J$4)))</f>
        <v/>
      </c>
    </row>
    <row r="15">
      <c r="A15">
        <f>INDEX(posID,11)&amp;""</f>
        <v/>
      </c>
      <c r="B15">
        <f>INDEX(posNome,11)&amp;""</f>
        <v/>
      </c>
      <c r="C15" s="58">
        <f>IF(OR($A15="",C$4=""),NA(),IF(COUNTIFS(RR_ID_Rischio,$A15,RR_Ciclo,C$4)=0,NA(),SUMIFS(RR_Score_Composito,RR_ID_Rischio,$A15,RR_Ciclo,C$4)))</f>
        <v/>
      </c>
      <c r="D15" s="58">
        <f>IF(OR($A15="",D$4=""),NA(),IF(COUNTIFS(RR_ID_Rischio,$A15,RR_Ciclo,D$4)=0,NA(),SUMIFS(RR_Score_Composito,RR_ID_Rischio,$A15,RR_Ciclo,D$4)))</f>
        <v/>
      </c>
      <c r="E15" s="58">
        <f>IF(OR($A15="",E$4=""),NA(),IF(COUNTIFS(RR_ID_Rischio,$A15,RR_Ciclo,E$4)=0,NA(),SUMIFS(RR_Score_Composito,RR_ID_Rischio,$A15,RR_Ciclo,E$4)))</f>
        <v/>
      </c>
      <c r="F15" s="58">
        <f>IF(OR($A15="",F$4=""),NA(),IF(COUNTIFS(RR_ID_Rischio,$A15,RR_Ciclo,F$4)=0,NA(),SUMIFS(RR_Score_Composito,RR_ID_Rischio,$A15,RR_Ciclo,F$4)))</f>
        <v/>
      </c>
      <c r="G15" s="58">
        <f>IF(OR($A15="",G$4=""),NA(),IF(COUNTIFS(RR_ID_Rischio,$A15,RR_Ciclo,G$4)=0,NA(),SUMIFS(RR_Score_Composito,RR_ID_Rischio,$A15,RR_Ciclo,G$4)))</f>
        <v/>
      </c>
      <c r="H15" s="58">
        <f>IF(OR($A15="",H$4=""),NA(),IF(COUNTIFS(RR_ID_Rischio,$A15,RR_Ciclo,H$4)=0,NA(),SUMIFS(RR_Score_Composito,RR_ID_Rischio,$A15,RR_Ciclo,H$4)))</f>
        <v/>
      </c>
      <c r="I15" s="58">
        <f>IF(OR($A15="",I$4=""),NA(),IF(COUNTIFS(RR_ID_Rischio,$A15,RR_Ciclo,I$4)=0,NA(),SUMIFS(RR_Score_Composito,RR_ID_Rischio,$A15,RR_Ciclo,I$4)))</f>
        <v/>
      </c>
      <c r="J15" s="58">
        <f>IF(OR($A15="",J$4=""),NA(),IF(COUNTIFS(RR_ID_Rischio,$A15,RR_Ciclo,J$4)=0,NA(),SUMIFS(RR_Score_Composito,RR_ID_Rischio,$A15,RR_Ciclo,J$4)))</f>
        <v/>
      </c>
    </row>
    <row r="16">
      <c r="A16">
        <f>INDEX(posID,12)&amp;""</f>
        <v/>
      </c>
      <c r="B16">
        <f>INDEX(posNome,12)&amp;""</f>
        <v/>
      </c>
      <c r="C16" s="58">
        <f>IF(OR($A16="",C$4=""),NA(),IF(COUNTIFS(RR_ID_Rischio,$A16,RR_Ciclo,C$4)=0,NA(),SUMIFS(RR_Score_Composito,RR_ID_Rischio,$A16,RR_Ciclo,C$4)))</f>
        <v/>
      </c>
      <c r="D16" s="58">
        <f>IF(OR($A16="",D$4=""),NA(),IF(COUNTIFS(RR_ID_Rischio,$A16,RR_Ciclo,D$4)=0,NA(),SUMIFS(RR_Score_Composito,RR_ID_Rischio,$A16,RR_Ciclo,D$4)))</f>
        <v/>
      </c>
      <c r="E16" s="58">
        <f>IF(OR($A16="",E$4=""),NA(),IF(COUNTIFS(RR_ID_Rischio,$A16,RR_Ciclo,E$4)=0,NA(),SUMIFS(RR_Score_Composito,RR_ID_Rischio,$A16,RR_Ciclo,E$4)))</f>
        <v/>
      </c>
      <c r="F16" s="58">
        <f>IF(OR($A16="",F$4=""),NA(),IF(COUNTIFS(RR_ID_Rischio,$A16,RR_Ciclo,F$4)=0,NA(),SUMIFS(RR_Score_Composito,RR_ID_Rischio,$A16,RR_Ciclo,F$4)))</f>
        <v/>
      </c>
      <c r="G16" s="58">
        <f>IF(OR($A16="",G$4=""),NA(),IF(COUNTIFS(RR_ID_Rischio,$A16,RR_Ciclo,G$4)=0,NA(),SUMIFS(RR_Score_Composito,RR_ID_Rischio,$A16,RR_Ciclo,G$4)))</f>
        <v/>
      </c>
      <c r="H16" s="58">
        <f>IF(OR($A16="",H$4=""),NA(),IF(COUNTIFS(RR_ID_Rischio,$A16,RR_Ciclo,H$4)=0,NA(),SUMIFS(RR_Score_Composito,RR_ID_Rischio,$A16,RR_Ciclo,H$4)))</f>
        <v/>
      </c>
      <c r="I16" s="58">
        <f>IF(OR($A16="",I$4=""),NA(),IF(COUNTIFS(RR_ID_Rischio,$A16,RR_Ciclo,I$4)=0,NA(),SUMIFS(RR_Score_Composito,RR_ID_Rischio,$A16,RR_Ciclo,I$4)))</f>
        <v/>
      </c>
      <c r="J16" s="58">
        <f>IF(OR($A16="",J$4=""),NA(),IF(COUNTIFS(RR_ID_Rischio,$A16,RR_Ciclo,J$4)=0,NA(),SUMIFS(RR_Score_Composito,RR_ID_Rischio,$A16,RR_Ciclo,J$4)))</f>
        <v/>
      </c>
    </row>
    <row r="17">
      <c r="A17">
        <f>INDEX(posID,13)&amp;""</f>
        <v/>
      </c>
      <c r="B17">
        <f>INDEX(posNome,13)&amp;""</f>
        <v/>
      </c>
      <c r="C17" s="58">
        <f>IF(OR($A17="",C$4=""),NA(),IF(COUNTIFS(RR_ID_Rischio,$A17,RR_Ciclo,C$4)=0,NA(),SUMIFS(RR_Score_Composito,RR_ID_Rischio,$A17,RR_Ciclo,C$4)))</f>
        <v/>
      </c>
      <c r="D17" s="58">
        <f>IF(OR($A17="",D$4=""),NA(),IF(COUNTIFS(RR_ID_Rischio,$A17,RR_Ciclo,D$4)=0,NA(),SUMIFS(RR_Score_Composito,RR_ID_Rischio,$A17,RR_Ciclo,D$4)))</f>
        <v/>
      </c>
      <c r="E17" s="58">
        <f>IF(OR($A17="",E$4=""),NA(),IF(COUNTIFS(RR_ID_Rischio,$A17,RR_Ciclo,E$4)=0,NA(),SUMIFS(RR_Score_Composito,RR_ID_Rischio,$A17,RR_Ciclo,E$4)))</f>
        <v/>
      </c>
      <c r="F17" s="58">
        <f>IF(OR($A17="",F$4=""),NA(),IF(COUNTIFS(RR_ID_Rischio,$A17,RR_Ciclo,F$4)=0,NA(),SUMIFS(RR_Score_Composito,RR_ID_Rischio,$A17,RR_Ciclo,F$4)))</f>
        <v/>
      </c>
      <c r="G17" s="58">
        <f>IF(OR($A17="",G$4=""),NA(),IF(COUNTIFS(RR_ID_Rischio,$A17,RR_Ciclo,G$4)=0,NA(),SUMIFS(RR_Score_Composito,RR_ID_Rischio,$A17,RR_Ciclo,G$4)))</f>
        <v/>
      </c>
      <c r="H17" s="58">
        <f>IF(OR($A17="",H$4=""),NA(),IF(COUNTIFS(RR_ID_Rischio,$A17,RR_Ciclo,H$4)=0,NA(),SUMIFS(RR_Score_Composito,RR_ID_Rischio,$A17,RR_Ciclo,H$4)))</f>
        <v/>
      </c>
      <c r="I17" s="58">
        <f>IF(OR($A17="",I$4=""),NA(),IF(COUNTIFS(RR_ID_Rischio,$A17,RR_Ciclo,I$4)=0,NA(),SUMIFS(RR_Score_Composito,RR_ID_Rischio,$A17,RR_Ciclo,I$4)))</f>
        <v/>
      </c>
      <c r="J17" s="58">
        <f>IF(OR($A17="",J$4=""),NA(),IF(COUNTIFS(RR_ID_Rischio,$A17,RR_Ciclo,J$4)=0,NA(),SUMIFS(RR_Score_Composito,RR_ID_Rischio,$A17,RR_Ciclo,J$4)))</f>
        <v/>
      </c>
    </row>
    <row r="18">
      <c r="A18">
        <f>INDEX(posID,14)&amp;""</f>
        <v/>
      </c>
      <c r="B18">
        <f>INDEX(posNome,14)&amp;""</f>
        <v/>
      </c>
      <c r="C18" s="58">
        <f>IF(OR($A18="",C$4=""),NA(),IF(COUNTIFS(RR_ID_Rischio,$A18,RR_Ciclo,C$4)=0,NA(),SUMIFS(RR_Score_Composito,RR_ID_Rischio,$A18,RR_Ciclo,C$4)))</f>
        <v/>
      </c>
      <c r="D18" s="58">
        <f>IF(OR($A18="",D$4=""),NA(),IF(COUNTIFS(RR_ID_Rischio,$A18,RR_Ciclo,D$4)=0,NA(),SUMIFS(RR_Score_Composito,RR_ID_Rischio,$A18,RR_Ciclo,D$4)))</f>
        <v/>
      </c>
      <c r="E18" s="58">
        <f>IF(OR($A18="",E$4=""),NA(),IF(COUNTIFS(RR_ID_Rischio,$A18,RR_Ciclo,E$4)=0,NA(),SUMIFS(RR_Score_Composito,RR_ID_Rischio,$A18,RR_Ciclo,E$4)))</f>
        <v/>
      </c>
      <c r="F18" s="58">
        <f>IF(OR($A18="",F$4=""),NA(),IF(COUNTIFS(RR_ID_Rischio,$A18,RR_Ciclo,F$4)=0,NA(),SUMIFS(RR_Score_Composito,RR_ID_Rischio,$A18,RR_Ciclo,F$4)))</f>
        <v/>
      </c>
      <c r="G18" s="58">
        <f>IF(OR($A18="",G$4=""),NA(),IF(COUNTIFS(RR_ID_Rischio,$A18,RR_Ciclo,G$4)=0,NA(),SUMIFS(RR_Score_Composito,RR_ID_Rischio,$A18,RR_Ciclo,G$4)))</f>
        <v/>
      </c>
      <c r="H18" s="58">
        <f>IF(OR($A18="",H$4=""),NA(),IF(COUNTIFS(RR_ID_Rischio,$A18,RR_Ciclo,H$4)=0,NA(),SUMIFS(RR_Score_Composito,RR_ID_Rischio,$A18,RR_Ciclo,H$4)))</f>
        <v/>
      </c>
      <c r="I18" s="58">
        <f>IF(OR($A18="",I$4=""),NA(),IF(COUNTIFS(RR_ID_Rischio,$A18,RR_Ciclo,I$4)=0,NA(),SUMIFS(RR_Score_Composito,RR_ID_Rischio,$A18,RR_Ciclo,I$4)))</f>
        <v/>
      </c>
      <c r="J18" s="58">
        <f>IF(OR($A18="",J$4=""),NA(),IF(COUNTIFS(RR_ID_Rischio,$A18,RR_Ciclo,J$4)=0,NA(),SUMIFS(RR_Score_Composito,RR_ID_Rischio,$A18,RR_Ciclo,J$4)))</f>
        <v/>
      </c>
    </row>
    <row r="19">
      <c r="A19">
        <f>INDEX(posID,15)&amp;""</f>
        <v/>
      </c>
      <c r="B19">
        <f>INDEX(posNome,15)&amp;""</f>
        <v/>
      </c>
      <c r="C19" s="58">
        <f>IF(OR($A19="",C$4=""),NA(),IF(COUNTIFS(RR_ID_Rischio,$A19,RR_Ciclo,C$4)=0,NA(),SUMIFS(RR_Score_Composito,RR_ID_Rischio,$A19,RR_Ciclo,C$4)))</f>
        <v/>
      </c>
      <c r="D19" s="58">
        <f>IF(OR($A19="",D$4=""),NA(),IF(COUNTIFS(RR_ID_Rischio,$A19,RR_Ciclo,D$4)=0,NA(),SUMIFS(RR_Score_Composito,RR_ID_Rischio,$A19,RR_Ciclo,D$4)))</f>
        <v/>
      </c>
      <c r="E19" s="58">
        <f>IF(OR($A19="",E$4=""),NA(),IF(COUNTIFS(RR_ID_Rischio,$A19,RR_Ciclo,E$4)=0,NA(),SUMIFS(RR_Score_Composito,RR_ID_Rischio,$A19,RR_Ciclo,E$4)))</f>
        <v/>
      </c>
      <c r="F19" s="58">
        <f>IF(OR($A19="",F$4=""),NA(),IF(COUNTIFS(RR_ID_Rischio,$A19,RR_Ciclo,F$4)=0,NA(),SUMIFS(RR_Score_Composito,RR_ID_Rischio,$A19,RR_Ciclo,F$4)))</f>
        <v/>
      </c>
      <c r="G19" s="58">
        <f>IF(OR($A19="",G$4=""),NA(),IF(COUNTIFS(RR_ID_Rischio,$A19,RR_Ciclo,G$4)=0,NA(),SUMIFS(RR_Score_Composito,RR_ID_Rischio,$A19,RR_Ciclo,G$4)))</f>
        <v/>
      </c>
      <c r="H19" s="58">
        <f>IF(OR($A19="",H$4=""),NA(),IF(COUNTIFS(RR_ID_Rischio,$A19,RR_Ciclo,H$4)=0,NA(),SUMIFS(RR_Score_Composito,RR_ID_Rischio,$A19,RR_Ciclo,H$4)))</f>
        <v/>
      </c>
      <c r="I19" s="58">
        <f>IF(OR($A19="",I$4=""),NA(),IF(COUNTIFS(RR_ID_Rischio,$A19,RR_Ciclo,I$4)=0,NA(),SUMIFS(RR_Score_Composito,RR_ID_Rischio,$A19,RR_Ciclo,I$4)))</f>
        <v/>
      </c>
      <c r="J19" s="58">
        <f>IF(OR($A19="",J$4=""),NA(),IF(COUNTIFS(RR_ID_Rischio,$A19,RR_Ciclo,J$4)=0,NA(),SUMIFS(RR_Score_Composito,RR_ID_Rischio,$A19,RR_Ciclo,J$4)))</f>
        <v/>
      </c>
    </row>
    <row r="20">
      <c r="A20">
        <f>INDEX(posID,16)&amp;""</f>
        <v/>
      </c>
      <c r="B20">
        <f>INDEX(posNome,16)&amp;""</f>
        <v/>
      </c>
      <c r="C20" s="58">
        <f>IF(OR($A20="",C$4=""),NA(),IF(COUNTIFS(RR_ID_Rischio,$A20,RR_Ciclo,C$4)=0,NA(),SUMIFS(RR_Score_Composito,RR_ID_Rischio,$A20,RR_Ciclo,C$4)))</f>
        <v/>
      </c>
      <c r="D20" s="58">
        <f>IF(OR($A20="",D$4=""),NA(),IF(COUNTIFS(RR_ID_Rischio,$A20,RR_Ciclo,D$4)=0,NA(),SUMIFS(RR_Score_Composito,RR_ID_Rischio,$A20,RR_Ciclo,D$4)))</f>
        <v/>
      </c>
      <c r="E20" s="58">
        <f>IF(OR($A20="",E$4=""),NA(),IF(COUNTIFS(RR_ID_Rischio,$A20,RR_Ciclo,E$4)=0,NA(),SUMIFS(RR_Score_Composito,RR_ID_Rischio,$A20,RR_Ciclo,E$4)))</f>
        <v/>
      </c>
      <c r="F20" s="58">
        <f>IF(OR($A20="",F$4=""),NA(),IF(COUNTIFS(RR_ID_Rischio,$A20,RR_Ciclo,F$4)=0,NA(),SUMIFS(RR_Score_Composito,RR_ID_Rischio,$A20,RR_Ciclo,F$4)))</f>
        <v/>
      </c>
      <c r="G20" s="58">
        <f>IF(OR($A20="",G$4=""),NA(),IF(COUNTIFS(RR_ID_Rischio,$A20,RR_Ciclo,G$4)=0,NA(),SUMIFS(RR_Score_Composito,RR_ID_Rischio,$A20,RR_Ciclo,G$4)))</f>
        <v/>
      </c>
      <c r="H20" s="58">
        <f>IF(OR($A20="",H$4=""),NA(),IF(COUNTIFS(RR_ID_Rischio,$A20,RR_Ciclo,H$4)=0,NA(),SUMIFS(RR_Score_Composito,RR_ID_Rischio,$A20,RR_Ciclo,H$4)))</f>
        <v/>
      </c>
      <c r="I20" s="58">
        <f>IF(OR($A20="",I$4=""),NA(),IF(COUNTIFS(RR_ID_Rischio,$A20,RR_Ciclo,I$4)=0,NA(),SUMIFS(RR_Score_Composito,RR_ID_Rischio,$A20,RR_Ciclo,I$4)))</f>
        <v/>
      </c>
      <c r="J20" s="58">
        <f>IF(OR($A20="",J$4=""),NA(),IF(COUNTIFS(RR_ID_Rischio,$A20,RR_Ciclo,J$4)=0,NA(),SUMIFS(RR_Score_Composito,RR_ID_Rischio,$A20,RR_Ciclo,J$4)))</f>
        <v/>
      </c>
    </row>
    <row r="21">
      <c r="A21">
        <f>INDEX(posID,17)&amp;""</f>
        <v/>
      </c>
      <c r="B21">
        <f>INDEX(posNome,17)&amp;""</f>
        <v/>
      </c>
      <c r="C21" s="58">
        <f>IF(OR($A21="",C$4=""),NA(),IF(COUNTIFS(RR_ID_Rischio,$A21,RR_Ciclo,C$4)=0,NA(),SUMIFS(RR_Score_Composito,RR_ID_Rischio,$A21,RR_Ciclo,C$4)))</f>
        <v/>
      </c>
      <c r="D21" s="58">
        <f>IF(OR($A21="",D$4=""),NA(),IF(COUNTIFS(RR_ID_Rischio,$A21,RR_Ciclo,D$4)=0,NA(),SUMIFS(RR_Score_Composito,RR_ID_Rischio,$A21,RR_Ciclo,D$4)))</f>
        <v/>
      </c>
      <c r="E21" s="58">
        <f>IF(OR($A21="",E$4=""),NA(),IF(COUNTIFS(RR_ID_Rischio,$A21,RR_Ciclo,E$4)=0,NA(),SUMIFS(RR_Score_Composito,RR_ID_Rischio,$A21,RR_Ciclo,E$4)))</f>
        <v/>
      </c>
      <c r="F21" s="58">
        <f>IF(OR($A21="",F$4=""),NA(),IF(COUNTIFS(RR_ID_Rischio,$A21,RR_Ciclo,F$4)=0,NA(),SUMIFS(RR_Score_Composito,RR_ID_Rischio,$A21,RR_Ciclo,F$4)))</f>
        <v/>
      </c>
      <c r="G21" s="58">
        <f>IF(OR($A21="",G$4=""),NA(),IF(COUNTIFS(RR_ID_Rischio,$A21,RR_Ciclo,G$4)=0,NA(),SUMIFS(RR_Score_Composito,RR_ID_Rischio,$A21,RR_Ciclo,G$4)))</f>
        <v/>
      </c>
      <c r="H21" s="58">
        <f>IF(OR($A21="",H$4=""),NA(),IF(COUNTIFS(RR_ID_Rischio,$A21,RR_Ciclo,H$4)=0,NA(),SUMIFS(RR_Score_Composito,RR_ID_Rischio,$A21,RR_Ciclo,H$4)))</f>
        <v/>
      </c>
      <c r="I21" s="58">
        <f>IF(OR($A21="",I$4=""),NA(),IF(COUNTIFS(RR_ID_Rischio,$A21,RR_Ciclo,I$4)=0,NA(),SUMIFS(RR_Score_Composito,RR_ID_Rischio,$A21,RR_Ciclo,I$4)))</f>
        <v/>
      </c>
      <c r="J21" s="58">
        <f>IF(OR($A21="",J$4=""),NA(),IF(COUNTIFS(RR_ID_Rischio,$A21,RR_Ciclo,J$4)=0,NA(),SUMIFS(RR_Score_Composito,RR_ID_Rischio,$A21,RR_Ciclo,J$4)))</f>
        <v/>
      </c>
    </row>
    <row r="22">
      <c r="A22">
        <f>INDEX(posID,18)&amp;""</f>
        <v/>
      </c>
      <c r="B22">
        <f>INDEX(posNome,18)&amp;""</f>
        <v/>
      </c>
      <c r="C22" s="58">
        <f>IF(OR($A22="",C$4=""),NA(),IF(COUNTIFS(RR_ID_Rischio,$A22,RR_Ciclo,C$4)=0,NA(),SUMIFS(RR_Score_Composito,RR_ID_Rischio,$A22,RR_Ciclo,C$4)))</f>
        <v/>
      </c>
      <c r="D22" s="58">
        <f>IF(OR($A22="",D$4=""),NA(),IF(COUNTIFS(RR_ID_Rischio,$A22,RR_Ciclo,D$4)=0,NA(),SUMIFS(RR_Score_Composito,RR_ID_Rischio,$A22,RR_Ciclo,D$4)))</f>
        <v/>
      </c>
      <c r="E22" s="58">
        <f>IF(OR($A22="",E$4=""),NA(),IF(COUNTIFS(RR_ID_Rischio,$A22,RR_Ciclo,E$4)=0,NA(),SUMIFS(RR_Score_Composito,RR_ID_Rischio,$A22,RR_Ciclo,E$4)))</f>
        <v/>
      </c>
      <c r="F22" s="58">
        <f>IF(OR($A22="",F$4=""),NA(),IF(COUNTIFS(RR_ID_Rischio,$A22,RR_Ciclo,F$4)=0,NA(),SUMIFS(RR_Score_Composito,RR_ID_Rischio,$A22,RR_Ciclo,F$4)))</f>
        <v/>
      </c>
      <c r="G22" s="58">
        <f>IF(OR($A22="",G$4=""),NA(),IF(COUNTIFS(RR_ID_Rischio,$A22,RR_Ciclo,G$4)=0,NA(),SUMIFS(RR_Score_Composito,RR_ID_Rischio,$A22,RR_Ciclo,G$4)))</f>
        <v/>
      </c>
      <c r="H22" s="58">
        <f>IF(OR($A22="",H$4=""),NA(),IF(COUNTIFS(RR_ID_Rischio,$A22,RR_Ciclo,H$4)=0,NA(),SUMIFS(RR_Score_Composito,RR_ID_Rischio,$A22,RR_Ciclo,H$4)))</f>
        <v/>
      </c>
      <c r="I22" s="58">
        <f>IF(OR($A22="",I$4=""),NA(),IF(COUNTIFS(RR_ID_Rischio,$A22,RR_Ciclo,I$4)=0,NA(),SUMIFS(RR_Score_Composito,RR_ID_Rischio,$A22,RR_Ciclo,I$4)))</f>
        <v/>
      </c>
      <c r="J22" s="58">
        <f>IF(OR($A22="",J$4=""),NA(),IF(COUNTIFS(RR_ID_Rischio,$A22,RR_Ciclo,J$4)=0,NA(),SUMIFS(RR_Score_Composito,RR_ID_Rischio,$A22,RR_Ciclo,J$4)))</f>
        <v/>
      </c>
    </row>
    <row r="23">
      <c r="A23">
        <f>INDEX(posID,19)&amp;""</f>
        <v/>
      </c>
      <c r="B23">
        <f>INDEX(posNome,19)&amp;""</f>
        <v/>
      </c>
      <c r="C23" s="58">
        <f>IF(OR($A23="",C$4=""),NA(),IF(COUNTIFS(RR_ID_Rischio,$A23,RR_Ciclo,C$4)=0,NA(),SUMIFS(RR_Score_Composito,RR_ID_Rischio,$A23,RR_Ciclo,C$4)))</f>
        <v/>
      </c>
      <c r="D23" s="58">
        <f>IF(OR($A23="",D$4=""),NA(),IF(COUNTIFS(RR_ID_Rischio,$A23,RR_Ciclo,D$4)=0,NA(),SUMIFS(RR_Score_Composito,RR_ID_Rischio,$A23,RR_Ciclo,D$4)))</f>
        <v/>
      </c>
      <c r="E23" s="58">
        <f>IF(OR($A23="",E$4=""),NA(),IF(COUNTIFS(RR_ID_Rischio,$A23,RR_Ciclo,E$4)=0,NA(),SUMIFS(RR_Score_Composito,RR_ID_Rischio,$A23,RR_Ciclo,E$4)))</f>
        <v/>
      </c>
      <c r="F23" s="58">
        <f>IF(OR($A23="",F$4=""),NA(),IF(COUNTIFS(RR_ID_Rischio,$A23,RR_Ciclo,F$4)=0,NA(),SUMIFS(RR_Score_Composito,RR_ID_Rischio,$A23,RR_Ciclo,F$4)))</f>
        <v/>
      </c>
      <c r="G23" s="58">
        <f>IF(OR($A23="",G$4=""),NA(),IF(COUNTIFS(RR_ID_Rischio,$A23,RR_Ciclo,G$4)=0,NA(),SUMIFS(RR_Score_Composito,RR_ID_Rischio,$A23,RR_Ciclo,G$4)))</f>
        <v/>
      </c>
      <c r="H23" s="58">
        <f>IF(OR($A23="",H$4=""),NA(),IF(COUNTIFS(RR_ID_Rischio,$A23,RR_Ciclo,H$4)=0,NA(),SUMIFS(RR_Score_Composito,RR_ID_Rischio,$A23,RR_Ciclo,H$4)))</f>
        <v/>
      </c>
      <c r="I23" s="58">
        <f>IF(OR($A23="",I$4=""),NA(),IF(COUNTIFS(RR_ID_Rischio,$A23,RR_Ciclo,I$4)=0,NA(),SUMIFS(RR_Score_Composito,RR_ID_Rischio,$A23,RR_Ciclo,I$4)))</f>
        <v/>
      </c>
      <c r="J23" s="58">
        <f>IF(OR($A23="",J$4=""),NA(),IF(COUNTIFS(RR_ID_Rischio,$A23,RR_Ciclo,J$4)=0,NA(),SUMIFS(RR_Score_Composito,RR_ID_Rischio,$A23,RR_Ciclo,J$4)))</f>
        <v/>
      </c>
    </row>
    <row r="24">
      <c r="A24">
        <f>INDEX(posID,20)&amp;""</f>
        <v/>
      </c>
      <c r="B24">
        <f>INDEX(posNome,20)&amp;""</f>
        <v/>
      </c>
      <c r="C24" s="58">
        <f>IF(OR($A24="",C$4=""),NA(),IF(COUNTIFS(RR_ID_Rischio,$A24,RR_Ciclo,C$4)=0,NA(),SUMIFS(RR_Score_Composito,RR_ID_Rischio,$A24,RR_Ciclo,C$4)))</f>
        <v/>
      </c>
      <c r="D24" s="58">
        <f>IF(OR($A24="",D$4=""),NA(),IF(COUNTIFS(RR_ID_Rischio,$A24,RR_Ciclo,D$4)=0,NA(),SUMIFS(RR_Score_Composito,RR_ID_Rischio,$A24,RR_Ciclo,D$4)))</f>
        <v/>
      </c>
      <c r="E24" s="58">
        <f>IF(OR($A24="",E$4=""),NA(),IF(COUNTIFS(RR_ID_Rischio,$A24,RR_Ciclo,E$4)=0,NA(),SUMIFS(RR_Score_Composito,RR_ID_Rischio,$A24,RR_Ciclo,E$4)))</f>
        <v/>
      </c>
      <c r="F24" s="58">
        <f>IF(OR($A24="",F$4=""),NA(),IF(COUNTIFS(RR_ID_Rischio,$A24,RR_Ciclo,F$4)=0,NA(),SUMIFS(RR_Score_Composito,RR_ID_Rischio,$A24,RR_Ciclo,F$4)))</f>
        <v/>
      </c>
      <c r="G24" s="58">
        <f>IF(OR($A24="",G$4=""),NA(),IF(COUNTIFS(RR_ID_Rischio,$A24,RR_Ciclo,G$4)=0,NA(),SUMIFS(RR_Score_Composito,RR_ID_Rischio,$A24,RR_Ciclo,G$4)))</f>
        <v/>
      </c>
      <c r="H24" s="58">
        <f>IF(OR($A24="",H$4=""),NA(),IF(COUNTIFS(RR_ID_Rischio,$A24,RR_Ciclo,H$4)=0,NA(),SUMIFS(RR_Score_Composito,RR_ID_Rischio,$A24,RR_Ciclo,H$4)))</f>
        <v/>
      </c>
      <c r="I24" s="58">
        <f>IF(OR($A24="",I$4=""),NA(),IF(COUNTIFS(RR_ID_Rischio,$A24,RR_Ciclo,I$4)=0,NA(),SUMIFS(RR_Score_Composito,RR_ID_Rischio,$A24,RR_Ciclo,I$4)))</f>
        <v/>
      </c>
      <c r="J24" s="58">
        <f>IF(OR($A24="",J$4=""),NA(),IF(COUNTIFS(RR_ID_Rischio,$A24,RR_Ciclo,J$4)=0,NA(),SUMIFS(RR_Score_Composito,RR_ID_Rischio,$A24,RR_Ciclo,J$4)))</f>
        <v/>
      </c>
    </row>
  </sheetData>
  <mergeCells count="2">
    <mergeCell ref="A1:J1"/>
    <mergeCell ref="A2:J2"/>
  </mergeCells>
  <conditionalFormatting sqref="C5:J24">
    <cfRule type="expression" priority="1" dxfId="11">
      <formula>ISNA(C5)</formula>
    </cfRule>
  </conditionalFormatting>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tabColor rgb="002E75B6"/>
    <outlinePr summaryBelow="1" summaryRight="1"/>
    <pageSetUpPr/>
  </sheetPr>
  <dimension ref="A1:AB161"/>
  <sheetViews>
    <sheetView showGridLines="0" workbookViewId="0">
      <pane ySplit="6" topLeftCell="A7" activePane="bottomLeft" state="frozen"/>
      <selection pane="bottomLeft" activeCell="A1" sqref="A1"/>
    </sheetView>
  </sheetViews>
  <sheetFormatPr baseColWidth="8" defaultRowHeight="15"/>
  <cols>
    <col width="11" customWidth="1" min="1" max="1"/>
    <col width="9" customWidth="1" min="2" max="2"/>
    <col width="46" customWidth="1" min="3" max="3"/>
    <col width="8" customWidth="1" min="4" max="4"/>
    <col width="10" customWidth="1" min="5" max="5"/>
    <col width="10" customWidth="1" min="6" max="6"/>
    <col width="9" customWidth="1" min="7" max="7"/>
    <col width="11" customWidth="1" min="8" max="8"/>
    <col width="13" customWidth="1" min="9" max="9"/>
    <col width="11" customWidth="1" min="10" max="10"/>
    <col width="12" customWidth="1" min="11" max="11"/>
    <col width="12" customWidth="1" min="12" max="12"/>
    <col width="16" customWidth="1" min="13" max="13"/>
    <col width="14" customWidth="1" min="14" max="14"/>
    <col width="11" customWidth="1" min="15" max="15"/>
    <col width="11" customWidth="1" min="16" max="16"/>
    <col width="12" customWidth="1" min="17" max="17"/>
    <col width="12" customWidth="1" min="18" max="18"/>
    <col width="24" customWidth="1" min="19" max="19"/>
    <col width="30" customWidth="1" min="20" max="20"/>
    <col hidden="1" width="13" customWidth="1" min="26" max="26"/>
    <col hidden="1" width="13" customWidth="1" min="27" max="27"/>
    <col hidden="1" width="13" customWidth="1" min="28" max="28"/>
  </cols>
  <sheetData>
    <row r="1" ht="28" customHeight="1">
      <c r="A1" s="1">
        <f>"Horizon Scan NFR — Indicatori: KRI del ciclo e storia di un KRI   ·   "&amp;etichettaCiclo</f>
        <v/>
      </c>
      <c r="B1" s="2" t="n"/>
      <c r="C1" s="2" t="n"/>
      <c r="D1" s="2" t="n"/>
      <c r="E1" s="2" t="n"/>
      <c r="F1" s="2" t="n"/>
      <c r="G1" s="2" t="n"/>
      <c r="H1" s="2" t="n"/>
      <c r="I1" s="2" t="n"/>
      <c r="J1" s="2" t="n"/>
      <c r="K1" s="2" t="n"/>
      <c r="L1" s="2" t="n"/>
      <c r="M1" s="2" t="n"/>
      <c r="N1" s="2" t="n"/>
      <c r="O1" s="2" t="n"/>
      <c r="P1" s="2" t="n"/>
      <c r="Q1" s="2" t="n"/>
      <c r="R1" s="2" t="n"/>
      <c r="S1" s="2" t="n"/>
      <c r="T1" s="2" t="n"/>
      <c r="U1" s="2" t="n"/>
    </row>
    <row r="2" ht="32" customHeight="1">
      <c r="A2" s="13" t="inlineStr">
        <is>
          <r>
            <rPr>
              <rFont val="Calibri"/>
              <b val="1"/>
              <color rgb="001F4E79"/>
              <sz val="10"/>
            </rPr>
            <t>CICLO TRIMESTRALE — solo formule: a sinistra i KRI in vigore nel ciclo corrente (A1 rilegge il valore a ogni ciclo); a destra la storia di un KRI, da scegliere in N4 (unica cella gialla; anche uno uscito di vigore).</t>
          </r>
          <r>
            <rPr>
              <rFont val="Calibri"/>
              <color rgb="00262626"/>
              <sz val="10"/>
            </rPr>
            <t xml:space="preserve">
Stato: Verde sotto la soglia di attenzione, Ambra fino all'allerta, Rosso oltre, Non rilevato senza valore (mai zero), Soglie da definire finche' la Banca non le fissa in validazione. Tendenza sul ciclo prima: valori crescenti = peggio (▲ peggiora).</t>
          </r>
        </is>
      </c>
    </row>
    <row r="4">
      <c r="A4" s="98" t="inlineStr">
        <is>
          <t>Verde</t>
        </is>
      </c>
      <c r="B4">
        <f>COUNTIFS(KRI_Ciclo,cicloCorrente,KRI_In_Vigore,"Sì",KRI_Stato,"Verde")</f>
        <v/>
      </c>
      <c r="C4" s="98" t="inlineStr">
        <is>
          <t>Ambra</t>
        </is>
      </c>
      <c r="D4">
        <f>COUNTIFS(KRI_Ciclo,cicloCorrente,KRI_In_Vigore,"Sì",KRI_Stato,"Ambra")</f>
        <v/>
      </c>
      <c r="E4" s="98" t="inlineStr">
        <is>
          <t>Rosso</t>
        </is>
      </c>
      <c r="F4">
        <f>COUNTIFS(KRI_Ciclo,cicloCorrente,KRI_In_Vigore,"Sì",KRI_Stato,"Rosso")</f>
        <v/>
      </c>
      <c r="G4" s="98" t="inlineStr">
        <is>
          <t>Non rilevato</t>
        </is>
      </c>
      <c r="H4">
        <f>COUNTIFS(KRI_Ciclo,cicloCorrente,KRI_In_Vigore,"Sì",KRI_Stato,"Non rilevato")</f>
        <v/>
      </c>
      <c r="I4" s="98" t="inlineStr">
        <is>
          <t>Soglie da definire</t>
        </is>
      </c>
      <c r="J4">
        <f>COUNTIFS(KRI_Ciclo,cicloCorrente,KRI_In_Vigore,"Sì",KRI_Stato,"Soglie da definire")</f>
        <v/>
      </c>
      <c r="M4" s="98" t="inlineStr">
        <is>
          <t>KRI da guardare</t>
        </is>
      </c>
      <c r="N4" s="114" t="inlineStr">
        <is>
          <t>NFR-01-K1</t>
        </is>
      </c>
      <c r="AA4">
        <f>IFERROR(_xlfn.AGGREGATE(14,6,ROW(KRI_KRI_ID)/(KRI_KRI_ID=$N$4),1),"")</f>
        <v/>
      </c>
    </row>
    <row r="5">
      <c r="M5" t="inlineStr">
        <is>
          <t>Nome</t>
        </is>
      </c>
      <c r="N5">
        <f>IF($AA$4="","KRI non presente nello storico",INDEX(KRI!$D:$D,$AA$4)&amp;IF(INDEX(KRI!$E:$E,$AA$4)="",""," ("&amp;INDEX(KRI!$E:$E,$AA$4)&amp;")"))</f>
        <v/>
      </c>
    </row>
    <row r="6">
      <c r="A6" s="115" t="inlineStr">
        <is>
          <t>KRI_ID</t>
        </is>
      </c>
      <c r="B6" s="115" t="inlineStr">
        <is>
          <t>Rischio</t>
        </is>
      </c>
      <c r="C6" s="115" t="inlineStr">
        <is>
          <t>Nome</t>
        </is>
      </c>
      <c r="D6" s="115" t="inlineStr">
        <is>
          <t>Unita'</t>
        </is>
      </c>
      <c r="E6" s="115" t="inlineStr">
        <is>
          <t>Soglia attenzione</t>
        </is>
      </c>
      <c r="F6" s="115" t="inlineStr">
        <is>
          <t>Soglia allerta</t>
        </is>
      </c>
      <c r="G6" s="115" t="inlineStr">
        <is>
          <t>Valore</t>
        </is>
      </c>
      <c r="H6" s="115" t="inlineStr">
        <is>
          <t>Data rilevazione</t>
        </is>
      </c>
      <c r="I6" s="115" t="inlineStr">
        <is>
          <t>Stato</t>
        </is>
      </c>
      <c r="J6" s="115" t="inlineStr">
        <is>
          <t>Valore ciclo precedente</t>
        </is>
      </c>
      <c r="K6" s="115" t="inlineStr">
        <is>
          <t>Tendenza</t>
        </is>
      </c>
      <c r="L6" s="116" t="inlineStr">
        <is>
          <t>Tipo</t>
        </is>
      </c>
      <c r="M6" t="inlineStr">
        <is>
          <t>Rischio</t>
        </is>
      </c>
      <c r="N6">
        <f>IF($AA$4="","",INDEX(KRI!$C:$C,$AA$4)&amp;"")</f>
        <v/>
      </c>
    </row>
    <row r="7">
      <c r="A7">
        <f>IF($Z7="","",INDEX(KRI!$B:$B,$Z7)&amp;"")</f>
        <v/>
      </c>
      <c r="B7">
        <f>IF($Z7="","",INDEX(KRI!$C:$C,$Z7)&amp;"")</f>
        <v/>
      </c>
      <c r="C7">
        <f>IF($Z7="","",INDEX(KRI!$D:$D,$Z7)&amp;"")</f>
        <v/>
      </c>
      <c r="D7">
        <f>IF($Z7="","",INDEX(KRI!$F:$F,$Z7)&amp;"")</f>
        <v/>
      </c>
      <c r="E7">
        <f>IF($Z7="","",IF(INDEX(KRI!$H:$H,$Z7)="","",INDEX(KRI!$H:$H,$Z7)))</f>
        <v/>
      </c>
      <c r="F7">
        <f>IF($Z7="","",IF(INDEX(KRI!$I:$I,$Z7)="","",INDEX(KRI!$I:$I,$Z7)))</f>
        <v/>
      </c>
      <c r="G7">
        <f>IF($Z7="","",IF(INDEX(KRI!$J:$J,$Z7)="","",INDEX(KRI!$J:$J,$Z7)))</f>
        <v/>
      </c>
      <c r="H7" s="117">
        <f>IF($Z7="","",IF(INDEX(KRI!$K:$K,$Z7)="","",INDEX(KRI!$K:$K,$Z7)))</f>
        <v/>
      </c>
      <c r="I7">
        <f>IF($Z7="","",INDEX(KRI!$N:$N,$Z7)&amp;"")</f>
        <v/>
      </c>
      <c r="J7">
        <f>IF($A7="","",IF(COUNTIFS(KRI_KRI_ID,$A7,KRI_Ciclo,cicloPrecedente,KRI_Valore_Corrente,"&lt;&gt;")=0,"—",SUMIFS(KRI_Valore_Corrente,KRI_KRI_ID,$A7,KRI_Ciclo,cicloPrecedente)))</f>
        <v/>
      </c>
      <c r="K7">
        <f>IF(OR(G7="",NOT(ISNUMBER(J7))),"",IF(G7&gt;J7,"▲ peggiora",IF(G7&lt;J7,"▼ migliora","● invariato")))</f>
        <v/>
      </c>
      <c r="L7" s="118">
        <f>IF($Z7="","",INDEX(KRI!$E:$E,$Z7)&amp;"")</f>
        <v/>
      </c>
      <c r="M7" t="inlineStr">
        <is>
          <t>Unita'</t>
        </is>
      </c>
      <c r="N7">
        <f>IF($AA$4="","",INDEX(KRI!$F:$F,$AA$4)&amp;"")</f>
        <v/>
      </c>
      <c r="Z7">
        <f>IFERROR(_xlfn.AGGREGATE(15,6,ROW(KRI_Ciclo)/((KRI_Ciclo=cicloCorrente)*(KRI_In_Vigore="Sì")),1),"")</f>
        <v/>
      </c>
    </row>
    <row r="8">
      <c r="A8">
        <f>IF($Z8="","",INDEX(KRI!$B:$B,$Z8)&amp;"")</f>
        <v/>
      </c>
      <c r="B8">
        <f>IF($Z8="","",INDEX(KRI!$C:$C,$Z8)&amp;"")</f>
        <v/>
      </c>
      <c r="C8">
        <f>IF($Z8="","",INDEX(KRI!$D:$D,$Z8)&amp;"")</f>
        <v/>
      </c>
      <c r="D8">
        <f>IF($Z8="","",INDEX(KRI!$F:$F,$Z8)&amp;"")</f>
        <v/>
      </c>
      <c r="E8">
        <f>IF($Z8="","",IF(INDEX(KRI!$H:$H,$Z8)="","",INDEX(KRI!$H:$H,$Z8)))</f>
        <v/>
      </c>
      <c r="F8">
        <f>IF($Z8="","",IF(INDEX(KRI!$I:$I,$Z8)="","",INDEX(KRI!$I:$I,$Z8)))</f>
        <v/>
      </c>
      <c r="G8">
        <f>IF($Z8="","",IF(INDEX(KRI!$J:$J,$Z8)="","",INDEX(KRI!$J:$J,$Z8)))</f>
        <v/>
      </c>
      <c r="H8" s="117">
        <f>IF($Z8="","",IF(INDEX(KRI!$K:$K,$Z8)="","",INDEX(KRI!$K:$K,$Z8)))</f>
        <v/>
      </c>
      <c r="I8">
        <f>IF($Z8="","",INDEX(KRI!$N:$N,$Z8)&amp;"")</f>
        <v/>
      </c>
      <c r="J8">
        <f>IF($A8="","",IF(COUNTIFS(KRI_KRI_ID,$A8,KRI_Ciclo,cicloPrecedente,KRI_Valore_Corrente,"&lt;&gt;")=0,"—",SUMIFS(KRI_Valore_Corrente,KRI_KRI_ID,$A8,KRI_Ciclo,cicloPrecedente)))</f>
        <v/>
      </c>
      <c r="K8">
        <f>IF(OR(G8="",NOT(ISNUMBER(J8))),"",IF(G8&gt;J8,"▲ peggiora",IF(G8&lt;J8,"▼ migliora","● invariato")))</f>
        <v/>
      </c>
      <c r="L8" s="118">
        <f>IF($Z8="","",INDEX(KRI!$E:$E,$Z8)&amp;"")</f>
        <v/>
      </c>
      <c r="M8" t="inlineStr">
        <is>
          <t>Fonte dati</t>
        </is>
      </c>
      <c r="N8">
        <f>IF($AA$4="","",INDEX(KRI!$G:$G,$AA$4)&amp;"")</f>
        <v/>
      </c>
      <c r="Z8">
        <f>IFERROR(_xlfn.AGGREGATE(15,6,ROW(KRI_Ciclo)/((KRI_Ciclo=cicloCorrente)*(KRI_In_Vigore="Sì")),2),"")</f>
        <v/>
      </c>
    </row>
    <row r="9">
      <c r="A9">
        <f>IF($Z9="","",INDEX(KRI!$B:$B,$Z9)&amp;"")</f>
        <v/>
      </c>
      <c r="B9">
        <f>IF($Z9="","",INDEX(KRI!$C:$C,$Z9)&amp;"")</f>
        <v/>
      </c>
      <c r="C9">
        <f>IF($Z9="","",INDEX(KRI!$D:$D,$Z9)&amp;"")</f>
        <v/>
      </c>
      <c r="D9">
        <f>IF($Z9="","",INDEX(KRI!$F:$F,$Z9)&amp;"")</f>
        <v/>
      </c>
      <c r="E9">
        <f>IF($Z9="","",IF(INDEX(KRI!$H:$H,$Z9)="","",INDEX(KRI!$H:$H,$Z9)))</f>
        <v/>
      </c>
      <c r="F9">
        <f>IF($Z9="","",IF(INDEX(KRI!$I:$I,$Z9)="","",INDEX(KRI!$I:$I,$Z9)))</f>
        <v/>
      </c>
      <c r="G9">
        <f>IF($Z9="","",IF(INDEX(KRI!$J:$J,$Z9)="","",INDEX(KRI!$J:$J,$Z9)))</f>
        <v/>
      </c>
      <c r="H9" s="117">
        <f>IF($Z9="","",IF(INDEX(KRI!$K:$K,$Z9)="","",INDEX(KRI!$K:$K,$Z9)))</f>
        <v/>
      </c>
      <c r="I9">
        <f>IF($Z9="","",INDEX(KRI!$N:$N,$Z9)&amp;"")</f>
        <v/>
      </c>
      <c r="J9">
        <f>IF($A9="","",IF(COUNTIFS(KRI_KRI_ID,$A9,KRI_Ciclo,cicloPrecedente,KRI_Valore_Corrente,"&lt;&gt;")=0,"—",SUMIFS(KRI_Valore_Corrente,KRI_KRI_ID,$A9,KRI_Ciclo,cicloPrecedente)))</f>
        <v/>
      </c>
      <c r="K9">
        <f>IF(OR(G9="",NOT(ISNUMBER(J9))),"",IF(G9&gt;J9,"▲ peggiora",IF(G9&lt;J9,"▼ migliora","● invariato")))</f>
        <v/>
      </c>
      <c r="L9" s="118">
        <f>IF($Z9="","",INDEX(KRI!$E:$E,$Z9)&amp;"")</f>
        <v/>
      </c>
      <c r="M9" t="inlineStr">
        <is>
          <t>Definito nel ciclo</t>
        </is>
      </c>
      <c r="N9">
        <f>IF($AA$4="","",INDEX(KRI!$P:$P,$AA$4)&amp;"")</f>
        <v/>
      </c>
      <c r="Z9">
        <f>IFERROR(_xlfn.AGGREGATE(15,6,ROW(KRI_Ciclo)/((KRI_Ciclo=cicloCorrente)*(KRI_In_Vigore="Sì")),3),"")</f>
        <v/>
      </c>
    </row>
    <row r="10">
      <c r="A10">
        <f>IF($Z10="","",INDEX(KRI!$B:$B,$Z10)&amp;"")</f>
        <v/>
      </c>
      <c r="B10">
        <f>IF($Z10="","",INDEX(KRI!$C:$C,$Z10)&amp;"")</f>
        <v/>
      </c>
      <c r="C10">
        <f>IF($Z10="","",INDEX(KRI!$D:$D,$Z10)&amp;"")</f>
        <v/>
      </c>
      <c r="D10">
        <f>IF($Z10="","",INDEX(KRI!$F:$F,$Z10)&amp;"")</f>
        <v/>
      </c>
      <c r="E10">
        <f>IF($Z10="","",IF(INDEX(KRI!$H:$H,$Z10)="","",INDEX(KRI!$H:$H,$Z10)))</f>
        <v/>
      </c>
      <c r="F10">
        <f>IF($Z10="","",IF(INDEX(KRI!$I:$I,$Z10)="","",INDEX(KRI!$I:$I,$Z10)))</f>
        <v/>
      </c>
      <c r="G10">
        <f>IF($Z10="","",IF(INDEX(KRI!$J:$J,$Z10)="","",INDEX(KRI!$J:$J,$Z10)))</f>
        <v/>
      </c>
      <c r="H10" s="117">
        <f>IF($Z10="","",IF(INDEX(KRI!$K:$K,$Z10)="","",INDEX(KRI!$K:$K,$Z10)))</f>
        <v/>
      </c>
      <c r="I10">
        <f>IF($Z10="","",INDEX(KRI!$N:$N,$Z10)&amp;"")</f>
        <v/>
      </c>
      <c r="J10">
        <f>IF($A10="","",IF(COUNTIFS(KRI_KRI_ID,$A10,KRI_Ciclo,cicloPrecedente,KRI_Valore_Corrente,"&lt;&gt;")=0,"—",SUMIFS(KRI_Valore_Corrente,KRI_KRI_ID,$A10,KRI_Ciclo,cicloPrecedente)))</f>
        <v/>
      </c>
      <c r="K10">
        <f>IF(OR(G10="",NOT(ISNUMBER(J10))),"",IF(G10&gt;J10,"▲ peggiora",IF(G10&lt;J10,"▼ migliora","● invariato")))</f>
        <v/>
      </c>
      <c r="L10" s="118">
        <f>IF($Z10="","",INDEX(KRI!$E:$E,$Z10)&amp;"")</f>
        <v/>
      </c>
      <c r="M10" t="inlineStr">
        <is>
          <t>Ultima fotografia</t>
        </is>
      </c>
      <c r="N10">
        <f>IF($AA$4="","",INDEX(KRI!$A:$A,$AA$4)&amp;" — in vigore: "&amp;INDEX(KRI!$O:$O,$AA$4))</f>
        <v/>
      </c>
      <c r="Z10">
        <f>IFERROR(_xlfn.AGGREGATE(15,6,ROW(KRI_Ciclo)/((KRI_Ciclo=cicloCorrente)*(KRI_In_Vigore="Sì")),4),"")</f>
        <v/>
      </c>
    </row>
    <row r="11">
      <c r="A11">
        <f>IF($Z11="","",INDEX(KRI!$B:$B,$Z11)&amp;"")</f>
        <v/>
      </c>
      <c r="B11">
        <f>IF($Z11="","",INDEX(KRI!$C:$C,$Z11)&amp;"")</f>
        <v/>
      </c>
      <c r="C11">
        <f>IF($Z11="","",INDEX(KRI!$D:$D,$Z11)&amp;"")</f>
        <v/>
      </c>
      <c r="D11">
        <f>IF($Z11="","",INDEX(KRI!$F:$F,$Z11)&amp;"")</f>
        <v/>
      </c>
      <c r="E11">
        <f>IF($Z11="","",IF(INDEX(KRI!$H:$H,$Z11)="","",INDEX(KRI!$H:$H,$Z11)))</f>
        <v/>
      </c>
      <c r="F11">
        <f>IF($Z11="","",IF(INDEX(KRI!$I:$I,$Z11)="","",INDEX(KRI!$I:$I,$Z11)))</f>
        <v/>
      </c>
      <c r="G11">
        <f>IF($Z11="","",IF(INDEX(KRI!$J:$J,$Z11)="","",INDEX(KRI!$J:$J,$Z11)))</f>
        <v/>
      </c>
      <c r="H11" s="117">
        <f>IF($Z11="","",IF(INDEX(KRI!$K:$K,$Z11)="","",INDEX(KRI!$K:$K,$Z11)))</f>
        <v/>
      </c>
      <c r="I11">
        <f>IF($Z11="","",INDEX(KRI!$N:$N,$Z11)&amp;"")</f>
        <v/>
      </c>
      <c r="J11">
        <f>IF($A11="","",IF(COUNTIFS(KRI_KRI_ID,$A11,KRI_Ciclo,cicloPrecedente,KRI_Valore_Corrente,"&lt;&gt;")=0,"—",SUMIFS(KRI_Valore_Corrente,KRI_KRI_ID,$A11,KRI_Ciclo,cicloPrecedente)))</f>
        <v/>
      </c>
      <c r="K11">
        <f>IF(OR(G11="",NOT(ISNUMBER(J11))),"",IF(G11&gt;J11,"▲ peggiora",IF(G11&lt;J11,"▼ migliora","● invariato")))</f>
        <v/>
      </c>
      <c r="L11" s="118">
        <f>IF($Z11="","",INDEX(KRI!$E:$E,$Z11)&amp;"")</f>
        <v/>
      </c>
      <c r="M11" s="115" t="inlineStr">
        <is>
          <t>Ciclo</t>
        </is>
      </c>
      <c r="N11" s="115" t="inlineStr">
        <is>
          <t>Valore</t>
        </is>
      </c>
      <c r="O11" s="115" t="inlineStr">
        <is>
          <t>Soglia attenzione</t>
        </is>
      </c>
      <c r="P11" s="115" t="inlineStr">
        <is>
          <t>Soglia allerta</t>
        </is>
      </c>
      <c r="Q11" s="115" t="inlineStr">
        <is>
          <t>Stato</t>
        </is>
      </c>
      <c r="R11" s="115" t="inlineStr">
        <is>
          <t>Data rilevazione</t>
        </is>
      </c>
      <c r="S11" s="115" t="inlineStr">
        <is>
          <t>Fonte rilevazione</t>
        </is>
      </c>
      <c r="T11" s="115" t="inlineStr">
        <is>
          <t>Nota</t>
        </is>
      </c>
      <c r="Z11">
        <f>IFERROR(_xlfn.AGGREGATE(15,6,ROW(KRI_Ciclo)/((KRI_Ciclo=cicloCorrente)*(KRI_In_Vigore="Sì")),5),"")</f>
        <v/>
      </c>
    </row>
    <row r="12">
      <c r="A12">
        <f>IF($Z12="","",INDEX(KRI!$B:$B,$Z12)&amp;"")</f>
        <v/>
      </c>
      <c r="B12">
        <f>IF($Z12="","",INDEX(KRI!$C:$C,$Z12)&amp;"")</f>
        <v/>
      </c>
      <c r="C12">
        <f>IF($Z12="","",INDEX(KRI!$D:$D,$Z12)&amp;"")</f>
        <v/>
      </c>
      <c r="D12">
        <f>IF($Z12="","",INDEX(KRI!$F:$F,$Z12)&amp;"")</f>
        <v/>
      </c>
      <c r="E12">
        <f>IF($Z12="","",IF(INDEX(KRI!$H:$H,$Z12)="","",INDEX(KRI!$H:$H,$Z12)))</f>
        <v/>
      </c>
      <c r="F12">
        <f>IF($Z12="","",IF(INDEX(KRI!$I:$I,$Z12)="","",INDEX(KRI!$I:$I,$Z12)))</f>
        <v/>
      </c>
      <c r="G12">
        <f>IF($Z12="","",IF(INDEX(KRI!$J:$J,$Z12)="","",INDEX(KRI!$J:$J,$Z12)))</f>
        <v/>
      </c>
      <c r="H12" s="117">
        <f>IF($Z12="","",IF(INDEX(KRI!$K:$K,$Z12)="","",INDEX(KRI!$K:$K,$Z12)))</f>
        <v/>
      </c>
      <c r="I12">
        <f>IF($Z12="","",INDEX(KRI!$N:$N,$Z12)&amp;"")</f>
        <v/>
      </c>
      <c r="J12">
        <f>IF($A12="","",IF(COUNTIFS(KRI_KRI_ID,$A12,KRI_Ciclo,cicloPrecedente,KRI_Valore_Corrente,"&lt;&gt;")=0,"—",SUMIFS(KRI_Valore_Corrente,KRI_KRI_ID,$A12,KRI_Ciclo,cicloPrecedente)))</f>
        <v/>
      </c>
      <c r="K12">
        <f>IF(OR(G12="",NOT(ISNUMBER(J12))),"",IF(G12&gt;J12,"▲ peggiora",IF(G12&lt;J12,"▼ migliora","● invariato")))</f>
        <v/>
      </c>
      <c r="L12" s="118">
        <f>IF($Z12="","",INDEX(KRI!$E:$E,$Z12)&amp;"")</f>
        <v/>
      </c>
      <c r="M12">
        <f>Parametri!$B$20</f>
        <v/>
      </c>
      <c r="N12">
        <f>IF($M12="",NA(),IF(COUNTIFS(KRI_KRI_ID,$N$4,KRI_Ciclo,$M12,KRI_Valore_Corrente,"&lt;&gt;")=0,NA(),SUMIFS(KRI_Valore_Corrente,KRI_KRI_ID,$N$4,KRI_Ciclo,$M12)))</f>
        <v/>
      </c>
      <c r="O12">
        <f>IF($M12="",NA(),IF(COUNTIFS(KRI_KRI_ID,$N$4,KRI_Ciclo,$M12,KRI_Soglia_Attenzione,"&lt;&gt;")=0,NA(),SUMIFS(KRI_Soglia_Attenzione,KRI_KRI_ID,$N$4,KRI_Ciclo,$M12)))</f>
        <v/>
      </c>
      <c r="P12">
        <f>IF($M12="",NA(),IF(COUNTIFS(KRI_KRI_ID,$N$4,KRI_Ciclo,$M12,KRI_Soglia_Allerta,"&lt;&gt;")=0,NA(),SUMIFS(KRI_Soglia_Allerta,KRI_KRI_ID,$N$4,KRI_Ciclo,$M12)))</f>
        <v/>
      </c>
      <c r="Q12">
        <f>IFERROR(INDEX(KRI_Stato,MATCH($M12&amp;"|"&amp;$N$4,KRI_Chiave,0)),"—")</f>
        <v/>
      </c>
      <c r="R12" s="117">
        <f>IFERROR(IF(INDEX(KRI_Data_Rilevazione,MATCH($M12&amp;"|"&amp;$N$4,KRI_Chiave,0))="","",INDEX(KRI_Data_Rilevazione,MATCH($M12&amp;"|"&amp;$N$4,KRI_Chiave,0))),"")</f>
        <v/>
      </c>
      <c r="S12">
        <f>IFERROR(INDEX(KRI_Fonte_Rilevazione,MATCH($M12&amp;"|"&amp;$N$4,KRI_Chiave,0))&amp;"","")</f>
        <v/>
      </c>
      <c r="T12">
        <f>IFERROR(INDEX(KRI_Nota_Rilevazione,MATCH($M12&amp;"|"&amp;$N$4,KRI_Chiave,0))&amp;"","")</f>
        <v/>
      </c>
      <c r="Z12">
        <f>IFERROR(_xlfn.AGGREGATE(15,6,ROW(KRI_Ciclo)/((KRI_Ciclo=cicloCorrente)*(KRI_In_Vigore="Sì")),6),"")</f>
        <v/>
      </c>
      <c r="AB12">
        <f>IFERROR(INDEX(KRI_KRI_ID,_xlfn.AGGREGATE(15,6,(ROW(KRI_KRI_ID)-5)/((KRI_Ciclo_Definizione=KRI_Ciclo)*(KRI_KRI_ID&lt;&gt;"")),1)),"")</f>
        <v/>
      </c>
    </row>
    <row r="13">
      <c r="A13">
        <f>IF($Z13="","",INDEX(KRI!$B:$B,$Z13)&amp;"")</f>
        <v/>
      </c>
      <c r="B13">
        <f>IF($Z13="","",INDEX(KRI!$C:$C,$Z13)&amp;"")</f>
        <v/>
      </c>
      <c r="C13">
        <f>IF($Z13="","",INDEX(KRI!$D:$D,$Z13)&amp;"")</f>
        <v/>
      </c>
      <c r="D13">
        <f>IF($Z13="","",INDEX(KRI!$F:$F,$Z13)&amp;"")</f>
        <v/>
      </c>
      <c r="E13">
        <f>IF($Z13="","",IF(INDEX(KRI!$H:$H,$Z13)="","",INDEX(KRI!$H:$H,$Z13)))</f>
        <v/>
      </c>
      <c r="F13">
        <f>IF($Z13="","",IF(INDEX(KRI!$I:$I,$Z13)="","",INDEX(KRI!$I:$I,$Z13)))</f>
        <v/>
      </c>
      <c r="G13">
        <f>IF($Z13="","",IF(INDEX(KRI!$J:$J,$Z13)="","",INDEX(KRI!$J:$J,$Z13)))</f>
        <v/>
      </c>
      <c r="H13" s="117">
        <f>IF($Z13="","",IF(INDEX(KRI!$K:$K,$Z13)="","",INDEX(KRI!$K:$K,$Z13)))</f>
        <v/>
      </c>
      <c r="I13">
        <f>IF($Z13="","",INDEX(KRI!$N:$N,$Z13)&amp;"")</f>
        <v/>
      </c>
      <c r="J13">
        <f>IF($A13="","",IF(COUNTIFS(KRI_KRI_ID,$A13,KRI_Ciclo,cicloPrecedente,KRI_Valore_Corrente,"&lt;&gt;")=0,"—",SUMIFS(KRI_Valore_Corrente,KRI_KRI_ID,$A13,KRI_Ciclo,cicloPrecedente)))</f>
        <v/>
      </c>
      <c r="K13">
        <f>IF(OR(G13="",NOT(ISNUMBER(J13))),"",IF(G13&gt;J13,"▲ peggiora",IF(G13&lt;J13,"▼ migliora","● invariato")))</f>
        <v/>
      </c>
      <c r="L13" s="118">
        <f>IF($Z13="","",INDEX(KRI!$E:$E,$Z13)&amp;"")</f>
        <v/>
      </c>
      <c r="M13">
        <f>Parametri!$B$21</f>
        <v/>
      </c>
      <c r="N13">
        <f>IF($M13="",NA(),IF(COUNTIFS(KRI_KRI_ID,$N$4,KRI_Ciclo,$M13,KRI_Valore_Corrente,"&lt;&gt;")=0,NA(),SUMIFS(KRI_Valore_Corrente,KRI_KRI_ID,$N$4,KRI_Ciclo,$M13)))</f>
        <v/>
      </c>
      <c r="O13">
        <f>IF($M13="",NA(),IF(COUNTIFS(KRI_KRI_ID,$N$4,KRI_Ciclo,$M13,KRI_Soglia_Attenzione,"&lt;&gt;")=0,NA(),SUMIFS(KRI_Soglia_Attenzione,KRI_KRI_ID,$N$4,KRI_Ciclo,$M13)))</f>
        <v/>
      </c>
      <c r="P13">
        <f>IF($M13="",NA(),IF(COUNTIFS(KRI_KRI_ID,$N$4,KRI_Ciclo,$M13,KRI_Soglia_Allerta,"&lt;&gt;")=0,NA(),SUMIFS(KRI_Soglia_Allerta,KRI_KRI_ID,$N$4,KRI_Ciclo,$M13)))</f>
        <v/>
      </c>
      <c r="Q13">
        <f>IFERROR(INDEX(KRI_Stato,MATCH($M13&amp;"|"&amp;$N$4,KRI_Chiave,0)),"—")</f>
        <v/>
      </c>
      <c r="R13" s="117">
        <f>IFERROR(IF(INDEX(KRI_Data_Rilevazione,MATCH($M13&amp;"|"&amp;$N$4,KRI_Chiave,0))="","",INDEX(KRI_Data_Rilevazione,MATCH($M13&amp;"|"&amp;$N$4,KRI_Chiave,0))),"")</f>
        <v/>
      </c>
      <c r="S13">
        <f>IFERROR(INDEX(KRI_Fonte_Rilevazione,MATCH($M13&amp;"|"&amp;$N$4,KRI_Chiave,0))&amp;"","")</f>
        <v/>
      </c>
      <c r="T13">
        <f>IFERROR(INDEX(KRI_Nota_Rilevazione,MATCH($M13&amp;"|"&amp;$N$4,KRI_Chiave,0))&amp;"","")</f>
        <v/>
      </c>
      <c r="Z13">
        <f>IFERROR(_xlfn.AGGREGATE(15,6,ROW(KRI_Ciclo)/((KRI_Ciclo=cicloCorrente)*(KRI_In_Vigore="Sì")),7),"")</f>
        <v/>
      </c>
      <c r="AB13">
        <f>IFERROR(INDEX(KRI_KRI_ID,_xlfn.AGGREGATE(15,6,(ROW(KRI_KRI_ID)-5)/((KRI_Ciclo_Definizione=KRI_Ciclo)*(KRI_KRI_ID&lt;&gt;"")),2)),"")</f>
        <v/>
      </c>
    </row>
    <row r="14">
      <c r="A14">
        <f>IF($Z14="","",INDEX(KRI!$B:$B,$Z14)&amp;"")</f>
        <v/>
      </c>
      <c r="B14">
        <f>IF($Z14="","",INDEX(KRI!$C:$C,$Z14)&amp;"")</f>
        <v/>
      </c>
      <c r="C14">
        <f>IF($Z14="","",INDEX(KRI!$D:$D,$Z14)&amp;"")</f>
        <v/>
      </c>
      <c r="D14">
        <f>IF($Z14="","",INDEX(KRI!$F:$F,$Z14)&amp;"")</f>
        <v/>
      </c>
      <c r="E14">
        <f>IF($Z14="","",IF(INDEX(KRI!$H:$H,$Z14)="","",INDEX(KRI!$H:$H,$Z14)))</f>
        <v/>
      </c>
      <c r="F14">
        <f>IF($Z14="","",IF(INDEX(KRI!$I:$I,$Z14)="","",INDEX(KRI!$I:$I,$Z14)))</f>
        <v/>
      </c>
      <c r="G14">
        <f>IF($Z14="","",IF(INDEX(KRI!$J:$J,$Z14)="","",INDEX(KRI!$J:$J,$Z14)))</f>
        <v/>
      </c>
      <c r="H14" s="117">
        <f>IF($Z14="","",IF(INDEX(KRI!$K:$K,$Z14)="","",INDEX(KRI!$K:$K,$Z14)))</f>
        <v/>
      </c>
      <c r="I14">
        <f>IF($Z14="","",INDEX(KRI!$N:$N,$Z14)&amp;"")</f>
        <v/>
      </c>
      <c r="J14">
        <f>IF($A14="","",IF(COUNTIFS(KRI_KRI_ID,$A14,KRI_Ciclo,cicloPrecedente,KRI_Valore_Corrente,"&lt;&gt;")=0,"—",SUMIFS(KRI_Valore_Corrente,KRI_KRI_ID,$A14,KRI_Ciclo,cicloPrecedente)))</f>
        <v/>
      </c>
      <c r="K14">
        <f>IF(OR(G14="",NOT(ISNUMBER(J14))),"",IF(G14&gt;J14,"▲ peggiora",IF(G14&lt;J14,"▼ migliora","● invariato")))</f>
        <v/>
      </c>
      <c r="L14" s="118">
        <f>IF($Z14="","",INDEX(KRI!$E:$E,$Z14)&amp;"")</f>
        <v/>
      </c>
      <c r="M14">
        <f>Parametri!$B$22</f>
        <v/>
      </c>
      <c r="N14">
        <f>IF($M14="",NA(),IF(COUNTIFS(KRI_KRI_ID,$N$4,KRI_Ciclo,$M14,KRI_Valore_Corrente,"&lt;&gt;")=0,NA(),SUMIFS(KRI_Valore_Corrente,KRI_KRI_ID,$N$4,KRI_Ciclo,$M14)))</f>
        <v/>
      </c>
      <c r="O14">
        <f>IF($M14="",NA(),IF(COUNTIFS(KRI_KRI_ID,$N$4,KRI_Ciclo,$M14,KRI_Soglia_Attenzione,"&lt;&gt;")=0,NA(),SUMIFS(KRI_Soglia_Attenzione,KRI_KRI_ID,$N$4,KRI_Ciclo,$M14)))</f>
        <v/>
      </c>
      <c r="P14">
        <f>IF($M14="",NA(),IF(COUNTIFS(KRI_KRI_ID,$N$4,KRI_Ciclo,$M14,KRI_Soglia_Allerta,"&lt;&gt;")=0,NA(),SUMIFS(KRI_Soglia_Allerta,KRI_KRI_ID,$N$4,KRI_Ciclo,$M14)))</f>
        <v/>
      </c>
      <c r="Q14">
        <f>IFERROR(INDEX(KRI_Stato,MATCH($M14&amp;"|"&amp;$N$4,KRI_Chiave,0)),"—")</f>
        <v/>
      </c>
      <c r="R14" s="117">
        <f>IFERROR(IF(INDEX(KRI_Data_Rilevazione,MATCH($M14&amp;"|"&amp;$N$4,KRI_Chiave,0))="","",INDEX(KRI_Data_Rilevazione,MATCH($M14&amp;"|"&amp;$N$4,KRI_Chiave,0))),"")</f>
        <v/>
      </c>
      <c r="S14">
        <f>IFERROR(INDEX(KRI_Fonte_Rilevazione,MATCH($M14&amp;"|"&amp;$N$4,KRI_Chiave,0))&amp;"","")</f>
        <v/>
      </c>
      <c r="T14">
        <f>IFERROR(INDEX(KRI_Nota_Rilevazione,MATCH($M14&amp;"|"&amp;$N$4,KRI_Chiave,0))&amp;"","")</f>
        <v/>
      </c>
      <c r="Z14">
        <f>IFERROR(_xlfn.AGGREGATE(15,6,ROW(KRI_Ciclo)/((KRI_Ciclo=cicloCorrente)*(KRI_In_Vigore="Sì")),8),"")</f>
        <v/>
      </c>
      <c r="AB14">
        <f>IFERROR(INDEX(KRI_KRI_ID,_xlfn.AGGREGATE(15,6,(ROW(KRI_KRI_ID)-5)/((KRI_Ciclo_Definizione=KRI_Ciclo)*(KRI_KRI_ID&lt;&gt;"")),3)),"")</f>
        <v/>
      </c>
    </row>
    <row r="15">
      <c r="A15">
        <f>IF($Z15="","",INDEX(KRI!$B:$B,$Z15)&amp;"")</f>
        <v/>
      </c>
      <c r="B15">
        <f>IF($Z15="","",INDEX(KRI!$C:$C,$Z15)&amp;"")</f>
        <v/>
      </c>
      <c r="C15">
        <f>IF($Z15="","",INDEX(KRI!$D:$D,$Z15)&amp;"")</f>
        <v/>
      </c>
      <c r="D15">
        <f>IF($Z15="","",INDEX(KRI!$F:$F,$Z15)&amp;"")</f>
        <v/>
      </c>
      <c r="E15">
        <f>IF($Z15="","",IF(INDEX(KRI!$H:$H,$Z15)="","",INDEX(KRI!$H:$H,$Z15)))</f>
        <v/>
      </c>
      <c r="F15">
        <f>IF($Z15="","",IF(INDEX(KRI!$I:$I,$Z15)="","",INDEX(KRI!$I:$I,$Z15)))</f>
        <v/>
      </c>
      <c r="G15">
        <f>IF($Z15="","",IF(INDEX(KRI!$J:$J,$Z15)="","",INDEX(KRI!$J:$J,$Z15)))</f>
        <v/>
      </c>
      <c r="H15" s="117">
        <f>IF($Z15="","",IF(INDEX(KRI!$K:$K,$Z15)="","",INDEX(KRI!$K:$K,$Z15)))</f>
        <v/>
      </c>
      <c r="I15">
        <f>IF($Z15="","",INDEX(KRI!$N:$N,$Z15)&amp;"")</f>
        <v/>
      </c>
      <c r="J15">
        <f>IF($A15="","",IF(COUNTIFS(KRI_KRI_ID,$A15,KRI_Ciclo,cicloPrecedente,KRI_Valore_Corrente,"&lt;&gt;")=0,"—",SUMIFS(KRI_Valore_Corrente,KRI_KRI_ID,$A15,KRI_Ciclo,cicloPrecedente)))</f>
        <v/>
      </c>
      <c r="K15">
        <f>IF(OR(G15="",NOT(ISNUMBER(J15))),"",IF(G15&gt;J15,"▲ peggiora",IF(G15&lt;J15,"▼ migliora","● invariato")))</f>
        <v/>
      </c>
      <c r="L15" s="118">
        <f>IF($Z15="","",INDEX(KRI!$E:$E,$Z15)&amp;"")</f>
        <v/>
      </c>
      <c r="M15">
        <f>Parametri!$B$23</f>
        <v/>
      </c>
      <c r="N15">
        <f>IF($M15="",NA(),IF(COUNTIFS(KRI_KRI_ID,$N$4,KRI_Ciclo,$M15,KRI_Valore_Corrente,"&lt;&gt;")=0,NA(),SUMIFS(KRI_Valore_Corrente,KRI_KRI_ID,$N$4,KRI_Ciclo,$M15)))</f>
        <v/>
      </c>
      <c r="O15">
        <f>IF($M15="",NA(),IF(COUNTIFS(KRI_KRI_ID,$N$4,KRI_Ciclo,$M15,KRI_Soglia_Attenzione,"&lt;&gt;")=0,NA(),SUMIFS(KRI_Soglia_Attenzione,KRI_KRI_ID,$N$4,KRI_Ciclo,$M15)))</f>
        <v/>
      </c>
      <c r="P15">
        <f>IF($M15="",NA(),IF(COUNTIFS(KRI_KRI_ID,$N$4,KRI_Ciclo,$M15,KRI_Soglia_Allerta,"&lt;&gt;")=0,NA(),SUMIFS(KRI_Soglia_Allerta,KRI_KRI_ID,$N$4,KRI_Ciclo,$M15)))</f>
        <v/>
      </c>
      <c r="Q15">
        <f>IFERROR(INDEX(KRI_Stato,MATCH($M15&amp;"|"&amp;$N$4,KRI_Chiave,0)),"—")</f>
        <v/>
      </c>
      <c r="R15" s="117">
        <f>IFERROR(IF(INDEX(KRI_Data_Rilevazione,MATCH($M15&amp;"|"&amp;$N$4,KRI_Chiave,0))="","",INDEX(KRI_Data_Rilevazione,MATCH($M15&amp;"|"&amp;$N$4,KRI_Chiave,0))),"")</f>
        <v/>
      </c>
      <c r="S15">
        <f>IFERROR(INDEX(KRI_Fonte_Rilevazione,MATCH($M15&amp;"|"&amp;$N$4,KRI_Chiave,0))&amp;"","")</f>
        <v/>
      </c>
      <c r="T15">
        <f>IFERROR(INDEX(KRI_Nota_Rilevazione,MATCH($M15&amp;"|"&amp;$N$4,KRI_Chiave,0))&amp;"","")</f>
        <v/>
      </c>
      <c r="Z15">
        <f>IFERROR(_xlfn.AGGREGATE(15,6,ROW(KRI_Ciclo)/((KRI_Ciclo=cicloCorrente)*(KRI_In_Vigore="Sì")),9),"")</f>
        <v/>
      </c>
      <c r="AB15">
        <f>IFERROR(INDEX(KRI_KRI_ID,_xlfn.AGGREGATE(15,6,(ROW(KRI_KRI_ID)-5)/((KRI_Ciclo_Definizione=KRI_Ciclo)*(KRI_KRI_ID&lt;&gt;"")),4)),"")</f>
        <v/>
      </c>
    </row>
    <row r="16">
      <c r="A16">
        <f>IF($Z16="","",INDEX(KRI!$B:$B,$Z16)&amp;"")</f>
        <v/>
      </c>
      <c r="B16">
        <f>IF($Z16="","",INDEX(KRI!$C:$C,$Z16)&amp;"")</f>
        <v/>
      </c>
      <c r="C16">
        <f>IF($Z16="","",INDEX(KRI!$D:$D,$Z16)&amp;"")</f>
        <v/>
      </c>
      <c r="D16">
        <f>IF($Z16="","",INDEX(KRI!$F:$F,$Z16)&amp;"")</f>
        <v/>
      </c>
      <c r="E16">
        <f>IF($Z16="","",IF(INDEX(KRI!$H:$H,$Z16)="","",INDEX(KRI!$H:$H,$Z16)))</f>
        <v/>
      </c>
      <c r="F16">
        <f>IF($Z16="","",IF(INDEX(KRI!$I:$I,$Z16)="","",INDEX(KRI!$I:$I,$Z16)))</f>
        <v/>
      </c>
      <c r="G16">
        <f>IF($Z16="","",IF(INDEX(KRI!$J:$J,$Z16)="","",INDEX(KRI!$J:$J,$Z16)))</f>
        <v/>
      </c>
      <c r="H16" s="117">
        <f>IF($Z16="","",IF(INDEX(KRI!$K:$K,$Z16)="","",INDEX(KRI!$K:$K,$Z16)))</f>
        <v/>
      </c>
      <c r="I16">
        <f>IF($Z16="","",INDEX(KRI!$N:$N,$Z16)&amp;"")</f>
        <v/>
      </c>
      <c r="J16">
        <f>IF($A16="","",IF(COUNTIFS(KRI_KRI_ID,$A16,KRI_Ciclo,cicloPrecedente,KRI_Valore_Corrente,"&lt;&gt;")=0,"—",SUMIFS(KRI_Valore_Corrente,KRI_KRI_ID,$A16,KRI_Ciclo,cicloPrecedente)))</f>
        <v/>
      </c>
      <c r="K16">
        <f>IF(OR(G16="",NOT(ISNUMBER(J16))),"",IF(G16&gt;J16,"▲ peggiora",IF(G16&lt;J16,"▼ migliora","● invariato")))</f>
        <v/>
      </c>
      <c r="L16" s="118">
        <f>IF($Z16="","",INDEX(KRI!$E:$E,$Z16)&amp;"")</f>
        <v/>
      </c>
      <c r="M16">
        <f>Parametri!$B$24</f>
        <v/>
      </c>
      <c r="N16">
        <f>IF($M16="",NA(),IF(COUNTIFS(KRI_KRI_ID,$N$4,KRI_Ciclo,$M16,KRI_Valore_Corrente,"&lt;&gt;")=0,NA(),SUMIFS(KRI_Valore_Corrente,KRI_KRI_ID,$N$4,KRI_Ciclo,$M16)))</f>
        <v/>
      </c>
      <c r="O16">
        <f>IF($M16="",NA(),IF(COUNTIFS(KRI_KRI_ID,$N$4,KRI_Ciclo,$M16,KRI_Soglia_Attenzione,"&lt;&gt;")=0,NA(),SUMIFS(KRI_Soglia_Attenzione,KRI_KRI_ID,$N$4,KRI_Ciclo,$M16)))</f>
        <v/>
      </c>
      <c r="P16">
        <f>IF($M16="",NA(),IF(COUNTIFS(KRI_KRI_ID,$N$4,KRI_Ciclo,$M16,KRI_Soglia_Allerta,"&lt;&gt;")=0,NA(),SUMIFS(KRI_Soglia_Allerta,KRI_KRI_ID,$N$4,KRI_Ciclo,$M16)))</f>
        <v/>
      </c>
      <c r="Q16">
        <f>IFERROR(INDEX(KRI_Stato,MATCH($M16&amp;"|"&amp;$N$4,KRI_Chiave,0)),"—")</f>
        <v/>
      </c>
      <c r="R16" s="117">
        <f>IFERROR(IF(INDEX(KRI_Data_Rilevazione,MATCH($M16&amp;"|"&amp;$N$4,KRI_Chiave,0))="","",INDEX(KRI_Data_Rilevazione,MATCH($M16&amp;"|"&amp;$N$4,KRI_Chiave,0))),"")</f>
        <v/>
      </c>
      <c r="S16">
        <f>IFERROR(INDEX(KRI_Fonte_Rilevazione,MATCH($M16&amp;"|"&amp;$N$4,KRI_Chiave,0))&amp;"","")</f>
        <v/>
      </c>
      <c r="T16">
        <f>IFERROR(INDEX(KRI_Nota_Rilevazione,MATCH($M16&amp;"|"&amp;$N$4,KRI_Chiave,0))&amp;"","")</f>
        <v/>
      </c>
      <c r="Z16">
        <f>IFERROR(_xlfn.AGGREGATE(15,6,ROW(KRI_Ciclo)/((KRI_Ciclo=cicloCorrente)*(KRI_In_Vigore="Sì")),10),"")</f>
        <v/>
      </c>
      <c r="AB16">
        <f>IFERROR(INDEX(KRI_KRI_ID,_xlfn.AGGREGATE(15,6,(ROW(KRI_KRI_ID)-5)/((KRI_Ciclo_Definizione=KRI_Ciclo)*(KRI_KRI_ID&lt;&gt;"")),5)),"")</f>
        <v/>
      </c>
    </row>
    <row r="17">
      <c r="A17">
        <f>IF($Z17="","",INDEX(KRI!$B:$B,$Z17)&amp;"")</f>
        <v/>
      </c>
      <c r="B17">
        <f>IF($Z17="","",INDEX(KRI!$C:$C,$Z17)&amp;"")</f>
        <v/>
      </c>
      <c r="C17">
        <f>IF($Z17="","",INDEX(KRI!$D:$D,$Z17)&amp;"")</f>
        <v/>
      </c>
      <c r="D17">
        <f>IF($Z17="","",INDEX(KRI!$F:$F,$Z17)&amp;"")</f>
        <v/>
      </c>
      <c r="E17">
        <f>IF($Z17="","",IF(INDEX(KRI!$H:$H,$Z17)="","",INDEX(KRI!$H:$H,$Z17)))</f>
        <v/>
      </c>
      <c r="F17">
        <f>IF($Z17="","",IF(INDEX(KRI!$I:$I,$Z17)="","",INDEX(KRI!$I:$I,$Z17)))</f>
        <v/>
      </c>
      <c r="G17">
        <f>IF($Z17="","",IF(INDEX(KRI!$J:$J,$Z17)="","",INDEX(KRI!$J:$J,$Z17)))</f>
        <v/>
      </c>
      <c r="H17" s="117">
        <f>IF($Z17="","",IF(INDEX(KRI!$K:$K,$Z17)="","",INDEX(KRI!$K:$K,$Z17)))</f>
        <v/>
      </c>
      <c r="I17">
        <f>IF($Z17="","",INDEX(KRI!$N:$N,$Z17)&amp;"")</f>
        <v/>
      </c>
      <c r="J17">
        <f>IF($A17="","",IF(COUNTIFS(KRI_KRI_ID,$A17,KRI_Ciclo,cicloPrecedente,KRI_Valore_Corrente,"&lt;&gt;")=0,"—",SUMIFS(KRI_Valore_Corrente,KRI_KRI_ID,$A17,KRI_Ciclo,cicloPrecedente)))</f>
        <v/>
      </c>
      <c r="K17">
        <f>IF(OR(G17="",NOT(ISNUMBER(J17))),"",IF(G17&gt;J17,"▲ peggiora",IF(G17&lt;J17,"▼ migliora","● invariato")))</f>
        <v/>
      </c>
      <c r="L17" s="118">
        <f>IF($Z17="","",INDEX(KRI!$E:$E,$Z17)&amp;"")</f>
        <v/>
      </c>
      <c r="M17">
        <f>Parametri!$B$25</f>
        <v/>
      </c>
      <c r="N17">
        <f>IF($M17="",NA(),IF(COUNTIFS(KRI_KRI_ID,$N$4,KRI_Ciclo,$M17,KRI_Valore_Corrente,"&lt;&gt;")=0,NA(),SUMIFS(KRI_Valore_Corrente,KRI_KRI_ID,$N$4,KRI_Ciclo,$M17)))</f>
        <v/>
      </c>
      <c r="O17">
        <f>IF($M17="",NA(),IF(COUNTIFS(KRI_KRI_ID,$N$4,KRI_Ciclo,$M17,KRI_Soglia_Attenzione,"&lt;&gt;")=0,NA(),SUMIFS(KRI_Soglia_Attenzione,KRI_KRI_ID,$N$4,KRI_Ciclo,$M17)))</f>
        <v/>
      </c>
      <c r="P17">
        <f>IF($M17="",NA(),IF(COUNTIFS(KRI_KRI_ID,$N$4,KRI_Ciclo,$M17,KRI_Soglia_Allerta,"&lt;&gt;")=0,NA(),SUMIFS(KRI_Soglia_Allerta,KRI_KRI_ID,$N$4,KRI_Ciclo,$M17)))</f>
        <v/>
      </c>
      <c r="Q17">
        <f>IFERROR(INDEX(KRI_Stato,MATCH($M17&amp;"|"&amp;$N$4,KRI_Chiave,0)),"—")</f>
        <v/>
      </c>
      <c r="R17" s="117">
        <f>IFERROR(IF(INDEX(KRI_Data_Rilevazione,MATCH($M17&amp;"|"&amp;$N$4,KRI_Chiave,0))="","",INDEX(KRI_Data_Rilevazione,MATCH($M17&amp;"|"&amp;$N$4,KRI_Chiave,0))),"")</f>
        <v/>
      </c>
      <c r="S17">
        <f>IFERROR(INDEX(KRI_Fonte_Rilevazione,MATCH($M17&amp;"|"&amp;$N$4,KRI_Chiave,0))&amp;"","")</f>
        <v/>
      </c>
      <c r="T17">
        <f>IFERROR(INDEX(KRI_Nota_Rilevazione,MATCH($M17&amp;"|"&amp;$N$4,KRI_Chiave,0))&amp;"","")</f>
        <v/>
      </c>
      <c r="Z17">
        <f>IFERROR(_xlfn.AGGREGATE(15,6,ROW(KRI_Ciclo)/((KRI_Ciclo=cicloCorrente)*(KRI_In_Vigore="Sì")),11),"")</f>
        <v/>
      </c>
      <c r="AB17">
        <f>IFERROR(INDEX(KRI_KRI_ID,_xlfn.AGGREGATE(15,6,(ROW(KRI_KRI_ID)-5)/((KRI_Ciclo_Definizione=KRI_Ciclo)*(KRI_KRI_ID&lt;&gt;"")),6)),"")</f>
        <v/>
      </c>
    </row>
    <row r="18">
      <c r="A18">
        <f>IF($Z18="","",INDEX(KRI!$B:$B,$Z18)&amp;"")</f>
        <v/>
      </c>
      <c r="B18">
        <f>IF($Z18="","",INDEX(KRI!$C:$C,$Z18)&amp;"")</f>
        <v/>
      </c>
      <c r="C18">
        <f>IF($Z18="","",INDEX(KRI!$D:$D,$Z18)&amp;"")</f>
        <v/>
      </c>
      <c r="D18">
        <f>IF($Z18="","",INDEX(KRI!$F:$F,$Z18)&amp;"")</f>
        <v/>
      </c>
      <c r="E18">
        <f>IF($Z18="","",IF(INDEX(KRI!$H:$H,$Z18)="","",INDEX(KRI!$H:$H,$Z18)))</f>
        <v/>
      </c>
      <c r="F18">
        <f>IF($Z18="","",IF(INDEX(KRI!$I:$I,$Z18)="","",INDEX(KRI!$I:$I,$Z18)))</f>
        <v/>
      </c>
      <c r="G18">
        <f>IF($Z18="","",IF(INDEX(KRI!$J:$J,$Z18)="","",INDEX(KRI!$J:$J,$Z18)))</f>
        <v/>
      </c>
      <c r="H18" s="117">
        <f>IF($Z18="","",IF(INDEX(KRI!$K:$K,$Z18)="","",INDEX(KRI!$K:$K,$Z18)))</f>
        <v/>
      </c>
      <c r="I18">
        <f>IF($Z18="","",INDEX(KRI!$N:$N,$Z18)&amp;"")</f>
        <v/>
      </c>
      <c r="J18">
        <f>IF($A18="","",IF(COUNTIFS(KRI_KRI_ID,$A18,KRI_Ciclo,cicloPrecedente,KRI_Valore_Corrente,"&lt;&gt;")=0,"—",SUMIFS(KRI_Valore_Corrente,KRI_KRI_ID,$A18,KRI_Ciclo,cicloPrecedente)))</f>
        <v/>
      </c>
      <c r="K18">
        <f>IF(OR(G18="",NOT(ISNUMBER(J18))),"",IF(G18&gt;J18,"▲ peggiora",IF(G18&lt;J18,"▼ migliora","● invariato")))</f>
        <v/>
      </c>
      <c r="L18" s="118">
        <f>IF($Z18="","",INDEX(KRI!$E:$E,$Z18)&amp;"")</f>
        <v/>
      </c>
      <c r="M18">
        <f>Parametri!$B$26</f>
        <v/>
      </c>
      <c r="N18">
        <f>IF($M18="",NA(),IF(COUNTIFS(KRI_KRI_ID,$N$4,KRI_Ciclo,$M18,KRI_Valore_Corrente,"&lt;&gt;")=0,NA(),SUMIFS(KRI_Valore_Corrente,KRI_KRI_ID,$N$4,KRI_Ciclo,$M18)))</f>
        <v/>
      </c>
      <c r="O18">
        <f>IF($M18="",NA(),IF(COUNTIFS(KRI_KRI_ID,$N$4,KRI_Ciclo,$M18,KRI_Soglia_Attenzione,"&lt;&gt;")=0,NA(),SUMIFS(KRI_Soglia_Attenzione,KRI_KRI_ID,$N$4,KRI_Ciclo,$M18)))</f>
        <v/>
      </c>
      <c r="P18">
        <f>IF($M18="",NA(),IF(COUNTIFS(KRI_KRI_ID,$N$4,KRI_Ciclo,$M18,KRI_Soglia_Allerta,"&lt;&gt;")=0,NA(),SUMIFS(KRI_Soglia_Allerta,KRI_KRI_ID,$N$4,KRI_Ciclo,$M18)))</f>
        <v/>
      </c>
      <c r="Q18">
        <f>IFERROR(INDEX(KRI_Stato,MATCH($M18&amp;"|"&amp;$N$4,KRI_Chiave,0)),"—")</f>
        <v/>
      </c>
      <c r="R18" s="117">
        <f>IFERROR(IF(INDEX(KRI_Data_Rilevazione,MATCH($M18&amp;"|"&amp;$N$4,KRI_Chiave,0))="","",INDEX(KRI_Data_Rilevazione,MATCH($M18&amp;"|"&amp;$N$4,KRI_Chiave,0))),"")</f>
        <v/>
      </c>
      <c r="S18">
        <f>IFERROR(INDEX(KRI_Fonte_Rilevazione,MATCH($M18&amp;"|"&amp;$N$4,KRI_Chiave,0))&amp;"","")</f>
        <v/>
      </c>
      <c r="T18">
        <f>IFERROR(INDEX(KRI_Nota_Rilevazione,MATCH($M18&amp;"|"&amp;$N$4,KRI_Chiave,0))&amp;"","")</f>
        <v/>
      </c>
      <c r="Z18">
        <f>IFERROR(_xlfn.AGGREGATE(15,6,ROW(KRI_Ciclo)/((KRI_Ciclo=cicloCorrente)*(KRI_In_Vigore="Sì")),12),"")</f>
        <v/>
      </c>
      <c r="AB18">
        <f>IFERROR(INDEX(KRI_KRI_ID,_xlfn.AGGREGATE(15,6,(ROW(KRI_KRI_ID)-5)/((KRI_Ciclo_Definizione=KRI_Ciclo)*(KRI_KRI_ID&lt;&gt;"")),7)),"")</f>
        <v/>
      </c>
    </row>
    <row r="19">
      <c r="A19">
        <f>IF($Z19="","",INDEX(KRI!$B:$B,$Z19)&amp;"")</f>
        <v/>
      </c>
      <c r="B19">
        <f>IF($Z19="","",INDEX(KRI!$C:$C,$Z19)&amp;"")</f>
        <v/>
      </c>
      <c r="C19">
        <f>IF($Z19="","",INDEX(KRI!$D:$D,$Z19)&amp;"")</f>
        <v/>
      </c>
      <c r="D19">
        <f>IF($Z19="","",INDEX(KRI!$F:$F,$Z19)&amp;"")</f>
        <v/>
      </c>
      <c r="E19">
        <f>IF($Z19="","",IF(INDEX(KRI!$H:$H,$Z19)="","",INDEX(KRI!$H:$H,$Z19)))</f>
        <v/>
      </c>
      <c r="F19">
        <f>IF($Z19="","",IF(INDEX(KRI!$I:$I,$Z19)="","",INDEX(KRI!$I:$I,$Z19)))</f>
        <v/>
      </c>
      <c r="G19">
        <f>IF($Z19="","",IF(INDEX(KRI!$J:$J,$Z19)="","",INDEX(KRI!$J:$J,$Z19)))</f>
        <v/>
      </c>
      <c r="H19" s="117">
        <f>IF($Z19="","",IF(INDEX(KRI!$K:$K,$Z19)="","",INDEX(KRI!$K:$K,$Z19)))</f>
        <v/>
      </c>
      <c r="I19">
        <f>IF($Z19="","",INDEX(KRI!$N:$N,$Z19)&amp;"")</f>
        <v/>
      </c>
      <c r="J19">
        <f>IF($A19="","",IF(COUNTIFS(KRI_KRI_ID,$A19,KRI_Ciclo,cicloPrecedente,KRI_Valore_Corrente,"&lt;&gt;")=0,"—",SUMIFS(KRI_Valore_Corrente,KRI_KRI_ID,$A19,KRI_Ciclo,cicloPrecedente)))</f>
        <v/>
      </c>
      <c r="K19">
        <f>IF(OR(G19="",NOT(ISNUMBER(J19))),"",IF(G19&gt;J19,"▲ peggiora",IF(G19&lt;J19,"▼ migliora","● invariato")))</f>
        <v/>
      </c>
      <c r="L19" s="118">
        <f>IF($Z19="","",INDEX(KRI!$E:$E,$Z19)&amp;"")</f>
        <v/>
      </c>
      <c r="M19">
        <f>Parametri!$B$27</f>
        <v/>
      </c>
      <c r="N19">
        <f>IF($M19="",NA(),IF(COUNTIFS(KRI_KRI_ID,$N$4,KRI_Ciclo,$M19,KRI_Valore_Corrente,"&lt;&gt;")=0,NA(),SUMIFS(KRI_Valore_Corrente,KRI_KRI_ID,$N$4,KRI_Ciclo,$M19)))</f>
        <v/>
      </c>
      <c r="O19">
        <f>IF($M19="",NA(),IF(COUNTIFS(KRI_KRI_ID,$N$4,KRI_Ciclo,$M19,KRI_Soglia_Attenzione,"&lt;&gt;")=0,NA(),SUMIFS(KRI_Soglia_Attenzione,KRI_KRI_ID,$N$4,KRI_Ciclo,$M19)))</f>
        <v/>
      </c>
      <c r="P19">
        <f>IF($M19="",NA(),IF(COUNTIFS(KRI_KRI_ID,$N$4,KRI_Ciclo,$M19,KRI_Soglia_Allerta,"&lt;&gt;")=0,NA(),SUMIFS(KRI_Soglia_Allerta,KRI_KRI_ID,$N$4,KRI_Ciclo,$M19)))</f>
        <v/>
      </c>
      <c r="Q19">
        <f>IFERROR(INDEX(KRI_Stato,MATCH($M19&amp;"|"&amp;$N$4,KRI_Chiave,0)),"—")</f>
        <v/>
      </c>
      <c r="R19" s="117">
        <f>IFERROR(IF(INDEX(KRI_Data_Rilevazione,MATCH($M19&amp;"|"&amp;$N$4,KRI_Chiave,0))="","",INDEX(KRI_Data_Rilevazione,MATCH($M19&amp;"|"&amp;$N$4,KRI_Chiave,0))),"")</f>
        <v/>
      </c>
      <c r="S19">
        <f>IFERROR(INDEX(KRI_Fonte_Rilevazione,MATCH($M19&amp;"|"&amp;$N$4,KRI_Chiave,0))&amp;"","")</f>
        <v/>
      </c>
      <c r="T19">
        <f>IFERROR(INDEX(KRI_Nota_Rilevazione,MATCH($M19&amp;"|"&amp;$N$4,KRI_Chiave,0))&amp;"","")</f>
        <v/>
      </c>
      <c r="Z19">
        <f>IFERROR(_xlfn.AGGREGATE(15,6,ROW(KRI_Ciclo)/((KRI_Ciclo=cicloCorrente)*(KRI_In_Vigore="Sì")),13),"")</f>
        <v/>
      </c>
      <c r="AB19">
        <f>IFERROR(INDEX(KRI_KRI_ID,_xlfn.AGGREGATE(15,6,(ROW(KRI_KRI_ID)-5)/((KRI_Ciclo_Definizione=KRI_Ciclo)*(KRI_KRI_ID&lt;&gt;"")),8)),"")</f>
        <v/>
      </c>
    </row>
    <row r="20">
      <c r="A20">
        <f>IF($Z20="","",INDEX(KRI!$B:$B,$Z20)&amp;"")</f>
        <v/>
      </c>
      <c r="B20">
        <f>IF($Z20="","",INDEX(KRI!$C:$C,$Z20)&amp;"")</f>
        <v/>
      </c>
      <c r="C20">
        <f>IF($Z20="","",INDEX(KRI!$D:$D,$Z20)&amp;"")</f>
        <v/>
      </c>
      <c r="D20">
        <f>IF($Z20="","",INDEX(KRI!$F:$F,$Z20)&amp;"")</f>
        <v/>
      </c>
      <c r="E20">
        <f>IF($Z20="","",IF(INDEX(KRI!$H:$H,$Z20)="","",INDEX(KRI!$H:$H,$Z20)))</f>
        <v/>
      </c>
      <c r="F20">
        <f>IF($Z20="","",IF(INDEX(KRI!$I:$I,$Z20)="","",INDEX(KRI!$I:$I,$Z20)))</f>
        <v/>
      </c>
      <c r="G20">
        <f>IF($Z20="","",IF(INDEX(KRI!$J:$J,$Z20)="","",INDEX(KRI!$J:$J,$Z20)))</f>
        <v/>
      </c>
      <c r="H20" s="117">
        <f>IF($Z20="","",IF(INDEX(KRI!$K:$K,$Z20)="","",INDEX(KRI!$K:$K,$Z20)))</f>
        <v/>
      </c>
      <c r="I20">
        <f>IF($Z20="","",INDEX(KRI!$N:$N,$Z20)&amp;"")</f>
        <v/>
      </c>
      <c r="J20">
        <f>IF($A20="","",IF(COUNTIFS(KRI_KRI_ID,$A20,KRI_Ciclo,cicloPrecedente,KRI_Valore_Corrente,"&lt;&gt;")=0,"—",SUMIFS(KRI_Valore_Corrente,KRI_KRI_ID,$A20,KRI_Ciclo,cicloPrecedente)))</f>
        <v/>
      </c>
      <c r="K20">
        <f>IF(OR(G20="",NOT(ISNUMBER(J20))),"",IF(G20&gt;J20,"▲ peggiora",IF(G20&lt;J20,"▼ migliora","● invariato")))</f>
        <v/>
      </c>
      <c r="L20" s="118">
        <f>IF($Z20="","",INDEX(KRI!$E:$E,$Z20)&amp;"")</f>
        <v/>
      </c>
      <c r="Z20">
        <f>IFERROR(_xlfn.AGGREGATE(15,6,ROW(KRI_Ciclo)/((KRI_Ciclo=cicloCorrente)*(KRI_In_Vigore="Sì")),14),"")</f>
        <v/>
      </c>
      <c r="AB20">
        <f>IFERROR(INDEX(KRI_KRI_ID,_xlfn.AGGREGATE(15,6,(ROW(KRI_KRI_ID)-5)/((KRI_Ciclo_Definizione=KRI_Ciclo)*(KRI_KRI_ID&lt;&gt;"")),9)),"")</f>
        <v/>
      </c>
    </row>
    <row r="21">
      <c r="A21">
        <f>IF($Z21="","",INDEX(KRI!$B:$B,$Z21)&amp;"")</f>
        <v/>
      </c>
      <c r="B21">
        <f>IF($Z21="","",INDEX(KRI!$C:$C,$Z21)&amp;"")</f>
        <v/>
      </c>
      <c r="C21">
        <f>IF($Z21="","",INDEX(KRI!$D:$D,$Z21)&amp;"")</f>
        <v/>
      </c>
      <c r="D21">
        <f>IF($Z21="","",INDEX(KRI!$F:$F,$Z21)&amp;"")</f>
        <v/>
      </c>
      <c r="E21">
        <f>IF($Z21="","",IF(INDEX(KRI!$H:$H,$Z21)="","",INDEX(KRI!$H:$H,$Z21)))</f>
        <v/>
      </c>
      <c r="F21">
        <f>IF($Z21="","",IF(INDEX(KRI!$I:$I,$Z21)="","",INDEX(KRI!$I:$I,$Z21)))</f>
        <v/>
      </c>
      <c r="G21">
        <f>IF($Z21="","",IF(INDEX(KRI!$J:$J,$Z21)="","",INDEX(KRI!$J:$J,$Z21)))</f>
        <v/>
      </c>
      <c r="H21" s="117">
        <f>IF($Z21="","",IF(INDEX(KRI!$K:$K,$Z21)="","",INDEX(KRI!$K:$K,$Z21)))</f>
        <v/>
      </c>
      <c r="I21">
        <f>IF($Z21="","",INDEX(KRI!$N:$N,$Z21)&amp;"")</f>
        <v/>
      </c>
      <c r="J21">
        <f>IF($A21="","",IF(COUNTIFS(KRI_KRI_ID,$A21,KRI_Ciclo,cicloPrecedente,KRI_Valore_Corrente,"&lt;&gt;")=0,"—",SUMIFS(KRI_Valore_Corrente,KRI_KRI_ID,$A21,KRI_Ciclo,cicloPrecedente)))</f>
        <v/>
      </c>
      <c r="K21">
        <f>IF(OR(G21="",NOT(ISNUMBER(J21))),"",IF(G21&gt;J21,"▲ peggiora",IF(G21&lt;J21,"▼ migliora","● invariato")))</f>
        <v/>
      </c>
      <c r="L21" s="118">
        <f>IF($Z21="","",INDEX(KRI!$E:$E,$Z21)&amp;"")</f>
        <v/>
      </c>
      <c r="Z21">
        <f>IFERROR(_xlfn.AGGREGATE(15,6,ROW(KRI_Ciclo)/((KRI_Ciclo=cicloCorrente)*(KRI_In_Vigore="Sì")),15),"")</f>
        <v/>
      </c>
      <c r="AB21">
        <f>IFERROR(INDEX(KRI_KRI_ID,_xlfn.AGGREGATE(15,6,(ROW(KRI_KRI_ID)-5)/((KRI_Ciclo_Definizione=KRI_Ciclo)*(KRI_KRI_ID&lt;&gt;"")),10)),"")</f>
        <v/>
      </c>
    </row>
    <row r="22">
      <c r="A22">
        <f>IF($Z22="","",INDEX(KRI!$B:$B,$Z22)&amp;"")</f>
        <v/>
      </c>
      <c r="B22">
        <f>IF($Z22="","",INDEX(KRI!$C:$C,$Z22)&amp;"")</f>
        <v/>
      </c>
      <c r="C22">
        <f>IF($Z22="","",INDEX(KRI!$D:$D,$Z22)&amp;"")</f>
        <v/>
      </c>
      <c r="D22">
        <f>IF($Z22="","",INDEX(KRI!$F:$F,$Z22)&amp;"")</f>
        <v/>
      </c>
      <c r="E22">
        <f>IF($Z22="","",IF(INDEX(KRI!$H:$H,$Z22)="","",INDEX(KRI!$H:$H,$Z22)))</f>
        <v/>
      </c>
      <c r="F22">
        <f>IF($Z22="","",IF(INDEX(KRI!$I:$I,$Z22)="","",INDEX(KRI!$I:$I,$Z22)))</f>
        <v/>
      </c>
      <c r="G22">
        <f>IF($Z22="","",IF(INDEX(KRI!$J:$J,$Z22)="","",INDEX(KRI!$J:$J,$Z22)))</f>
        <v/>
      </c>
      <c r="H22" s="117">
        <f>IF($Z22="","",IF(INDEX(KRI!$K:$K,$Z22)="","",INDEX(KRI!$K:$K,$Z22)))</f>
        <v/>
      </c>
      <c r="I22">
        <f>IF($Z22="","",INDEX(KRI!$N:$N,$Z22)&amp;"")</f>
        <v/>
      </c>
      <c r="J22">
        <f>IF($A22="","",IF(COUNTIFS(KRI_KRI_ID,$A22,KRI_Ciclo,cicloPrecedente,KRI_Valore_Corrente,"&lt;&gt;")=0,"—",SUMIFS(KRI_Valore_Corrente,KRI_KRI_ID,$A22,KRI_Ciclo,cicloPrecedente)))</f>
        <v/>
      </c>
      <c r="K22">
        <f>IF(OR(G22="",NOT(ISNUMBER(J22))),"",IF(G22&gt;J22,"▲ peggiora",IF(G22&lt;J22,"▼ migliora","● invariato")))</f>
        <v/>
      </c>
      <c r="L22" s="118">
        <f>IF($Z22="","",INDEX(KRI!$E:$E,$Z22)&amp;"")</f>
        <v/>
      </c>
      <c r="Z22">
        <f>IFERROR(_xlfn.AGGREGATE(15,6,ROW(KRI_Ciclo)/((KRI_Ciclo=cicloCorrente)*(KRI_In_Vigore="Sì")),16),"")</f>
        <v/>
      </c>
      <c r="AB22">
        <f>IFERROR(INDEX(KRI_KRI_ID,_xlfn.AGGREGATE(15,6,(ROW(KRI_KRI_ID)-5)/((KRI_Ciclo_Definizione=KRI_Ciclo)*(KRI_KRI_ID&lt;&gt;"")),11)),"")</f>
        <v/>
      </c>
    </row>
    <row r="23">
      <c r="A23">
        <f>IF($Z23="","",INDEX(KRI!$B:$B,$Z23)&amp;"")</f>
        <v/>
      </c>
      <c r="B23">
        <f>IF($Z23="","",INDEX(KRI!$C:$C,$Z23)&amp;"")</f>
        <v/>
      </c>
      <c r="C23">
        <f>IF($Z23="","",INDEX(KRI!$D:$D,$Z23)&amp;"")</f>
        <v/>
      </c>
      <c r="D23">
        <f>IF($Z23="","",INDEX(KRI!$F:$F,$Z23)&amp;"")</f>
        <v/>
      </c>
      <c r="E23">
        <f>IF($Z23="","",IF(INDEX(KRI!$H:$H,$Z23)="","",INDEX(KRI!$H:$H,$Z23)))</f>
        <v/>
      </c>
      <c r="F23">
        <f>IF($Z23="","",IF(INDEX(KRI!$I:$I,$Z23)="","",INDEX(KRI!$I:$I,$Z23)))</f>
        <v/>
      </c>
      <c r="G23">
        <f>IF($Z23="","",IF(INDEX(KRI!$J:$J,$Z23)="","",INDEX(KRI!$J:$J,$Z23)))</f>
        <v/>
      </c>
      <c r="H23" s="117">
        <f>IF($Z23="","",IF(INDEX(KRI!$K:$K,$Z23)="","",INDEX(KRI!$K:$K,$Z23)))</f>
        <v/>
      </c>
      <c r="I23">
        <f>IF($Z23="","",INDEX(KRI!$N:$N,$Z23)&amp;"")</f>
        <v/>
      </c>
      <c r="J23">
        <f>IF($A23="","",IF(COUNTIFS(KRI_KRI_ID,$A23,KRI_Ciclo,cicloPrecedente,KRI_Valore_Corrente,"&lt;&gt;")=0,"—",SUMIFS(KRI_Valore_Corrente,KRI_KRI_ID,$A23,KRI_Ciclo,cicloPrecedente)))</f>
        <v/>
      </c>
      <c r="K23">
        <f>IF(OR(G23="",NOT(ISNUMBER(J23))),"",IF(G23&gt;J23,"▲ peggiora",IF(G23&lt;J23,"▼ migliora","● invariato")))</f>
        <v/>
      </c>
      <c r="L23" s="118">
        <f>IF($Z23="","",INDEX(KRI!$E:$E,$Z23)&amp;"")</f>
        <v/>
      </c>
      <c r="Z23">
        <f>IFERROR(_xlfn.AGGREGATE(15,6,ROW(KRI_Ciclo)/((KRI_Ciclo=cicloCorrente)*(KRI_In_Vigore="Sì")),17),"")</f>
        <v/>
      </c>
      <c r="AB23">
        <f>IFERROR(INDEX(KRI_KRI_ID,_xlfn.AGGREGATE(15,6,(ROW(KRI_KRI_ID)-5)/((KRI_Ciclo_Definizione=KRI_Ciclo)*(KRI_KRI_ID&lt;&gt;"")),12)),"")</f>
        <v/>
      </c>
    </row>
    <row r="24">
      <c r="A24">
        <f>IF($Z24="","",INDEX(KRI!$B:$B,$Z24)&amp;"")</f>
        <v/>
      </c>
      <c r="B24">
        <f>IF($Z24="","",INDEX(KRI!$C:$C,$Z24)&amp;"")</f>
        <v/>
      </c>
      <c r="C24">
        <f>IF($Z24="","",INDEX(KRI!$D:$D,$Z24)&amp;"")</f>
        <v/>
      </c>
      <c r="D24">
        <f>IF($Z24="","",INDEX(KRI!$F:$F,$Z24)&amp;"")</f>
        <v/>
      </c>
      <c r="E24">
        <f>IF($Z24="","",IF(INDEX(KRI!$H:$H,$Z24)="","",INDEX(KRI!$H:$H,$Z24)))</f>
        <v/>
      </c>
      <c r="F24">
        <f>IF($Z24="","",IF(INDEX(KRI!$I:$I,$Z24)="","",INDEX(KRI!$I:$I,$Z24)))</f>
        <v/>
      </c>
      <c r="G24">
        <f>IF($Z24="","",IF(INDEX(KRI!$J:$J,$Z24)="","",INDEX(KRI!$J:$J,$Z24)))</f>
        <v/>
      </c>
      <c r="H24" s="117">
        <f>IF($Z24="","",IF(INDEX(KRI!$K:$K,$Z24)="","",INDEX(KRI!$K:$K,$Z24)))</f>
        <v/>
      </c>
      <c r="I24">
        <f>IF($Z24="","",INDEX(KRI!$N:$N,$Z24)&amp;"")</f>
        <v/>
      </c>
      <c r="J24">
        <f>IF($A24="","",IF(COUNTIFS(KRI_KRI_ID,$A24,KRI_Ciclo,cicloPrecedente,KRI_Valore_Corrente,"&lt;&gt;")=0,"—",SUMIFS(KRI_Valore_Corrente,KRI_KRI_ID,$A24,KRI_Ciclo,cicloPrecedente)))</f>
        <v/>
      </c>
      <c r="K24">
        <f>IF(OR(G24="",NOT(ISNUMBER(J24))),"",IF(G24&gt;J24,"▲ peggiora",IF(G24&lt;J24,"▼ migliora","● invariato")))</f>
        <v/>
      </c>
      <c r="L24" s="118">
        <f>IF($Z24="","",INDEX(KRI!$E:$E,$Z24)&amp;"")</f>
        <v/>
      </c>
      <c r="Z24">
        <f>IFERROR(_xlfn.AGGREGATE(15,6,ROW(KRI_Ciclo)/((KRI_Ciclo=cicloCorrente)*(KRI_In_Vigore="Sì")),18),"")</f>
        <v/>
      </c>
      <c r="AB24">
        <f>IFERROR(INDEX(KRI_KRI_ID,_xlfn.AGGREGATE(15,6,(ROW(KRI_KRI_ID)-5)/((KRI_Ciclo_Definizione=KRI_Ciclo)*(KRI_KRI_ID&lt;&gt;"")),13)),"")</f>
        <v/>
      </c>
    </row>
    <row r="25">
      <c r="A25">
        <f>IF($Z25="","",INDEX(KRI!$B:$B,$Z25)&amp;"")</f>
        <v/>
      </c>
      <c r="B25">
        <f>IF($Z25="","",INDEX(KRI!$C:$C,$Z25)&amp;"")</f>
        <v/>
      </c>
      <c r="C25">
        <f>IF($Z25="","",INDEX(KRI!$D:$D,$Z25)&amp;"")</f>
        <v/>
      </c>
      <c r="D25">
        <f>IF($Z25="","",INDEX(KRI!$F:$F,$Z25)&amp;"")</f>
        <v/>
      </c>
      <c r="E25">
        <f>IF($Z25="","",IF(INDEX(KRI!$H:$H,$Z25)="","",INDEX(KRI!$H:$H,$Z25)))</f>
        <v/>
      </c>
      <c r="F25">
        <f>IF($Z25="","",IF(INDEX(KRI!$I:$I,$Z25)="","",INDEX(KRI!$I:$I,$Z25)))</f>
        <v/>
      </c>
      <c r="G25">
        <f>IF($Z25="","",IF(INDEX(KRI!$J:$J,$Z25)="","",INDEX(KRI!$J:$J,$Z25)))</f>
        <v/>
      </c>
      <c r="H25" s="117">
        <f>IF($Z25="","",IF(INDEX(KRI!$K:$K,$Z25)="","",INDEX(KRI!$K:$K,$Z25)))</f>
        <v/>
      </c>
      <c r="I25">
        <f>IF($Z25="","",INDEX(KRI!$N:$N,$Z25)&amp;"")</f>
        <v/>
      </c>
      <c r="J25">
        <f>IF($A25="","",IF(COUNTIFS(KRI_KRI_ID,$A25,KRI_Ciclo,cicloPrecedente,KRI_Valore_Corrente,"&lt;&gt;")=0,"—",SUMIFS(KRI_Valore_Corrente,KRI_KRI_ID,$A25,KRI_Ciclo,cicloPrecedente)))</f>
        <v/>
      </c>
      <c r="K25">
        <f>IF(OR(G25="",NOT(ISNUMBER(J25))),"",IF(G25&gt;J25,"▲ peggiora",IF(G25&lt;J25,"▼ migliora","● invariato")))</f>
        <v/>
      </c>
      <c r="L25" s="118">
        <f>IF($Z25="","",INDEX(KRI!$E:$E,$Z25)&amp;"")</f>
        <v/>
      </c>
      <c r="Z25">
        <f>IFERROR(_xlfn.AGGREGATE(15,6,ROW(KRI_Ciclo)/((KRI_Ciclo=cicloCorrente)*(KRI_In_Vigore="Sì")),19),"")</f>
        <v/>
      </c>
      <c r="AB25">
        <f>IFERROR(INDEX(KRI_KRI_ID,_xlfn.AGGREGATE(15,6,(ROW(KRI_KRI_ID)-5)/((KRI_Ciclo_Definizione=KRI_Ciclo)*(KRI_KRI_ID&lt;&gt;"")),14)),"")</f>
        <v/>
      </c>
    </row>
    <row r="26">
      <c r="A26">
        <f>IF($Z26="","",INDEX(KRI!$B:$B,$Z26)&amp;"")</f>
        <v/>
      </c>
      <c r="B26">
        <f>IF($Z26="","",INDEX(KRI!$C:$C,$Z26)&amp;"")</f>
        <v/>
      </c>
      <c r="C26">
        <f>IF($Z26="","",INDEX(KRI!$D:$D,$Z26)&amp;"")</f>
        <v/>
      </c>
      <c r="D26">
        <f>IF($Z26="","",INDEX(KRI!$F:$F,$Z26)&amp;"")</f>
        <v/>
      </c>
      <c r="E26">
        <f>IF($Z26="","",IF(INDEX(KRI!$H:$H,$Z26)="","",INDEX(KRI!$H:$H,$Z26)))</f>
        <v/>
      </c>
      <c r="F26">
        <f>IF($Z26="","",IF(INDEX(KRI!$I:$I,$Z26)="","",INDEX(KRI!$I:$I,$Z26)))</f>
        <v/>
      </c>
      <c r="G26">
        <f>IF($Z26="","",IF(INDEX(KRI!$J:$J,$Z26)="","",INDEX(KRI!$J:$J,$Z26)))</f>
        <v/>
      </c>
      <c r="H26" s="117">
        <f>IF($Z26="","",IF(INDEX(KRI!$K:$K,$Z26)="","",INDEX(KRI!$K:$K,$Z26)))</f>
        <v/>
      </c>
      <c r="I26">
        <f>IF($Z26="","",INDEX(KRI!$N:$N,$Z26)&amp;"")</f>
        <v/>
      </c>
      <c r="J26">
        <f>IF($A26="","",IF(COUNTIFS(KRI_KRI_ID,$A26,KRI_Ciclo,cicloPrecedente,KRI_Valore_Corrente,"&lt;&gt;")=0,"—",SUMIFS(KRI_Valore_Corrente,KRI_KRI_ID,$A26,KRI_Ciclo,cicloPrecedente)))</f>
        <v/>
      </c>
      <c r="K26">
        <f>IF(OR(G26="",NOT(ISNUMBER(J26))),"",IF(G26&gt;J26,"▲ peggiora",IF(G26&lt;J26,"▼ migliora","● invariato")))</f>
        <v/>
      </c>
      <c r="L26" s="118">
        <f>IF($Z26="","",INDEX(KRI!$E:$E,$Z26)&amp;"")</f>
        <v/>
      </c>
      <c r="Z26">
        <f>IFERROR(_xlfn.AGGREGATE(15,6,ROW(KRI_Ciclo)/((KRI_Ciclo=cicloCorrente)*(KRI_In_Vigore="Sì")),20),"")</f>
        <v/>
      </c>
      <c r="AB26">
        <f>IFERROR(INDEX(KRI_KRI_ID,_xlfn.AGGREGATE(15,6,(ROW(KRI_KRI_ID)-5)/((KRI_Ciclo_Definizione=KRI_Ciclo)*(KRI_KRI_ID&lt;&gt;"")),15)),"")</f>
        <v/>
      </c>
    </row>
    <row r="27">
      <c r="A27">
        <f>IF($Z27="","",INDEX(KRI!$B:$B,$Z27)&amp;"")</f>
        <v/>
      </c>
      <c r="B27">
        <f>IF($Z27="","",INDEX(KRI!$C:$C,$Z27)&amp;"")</f>
        <v/>
      </c>
      <c r="C27">
        <f>IF($Z27="","",INDEX(KRI!$D:$D,$Z27)&amp;"")</f>
        <v/>
      </c>
      <c r="D27">
        <f>IF($Z27="","",INDEX(KRI!$F:$F,$Z27)&amp;"")</f>
        <v/>
      </c>
      <c r="E27">
        <f>IF($Z27="","",IF(INDEX(KRI!$H:$H,$Z27)="","",INDEX(KRI!$H:$H,$Z27)))</f>
        <v/>
      </c>
      <c r="F27">
        <f>IF($Z27="","",IF(INDEX(KRI!$I:$I,$Z27)="","",INDEX(KRI!$I:$I,$Z27)))</f>
        <v/>
      </c>
      <c r="G27">
        <f>IF($Z27="","",IF(INDEX(KRI!$J:$J,$Z27)="","",INDEX(KRI!$J:$J,$Z27)))</f>
        <v/>
      </c>
      <c r="H27" s="117">
        <f>IF($Z27="","",IF(INDEX(KRI!$K:$K,$Z27)="","",INDEX(KRI!$K:$K,$Z27)))</f>
        <v/>
      </c>
      <c r="I27">
        <f>IF($Z27="","",INDEX(KRI!$N:$N,$Z27)&amp;"")</f>
        <v/>
      </c>
      <c r="J27">
        <f>IF($A27="","",IF(COUNTIFS(KRI_KRI_ID,$A27,KRI_Ciclo,cicloPrecedente,KRI_Valore_Corrente,"&lt;&gt;")=0,"—",SUMIFS(KRI_Valore_Corrente,KRI_KRI_ID,$A27,KRI_Ciclo,cicloPrecedente)))</f>
        <v/>
      </c>
      <c r="K27">
        <f>IF(OR(G27="",NOT(ISNUMBER(J27))),"",IF(G27&gt;J27,"▲ peggiora",IF(G27&lt;J27,"▼ migliora","● invariato")))</f>
        <v/>
      </c>
      <c r="L27" s="118">
        <f>IF($Z27="","",INDEX(KRI!$E:$E,$Z27)&amp;"")</f>
        <v/>
      </c>
      <c r="Z27">
        <f>IFERROR(_xlfn.AGGREGATE(15,6,ROW(KRI_Ciclo)/((KRI_Ciclo=cicloCorrente)*(KRI_In_Vigore="Sì")),21),"")</f>
        <v/>
      </c>
      <c r="AB27">
        <f>IFERROR(INDEX(KRI_KRI_ID,_xlfn.AGGREGATE(15,6,(ROW(KRI_KRI_ID)-5)/((KRI_Ciclo_Definizione=KRI_Ciclo)*(KRI_KRI_ID&lt;&gt;"")),16)),"")</f>
        <v/>
      </c>
    </row>
    <row r="28">
      <c r="A28">
        <f>IF($Z28="","",INDEX(KRI!$B:$B,$Z28)&amp;"")</f>
        <v/>
      </c>
      <c r="B28">
        <f>IF($Z28="","",INDEX(KRI!$C:$C,$Z28)&amp;"")</f>
        <v/>
      </c>
      <c r="C28">
        <f>IF($Z28="","",INDEX(KRI!$D:$D,$Z28)&amp;"")</f>
        <v/>
      </c>
      <c r="D28">
        <f>IF($Z28="","",INDEX(KRI!$F:$F,$Z28)&amp;"")</f>
        <v/>
      </c>
      <c r="E28">
        <f>IF($Z28="","",IF(INDEX(KRI!$H:$H,$Z28)="","",INDEX(KRI!$H:$H,$Z28)))</f>
        <v/>
      </c>
      <c r="F28">
        <f>IF($Z28="","",IF(INDEX(KRI!$I:$I,$Z28)="","",INDEX(KRI!$I:$I,$Z28)))</f>
        <v/>
      </c>
      <c r="G28">
        <f>IF($Z28="","",IF(INDEX(KRI!$J:$J,$Z28)="","",INDEX(KRI!$J:$J,$Z28)))</f>
        <v/>
      </c>
      <c r="H28" s="117">
        <f>IF($Z28="","",IF(INDEX(KRI!$K:$K,$Z28)="","",INDEX(KRI!$K:$K,$Z28)))</f>
        <v/>
      </c>
      <c r="I28">
        <f>IF($Z28="","",INDEX(KRI!$N:$N,$Z28)&amp;"")</f>
        <v/>
      </c>
      <c r="J28">
        <f>IF($A28="","",IF(COUNTIFS(KRI_KRI_ID,$A28,KRI_Ciclo,cicloPrecedente,KRI_Valore_Corrente,"&lt;&gt;")=0,"—",SUMIFS(KRI_Valore_Corrente,KRI_KRI_ID,$A28,KRI_Ciclo,cicloPrecedente)))</f>
        <v/>
      </c>
      <c r="K28">
        <f>IF(OR(G28="",NOT(ISNUMBER(J28))),"",IF(G28&gt;J28,"▲ peggiora",IF(G28&lt;J28,"▼ migliora","● invariato")))</f>
        <v/>
      </c>
      <c r="L28" s="118">
        <f>IF($Z28="","",INDEX(KRI!$E:$E,$Z28)&amp;"")</f>
        <v/>
      </c>
      <c r="Z28">
        <f>IFERROR(_xlfn.AGGREGATE(15,6,ROW(KRI_Ciclo)/((KRI_Ciclo=cicloCorrente)*(KRI_In_Vigore="Sì")),22),"")</f>
        <v/>
      </c>
      <c r="AB28">
        <f>IFERROR(INDEX(KRI_KRI_ID,_xlfn.AGGREGATE(15,6,(ROW(KRI_KRI_ID)-5)/((KRI_Ciclo_Definizione=KRI_Ciclo)*(KRI_KRI_ID&lt;&gt;"")),17)),"")</f>
        <v/>
      </c>
    </row>
    <row r="29">
      <c r="A29">
        <f>IF($Z29="","",INDEX(KRI!$B:$B,$Z29)&amp;"")</f>
        <v/>
      </c>
      <c r="B29">
        <f>IF($Z29="","",INDEX(KRI!$C:$C,$Z29)&amp;"")</f>
        <v/>
      </c>
      <c r="C29">
        <f>IF($Z29="","",INDEX(KRI!$D:$D,$Z29)&amp;"")</f>
        <v/>
      </c>
      <c r="D29">
        <f>IF($Z29="","",INDEX(KRI!$F:$F,$Z29)&amp;"")</f>
        <v/>
      </c>
      <c r="E29">
        <f>IF($Z29="","",IF(INDEX(KRI!$H:$H,$Z29)="","",INDEX(KRI!$H:$H,$Z29)))</f>
        <v/>
      </c>
      <c r="F29">
        <f>IF($Z29="","",IF(INDEX(KRI!$I:$I,$Z29)="","",INDEX(KRI!$I:$I,$Z29)))</f>
        <v/>
      </c>
      <c r="G29">
        <f>IF($Z29="","",IF(INDEX(KRI!$J:$J,$Z29)="","",INDEX(KRI!$J:$J,$Z29)))</f>
        <v/>
      </c>
      <c r="H29" s="117">
        <f>IF($Z29="","",IF(INDEX(KRI!$K:$K,$Z29)="","",INDEX(KRI!$K:$K,$Z29)))</f>
        <v/>
      </c>
      <c r="I29">
        <f>IF($Z29="","",INDEX(KRI!$N:$N,$Z29)&amp;"")</f>
        <v/>
      </c>
      <c r="J29">
        <f>IF($A29="","",IF(COUNTIFS(KRI_KRI_ID,$A29,KRI_Ciclo,cicloPrecedente,KRI_Valore_Corrente,"&lt;&gt;")=0,"—",SUMIFS(KRI_Valore_Corrente,KRI_KRI_ID,$A29,KRI_Ciclo,cicloPrecedente)))</f>
        <v/>
      </c>
      <c r="K29">
        <f>IF(OR(G29="",NOT(ISNUMBER(J29))),"",IF(G29&gt;J29,"▲ peggiora",IF(G29&lt;J29,"▼ migliora","● invariato")))</f>
        <v/>
      </c>
      <c r="L29" s="118">
        <f>IF($Z29="","",INDEX(KRI!$E:$E,$Z29)&amp;"")</f>
        <v/>
      </c>
      <c r="Z29">
        <f>IFERROR(_xlfn.AGGREGATE(15,6,ROW(KRI_Ciclo)/((KRI_Ciclo=cicloCorrente)*(KRI_In_Vigore="Sì")),23),"")</f>
        <v/>
      </c>
      <c r="AB29">
        <f>IFERROR(INDEX(KRI_KRI_ID,_xlfn.AGGREGATE(15,6,(ROW(KRI_KRI_ID)-5)/((KRI_Ciclo_Definizione=KRI_Ciclo)*(KRI_KRI_ID&lt;&gt;"")),18)),"")</f>
        <v/>
      </c>
    </row>
    <row r="30">
      <c r="A30">
        <f>IF($Z30="","",INDEX(KRI!$B:$B,$Z30)&amp;"")</f>
        <v/>
      </c>
      <c r="B30">
        <f>IF($Z30="","",INDEX(KRI!$C:$C,$Z30)&amp;"")</f>
        <v/>
      </c>
      <c r="C30">
        <f>IF($Z30="","",INDEX(KRI!$D:$D,$Z30)&amp;"")</f>
        <v/>
      </c>
      <c r="D30">
        <f>IF($Z30="","",INDEX(KRI!$F:$F,$Z30)&amp;"")</f>
        <v/>
      </c>
      <c r="E30">
        <f>IF($Z30="","",IF(INDEX(KRI!$H:$H,$Z30)="","",INDEX(KRI!$H:$H,$Z30)))</f>
        <v/>
      </c>
      <c r="F30">
        <f>IF($Z30="","",IF(INDEX(KRI!$I:$I,$Z30)="","",INDEX(KRI!$I:$I,$Z30)))</f>
        <v/>
      </c>
      <c r="G30">
        <f>IF($Z30="","",IF(INDEX(KRI!$J:$J,$Z30)="","",INDEX(KRI!$J:$J,$Z30)))</f>
        <v/>
      </c>
      <c r="H30" s="117">
        <f>IF($Z30="","",IF(INDEX(KRI!$K:$K,$Z30)="","",INDEX(KRI!$K:$K,$Z30)))</f>
        <v/>
      </c>
      <c r="I30">
        <f>IF($Z30="","",INDEX(KRI!$N:$N,$Z30)&amp;"")</f>
        <v/>
      </c>
      <c r="J30">
        <f>IF($A30="","",IF(COUNTIFS(KRI_KRI_ID,$A30,KRI_Ciclo,cicloPrecedente,KRI_Valore_Corrente,"&lt;&gt;")=0,"—",SUMIFS(KRI_Valore_Corrente,KRI_KRI_ID,$A30,KRI_Ciclo,cicloPrecedente)))</f>
        <v/>
      </c>
      <c r="K30">
        <f>IF(OR(G30="",NOT(ISNUMBER(J30))),"",IF(G30&gt;J30,"▲ peggiora",IF(G30&lt;J30,"▼ migliora","● invariato")))</f>
        <v/>
      </c>
      <c r="L30" s="118">
        <f>IF($Z30="","",INDEX(KRI!$E:$E,$Z30)&amp;"")</f>
        <v/>
      </c>
      <c r="Z30">
        <f>IFERROR(_xlfn.AGGREGATE(15,6,ROW(KRI_Ciclo)/((KRI_Ciclo=cicloCorrente)*(KRI_In_Vigore="Sì")),24),"")</f>
        <v/>
      </c>
      <c r="AB30">
        <f>IFERROR(INDEX(KRI_KRI_ID,_xlfn.AGGREGATE(15,6,(ROW(KRI_KRI_ID)-5)/((KRI_Ciclo_Definizione=KRI_Ciclo)*(KRI_KRI_ID&lt;&gt;"")),19)),"")</f>
        <v/>
      </c>
    </row>
    <row r="31">
      <c r="A31">
        <f>IF($Z31="","",INDEX(KRI!$B:$B,$Z31)&amp;"")</f>
        <v/>
      </c>
      <c r="B31">
        <f>IF($Z31="","",INDEX(KRI!$C:$C,$Z31)&amp;"")</f>
        <v/>
      </c>
      <c r="C31">
        <f>IF($Z31="","",INDEX(KRI!$D:$D,$Z31)&amp;"")</f>
        <v/>
      </c>
      <c r="D31">
        <f>IF($Z31="","",INDEX(KRI!$F:$F,$Z31)&amp;"")</f>
        <v/>
      </c>
      <c r="E31">
        <f>IF($Z31="","",IF(INDEX(KRI!$H:$H,$Z31)="","",INDEX(KRI!$H:$H,$Z31)))</f>
        <v/>
      </c>
      <c r="F31">
        <f>IF($Z31="","",IF(INDEX(KRI!$I:$I,$Z31)="","",INDEX(KRI!$I:$I,$Z31)))</f>
        <v/>
      </c>
      <c r="G31">
        <f>IF($Z31="","",IF(INDEX(KRI!$J:$J,$Z31)="","",INDEX(KRI!$J:$J,$Z31)))</f>
        <v/>
      </c>
      <c r="H31" s="117">
        <f>IF($Z31="","",IF(INDEX(KRI!$K:$K,$Z31)="","",INDEX(KRI!$K:$K,$Z31)))</f>
        <v/>
      </c>
      <c r="I31">
        <f>IF($Z31="","",INDEX(KRI!$N:$N,$Z31)&amp;"")</f>
        <v/>
      </c>
      <c r="J31">
        <f>IF($A31="","",IF(COUNTIFS(KRI_KRI_ID,$A31,KRI_Ciclo,cicloPrecedente,KRI_Valore_Corrente,"&lt;&gt;")=0,"—",SUMIFS(KRI_Valore_Corrente,KRI_KRI_ID,$A31,KRI_Ciclo,cicloPrecedente)))</f>
        <v/>
      </c>
      <c r="K31">
        <f>IF(OR(G31="",NOT(ISNUMBER(J31))),"",IF(G31&gt;J31,"▲ peggiora",IF(G31&lt;J31,"▼ migliora","● invariato")))</f>
        <v/>
      </c>
      <c r="L31" s="118">
        <f>IF($Z31="","",INDEX(KRI!$E:$E,$Z31)&amp;"")</f>
        <v/>
      </c>
      <c r="Z31">
        <f>IFERROR(_xlfn.AGGREGATE(15,6,ROW(KRI_Ciclo)/((KRI_Ciclo=cicloCorrente)*(KRI_In_Vigore="Sì")),25),"")</f>
        <v/>
      </c>
      <c r="AB31">
        <f>IFERROR(INDEX(KRI_KRI_ID,_xlfn.AGGREGATE(15,6,(ROW(KRI_KRI_ID)-5)/((KRI_Ciclo_Definizione=KRI_Ciclo)*(KRI_KRI_ID&lt;&gt;"")),20)),"")</f>
        <v/>
      </c>
    </row>
    <row r="32">
      <c r="A32">
        <f>IF($Z32="","",INDEX(KRI!$B:$B,$Z32)&amp;"")</f>
        <v/>
      </c>
      <c r="B32">
        <f>IF($Z32="","",INDEX(KRI!$C:$C,$Z32)&amp;"")</f>
        <v/>
      </c>
      <c r="C32">
        <f>IF($Z32="","",INDEX(KRI!$D:$D,$Z32)&amp;"")</f>
        <v/>
      </c>
      <c r="D32">
        <f>IF($Z32="","",INDEX(KRI!$F:$F,$Z32)&amp;"")</f>
        <v/>
      </c>
      <c r="E32">
        <f>IF($Z32="","",IF(INDEX(KRI!$H:$H,$Z32)="","",INDEX(KRI!$H:$H,$Z32)))</f>
        <v/>
      </c>
      <c r="F32">
        <f>IF($Z32="","",IF(INDEX(KRI!$I:$I,$Z32)="","",INDEX(KRI!$I:$I,$Z32)))</f>
        <v/>
      </c>
      <c r="G32">
        <f>IF($Z32="","",IF(INDEX(KRI!$J:$J,$Z32)="","",INDEX(KRI!$J:$J,$Z32)))</f>
        <v/>
      </c>
      <c r="H32" s="117">
        <f>IF($Z32="","",IF(INDEX(KRI!$K:$K,$Z32)="","",INDEX(KRI!$K:$K,$Z32)))</f>
        <v/>
      </c>
      <c r="I32">
        <f>IF($Z32="","",INDEX(KRI!$N:$N,$Z32)&amp;"")</f>
        <v/>
      </c>
      <c r="J32">
        <f>IF($A32="","",IF(COUNTIFS(KRI_KRI_ID,$A32,KRI_Ciclo,cicloPrecedente,KRI_Valore_Corrente,"&lt;&gt;")=0,"—",SUMIFS(KRI_Valore_Corrente,KRI_KRI_ID,$A32,KRI_Ciclo,cicloPrecedente)))</f>
        <v/>
      </c>
      <c r="K32">
        <f>IF(OR(G32="",NOT(ISNUMBER(J32))),"",IF(G32&gt;J32,"▲ peggiora",IF(G32&lt;J32,"▼ migliora","● invariato")))</f>
        <v/>
      </c>
      <c r="L32" s="118">
        <f>IF($Z32="","",INDEX(KRI!$E:$E,$Z32)&amp;"")</f>
        <v/>
      </c>
      <c r="Z32">
        <f>IFERROR(_xlfn.AGGREGATE(15,6,ROW(KRI_Ciclo)/((KRI_Ciclo=cicloCorrente)*(KRI_In_Vigore="Sì")),26),"")</f>
        <v/>
      </c>
      <c r="AB32">
        <f>IFERROR(INDEX(KRI_KRI_ID,_xlfn.AGGREGATE(15,6,(ROW(KRI_KRI_ID)-5)/((KRI_Ciclo_Definizione=KRI_Ciclo)*(KRI_KRI_ID&lt;&gt;"")),21)),"")</f>
        <v/>
      </c>
    </row>
    <row r="33">
      <c r="A33">
        <f>IF($Z33="","",INDEX(KRI!$B:$B,$Z33)&amp;"")</f>
        <v/>
      </c>
      <c r="B33">
        <f>IF($Z33="","",INDEX(KRI!$C:$C,$Z33)&amp;"")</f>
        <v/>
      </c>
      <c r="C33">
        <f>IF($Z33="","",INDEX(KRI!$D:$D,$Z33)&amp;"")</f>
        <v/>
      </c>
      <c r="D33">
        <f>IF($Z33="","",INDEX(KRI!$F:$F,$Z33)&amp;"")</f>
        <v/>
      </c>
      <c r="E33">
        <f>IF($Z33="","",IF(INDEX(KRI!$H:$H,$Z33)="","",INDEX(KRI!$H:$H,$Z33)))</f>
        <v/>
      </c>
      <c r="F33">
        <f>IF($Z33="","",IF(INDEX(KRI!$I:$I,$Z33)="","",INDEX(KRI!$I:$I,$Z33)))</f>
        <v/>
      </c>
      <c r="G33">
        <f>IF($Z33="","",IF(INDEX(KRI!$J:$J,$Z33)="","",INDEX(KRI!$J:$J,$Z33)))</f>
        <v/>
      </c>
      <c r="H33" s="117">
        <f>IF($Z33="","",IF(INDEX(KRI!$K:$K,$Z33)="","",INDEX(KRI!$K:$K,$Z33)))</f>
        <v/>
      </c>
      <c r="I33">
        <f>IF($Z33="","",INDEX(KRI!$N:$N,$Z33)&amp;"")</f>
        <v/>
      </c>
      <c r="J33">
        <f>IF($A33="","",IF(COUNTIFS(KRI_KRI_ID,$A33,KRI_Ciclo,cicloPrecedente,KRI_Valore_Corrente,"&lt;&gt;")=0,"—",SUMIFS(KRI_Valore_Corrente,KRI_KRI_ID,$A33,KRI_Ciclo,cicloPrecedente)))</f>
        <v/>
      </c>
      <c r="K33">
        <f>IF(OR(G33="",NOT(ISNUMBER(J33))),"",IF(G33&gt;J33,"▲ peggiora",IF(G33&lt;J33,"▼ migliora","● invariato")))</f>
        <v/>
      </c>
      <c r="L33" s="118">
        <f>IF($Z33="","",INDEX(KRI!$E:$E,$Z33)&amp;"")</f>
        <v/>
      </c>
      <c r="Z33">
        <f>IFERROR(_xlfn.AGGREGATE(15,6,ROW(KRI_Ciclo)/((KRI_Ciclo=cicloCorrente)*(KRI_In_Vigore="Sì")),27),"")</f>
        <v/>
      </c>
      <c r="AB33">
        <f>IFERROR(INDEX(KRI_KRI_ID,_xlfn.AGGREGATE(15,6,(ROW(KRI_KRI_ID)-5)/((KRI_Ciclo_Definizione=KRI_Ciclo)*(KRI_KRI_ID&lt;&gt;"")),22)),"")</f>
        <v/>
      </c>
    </row>
    <row r="34">
      <c r="A34">
        <f>IF($Z34="","",INDEX(KRI!$B:$B,$Z34)&amp;"")</f>
        <v/>
      </c>
      <c r="B34">
        <f>IF($Z34="","",INDEX(KRI!$C:$C,$Z34)&amp;"")</f>
        <v/>
      </c>
      <c r="C34">
        <f>IF($Z34="","",INDEX(KRI!$D:$D,$Z34)&amp;"")</f>
        <v/>
      </c>
      <c r="D34">
        <f>IF($Z34="","",INDEX(KRI!$F:$F,$Z34)&amp;"")</f>
        <v/>
      </c>
      <c r="E34">
        <f>IF($Z34="","",IF(INDEX(KRI!$H:$H,$Z34)="","",INDEX(KRI!$H:$H,$Z34)))</f>
        <v/>
      </c>
      <c r="F34">
        <f>IF($Z34="","",IF(INDEX(KRI!$I:$I,$Z34)="","",INDEX(KRI!$I:$I,$Z34)))</f>
        <v/>
      </c>
      <c r="G34">
        <f>IF($Z34="","",IF(INDEX(KRI!$J:$J,$Z34)="","",INDEX(KRI!$J:$J,$Z34)))</f>
        <v/>
      </c>
      <c r="H34" s="117">
        <f>IF($Z34="","",IF(INDEX(KRI!$K:$K,$Z34)="","",INDEX(KRI!$K:$K,$Z34)))</f>
        <v/>
      </c>
      <c r="I34">
        <f>IF($Z34="","",INDEX(KRI!$N:$N,$Z34)&amp;"")</f>
        <v/>
      </c>
      <c r="J34">
        <f>IF($A34="","",IF(COUNTIFS(KRI_KRI_ID,$A34,KRI_Ciclo,cicloPrecedente,KRI_Valore_Corrente,"&lt;&gt;")=0,"—",SUMIFS(KRI_Valore_Corrente,KRI_KRI_ID,$A34,KRI_Ciclo,cicloPrecedente)))</f>
        <v/>
      </c>
      <c r="K34">
        <f>IF(OR(G34="",NOT(ISNUMBER(J34))),"",IF(G34&gt;J34,"▲ peggiora",IF(G34&lt;J34,"▼ migliora","● invariato")))</f>
        <v/>
      </c>
      <c r="L34" s="118">
        <f>IF($Z34="","",INDEX(KRI!$E:$E,$Z34)&amp;"")</f>
        <v/>
      </c>
      <c r="Z34">
        <f>IFERROR(_xlfn.AGGREGATE(15,6,ROW(KRI_Ciclo)/((KRI_Ciclo=cicloCorrente)*(KRI_In_Vigore="Sì")),28),"")</f>
        <v/>
      </c>
      <c r="AB34">
        <f>IFERROR(INDEX(KRI_KRI_ID,_xlfn.AGGREGATE(15,6,(ROW(KRI_KRI_ID)-5)/((KRI_Ciclo_Definizione=KRI_Ciclo)*(KRI_KRI_ID&lt;&gt;"")),23)),"")</f>
        <v/>
      </c>
    </row>
    <row r="35">
      <c r="A35">
        <f>IF($Z35="","",INDEX(KRI!$B:$B,$Z35)&amp;"")</f>
        <v/>
      </c>
      <c r="B35">
        <f>IF($Z35="","",INDEX(KRI!$C:$C,$Z35)&amp;"")</f>
        <v/>
      </c>
      <c r="C35">
        <f>IF($Z35="","",INDEX(KRI!$D:$D,$Z35)&amp;"")</f>
        <v/>
      </c>
      <c r="D35">
        <f>IF($Z35="","",INDEX(KRI!$F:$F,$Z35)&amp;"")</f>
        <v/>
      </c>
      <c r="E35">
        <f>IF($Z35="","",IF(INDEX(KRI!$H:$H,$Z35)="","",INDEX(KRI!$H:$H,$Z35)))</f>
        <v/>
      </c>
      <c r="F35">
        <f>IF($Z35="","",IF(INDEX(KRI!$I:$I,$Z35)="","",INDEX(KRI!$I:$I,$Z35)))</f>
        <v/>
      </c>
      <c r="G35">
        <f>IF($Z35="","",IF(INDEX(KRI!$J:$J,$Z35)="","",INDEX(KRI!$J:$J,$Z35)))</f>
        <v/>
      </c>
      <c r="H35" s="117">
        <f>IF($Z35="","",IF(INDEX(KRI!$K:$K,$Z35)="","",INDEX(KRI!$K:$K,$Z35)))</f>
        <v/>
      </c>
      <c r="I35">
        <f>IF($Z35="","",INDEX(KRI!$N:$N,$Z35)&amp;"")</f>
        <v/>
      </c>
      <c r="J35">
        <f>IF($A35="","",IF(COUNTIFS(KRI_KRI_ID,$A35,KRI_Ciclo,cicloPrecedente,KRI_Valore_Corrente,"&lt;&gt;")=0,"—",SUMIFS(KRI_Valore_Corrente,KRI_KRI_ID,$A35,KRI_Ciclo,cicloPrecedente)))</f>
        <v/>
      </c>
      <c r="K35">
        <f>IF(OR(G35="",NOT(ISNUMBER(J35))),"",IF(G35&gt;J35,"▲ peggiora",IF(G35&lt;J35,"▼ migliora","● invariato")))</f>
        <v/>
      </c>
      <c r="L35" s="118">
        <f>IF($Z35="","",INDEX(KRI!$E:$E,$Z35)&amp;"")</f>
        <v/>
      </c>
      <c r="Z35">
        <f>IFERROR(_xlfn.AGGREGATE(15,6,ROW(KRI_Ciclo)/((KRI_Ciclo=cicloCorrente)*(KRI_In_Vigore="Sì")),29),"")</f>
        <v/>
      </c>
      <c r="AB35">
        <f>IFERROR(INDEX(KRI_KRI_ID,_xlfn.AGGREGATE(15,6,(ROW(KRI_KRI_ID)-5)/((KRI_Ciclo_Definizione=KRI_Ciclo)*(KRI_KRI_ID&lt;&gt;"")),24)),"")</f>
        <v/>
      </c>
    </row>
    <row r="36">
      <c r="A36">
        <f>IF($Z36="","",INDEX(KRI!$B:$B,$Z36)&amp;"")</f>
        <v/>
      </c>
      <c r="B36">
        <f>IF($Z36="","",INDEX(KRI!$C:$C,$Z36)&amp;"")</f>
        <v/>
      </c>
      <c r="C36">
        <f>IF($Z36="","",INDEX(KRI!$D:$D,$Z36)&amp;"")</f>
        <v/>
      </c>
      <c r="D36">
        <f>IF($Z36="","",INDEX(KRI!$F:$F,$Z36)&amp;"")</f>
        <v/>
      </c>
      <c r="E36">
        <f>IF($Z36="","",IF(INDEX(KRI!$H:$H,$Z36)="","",INDEX(KRI!$H:$H,$Z36)))</f>
        <v/>
      </c>
      <c r="F36">
        <f>IF($Z36="","",IF(INDEX(KRI!$I:$I,$Z36)="","",INDEX(KRI!$I:$I,$Z36)))</f>
        <v/>
      </c>
      <c r="G36">
        <f>IF($Z36="","",IF(INDEX(KRI!$J:$J,$Z36)="","",INDEX(KRI!$J:$J,$Z36)))</f>
        <v/>
      </c>
      <c r="H36" s="117">
        <f>IF($Z36="","",IF(INDEX(KRI!$K:$K,$Z36)="","",INDEX(KRI!$K:$K,$Z36)))</f>
        <v/>
      </c>
      <c r="I36">
        <f>IF($Z36="","",INDEX(KRI!$N:$N,$Z36)&amp;"")</f>
        <v/>
      </c>
      <c r="J36">
        <f>IF($A36="","",IF(COUNTIFS(KRI_KRI_ID,$A36,KRI_Ciclo,cicloPrecedente,KRI_Valore_Corrente,"&lt;&gt;")=0,"—",SUMIFS(KRI_Valore_Corrente,KRI_KRI_ID,$A36,KRI_Ciclo,cicloPrecedente)))</f>
        <v/>
      </c>
      <c r="K36">
        <f>IF(OR(G36="",NOT(ISNUMBER(J36))),"",IF(G36&gt;J36,"▲ peggiora",IF(G36&lt;J36,"▼ migliora","● invariato")))</f>
        <v/>
      </c>
      <c r="L36" s="118">
        <f>IF($Z36="","",INDEX(KRI!$E:$E,$Z36)&amp;"")</f>
        <v/>
      </c>
      <c r="Z36">
        <f>IFERROR(_xlfn.AGGREGATE(15,6,ROW(KRI_Ciclo)/((KRI_Ciclo=cicloCorrente)*(KRI_In_Vigore="Sì")),30),"")</f>
        <v/>
      </c>
      <c r="AB36">
        <f>IFERROR(INDEX(KRI_KRI_ID,_xlfn.AGGREGATE(15,6,(ROW(KRI_KRI_ID)-5)/((KRI_Ciclo_Definizione=KRI_Ciclo)*(KRI_KRI_ID&lt;&gt;"")),25)),"")</f>
        <v/>
      </c>
    </row>
    <row r="37">
      <c r="A37">
        <f>IF($Z37="","",INDEX(KRI!$B:$B,$Z37)&amp;"")</f>
        <v/>
      </c>
      <c r="B37">
        <f>IF($Z37="","",INDEX(KRI!$C:$C,$Z37)&amp;"")</f>
        <v/>
      </c>
      <c r="C37">
        <f>IF($Z37="","",INDEX(KRI!$D:$D,$Z37)&amp;"")</f>
        <v/>
      </c>
      <c r="D37">
        <f>IF($Z37="","",INDEX(KRI!$F:$F,$Z37)&amp;"")</f>
        <v/>
      </c>
      <c r="E37">
        <f>IF($Z37="","",IF(INDEX(KRI!$H:$H,$Z37)="","",INDEX(KRI!$H:$H,$Z37)))</f>
        <v/>
      </c>
      <c r="F37">
        <f>IF($Z37="","",IF(INDEX(KRI!$I:$I,$Z37)="","",INDEX(KRI!$I:$I,$Z37)))</f>
        <v/>
      </c>
      <c r="G37">
        <f>IF($Z37="","",IF(INDEX(KRI!$J:$J,$Z37)="","",INDEX(KRI!$J:$J,$Z37)))</f>
        <v/>
      </c>
      <c r="H37" s="117">
        <f>IF($Z37="","",IF(INDEX(KRI!$K:$K,$Z37)="","",INDEX(KRI!$K:$K,$Z37)))</f>
        <v/>
      </c>
      <c r="I37">
        <f>IF($Z37="","",INDEX(KRI!$N:$N,$Z37)&amp;"")</f>
        <v/>
      </c>
      <c r="J37">
        <f>IF($A37="","",IF(COUNTIFS(KRI_KRI_ID,$A37,KRI_Ciclo,cicloPrecedente,KRI_Valore_Corrente,"&lt;&gt;")=0,"—",SUMIFS(KRI_Valore_Corrente,KRI_KRI_ID,$A37,KRI_Ciclo,cicloPrecedente)))</f>
        <v/>
      </c>
      <c r="K37">
        <f>IF(OR(G37="",NOT(ISNUMBER(J37))),"",IF(G37&gt;J37,"▲ peggiora",IF(G37&lt;J37,"▼ migliora","● invariato")))</f>
        <v/>
      </c>
      <c r="L37" s="118">
        <f>IF($Z37="","",INDEX(KRI!$E:$E,$Z37)&amp;"")</f>
        <v/>
      </c>
      <c r="Z37">
        <f>IFERROR(_xlfn.AGGREGATE(15,6,ROW(KRI_Ciclo)/((KRI_Ciclo=cicloCorrente)*(KRI_In_Vigore="Sì")),31),"")</f>
        <v/>
      </c>
      <c r="AB37">
        <f>IFERROR(INDEX(KRI_KRI_ID,_xlfn.AGGREGATE(15,6,(ROW(KRI_KRI_ID)-5)/((KRI_Ciclo_Definizione=KRI_Ciclo)*(KRI_KRI_ID&lt;&gt;"")),26)),"")</f>
        <v/>
      </c>
    </row>
    <row r="38">
      <c r="A38">
        <f>IF($Z38="","",INDEX(KRI!$B:$B,$Z38)&amp;"")</f>
        <v/>
      </c>
      <c r="B38">
        <f>IF($Z38="","",INDEX(KRI!$C:$C,$Z38)&amp;"")</f>
        <v/>
      </c>
      <c r="C38">
        <f>IF($Z38="","",INDEX(KRI!$D:$D,$Z38)&amp;"")</f>
        <v/>
      </c>
      <c r="D38">
        <f>IF($Z38="","",INDEX(KRI!$F:$F,$Z38)&amp;"")</f>
        <v/>
      </c>
      <c r="E38">
        <f>IF($Z38="","",IF(INDEX(KRI!$H:$H,$Z38)="","",INDEX(KRI!$H:$H,$Z38)))</f>
        <v/>
      </c>
      <c r="F38">
        <f>IF($Z38="","",IF(INDEX(KRI!$I:$I,$Z38)="","",INDEX(KRI!$I:$I,$Z38)))</f>
        <v/>
      </c>
      <c r="G38">
        <f>IF($Z38="","",IF(INDEX(KRI!$J:$J,$Z38)="","",INDEX(KRI!$J:$J,$Z38)))</f>
        <v/>
      </c>
      <c r="H38" s="117">
        <f>IF($Z38="","",IF(INDEX(KRI!$K:$K,$Z38)="","",INDEX(KRI!$K:$K,$Z38)))</f>
        <v/>
      </c>
      <c r="I38">
        <f>IF($Z38="","",INDEX(KRI!$N:$N,$Z38)&amp;"")</f>
        <v/>
      </c>
      <c r="J38">
        <f>IF($A38="","",IF(COUNTIFS(KRI_KRI_ID,$A38,KRI_Ciclo,cicloPrecedente,KRI_Valore_Corrente,"&lt;&gt;")=0,"—",SUMIFS(KRI_Valore_Corrente,KRI_KRI_ID,$A38,KRI_Ciclo,cicloPrecedente)))</f>
        <v/>
      </c>
      <c r="K38">
        <f>IF(OR(G38="",NOT(ISNUMBER(J38))),"",IF(G38&gt;J38,"▲ peggiora",IF(G38&lt;J38,"▼ migliora","● invariato")))</f>
        <v/>
      </c>
      <c r="L38" s="118">
        <f>IF($Z38="","",INDEX(KRI!$E:$E,$Z38)&amp;"")</f>
        <v/>
      </c>
      <c r="Z38">
        <f>IFERROR(_xlfn.AGGREGATE(15,6,ROW(KRI_Ciclo)/((KRI_Ciclo=cicloCorrente)*(KRI_In_Vigore="Sì")),32),"")</f>
        <v/>
      </c>
      <c r="AB38">
        <f>IFERROR(INDEX(KRI_KRI_ID,_xlfn.AGGREGATE(15,6,(ROW(KRI_KRI_ID)-5)/((KRI_Ciclo_Definizione=KRI_Ciclo)*(KRI_KRI_ID&lt;&gt;"")),27)),"")</f>
        <v/>
      </c>
    </row>
    <row r="39">
      <c r="A39">
        <f>IF($Z39="","",INDEX(KRI!$B:$B,$Z39)&amp;"")</f>
        <v/>
      </c>
      <c r="B39">
        <f>IF($Z39="","",INDEX(KRI!$C:$C,$Z39)&amp;"")</f>
        <v/>
      </c>
      <c r="C39">
        <f>IF($Z39="","",INDEX(KRI!$D:$D,$Z39)&amp;"")</f>
        <v/>
      </c>
      <c r="D39">
        <f>IF($Z39="","",INDEX(KRI!$F:$F,$Z39)&amp;"")</f>
        <v/>
      </c>
      <c r="E39">
        <f>IF($Z39="","",IF(INDEX(KRI!$H:$H,$Z39)="","",INDEX(KRI!$H:$H,$Z39)))</f>
        <v/>
      </c>
      <c r="F39">
        <f>IF($Z39="","",IF(INDEX(KRI!$I:$I,$Z39)="","",INDEX(KRI!$I:$I,$Z39)))</f>
        <v/>
      </c>
      <c r="G39">
        <f>IF($Z39="","",IF(INDEX(KRI!$J:$J,$Z39)="","",INDEX(KRI!$J:$J,$Z39)))</f>
        <v/>
      </c>
      <c r="H39" s="117">
        <f>IF($Z39="","",IF(INDEX(KRI!$K:$K,$Z39)="","",INDEX(KRI!$K:$K,$Z39)))</f>
        <v/>
      </c>
      <c r="I39">
        <f>IF($Z39="","",INDEX(KRI!$N:$N,$Z39)&amp;"")</f>
        <v/>
      </c>
      <c r="J39">
        <f>IF($A39="","",IF(COUNTIFS(KRI_KRI_ID,$A39,KRI_Ciclo,cicloPrecedente,KRI_Valore_Corrente,"&lt;&gt;")=0,"—",SUMIFS(KRI_Valore_Corrente,KRI_KRI_ID,$A39,KRI_Ciclo,cicloPrecedente)))</f>
        <v/>
      </c>
      <c r="K39">
        <f>IF(OR(G39="",NOT(ISNUMBER(J39))),"",IF(G39&gt;J39,"▲ peggiora",IF(G39&lt;J39,"▼ migliora","● invariato")))</f>
        <v/>
      </c>
      <c r="L39" s="118">
        <f>IF($Z39="","",INDEX(KRI!$E:$E,$Z39)&amp;"")</f>
        <v/>
      </c>
      <c r="Z39">
        <f>IFERROR(_xlfn.AGGREGATE(15,6,ROW(KRI_Ciclo)/((KRI_Ciclo=cicloCorrente)*(KRI_In_Vigore="Sì")),33),"")</f>
        <v/>
      </c>
      <c r="AB39">
        <f>IFERROR(INDEX(KRI_KRI_ID,_xlfn.AGGREGATE(15,6,(ROW(KRI_KRI_ID)-5)/((KRI_Ciclo_Definizione=KRI_Ciclo)*(KRI_KRI_ID&lt;&gt;"")),28)),"")</f>
        <v/>
      </c>
    </row>
    <row r="40">
      <c r="A40">
        <f>IF($Z40="","",INDEX(KRI!$B:$B,$Z40)&amp;"")</f>
        <v/>
      </c>
      <c r="B40">
        <f>IF($Z40="","",INDEX(KRI!$C:$C,$Z40)&amp;"")</f>
        <v/>
      </c>
      <c r="C40">
        <f>IF($Z40="","",INDEX(KRI!$D:$D,$Z40)&amp;"")</f>
        <v/>
      </c>
      <c r="D40">
        <f>IF($Z40="","",INDEX(KRI!$F:$F,$Z40)&amp;"")</f>
        <v/>
      </c>
      <c r="E40">
        <f>IF($Z40="","",IF(INDEX(KRI!$H:$H,$Z40)="","",INDEX(KRI!$H:$H,$Z40)))</f>
        <v/>
      </c>
      <c r="F40">
        <f>IF($Z40="","",IF(INDEX(KRI!$I:$I,$Z40)="","",INDEX(KRI!$I:$I,$Z40)))</f>
        <v/>
      </c>
      <c r="G40">
        <f>IF($Z40="","",IF(INDEX(KRI!$J:$J,$Z40)="","",INDEX(KRI!$J:$J,$Z40)))</f>
        <v/>
      </c>
      <c r="H40" s="117">
        <f>IF($Z40="","",IF(INDEX(KRI!$K:$K,$Z40)="","",INDEX(KRI!$K:$K,$Z40)))</f>
        <v/>
      </c>
      <c r="I40">
        <f>IF($Z40="","",INDEX(KRI!$N:$N,$Z40)&amp;"")</f>
        <v/>
      </c>
      <c r="J40">
        <f>IF($A40="","",IF(COUNTIFS(KRI_KRI_ID,$A40,KRI_Ciclo,cicloPrecedente,KRI_Valore_Corrente,"&lt;&gt;")=0,"—",SUMIFS(KRI_Valore_Corrente,KRI_KRI_ID,$A40,KRI_Ciclo,cicloPrecedente)))</f>
        <v/>
      </c>
      <c r="K40">
        <f>IF(OR(G40="",NOT(ISNUMBER(J40))),"",IF(G40&gt;J40,"▲ peggiora",IF(G40&lt;J40,"▼ migliora","● invariato")))</f>
        <v/>
      </c>
      <c r="L40" s="118">
        <f>IF($Z40="","",INDEX(KRI!$E:$E,$Z40)&amp;"")</f>
        <v/>
      </c>
      <c r="Z40">
        <f>IFERROR(_xlfn.AGGREGATE(15,6,ROW(KRI_Ciclo)/((KRI_Ciclo=cicloCorrente)*(KRI_In_Vigore="Sì")),34),"")</f>
        <v/>
      </c>
      <c r="AB40">
        <f>IFERROR(INDEX(KRI_KRI_ID,_xlfn.AGGREGATE(15,6,(ROW(KRI_KRI_ID)-5)/((KRI_Ciclo_Definizione=KRI_Ciclo)*(KRI_KRI_ID&lt;&gt;"")),29)),"")</f>
        <v/>
      </c>
    </row>
    <row r="41">
      <c r="A41">
        <f>IF($Z41="","",INDEX(KRI!$B:$B,$Z41)&amp;"")</f>
        <v/>
      </c>
      <c r="B41">
        <f>IF($Z41="","",INDEX(KRI!$C:$C,$Z41)&amp;"")</f>
        <v/>
      </c>
      <c r="C41">
        <f>IF($Z41="","",INDEX(KRI!$D:$D,$Z41)&amp;"")</f>
        <v/>
      </c>
      <c r="D41">
        <f>IF($Z41="","",INDEX(KRI!$F:$F,$Z41)&amp;"")</f>
        <v/>
      </c>
      <c r="E41">
        <f>IF($Z41="","",IF(INDEX(KRI!$H:$H,$Z41)="","",INDEX(KRI!$H:$H,$Z41)))</f>
        <v/>
      </c>
      <c r="F41">
        <f>IF($Z41="","",IF(INDEX(KRI!$I:$I,$Z41)="","",INDEX(KRI!$I:$I,$Z41)))</f>
        <v/>
      </c>
      <c r="G41">
        <f>IF($Z41="","",IF(INDEX(KRI!$J:$J,$Z41)="","",INDEX(KRI!$J:$J,$Z41)))</f>
        <v/>
      </c>
      <c r="H41" s="117">
        <f>IF($Z41="","",IF(INDEX(KRI!$K:$K,$Z41)="","",INDEX(KRI!$K:$K,$Z41)))</f>
        <v/>
      </c>
      <c r="I41">
        <f>IF($Z41="","",INDEX(KRI!$N:$N,$Z41)&amp;"")</f>
        <v/>
      </c>
      <c r="J41">
        <f>IF($A41="","",IF(COUNTIFS(KRI_KRI_ID,$A41,KRI_Ciclo,cicloPrecedente,KRI_Valore_Corrente,"&lt;&gt;")=0,"—",SUMIFS(KRI_Valore_Corrente,KRI_KRI_ID,$A41,KRI_Ciclo,cicloPrecedente)))</f>
        <v/>
      </c>
      <c r="K41">
        <f>IF(OR(G41="",NOT(ISNUMBER(J41))),"",IF(G41&gt;J41,"▲ peggiora",IF(G41&lt;J41,"▼ migliora","● invariato")))</f>
        <v/>
      </c>
      <c r="L41" s="118">
        <f>IF($Z41="","",INDEX(KRI!$E:$E,$Z41)&amp;"")</f>
        <v/>
      </c>
      <c r="Z41">
        <f>IFERROR(_xlfn.AGGREGATE(15,6,ROW(KRI_Ciclo)/((KRI_Ciclo=cicloCorrente)*(KRI_In_Vigore="Sì")),35),"")</f>
        <v/>
      </c>
      <c r="AB41">
        <f>IFERROR(INDEX(KRI_KRI_ID,_xlfn.AGGREGATE(15,6,(ROW(KRI_KRI_ID)-5)/((KRI_Ciclo_Definizione=KRI_Ciclo)*(KRI_KRI_ID&lt;&gt;"")),30)),"")</f>
        <v/>
      </c>
    </row>
    <row r="42">
      <c r="A42">
        <f>IF($Z42="","",INDEX(KRI!$B:$B,$Z42)&amp;"")</f>
        <v/>
      </c>
      <c r="B42">
        <f>IF($Z42="","",INDEX(KRI!$C:$C,$Z42)&amp;"")</f>
        <v/>
      </c>
      <c r="C42">
        <f>IF($Z42="","",INDEX(KRI!$D:$D,$Z42)&amp;"")</f>
        <v/>
      </c>
      <c r="D42">
        <f>IF($Z42="","",INDEX(KRI!$F:$F,$Z42)&amp;"")</f>
        <v/>
      </c>
      <c r="E42">
        <f>IF($Z42="","",IF(INDEX(KRI!$H:$H,$Z42)="","",INDEX(KRI!$H:$H,$Z42)))</f>
        <v/>
      </c>
      <c r="F42">
        <f>IF($Z42="","",IF(INDEX(KRI!$I:$I,$Z42)="","",INDEX(KRI!$I:$I,$Z42)))</f>
        <v/>
      </c>
      <c r="G42">
        <f>IF($Z42="","",IF(INDEX(KRI!$J:$J,$Z42)="","",INDEX(KRI!$J:$J,$Z42)))</f>
        <v/>
      </c>
      <c r="H42" s="117">
        <f>IF($Z42="","",IF(INDEX(KRI!$K:$K,$Z42)="","",INDEX(KRI!$K:$K,$Z42)))</f>
        <v/>
      </c>
      <c r="I42">
        <f>IF($Z42="","",INDEX(KRI!$N:$N,$Z42)&amp;"")</f>
        <v/>
      </c>
      <c r="J42">
        <f>IF($A42="","",IF(COUNTIFS(KRI_KRI_ID,$A42,KRI_Ciclo,cicloPrecedente,KRI_Valore_Corrente,"&lt;&gt;")=0,"—",SUMIFS(KRI_Valore_Corrente,KRI_KRI_ID,$A42,KRI_Ciclo,cicloPrecedente)))</f>
        <v/>
      </c>
      <c r="K42">
        <f>IF(OR(G42="",NOT(ISNUMBER(J42))),"",IF(G42&gt;J42,"▲ peggiora",IF(G42&lt;J42,"▼ migliora","● invariato")))</f>
        <v/>
      </c>
      <c r="L42" s="118">
        <f>IF($Z42="","",INDEX(KRI!$E:$E,$Z42)&amp;"")</f>
        <v/>
      </c>
      <c r="Z42">
        <f>IFERROR(_xlfn.AGGREGATE(15,6,ROW(KRI_Ciclo)/((KRI_Ciclo=cicloCorrente)*(KRI_In_Vigore="Sì")),36),"")</f>
        <v/>
      </c>
      <c r="AB42">
        <f>IFERROR(INDEX(KRI_KRI_ID,_xlfn.AGGREGATE(15,6,(ROW(KRI_KRI_ID)-5)/((KRI_Ciclo_Definizione=KRI_Ciclo)*(KRI_KRI_ID&lt;&gt;"")),31)),"")</f>
        <v/>
      </c>
    </row>
    <row r="43">
      <c r="A43">
        <f>IF($Z43="","",INDEX(KRI!$B:$B,$Z43)&amp;"")</f>
        <v/>
      </c>
      <c r="B43">
        <f>IF($Z43="","",INDEX(KRI!$C:$C,$Z43)&amp;"")</f>
        <v/>
      </c>
      <c r="C43">
        <f>IF($Z43="","",INDEX(KRI!$D:$D,$Z43)&amp;"")</f>
        <v/>
      </c>
      <c r="D43">
        <f>IF($Z43="","",INDEX(KRI!$F:$F,$Z43)&amp;"")</f>
        <v/>
      </c>
      <c r="E43">
        <f>IF($Z43="","",IF(INDEX(KRI!$H:$H,$Z43)="","",INDEX(KRI!$H:$H,$Z43)))</f>
        <v/>
      </c>
      <c r="F43">
        <f>IF($Z43="","",IF(INDEX(KRI!$I:$I,$Z43)="","",INDEX(KRI!$I:$I,$Z43)))</f>
        <v/>
      </c>
      <c r="G43">
        <f>IF($Z43="","",IF(INDEX(KRI!$J:$J,$Z43)="","",INDEX(KRI!$J:$J,$Z43)))</f>
        <v/>
      </c>
      <c r="H43" s="117">
        <f>IF($Z43="","",IF(INDEX(KRI!$K:$K,$Z43)="","",INDEX(KRI!$K:$K,$Z43)))</f>
        <v/>
      </c>
      <c r="I43">
        <f>IF($Z43="","",INDEX(KRI!$N:$N,$Z43)&amp;"")</f>
        <v/>
      </c>
      <c r="J43">
        <f>IF($A43="","",IF(COUNTIFS(KRI_KRI_ID,$A43,KRI_Ciclo,cicloPrecedente,KRI_Valore_Corrente,"&lt;&gt;")=0,"—",SUMIFS(KRI_Valore_Corrente,KRI_KRI_ID,$A43,KRI_Ciclo,cicloPrecedente)))</f>
        <v/>
      </c>
      <c r="K43">
        <f>IF(OR(G43="",NOT(ISNUMBER(J43))),"",IF(G43&gt;J43,"▲ peggiora",IF(G43&lt;J43,"▼ migliora","● invariato")))</f>
        <v/>
      </c>
      <c r="L43" s="118">
        <f>IF($Z43="","",INDEX(KRI!$E:$E,$Z43)&amp;"")</f>
        <v/>
      </c>
      <c r="Z43">
        <f>IFERROR(_xlfn.AGGREGATE(15,6,ROW(KRI_Ciclo)/((KRI_Ciclo=cicloCorrente)*(KRI_In_Vigore="Sì")),37),"")</f>
        <v/>
      </c>
      <c r="AB43">
        <f>IFERROR(INDEX(KRI_KRI_ID,_xlfn.AGGREGATE(15,6,(ROW(KRI_KRI_ID)-5)/((KRI_Ciclo_Definizione=KRI_Ciclo)*(KRI_KRI_ID&lt;&gt;"")),32)),"")</f>
        <v/>
      </c>
    </row>
    <row r="44">
      <c r="A44">
        <f>IF($Z44="","",INDEX(KRI!$B:$B,$Z44)&amp;"")</f>
        <v/>
      </c>
      <c r="B44">
        <f>IF($Z44="","",INDEX(KRI!$C:$C,$Z44)&amp;"")</f>
        <v/>
      </c>
      <c r="C44">
        <f>IF($Z44="","",INDEX(KRI!$D:$D,$Z44)&amp;"")</f>
        <v/>
      </c>
      <c r="D44">
        <f>IF($Z44="","",INDEX(KRI!$F:$F,$Z44)&amp;"")</f>
        <v/>
      </c>
      <c r="E44">
        <f>IF($Z44="","",IF(INDEX(KRI!$H:$H,$Z44)="","",INDEX(KRI!$H:$H,$Z44)))</f>
        <v/>
      </c>
      <c r="F44">
        <f>IF($Z44="","",IF(INDEX(KRI!$I:$I,$Z44)="","",INDEX(KRI!$I:$I,$Z44)))</f>
        <v/>
      </c>
      <c r="G44">
        <f>IF($Z44="","",IF(INDEX(KRI!$J:$J,$Z44)="","",INDEX(KRI!$J:$J,$Z44)))</f>
        <v/>
      </c>
      <c r="H44" s="117">
        <f>IF($Z44="","",IF(INDEX(KRI!$K:$K,$Z44)="","",INDEX(KRI!$K:$K,$Z44)))</f>
        <v/>
      </c>
      <c r="I44">
        <f>IF($Z44="","",INDEX(KRI!$N:$N,$Z44)&amp;"")</f>
        <v/>
      </c>
      <c r="J44">
        <f>IF($A44="","",IF(COUNTIFS(KRI_KRI_ID,$A44,KRI_Ciclo,cicloPrecedente,KRI_Valore_Corrente,"&lt;&gt;")=0,"—",SUMIFS(KRI_Valore_Corrente,KRI_KRI_ID,$A44,KRI_Ciclo,cicloPrecedente)))</f>
        <v/>
      </c>
      <c r="K44">
        <f>IF(OR(G44="",NOT(ISNUMBER(J44))),"",IF(G44&gt;J44,"▲ peggiora",IF(G44&lt;J44,"▼ migliora","● invariato")))</f>
        <v/>
      </c>
      <c r="L44" s="118">
        <f>IF($Z44="","",INDEX(KRI!$E:$E,$Z44)&amp;"")</f>
        <v/>
      </c>
      <c r="Z44">
        <f>IFERROR(_xlfn.AGGREGATE(15,6,ROW(KRI_Ciclo)/((KRI_Ciclo=cicloCorrente)*(KRI_In_Vigore="Sì")),38),"")</f>
        <v/>
      </c>
      <c r="AB44">
        <f>IFERROR(INDEX(KRI_KRI_ID,_xlfn.AGGREGATE(15,6,(ROW(KRI_KRI_ID)-5)/((KRI_Ciclo_Definizione=KRI_Ciclo)*(KRI_KRI_ID&lt;&gt;"")),33)),"")</f>
        <v/>
      </c>
    </row>
    <row r="45">
      <c r="A45">
        <f>IF($Z45="","",INDEX(KRI!$B:$B,$Z45)&amp;"")</f>
        <v/>
      </c>
      <c r="B45">
        <f>IF($Z45="","",INDEX(KRI!$C:$C,$Z45)&amp;"")</f>
        <v/>
      </c>
      <c r="C45">
        <f>IF($Z45="","",INDEX(KRI!$D:$D,$Z45)&amp;"")</f>
        <v/>
      </c>
      <c r="D45">
        <f>IF($Z45="","",INDEX(KRI!$F:$F,$Z45)&amp;"")</f>
        <v/>
      </c>
      <c r="E45">
        <f>IF($Z45="","",IF(INDEX(KRI!$H:$H,$Z45)="","",INDEX(KRI!$H:$H,$Z45)))</f>
        <v/>
      </c>
      <c r="F45">
        <f>IF($Z45="","",IF(INDEX(KRI!$I:$I,$Z45)="","",INDEX(KRI!$I:$I,$Z45)))</f>
        <v/>
      </c>
      <c r="G45">
        <f>IF($Z45="","",IF(INDEX(KRI!$J:$J,$Z45)="","",INDEX(KRI!$J:$J,$Z45)))</f>
        <v/>
      </c>
      <c r="H45" s="117">
        <f>IF($Z45="","",IF(INDEX(KRI!$K:$K,$Z45)="","",INDEX(KRI!$K:$K,$Z45)))</f>
        <v/>
      </c>
      <c r="I45">
        <f>IF($Z45="","",INDEX(KRI!$N:$N,$Z45)&amp;"")</f>
        <v/>
      </c>
      <c r="J45">
        <f>IF($A45="","",IF(COUNTIFS(KRI_KRI_ID,$A45,KRI_Ciclo,cicloPrecedente,KRI_Valore_Corrente,"&lt;&gt;")=0,"—",SUMIFS(KRI_Valore_Corrente,KRI_KRI_ID,$A45,KRI_Ciclo,cicloPrecedente)))</f>
        <v/>
      </c>
      <c r="K45">
        <f>IF(OR(G45="",NOT(ISNUMBER(J45))),"",IF(G45&gt;J45,"▲ peggiora",IF(G45&lt;J45,"▼ migliora","● invariato")))</f>
        <v/>
      </c>
      <c r="L45" s="118">
        <f>IF($Z45="","",INDEX(KRI!$E:$E,$Z45)&amp;"")</f>
        <v/>
      </c>
      <c r="Z45">
        <f>IFERROR(_xlfn.AGGREGATE(15,6,ROW(KRI_Ciclo)/((KRI_Ciclo=cicloCorrente)*(KRI_In_Vigore="Sì")),39),"")</f>
        <v/>
      </c>
      <c r="AB45">
        <f>IFERROR(INDEX(KRI_KRI_ID,_xlfn.AGGREGATE(15,6,(ROW(KRI_KRI_ID)-5)/((KRI_Ciclo_Definizione=KRI_Ciclo)*(KRI_KRI_ID&lt;&gt;"")),34)),"")</f>
        <v/>
      </c>
    </row>
    <row r="46">
      <c r="A46">
        <f>IF($Z46="","",INDEX(KRI!$B:$B,$Z46)&amp;"")</f>
        <v/>
      </c>
      <c r="B46">
        <f>IF($Z46="","",INDEX(KRI!$C:$C,$Z46)&amp;"")</f>
        <v/>
      </c>
      <c r="C46">
        <f>IF($Z46="","",INDEX(KRI!$D:$D,$Z46)&amp;"")</f>
        <v/>
      </c>
      <c r="D46">
        <f>IF($Z46="","",INDEX(KRI!$F:$F,$Z46)&amp;"")</f>
        <v/>
      </c>
      <c r="E46">
        <f>IF($Z46="","",IF(INDEX(KRI!$H:$H,$Z46)="","",INDEX(KRI!$H:$H,$Z46)))</f>
        <v/>
      </c>
      <c r="F46">
        <f>IF($Z46="","",IF(INDEX(KRI!$I:$I,$Z46)="","",INDEX(KRI!$I:$I,$Z46)))</f>
        <v/>
      </c>
      <c r="G46">
        <f>IF($Z46="","",IF(INDEX(KRI!$J:$J,$Z46)="","",INDEX(KRI!$J:$J,$Z46)))</f>
        <v/>
      </c>
      <c r="H46" s="117">
        <f>IF($Z46="","",IF(INDEX(KRI!$K:$K,$Z46)="","",INDEX(KRI!$K:$K,$Z46)))</f>
        <v/>
      </c>
      <c r="I46">
        <f>IF($Z46="","",INDEX(KRI!$N:$N,$Z46)&amp;"")</f>
        <v/>
      </c>
      <c r="J46">
        <f>IF($A46="","",IF(COUNTIFS(KRI_KRI_ID,$A46,KRI_Ciclo,cicloPrecedente,KRI_Valore_Corrente,"&lt;&gt;")=0,"—",SUMIFS(KRI_Valore_Corrente,KRI_KRI_ID,$A46,KRI_Ciclo,cicloPrecedente)))</f>
        <v/>
      </c>
      <c r="K46">
        <f>IF(OR(G46="",NOT(ISNUMBER(J46))),"",IF(G46&gt;J46,"▲ peggiora",IF(G46&lt;J46,"▼ migliora","● invariato")))</f>
        <v/>
      </c>
      <c r="L46" s="118">
        <f>IF($Z46="","",INDEX(KRI!$E:$E,$Z46)&amp;"")</f>
        <v/>
      </c>
      <c r="Z46">
        <f>IFERROR(_xlfn.AGGREGATE(15,6,ROW(KRI_Ciclo)/((KRI_Ciclo=cicloCorrente)*(KRI_In_Vigore="Sì")),40),"")</f>
        <v/>
      </c>
      <c r="AB46">
        <f>IFERROR(INDEX(KRI_KRI_ID,_xlfn.AGGREGATE(15,6,(ROW(KRI_KRI_ID)-5)/((KRI_Ciclo_Definizione=KRI_Ciclo)*(KRI_KRI_ID&lt;&gt;"")),35)),"")</f>
        <v/>
      </c>
    </row>
    <row r="47">
      <c r="A47">
        <f>IF($Z47="","",INDEX(KRI!$B:$B,$Z47)&amp;"")</f>
        <v/>
      </c>
      <c r="B47">
        <f>IF($Z47="","",INDEX(KRI!$C:$C,$Z47)&amp;"")</f>
        <v/>
      </c>
      <c r="C47">
        <f>IF($Z47="","",INDEX(KRI!$D:$D,$Z47)&amp;"")</f>
        <v/>
      </c>
      <c r="D47">
        <f>IF($Z47="","",INDEX(KRI!$F:$F,$Z47)&amp;"")</f>
        <v/>
      </c>
      <c r="E47">
        <f>IF($Z47="","",IF(INDEX(KRI!$H:$H,$Z47)="","",INDEX(KRI!$H:$H,$Z47)))</f>
        <v/>
      </c>
      <c r="F47">
        <f>IF($Z47="","",IF(INDEX(KRI!$I:$I,$Z47)="","",INDEX(KRI!$I:$I,$Z47)))</f>
        <v/>
      </c>
      <c r="G47">
        <f>IF($Z47="","",IF(INDEX(KRI!$J:$J,$Z47)="","",INDEX(KRI!$J:$J,$Z47)))</f>
        <v/>
      </c>
      <c r="H47" s="117">
        <f>IF($Z47="","",IF(INDEX(KRI!$K:$K,$Z47)="","",INDEX(KRI!$K:$K,$Z47)))</f>
        <v/>
      </c>
      <c r="I47">
        <f>IF($Z47="","",INDEX(KRI!$N:$N,$Z47)&amp;"")</f>
        <v/>
      </c>
      <c r="J47">
        <f>IF($A47="","",IF(COUNTIFS(KRI_KRI_ID,$A47,KRI_Ciclo,cicloPrecedente,KRI_Valore_Corrente,"&lt;&gt;")=0,"—",SUMIFS(KRI_Valore_Corrente,KRI_KRI_ID,$A47,KRI_Ciclo,cicloPrecedente)))</f>
        <v/>
      </c>
      <c r="K47">
        <f>IF(OR(G47="",NOT(ISNUMBER(J47))),"",IF(G47&gt;J47,"▲ peggiora",IF(G47&lt;J47,"▼ migliora","● invariato")))</f>
        <v/>
      </c>
      <c r="L47" s="118">
        <f>IF($Z47="","",INDEX(KRI!$E:$E,$Z47)&amp;"")</f>
        <v/>
      </c>
      <c r="Z47">
        <f>IFERROR(_xlfn.AGGREGATE(15,6,ROW(KRI_Ciclo)/((KRI_Ciclo=cicloCorrente)*(KRI_In_Vigore="Sì")),41),"")</f>
        <v/>
      </c>
      <c r="AB47">
        <f>IFERROR(INDEX(KRI_KRI_ID,_xlfn.AGGREGATE(15,6,(ROW(KRI_KRI_ID)-5)/((KRI_Ciclo_Definizione=KRI_Ciclo)*(KRI_KRI_ID&lt;&gt;"")),36)),"")</f>
        <v/>
      </c>
    </row>
    <row r="48">
      <c r="A48">
        <f>IF($Z48="","",INDEX(KRI!$B:$B,$Z48)&amp;"")</f>
        <v/>
      </c>
      <c r="B48">
        <f>IF($Z48="","",INDEX(KRI!$C:$C,$Z48)&amp;"")</f>
        <v/>
      </c>
      <c r="C48">
        <f>IF($Z48="","",INDEX(KRI!$D:$D,$Z48)&amp;"")</f>
        <v/>
      </c>
      <c r="D48">
        <f>IF($Z48="","",INDEX(KRI!$F:$F,$Z48)&amp;"")</f>
        <v/>
      </c>
      <c r="E48">
        <f>IF($Z48="","",IF(INDEX(KRI!$H:$H,$Z48)="","",INDEX(KRI!$H:$H,$Z48)))</f>
        <v/>
      </c>
      <c r="F48">
        <f>IF($Z48="","",IF(INDEX(KRI!$I:$I,$Z48)="","",INDEX(KRI!$I:$I,$Z48)))</f>
        <v/>
      </c>
      <c r="G48">
        <f>IF($Z48="","",IF(INDEX(KRI!$J:$J,$Z48)="","",INDEX(KRI!$J:$J,$Z48)))</f>
        <v/>
      </c>
      <c r="H48" s="117">
        <f>IF($Z48="","",IF(INDEX(KRI!$K:$K,$Z48)="","",INDEX(KRI!$K:$K,$Z48)))</f>
        <v/>
      </c>
      <c r="I48">
        <f>IF($Z48="","",INDEX(KRI!$N:$N,$Z48)&amp;"")</f>
        <v/>
      </c>
      <c r="J48">
        <f>IF($A48="","",IF(COUNTIFS(KRI_KRI_ID,$A48,KRI_Ciclo,cicloPrecedente,KRI_Valore_Corrente,"&lt;&gt;")=0,"—",SUMIFS(KRI_Valore_Corrente,KRI_KRI_ID,$A48,KRI_Ciclo,cicloPrecedente)))</f>
        <v/>
      </c>
      <c r="K48">
        <f>IF(OR(G48="",NOT(ISNUMBER(J48))),"",IF(G48&gt;J48,"▲ peggiora",IF(G48&lt;J48,"▼ migliora","● invariato")))</f>
        <v/>
      </c>
      <c r="L48" s="118">
        <f>IF($Z48="","",INDEX(KRI!$E:$E,$Z48)&amp;"")</f>
        <v/>
      </c>
      <c r="Z48">
        <f>IFERROR(_xlfn.AGGREGATE(15,6,ROW(KRI_Ciclo)/((KRI_Ciclo=cicloCorrente)*(KRI_In_Vigore="Sì")),42),"")</f>
        <v/>
      </c>
      <c r="AB48">
        <f>IFERROR(INDEX(KRI_KRI_ID,_xlfn.AGGREGATE(15,6,(ROW(KRI_KRI_ID)-5)/((KRI_Ciclo_Definizione=KRI_Ciclo)*(KRI_KRI_ID&lt;&gt;"")),37)),"")</f>
        <v/>
      </c>
    </row>
    <row r="49">
      <c r="A49">
        <f>IF($Z49="","",INDEX(KRI!$B:$B,$Z49)&amp;"")</f>
        <v/>
      </c>
      <c r="B49">
        <f>IF($Z49="","",INDEX(KRI!$C:$C,$Z49)&amp;"")</f>
        <v/>
      </c>
      <c r="C49">
        <f>IF($Z49="","",INDEX(KRI!$D:$D,$Z49)&amp;"")</f>
        <v/>
      </c>
      <c r="D49">
        <f>IF($Z49="","",INDEX(KRI!$F:$F,$Z49)&amp;"")</f>
        <v/>
      </c>
      <c r="E49">
        <f>IF($Z49="","",IF(INDEX(KRI!$H:$H,$Z49)="","",INDEX(KRI!$H:$H,$Z49)))</f>
        <v/>
      </c>
      <c r="F49">
        <f>IF($Z49="","",IF(INDEX(KRI!$I:$I,$Z49)="","",INDEX(KRI!$I:$I,$Z49)))</f>
        <v/>
      </c>
      <c r="G49">
        <f>IF($Z49="","",IF(INDEX(KRI!$J:$J,$Z49)="","",INDEX(KRI!$J:$J,$Z49)))</f>
        <v/>
      </c>
      <c r="H49" s="117">
        <f>IF($Z49="","",IF(INDEX(KRI!$K:$K,$Z49)="","",INDEX(KRI!$K:$K,$Z49)))</f>
        <v/>
      </c>
      <c r="I49">
        <f>IF($Z49="","",INDEX(KRI!$N:$N,$Z49)&amp;"")</f>
        <v/>
      </c>
      <c r="J49">
        <f>IF($A49="","",IF(COUNTIFS(KRI_KRI_ID,$A49,KRI_Ciclo,cicloPrecedente,KRI_Valore_Corrente,"&lt;&gt;")=0,"—",SUMIFS(KRI_Valore_Corrente,KRI_KRI_ID,$A49,KRI_Ciclo,cicloPrecedente)))</f>
        <v/>
      </c>
      <c r="K49">
        <f>IF(OR(G49="",NOT(ISNUMBER(J49))),"",IF(G49&gt;J49,"▲ peggiora",IF(G49&lt;J49,"▼ migliora","● invariato")))</f>
        <v/>
      </c>
      <c r="L49" s="118">
        <f>IF($Z49="","",INDEX(KRI!$E:$E,$Z49)&amp;"")</f>
        <v/>
      </c>
      <c r="Z49">
        <f>IFERROR(_xlfn.AGGREGATE(15,6,ROW(KRI_Ciclo)/((KRI_Ciclo=cicloCorrente)*(KRI_In_Vigore="Sì")),43),"")</f>
        <v/>
      </c>
      <c r="AB49">
        <f>IFERROR(INDEX(KRI_KRI_ID,_xlfn.AGGREGATE(15,6,(ROW(KRI_KRI_ID)-5)/((KRI_Ciclo_Definizione=KRI_Ciclo)*(KRI_KRI_ID&lt;&gt;"")),38)),"")</f>
        <v/>
      </c>
    </row>
    <row r="50">
      <c r="A50">
        <f>IF($Z50="","",INDEX(KRI!$B:$B,$Z50)&amp;"")</f>
        <v/>
      </c>
      <c r="B50">
        <f>IF($Z50="","",INDEX(KRI!$C:$C,$Z50)&amp;"")</f>
        <v/>
      </c>
      <c r="C50">
        <f>IF($Z50="","",INDEX(KRI!$D:$D,$Z50)&amp;"")</f>
        <v/>
      </c>
      <c r="D50">
        <f>IF($Z50="","",INDEX(KRI!$F:$F,$Z50)&amp;"")</f>
        <v/>
      </c>
      <c r="E50">
        <f>IF($Z50="","",IF(INDEX(KRI!$H:$H,$Z50)="","",INDEX(KRI!$H:$H,$Z50)))</f>
        <v/>
      </c>
      <c r="F50">
        <f>IF($Z50="","",IF(INDEX(KRI!$I:$I,$Z50)="","",INDEX(KRI!$I:$I,$Z50)))</f>
        <v/>
      </c>
      <c r="G50">
        <f>IF($Z50="","",IF(INDEX(KRI!$J:$J,$Z50)="","",INDEX(KRI!$J:$J,$Z50)))</f>
        <v/>
      </c>
      <c r="H50" s="117">
        <f>IF($Z50="","",IF(INDEX(KRI!$K:$K,$Z50)="","",INDEX(KRI!$K:$K,$Z50)))</f>
        <v/>
      </c>
      <c r="I50">
        <f>IF($Z50="","",INDEX(KRI!$N:$N,$Z50)&amp;"")</f>
        <v/>
      </c>
      <c r="J50">
        <f>IF($A50="","",IF(COUNTIFS(KRI_KRI_ID,$A50,KRI_Ciclo,cicloPrecedente,KRI_Valore_Corrente,"&lt;&gt;")=0,"—",SUMIFS(KRI_Valore_Corrente,KRI_KRI_ID,$A50,KRI_Ciclo,cicloPrecedente)))</f>
        <v/>
      </c>
      <c r="K50">
        <f>IF(OR(G50="",NOT(ISNUMBER(J50))),"",IF(G50&gt;J50,"▲ peggiora",IF(G50&lt;J50,"▼ migliora","● invariato")))</f>
        <v/>
      </c>
      <c r="L50" s="118">
        <f>IF($Z50="","",INDEX(KRI!$E:$E,$Z50)&amp;"")</f>
        <v/>
      </c>
      <c r="Z50">
        <f>IFERROR(_xlfn.AGGREGATE(15,6,ROW(KRI_Ciclo)/((KRI_Ciclo=cicloCorrente)*(KRI_In_Vigore="Sì")),44),"")</f>
        <v/>
      </c>
      <c r="AB50">
        <f>IFERROR(INDEX(KRI_KRI_ID,_xlfn.AGGREGATE(15,6,(ROW(KRI_KRI_ID)-5)/((KRI_Ciclo_Definizione=KRI_Ciclo)*(KRI_KRI_ID&lt;&gt;"")),39)),"")</f>
        <v/>
      </c>
    </row>
    <row r="51">
      <c r="A51">
        <f>IF($Z51="","",INDEX(KRI!$B:$B,$Z51)&amp;"")</f>
        <v/>
      </c>
      <c r="B51">
        <f>IF($Z51="","",INDEX(KRI!$C:$C,$Z51)&amp;"")</f>
        <v/>
      </c>
      <c r="C51">
        <f>IF($Z51="","",INDEX(KRI!$D:$D,$Z51)&amp;"")</f>
        <v/>
      </c>
      <c r="D51">
        <f>IF($Z51="","",INDEX(KRI!$F:$F,$Z51)&amp;"")</f>
        <v/>
      </c>
      <c r="E51">
        <f>IF($Z51="","",IF(INDEX(KRI!$H:$H,$Z51)="","",INDEX(KRI!$H:$H,$Z51)))</f>
        <v/>
      </c>
      <c r="F51">
        <f>IF($Z51="","",IF(INDEX(KRI!$I:$I,$Z51)="","",INDEX(KRI!$I:$I,$Z51)))</f>
        <v/>
      </c>
      <c r="G51">
        <f>IF($Z51="","",IF(INDEX(KRI!$J:$J,$Z51)="","",INDEX(KRI!$J:$J,$Z51)))</f>
        <v/>
      </c>
      <c r="H51" s="117">
        <f>IF($Z51="","",IF(INDEX(KRI!$K:$K,$Z51)="","",INDEX(KRI!$K:$K,$Z51)))</f>
        <v/>
      </c>
      <c r="I51">
        <f>IF($Z51="","",INDEX(KRI!$N:$N,$Z51)&amp;"")</f>
        <v/>
      </c>
      <c r="J51">
        <f>IF($A51="","",IF(COUNTIFS(KRI_KRI_ID,$A51,KRI_Ciclo,cicloPrecedente,KRI_Valore_Corrente,"&lt;&gt;")=0,"—",SUMIFS(KRI_Valore_Corrente,KRI_KRI_ID,$A51,KRI_Ciclo,cicloPrecedente)))</f>
        <v/>
      </c>
      <c r="K51">
        <f>IF(OR(G51="",NOT(ISNUMBER(J51))),"",IF(G51&gt;J51,"▲ peggiora",IF(G51&lt;J51,"▼ migliora","● invariato")))</f>
        <v/>
      </c>
      <c r="L51" s="118">
        <f>IF($Z51="","",INDEX(KRI!$E:$E,$Z51)&amp;"")</f>
        <v/>
      </c>
      <c r="Z51">
        <f>IFERROR(_xlfn.AGGREGATE(15,6,ROW(KRI_Ciclo)/((KRI_Ciclo=cicloCorrente)*(KRI_In_Vigore="Sì")),45),"")</f>
        <v/>
      </c>
      <c r="AB51">
        <f>IFERROR(INDEX(KRI_KRI_ID,_xlfn.AGGREGATE(15,6,(ROW(KRI_KRI_ID)-5)/((KRI_Ciclo_Definizione=KRI_Ciclo)*(KRI_KRI_ID&lt;&gt;"")),40)),"")</f>
        <v/>
      </c>
    </row>
    <row r="52">
      <c r="A52">
        <f>IF($Z52="","",INDEX(KRI!$B:$B,$Z52)&amp;"")</f>
        <v/>
      </c>
      <c r="B52">
        <f>IF($Z52="","",INDEX(KRI!$C:$C,$Z52)&amp;"")</f>
        <v/>
      </c>
      <c r="C52">
        <f>IF($Z52="","",INDEX(KRI!$D:$D,$Z52)&amp;"")</f>
        <v/>
      </c>
      <c r="D52">
        <f>IF($Z52="","",INDEX(KRI!$F:$F,$Z52)&amp;"")</f>
        <v/>
      </c>
      <c r="E52">
        <f>IF($Z52="","",IF(INDEX(KRI!$H:$H,$Z52)="","",INDEX(KRI!$H:$H,$Z52)))</f>
        <v/>
      </c>
      <c r="F52">
        <f>IF($Z52="","",IF(INDEX(KRI!$I:$I,$Z52)="","",INDEX(KRI!$I:$I,$Z52)))</f>
        <v/>
      </c>
      <c r="G52">
        <f>IF($Z52="","",IF(INDEX(KRI!$J:$J,$Z52)="","",INDEX(KRI!$J:$J,$Z52)))</f>
        <v/>
      </c>
      <c r="H52" s="117">
        <f>IF($Z52="","",IF(INDEX(KRI!$K:$K,$Z52)="","",INDEX(KRI!$K:$K,$Z52)))</f>
        <v/>
      </c>
      <c r="I52">
        <f>IF($Z52="","",INDEX(KRI!$N:$N,$Z52)&amp;"")</f>
        <v/>
      </c>
      <c r="J52">
        <f>IF($A52="","",IF(COUNTIFS(KRI_KRI_ID,$A52,KRI_Ciclo,cicloPrecedente,KRI_Valore_Corrente,"&lt;&gt;")=0,"—",SUMIFS(KRI_Valore_Corrente,KRI_KRI_ID,$A52,KRI_Ciclo,cicloPrecedente)))</f>
        <v/>
      </c>
      <c r="K52">
        <f>IF(OR(G52="",NOT(ISNUMBER(J52))),"",IF(G52&gt;J52,"▲ peggiora",IF(G52&lt;J52,"▼ migliora","● invariato")))</f>
        <v/>
      </c>
      <c r="L52" s="118">
        <f>IF($Z52="","",INDEX(KRI!$E:$E,$Z52)&amp;"")</f>
        <v/>
      </c>
      <c r="Z52">
        <f>IFERROR(_xlfn.AGGREGATE(15,6,ROW(KRI_Ciclo)/((KRI_Ciclo=cicloCorrente)*(KRI_In_Vigore="Sì")),46),"")</f>
        <v/>
      </c>
      <c r="AB52">
        <f>IFERROR(INDEX(KRI_KRI_ID,_xlfn.AGGREGATE(15,6,(ROW(KRI_KRI_ID)-5)/((KRI_Ciclo_Definizione=KRI_Ciclo)*(KRI_KRI_ID&lt;&gt;"")),41)),"")</f>
        <v/>
      </c>
    </row>
    <row r="53">
      <c r="A53">
        <f>IF($Z53="","",INDEX(KRI!$B:$B,$Z53)&amp;"")</f>
        <v/>
      </c>
      <c r="B53">
        <f>IF($Z53="","",INDEX(KRI!$C:$C,$Z53)&amp;"")</f>
        <v/>
      </c>
      <c r="C53">
        <f>IF($Z53="","",INDEX(KRI!$D:$D,$Z53)&amp;"")</f>
        <v/>
      </c>
      <c r="D53">
        <f>IF($Z53="","",INDEX(KRI!$F:$F,$Z53)&amp;"")</f>
        <v/>
      </c>
      <c r="E53">
        <f>IF($Z53="","",IF(INDEX(KRI!$H:$H,$Z53)="","",INDEX(KRI!$H:$H,$Z53)))</f>
        <v/>
      </c>
      <c r="F53">
        <f>IF($Z53="","",IF(INDEX(KRI!$I:$I,$Z53)="","",INDEX(KRI!$I:$I,$Z53)))</f>
        <v/>
      </c>
      <c r="G53">
        <f>IF($Z53="","",IF(INDEX(KRI!$J:$J,$Z53)="","",INDEX(KRI!$J:$J,$Z53)))</f>
        <v/>
      </c>
      <c r="H53" s="117">
        <f>IF($Z53="","",IF(INDEX(KRI!$K:$K,$Z53)="","",INDEX(KRI!$K:$K,$Z53)))</f>
        <v/>
      </c>
      <c r="I53">
        <f>IF($Z53="","",INDEX(KRI!$N:$N,$Z53)&amp;"")</f>
        <v/>
      </c>
      <c r="J53">
        <f>IF($A53="","",IF(COUNTIFS(KRI_KRI_ID,$A53,KRI_Ciclo,cicloPrecedente,KRI_Valore_Corrente,"&lt;&gt;")=0,"—",SUMIFS(KRI_Valore_Corrente,KRI_KRI_ID,$A53,KRI_Ciclo,cicloPrecedente)))</f>
        <v/>
      </c>
      <c r="K53">
        <f>IF(OR(G53="",NOT(ISNUMBER(J53))),"",IF(G53&gt;J53,"▲ peggiora",IF(G53&lt;J53,"▼ migliora","● invariato")))</f>
        <v/>
      </c>
      <c r="L53" s="118">
        <f>IF($Z53="","",INDEX(KRI!$E:$E,$Z53)&amp;"")</f>
        <v/>
      </c>
      <c r="Z53">
        <f>IFERROR(_xlfn.AGGREGATE(15,6,ROW(KRI_Ciclo)/((KRI_Ciclo=cicloCorrente)*(KRI_In_Vigore="Sì")),47),"")</f>
        <v/>
      </c>
      <c r="AB53">
        <f>IFERROR(INDEX(KRI_KRI_ID,_xlfn.AGGREGATE(15,6,(ROW(KRI_KRI_ID)-5)/((KRI_Ciclo_Definizione=KRI_Ciclo)*(KRI_KRI_ID&lt;&gt;"")),42)),"")</f>
        <v/>
      </c>
    </row>
    <row r="54">
      <c r="A54">
        <f>IF($Z54="","",INDEX(KRI!$B:$B,$Z54)&amp;"")</f>
        <v/>
      </c>
      <c r="B54">
        <f>IF($Z54="","",INDEX(KRI!$C:$C,$Z54)&amp;"")</f>
        <v/>
      </c>
      <c r="C54">
        <f>IF($Z54="","",INDEX(KRI!$D:$D,$Z54)&amp;"")</f>
        <v/>
      </c>
      <c r="D54">
        <f>IF($Z54="","",INDEX(KRI!$F:$F,$Z54)&amp;"")</f>
        <v/>
      </c>
      <c r="E54">
        <f>IF($Z54="","",IF(INDEX(KRI!$H:$H,$Z54)="","",INDEX(KRI!$H:$H,$Z54)))</f>
        <v/>
      </c>
      <c r="F54">
        <f>IF($Z54="","",IF(INDEX(KRI!$I:$I,$Z54)="","",INDEX(KRI!$I:$I,$Z54)))</f>
        <v/>
      </c>
      <c r="G54">
        <f>IF($Z54="","",IF(INDEX(KRI!$J:$J,$Z54)="","",INDEX(KRI!$J:$J,$Z54)))</f>
        <v/>
      </c>
      <c r="H54" s="117">
        <f>IF($Z54="","",IF(INDEX(KRI!$K:$K,$Z54)="","",INDEX(KRI!$K:$K,$Z54)))</f>
        <v/>
      </c>
      <c r="I54">
        <f>IF($Z54="","",INDEX(KRI!$N:$N,$Z54)&amp;"")</f>
        <v/>
      </c>
      <c r="J54">
        <f>IF($A54="","",IF(COUNTIFS(KRI_KRI_ID,$A54,KRI_Ciclo,cicloPrecedente,KRI_Valore_Corrente,"&lt;&gt;")=0,"—",SUMIFS(KRI_Valore_Corrente,KRI_KRI_ID,$A54,KRI_Ciclo,cicloPrecedente)))</f>
        <v/>
      </c>
      <c r="K54">
        <f>IF(OR(G54="",NOT(ISNUMBER(J54))),"",IF(G54&gt;J54,"▲ peggiora",IF(G54&lt;J54,"▼ migliora","● invariato")))</f>
        <v/>
      </c>
      <c r="L54" s="118">
        <f>IF($Z54="","",INDEX(KRI!$E:$E,$Z54)&amp;"")</f>
        <v/>
      </c>
      <c r="Z54">
        <f>IFERROR(_xlfn.AGGREGATE(15,6,ROW(KRI_Ciclo)/((KRI_Ciclo=cicloCorrente)*(KRI_In_Vigore="Sì")),48),"")</f>
        <v/>
      </c>
      <c r="AB54">
        <f>IFERROR(INDEX(KRI_KRI_ID,_xlfn.AGGREGATE(15,6,(ROW(KRI_KRI_ID)-5)/((KRI_Ciclo_Definizione=KRI_Ciclo)*(KRI_KRI_ID&lt;&gt;"")),43)),"")</f>
        <v/>
      </c>
    </row>
    <row r="55">
      <c r="A55">
        <f>IF($Z55="","",INDEX(KRI!$B:$B,$Z55)&amp;"")</f>
        <v/>
      </c>
      <c r="B55">
        <f>IF($Z55="","",INDEX(KRI!$C:$C,$Z55)&amp;"")</f>
        <v/>
      </c>
      <c r="C55">
        <f>IF($Z55="","",INDEX(KRI!$D:$D,$Z55)&amp;"")</f>
        <v/>
      </c>
      <c r="D55">
        <f>IF($Z55="","",INDEX(KRI!$F:$F,$Z55)&amp;"")</f>
        <v/>
      </c>
      <c r="E55">
        <f>IF($Z55="","",IF(INDEX(KRI!$H:$H,$Z55)="","",INDEX(KRI!$H:$H,$Z55)))</f>
        <v/>
      </c>
      <c r="F55">
        <f>IF($Z55="","",IF(INDEX(KRI!$I:$I,$Z55)="","",INDEX(KRI!$I:$I,$Z55)))</f>
        <v/>
      </c>
      <c r="G55">
        <f>IF($Z55="","",IF(INDEX(KRI!$J:$J,$Z55)="","",INDEX(KRI!$J:$J,$Z55)))</f>
        <v/>
      </c>
      <c r="H55" s="117">
        <f>IF($Z55="","",IF(INDEX(KRI!$K:$K,$Z55)="","",INDEX(KRI!$K:$K,$Z55)))</f>
        <v/>
      </c>
      <c r="I55">
        <f>IF($Z55="","",INDEX(KRI!$N:$N,$Z55)&amp;"")</f>
        <v/>
      </c>
      <c r="J55">
        <f>IF($A55="","",IF(COUNTIFS(KRI_KRI_ID,$A55,KRI_Ciclo,cicloPrecedente,KRI_Valore_Corrente,"&lt;&gt;")=0,"—",SUMIFS(KRI_Valore_Corrente,KRI_KRI_ID,$A55,KRI_Ciclo,cicloPrecedente)))</f>
        <v/>
      </c>
      <c r="K55">
        <f>IF(OR(G55="",NOT(ISNUMBER(J55))),"",IF(G55&gt;J55,"▲ peggiora",IF(G55&lt;J55,"▼ migliora","● invariato")))</f>
        <v/>
      </c>
      <c r="L55" s="118">
        <f>IF($Z55="","",INDEX(KRI!$E:$E,$Z55)&amp;"")</f>
        <v/>
      </c>
      <c r="Z55">
        <f>IFERROR(_xlfn.AGGREGATE(15,6,ROW(KRI_Ciclo)/((KRI_Ciclo=cicloCorrente)*(KRI_In_Vigore="Sì")),49),"")</f>
        <v/>
      </c>
      <c r="AB55">
        <f>IFERROR(INDEX(KRI_KRI_ID,_xlfn.AGGREGATE(15,6,(ROW(KRI_KRI_ID)-5)/((KRI_Ciclo_Definizione=KRI_Ciclo)*(KRI_KRI_ID&lt;&gt;"")),44)),"")</f>
        <v/>
      </c>
    </row>
    <row r="56">
      <c r="A56">
        <f>IF($Z56="","",INDEX(KRI!$B:$B,$Z56)&amp;"")</f>
        <v/>
      </c>
      <c r="B56">
        <f>IF($Z56="","",INDEX(KRI!$C:$C,$Z56)&amp;"")</f>
        <v/>
      </c>
      <c r="C56">
        <f>IF($Z56="","",INDEX(KRI!$D:$D,$Z56)&amp;"")</f>
        <v/>
      </c>
      <c r="D56">
        <f>IF($Z56="","",INDEX(KRI!$F:$F,$Z56)&amp;"")</f>
        <v/>
      </c>
      <c r="E56">
        <f>IF($Z56="","",IF(INDEX(KRI!$H:$H,$Z56)="","",INDEX(KRI!$H:$H,$Z56)))</f>
        <v/>
      </c>
      <c r="F56">
        <f>IF($Z56="","",IF(INDEX(KRI!$I:$I,$Z56)="","",INDEX(KRI!$I:$I,$Z56)))</f>
        <v/>
      </c>
      <c r="G56">
        <f>IF($Z56="","",IF(INDEX(KRI!$J:$J,$Z56)="","",INDEX(KRI!$J:$J,$Z56)))</f>
        <v/>
      </c>
      <c r="H56" s="117">
        <f>IF($Z56="","",IF(INDEX(KRI!$K:$K,$Z56)="","",INDEX(KRI!$K:$K,$Z56)))</f>
        <v/>
      </c>
      <c r="I56">
        <f>IF($Z56="","",INDEX(KRI!$N:$N,$Z56)&amp;"")</f>
        <v/>
      </c>
      <c r="J56">
        <f>IF($A56="","",IF(COUNTIFS(KRI_KRI_ID,$A56,KRI_Ciclo,cicloPrecedente,KRI_Valore_Corrente,"&lt;&gt;")=0,"—",SUMIFS(KRI_Valore_Corrente,KRI_KRI_ID,$A56,KRI_Ciclo,cicloPrecedente)))</f>
        <v/>
      </c>
      <c r="K56">
        <f>IF(OR(G56="",NOT(ISNUMBER(J56))),"",IF(G56&gt;J56,"▲ peggiora",IF(G56&lt;J56,"▼ migliora","● invariato")))</f>
        <v/>
      </c>
      <c r="L56" s="118">
        <f>IF($Z56="","",INDEX(KRI!$E:$E,$Z56)&amp;"")</f>
        <v/>
      </c>
      <c r="Z56">
        <f>IFERROR(_xlfn.AGGREGATE(15,6,ROW(KRI_Ciclo)/((KRI_Ciclo=cicloCorrente)*(KRI_In_Vigore="Sì")),50),"")</f>
        <v/>
      </c>
      <c r="AB56">
        <f>IFERROR(INDEX(KRI_KRI_ID,_xlfn.AGGREGATE(15,6,(ROW(KRI_KRI_ID)-5)/((KRI_Ciclo_Definizione=KRI_Ciclo)*(KRI_KRI_ID&lt;&gt;"")),45)),"")</f>
        <v/>
      </c>
    </row>
    <row r="57">
      <c r="A57">
        <f>IF($Z57="","",INDEX(KRI!$B:$B,$Z57)&amp;"")</f>
        <v/>
      </c>
      <c r="B57">
        <f>IF($Z57="","",INDEX(KRI!$C:$C,$Z57)&amp;"")</f>
        <v/>
      </c>
      <c r="C57">
        <f>IF($Z57="","",INDEX(KRI!$D:$D,$Z57)&amp;"")</f>
        <v/>
      </c>
      <c r="D57">
        <f>IF($Z57="","",INDEX(KRI!$F:$F,$Z57)&amp;"")</f>
        <v/>
      </c>
      <c r="E57">
        <f>IF($Z57="","",IF(INDEX(KRI!$H:$H,$Z57)="","",INDEX(KRI!$H:$H,$Z57)))</f>
        <v/>
      </c>
      <c r="F57">
        <f>IF($Z57="","",IF(INDEX(KRI!$I:$I,$Z57)="","",INDEX(KRI!$I:$I,$Z57)))</f>
        <v/>
      </c>
      <c r="G57">
        <f>IF($Z57="","",IF(INDEX(KRI!$J:$J,$Z57)="","",INDEX(KRI!$J:$J,$Z57)))</f>
        <v/>
      </c>
      <c r="H57" s="117">
        <f>IF($Z57="","",IF(INDEX(KRI!$K:$K,$Z57)="","",INDEX(KRI!$K:$K,$Z57)))</f>
        <v/>
      </c>
      <c r="I57">
        <f>IF($Z57="","",INDEX(KRI!$N:$N,$Z57)&amp;"")</f>
        <v/>
      </c>
      <c r="J57">
        <f>IF($A57="","",IF(COUNTIFS(KRI_KRI_ID,$A57,KRI_Ciclo,cicloPrecedente,KRI_Valore_Corrente,"&lt;&gt;")=0,"—",SUMIFS(KRI_Valore_Corrente,KRI_KRI_ID,$A57,KRI_Ciclo,cicloPrecedente)))</f>
        <v/>
      </c>
      <c r="K57">
        <f>IF(OR(G57="",NOT(ISNUMBER(J57))),"",IF(G57&gt;J57,"▲ peggiora",IF(G57&lt;J57,"▼ migliora","● invariato")))</f>
        <v/>
      </c>
      <c r="L57" s="118">
        <f>IF($Z57="","",INDEX(KRI!$E:$E,$Z57)&amp;"")</f>
        <v/>
      </c>
      <c r="Z57">
        <f>IFERROR(_xlfn.AGGREGATE(15,6,ROW(KRI_Ciclo)/((KRI_Ciclo=cicloCorrente)*(KRI_In_Vigore="Sì")),51),"")</f>
        <v/>
      </c>
      <c r="AB57">
        <f>IFERROR(INDEX(KRI_KRI_ID,_xlfn.AGGREGATE(15,6,(ROW(KRI_KRI_ID)-5)/((KRI_Ciclo_Definizione=KRI_Ciclo)*(KRI_KRI_ID&lt;&gt;"")),46)),"")</f>
        <v/>
      </c>
    </row>
    <row r="58">
      <c r="A58">
        <f>IF($Z58="","",INDEX(KRI!$B:$B,$Z58)&amp;"")</f>
        <v/>
      </c>
      <c r="B58">
        <f>IF($Z58="","",INDEX(KRI!$C:$C,$Z58)&amp;"")</f>
        <v/>
      </c>
      <c r="C58">
        <f>IF($Z58="","",INDEX(KRI!$D:$D,$Z58)&amp;"")</f>
        <v/>
      </c>
      <c r="D58">
        <f>IF($Z58="","",INDEX(KRI!$F:$F,$Z58)&amp;"")</f>
        <v/>
      </c>
      <c r="E58">
        <f>IF($Z58="","",IF(INDEX(KRI!$H:$H,$Z58)="","",INDEX(KRI!$H:$H,$Z58)))</f>
        <v/>
      </c>
      <c r="F58">
        <f>IF($Z58="","",IF(INDEX(KRI!$I:$I,$Z58)="","",INDEX(KRI!$I:$I,$Z58)))</f>
        <v/>
      </c>
      <c r="G58">
        <f>IF($Z58="","",IF(INDEX(KRI!$J:$J,$Z58)="","",INDEX(KRI!$J:$J,$Z58)))</f>
        <v/>
      </c>
      <c r="H58" s="117">
        <f>IF($Z58="","",IF(INDEX(KRI!$K:$K,$Z58)="","",INDEX(KRI!$K:$K,$Z58)))</f>
        <v/>
      </c>
      <c r="I58">
        <f>IF($Z58="","",INDEX(KRI!$N:$N,$Z58)&amp;"")</f>
        <v/>
      </c>
      <c r="J58">
        <f>IF($A58="","",IF(COUNTIFS(KRI_KRI_ID,$A58,KRI_Ciclo,cicloPrecedente,KRI_Valore_Corrente,"&lt;&gt;")=0,"—",SUMIFS(KRI_Valore_Corrente,KRI_KRI_ID,$A58,KRI_Ciclo,cicloPrecedente)))</f>
        <v/>
      </c>
      <c r="K58">
        <f>IF(OR(G58="",NOT(ISNUMBER(J58))),"",IF(G58&gt;J58,"▲ peggiora",IF(G58&lt;J58,"▼ migliora","● invariato")))</f>
        <v/>
      </c>
      <c r="L58" s="118">
        <f>IF($Z58="","",INDEX(KRI!$E:$E,$Z58)&amp;"")</f>
        <v/>
      </c>
      <c r="Z58">
        <f>IFERROR(_xlfn.AGGREGATE(15,6,ROW(KRI_Ciclo)/((KRI_Ciclo=cicloCorrente)*(KRI_In_Vigore="Sì")),52),"")</f>
        <v/>
      </c>
      <c r="AB58">
        <f>IFERROR(INDEX(KRI_KRI_ID,_xlfn.AGGREGATE(15,6,(ROW(KRI_KRI_ID)-5)/((KRI_Ciclo_Definizione=KRI_Ciclo)*(KRI_KRI_ID&lt;&gt;"")),47)),"")</f>
        <v/>
      </c>
    </row>
    <row r="59">
      <c r="A59">
        <f>IF($Z59="","",INDEX(KRI!$B:$B,$Z59)&amp;"")</f>
        <v/>
      </c>
      <c r="B59">
        <f>IF($Z59="","",INDEX(KRI!$C:$C,$Z59)&amp;"")</f>
        <v/>
      </c>
      <c r="C59">
        <f>IF($Z59="","",INDEX(KRI!$D:$D,$Z59)&amp;"")</f>
        <v/>
      </c>
      <c r="D59">
        <f>IF($Z59="","",INDEX(KRI!$F:$F,$Z59)&amp;"")</f>
        <v/>
      </c>
      <c r="E59">
        <f>IF($Z59="","",IF(INDEX(KRI!$H:$H,$Z59)="","",INDEX(KRI!$H:$H,$Z59)))</f>
        <v/>
      </c>
      <c r="F59">
        <f>IF($Z59="","",IF(INDEX(KRI!$I:$I,$Z59)="","",INDEX(KRI!$I:$I,$Z59)))</f>
        <v/>
      </c>
      <c r="G59">
        <f>IF($Z59="","",IF(INDEX(KRI!$J:$J,$Z59)="","",INDEX(KRI!$J:$J,$Z59)))</f>
        <v/>
      </c>
      <c r="H59" s="117">
        <f>IF($Z59="","",IF(INDEX(KRI!$K:$K,$Z59)="","",INDEX(KRI!$K:$K,$Z59)))</f>
        <v/>
      </c>
      <c r="I59">
        <f>IF($Z59="","",INDEX(KRI!$N:$N,$Z59)&amp;"")</f>
        <v/>
      </c>
      <c r="J59">
        <f>IF($A59="","",IF(COUNTIFS(KRI_KRI_ID,$A59,KRI_Ciclo,cicloPrecedente,KRI_Valore_Corrente,"&lt;&gt;")=0,"—",SUMIFS(KRI_Valore_Corrente,KRI_KRI_ID,$A59,KRI_Ciclo,cicloPrecedente)))</f>
        <v/>
      </c>
      <c r="K59">
        <f>IF(OR(G59="",NOT(ISNUMBER(J59))),"",IF(G59&gt;J59,"▲ peggiora",IF(G59&lt;J59,"▼ migliora","● invariato")))</f>
        <v/>
      </c>
      <c r="L59" s="118">
        <f>IF($Z59="","",INDEX(KRI!$E:$E,$Z59)&amp;"")</f>
        <v/>
      </c>
      <c r="Z59">
        <f>IFERROR(_xlfn.AGGREGATE(15,6,ROW(KRI_Ciclo)/((KRI_Ciclo=cicloCorrente)*(KRI_In_Vigore="Sì")),53),"")</f>
        <v/>
      </c>
      <c r="AB59">
        <f>IFERROR(INDEX(KRI_KRI_ID,_xlfn.AGGREGATE(15,6,(ROW(KRI_KRI_ID)-5)/((KRI_Ciclo_Definizione=KRI_Ciclo)*(KRI_KRI_ID&lt;&gt;"")),48)),"")</f>
        <v/>
      </c>
    </row>
    <row r="60">
      <c r="A60">
        <f>IF($Z60="","",INDEX(KRI!$B:$B,$Z60)&amp;"")</f>
        <v/>
      </c>
      <c r="B60">
        <f>IF($Z60="","",INDEX(KRI!$C:$C,$Z60)&amp;"")</f>
        <v/>
      </c>
      <c r="C60">
        <f>IF($Z60="","",INDEX(KRI!$D:$D,$Z60)&amp;"")</f>
        <v/>
      </c>
      <c r="D60">
        <f>IF($Z60="","",INDEX(KRI!$F:$F,$Z60)&amp;"")</f>
        <v/>
      </c>
      <c r="E60">
        <f>IF($Z60="","",IF(INDEX(KRI!$H:$H,$Z60)="","",INDEX(KRI!$H:$H,$Z60)))</f>
        <v/>
      </c>
      <c r="F60">
        <f>IF($Z60="","",IF(INDEX(KRI!$I:$I,$Z60)="","",INDEX(KRI!$I:$I,$Z60)))</f>
        <v/>
      </c>
      <c r="G60">
        <f>IF($Z60="","",IF(INDEX(KRI!$J:$J,$Z60)="","",INDEX(KRI!$J:$J,$Z60)))</f>
        <v/>
      </c>
      <c r="H60" s="117">
        <f>IF($Z60="","",IF(INDEX(KRI!$K:$K,$Z60)="","",INDEX(KRI!$K:$K,$Z60)))</f>
        <v/>
      </c>
      <c r="I60">
        <f>IF($Z60="","",INDEX(KRI!$N:$N,$Z60)&amp;"")</f>
        <v/>
      </c>
      <c r="J60">
        <f>IF($A60="","",IF(COUNTIFS(KRI_KRI_ID,$A60,KRI_Ciclo,cicloPrecedente,KRI_Valore_Corrente,"&lt;&gt;")=0,"—",SUMIFS(KRI_Valore_Corrente,KRI_KRI_ID,$A60,KRI_Ciclo,cicloPrecedente)))</f>
        <v/>
      </c>
      <c r="K60">
        <f>IF(OR(G60="",NOT(ISNUMBER(J60))),"",IF(G60&gt;J60,"▲ peggiora",IF(G60&lt;J60,"▼ migliora","● invariato")))</f>
        <v/>
      </c>
      <c r="L60" s="118">
        <f>IF($Z60="","",INDEX(KRI!$E:$E,$Z60)&amp;"")</f>
        <v/>
      </c>
      <c r="Z60">
        <f>IFERROR(_xlfn.AGGREGATE(15,6,ROW(KRI_Ciclo)/((KRI_Ciclo=cicloCorrente)*(KRI_In_Vigore="Sì")),54),"")</f>
        <v/>
      </c>
      <c r="AB60">
        <f>IFERROR(INDEX(KRI_KRI_ID,_xlfn.AGGREGATE(15,6,(ROW(KRI_KRI_ID)-5)/((KRI_Ciclo_Definizione=KRI_Ciclo)*(KRI_KRI_ID&lt;&gt;"")),49)),"")</f>
        <v/>
      </c>
    </row>
    <row r="61">
      <c r="A61">
        <f>IF($Z61="","",INDEX(KRI!$B:$B,$Z61)&amp;"")</f>
        <v/>
      </c>
      <c r="B61">
        <f>IF($Z61="","",INDEX(KRI!$C:$C,$Z61)&amp;"")</f>
        <v/>
      </c>
      <c r="C61">
        <f>IF($Z61="","",INDEX(KRI!$D:$D,$Z61)&amp;"")</f>
        <v/>
      </c>
      <c r="D61">
        <f>IF($Z61="","",INDEX(KRI!$F:$F,$Z61)&amp;"")</f>
        <v/>
      </c>
      <c r="E61">
        <f>IF($Z61="","",IF(INDEX(KRI!$H:$H,$Z61)="","",INDEX(KRI!$H:$H,$Z61)))</f>
        <v/>
      </c>
      <c r="F61">
        <f>IF($Z61="","",IF(INDEX(KRI!$I:$I,$Z61)="","",INDEX(KRI!$I:$I,$Z61)))</f>
        <v/>
      </c>
      <c r="G61">
        <f>IF($Z61="","",IF(INDEX(KRI!$J:$J,$Z61)="","",INDEX(KRI!$J:$J,$Z61)))</f>
        <v/>
      </c>
      <c r="H61" s="117">
        <f>IF($Z61="","",IF(INDEX(KRI!$K:$K,$Z61)="","",INDEX(KRI!$K:$K,$Z61)))</f>
        <v/>
      </c>
      <c r="I61">
        <f>IF($Z61="","",INDEX(KRI!$N:$N,$Z61)&amp;"")</f>
        <v/>
      </c>
      <c r="J61">
        <f>IF($A61="","",IF(COUNTIFS(KRI_KRI_ID,$A61,KRI_Ciclo,cicloPrecedente,KRI_Valore_Corrente,"&lt;&gt;")=0,"—",SUMIFS(KRI_Valore_Corrente,KRI_KRI_ID,$A61,KRI_Ciclo,cicloPrecedente)))</f>
        <v/>
      </c>
      <c r="K61">
        <f>IF(OR(G61="",NOT(ISNUMBER(J61))),"",IF(G61&gt;J61,"▲ peggiora",IF(G61&lt;J61,"▼ migliora","● invariato")))</f>
        <v/>
      </c>
      <c r="L61" s="118">
        <f>IF($Z61="","",INDEX(KRI!$E:$E,$Z61)&amp;"")</f>
        <v/>
      </c>
      <c r="Z61">
        <f>IFERROR(_xlfn.AGGREGATE(15,6,ROW(KRI_Ciclo)/((KRI_Ciclo=cicloCorrente)*(KRI_In_Vigore="Sì")),55),"")</f>
        <v/>
      </c>
      <c r="AB61">
        <f>IFERROR(INDEX(KRI_KRI_ID,_xlfn.AGGREGATE(15,6,(ROW(KRI_KRI_ID)-5)/((KRI_Ciclo_Definizione=KRI_Ciclo)*(KRI_KRI_ID&lt;&gt;"")),50)),"")</f>
        <v/>
      </c>
    </row>
    <row r="62">
      <c r="A62">
        <f>IF($Z62="","",INDEX(KRI!$B:$B,$Z62)&amp;"")</f>
        <v/>
      </c>
      <c r="B62">
        <f>IF($Z62="","",INDEX(KRI!$C:$C,$Z62)&amp;"")</f>
        <v/>
      </c>
      <c r="C62">
        <f>IF($Z62="","",INDEX(KRI!$D:$D,$Z62)&amp;"")</f>
        <v/>
      </c>
      <c r="D62">
        <f>IF($Z62="","",INDEX(KRI!$F:$F,$Z62)&amp;"")</f>
        <v/>
      </c>
      <c r="E62">
        <f>IF($Z62="","",IF(INDEX(KRI!$H:$H,$Z62)="","",INDEX(KRI!$H:$H,$Z62)))</f>
        <v/>
      </c>
      <c r="F62">
        <f>IF($Z62="","",IF(INDEX(KRI!$I:$I,$Z62)="","",INDEX(KRI!$I:$I,$Z62)))</f>
        <v/>
      </c>
      <c r="G62">
        <f>IF($Z62="","",IF(INDEX(KRI!$J:$J,$Z62)="","",INDEX(KRI!$J:$J,$Z62)))</f>
        <v/>
      </c>
      <c r="H62" s="117">
        <f>IF($Z62="","",IF(INDEX(KRI!$K:$K,$Z62)="","",INDEX(KRI!$K:$K,$Z62)))</f>
        <v/>
      </c>
      <c r="I62">
        <f>IF($Z62="","",INDEX(KRI!$N:$N,$Z62)&amp;"")</f>
        <v/>
      </c>
      <c r="J62">
        <f>IF($A62="","",IF(COUNTIFS(KRI_KRI_ID,$A62,KRI_Ciclo,cicloPrecedente,KRI_Valore_Corrente,"&lt;&gt;")=0,"—",SUMIFS(KRI_Valore_Corrente,KRI_KRI_ID,$A62,KRI_Ciclo,cicloPrecedente)))</f>
        <v/>
      </c>
      <c r="K62">
        <f>IF(OR(G62="",NOT(ISNUMBER(J62))),"",IF(G62&gt;J62,"▲ peggiora",IF(G62&lt;J62,"▼ migliora","● invariato")))</f>
        <v/>
      </c>
      <c r="L62" s="118">
        <f>IF($Z62="","",INDEX(KRI!$E:$E,$Z62)&amp;"")</f>
        <v/>
      </c>
      <c r="Z62">
        <f>IFERROR(_xlfn.AGGREGATE(15,6,ROW(KRI_Ciclo)/((KRI_Ciclo=cicloCorrente)*(KRI_In_Vigore="Sì")),56),"")</f>
        <v/>
      </c>
      <c r="AB62">
        <f>IFERROR(INDEX(KRI_KRI_ID,_xlfn.AGGREGATE(15,6,(ROW(KRI_KRI_ID)-5)/((KRI_Ciclo_Definizione=KRI_Ciclo)*(KRI_KRI_ID&lt;&gt;"")),51)),"")</f>
        <v/>
      </c>
    </row>
    <row r="63">
      <c r="A63">
        <f>IF($Z63="","",INDEX(KRI!$B:$B,$Z63)&amp;"")</f>
        <v/>
      </c>
      <c r="B63">
        <f>IF($Z63="","",INDEX(KRI!$C:$C,$Z63)&amp;"")</f>
        <v/>
      </c>
      <c r="C63">
        <f>IF($Z63="","",INDEX(KRI!$D:$D,$Z63)&amp;"")</f>
        <v/>
      </c>
      <c r="D63">
        <f>IF($Z63="","",INDEX(KRI!$F:$F,$Z63)&amp;"")</f>
        <v/>
      </c>
      <c r="E63">
        <f>IF($Z63="","",IF(INDEX(KRI!$H:$H,$Z63)="","",INDEX(KRI!$H:$H,$Z63)))</f>
        <v/>
      </c>
      <c r="F63">
        <f>IF($Z63="","",IF(INDEX(KRI!$I:$I,$Z63)="","",INDEX(KRI!$I:$I,$Z63)))</f>
        <v/>
      </c>
      <c r="G63">
        <f>IF($Z63="","",IF(INDEX(KRI!$J:$J,$Z63)="","",INDEX(KRI!$J:$J,$Z63)))</f>
        <v/>
      </c>
      <c r="H63" s="117">
        <f>IF($Z63="","",IF(INDEX(KRI!$K:$K,$Z63)="","",INDEX(KRI!$K:$K,$Z63)))</f>
        <v/>
      </c>
      <c r="I63">
        <f>IF($Z63="","",INDEX(KRI!$N:$N,$Z63)&amp;"")</f>
        <v/>
      </c>
      <c r="J63">
        <f>IF($A63="","",IF(COUNTIFS(KRI_KRI_ID,$A63,KRI_Ciclo,cicloPrecedente,KRI_Valore_Corrente,"&lt;&gt;")=0,"—",SUMIFS(KRI_Valore_Corrente,KRI_KRI_ID,$A63,KRI_Ciclo,cicloPrecedente)))</f>
        <v/>
      </c>
      <c r="K63">
        <f>IF(OR(G63="",NOT(ISNUMBER(J63))),"",IF(G63&gt;J63,"▲ peggiora",IF(G63&lt;J63,"▼ migliora","● invariato")))</f>
        <v/>
      </c>
      <c r="L63" s="118">
        <f>IF($Z63="","",INDEX(KRI!$E:$E,$Z63)&amp;"")</f>
        <v/>
      </c>
      <c r="Z63">
        <f>IFERROR(_xlfn.AGGREGATE(15,6,ROW(KRI_Ciclo)/((KRI_Ciclo=cicloCorrente)*(KRI_In_Vigore="Sì")),57),"")</f>
        <v/>
      </c>
      <c r="AB63">
        <f>IFERROR(INDEX(KRI_KRI_ID,_xlfn.AGGREGATE(15,6,(ROW(KRI_KRI_ID)-5)/((KRI_Ciclo_Definizione=KRI_Ciclo)*(KRI_KRI_ID&lt;&gt;"")),52)),"")</f>
        <v/>
      </c>
    </row>
    <row r="64">
      <c r="A64">
        <f>IF($Z64="","",INDEX(KRI!$B:$B,$Z64)&amp;"")</f>
        <v/>
      </c>
      <c r="B64">
        <f>IF($Z64="","",INDEX(KRI!$C:$C,$Z64)&amp;"")</f>
        <v/>
      </c>
      <c r="C64">
        <f>IF($Z64="","",INDEX(KRI!$D:$D,$Z64)&amp;"")</f>
        <v/>
      </c>
      <c r="D64">
        <f>IF($Z64="","",INDEX(KRI!$F:$F,$Z64)&amp;"")</f>
        <v/>
      </c>
      <c r="E64">
        <f>IF($Z64="","",IF(INDEX(KRI!$H:$H,$Z64)="","",INDEX(KRI!$H:$H,$Z64)))</f>
        <v/>
      </c>
      <c r="F64">
        <f>IF($Z64="","",IF(INDEX(KRI!$I:$I,$Z64)="","",INDEX(KRI!$I:$I,$Z64)))</f>
        <v/>
      </c>
      <c r="G64">
        <f>IF($Z64="","",IF(INDEX(KRI!$J:$J,$Z64)="","",INDEX(KRI!$J:$J,$Z64)))</f>
        <v/>
      </c>
      <c r="H64" s="117">
        <f>IF($Z64="","",IF(INDEX(KRI!$K:$K,$Z64)="","",INDEX(KRI!$K:$K,$Z64)))</f>
        <v/>
      </c>
      <c r="I64">
        <f>IF($Z64="","",INDEX(KRI!$N:$N,$Z64)&amp;"")</f>
        <v/>
      </c>
      <c r="J64">
        <f>IF($A64="","",IF(COUNTIFS(KRI_KRI_ID,$A64,KRI_Ciclo,cicloPrecedente,KRI_Valore_Corrente,"&lt;&gt;")=0,"—",SUMIFS(KRI_Valore_Corrente,KRI_KRI_ID,$A64,KRI_Ciclo,cicloPrecedente)))</f>
        <v/>
      </c>
      <c r="K64">
        <f>IF(OR(G64="",NOT(ISNUMBER(J64))),"",IF(G64&gt;J64,"▲ peggiora",IF(G64&lt;J64,"▼ migliora","● invariato")))</f>
        <v/>
      </c>
      <c r="L64" s="118">
        <f>IF($Z64="","",INDEX(KRI!$E:$E,$Z64)&amp;"")</f>
        <v/>
      </c>
      <c r="Z64">
        <f>IFERROR(_xlfn.AGGREGATE(15,6,ROW(KRI_Ciclo)/((KRI_Ciclo=cicloCorrente)*(KRI_In_Vigore="Sì")),58),"")</f>
        <v/>
      </c>
      <c r="AB64">
        <f>IFERROR(INDEX(KRI_KRI_ID,_xlfn.AGGREGATE(15,6,(ROW(KRI_KRI_ID)-5)/((KRI_Ciclo_Definizione=KRI_Ciclo)*(KRI_KRI_ID&lt;&gt;"")),53)),"")</f>
        <v/>
      </c>
    </row>
    <row r="65">
      <c r="A65">
        <f>IF($Z65="","",INDEX(KRI!$B:$B,$Z65)&amp;"")</f>
        <v/>
      </c>
      <c r="B65">
        <f>IF($Z65="","",INDEX(KRI!$C:$C,$Z65)&amp;"")</f>
        <v/>
      </c>
      <c r="C65">
        <f>IF($Z65="","",INDEX(KRI!$D:$D,$Z65)&amp;"")</f>
        <v/>
      </c>
      <c r="D65">
        <f>IF($Z65="","",INDEX(KRI!$F:$F,$Z65)&amp;"")</f>
        <v/>
      </c>
      <c r="E65">
        <f>IF($Z65="","",IF(INDEX(KRI!$H:$H,$Z65)="","",INDEX(KRI!$H:$H,$Z65)))</f>
        <v/>
      </c>
      <c r="F65">
        <f>IF($Z65="","",IF(INDEX(KRI!$I:$I,$Z65)="","",INDEX(KRI!$I:$I,$Z65)))</f>
        <v/>
      </c>
      <c r="G65">
        <f>IF($Z65="","",IF(INDEX(KRI!$J:$J,$Z65)="","",INDEX(KRI!$J:$J,$Z65)))</f>
        <v/>
      </c>
      <c r="H65" s="117">
        <f>IF($Z65="","",IF(INDEX(KRI!$K:$K,$Z65)="","",INDEX(KRI!$K:$K,$Z65)))</f>
        <v/>
      </c>
      <c r="I65">
        <f>IF($Z65="","",INDEX(KRI!$N:$N,$Z65)&amp;"")</f>
        <v/>
      </c>
      <c r="J65">
        <f>IF($A65="","",IF(COUNTIFS(KRI_KRI_ID,$A65,KRI_Ciclo,cicloPrecedente,KRI_Valore_Corrente,"&lt;&gt;")=0,"—",SUMIFS(KRI_Valore_Corrente,KRI_KRI_ID,$A65,KRI_Ciclo,cicloPrecedente)))</f>
        <v/>
      </c>
      <c r="K65">
        <f>IF(OR(G65="",NOT(ISNUMBER(J65))),"",IF(G65&gt;J65,"▲ peggiora",IF(G65&lt;J65,"▼ migliora","● invariato")))</f>
        <v/>
      </c>
      <c r="L65" s="118">
        <f>IF($Z65="","",INDEX(KRI!$E:$E,$Z65)&amp;"")</f>
        <v/>
      </c>
      <c r="Z65">
        <f>IFERROR(_xlfn.AGGREGATE(15,6,ROW(KRI_Ciclo)/((KRI_Ciclo=cicloCorrente)*(KRI_In_Vigore="Sì")),59),"")</f>
        <v/>
      </c>
      <c r="AB65">
        <f>IFERROR(INDEX(KRI_KRI_ID,_xlfn.AGGREGATE(15,6,(ROW(KRI_KRI_ID)-5)/((KRI_Ciclo_Definizione=KRI_Ciclo)*(KRI_KRI_ID&lt;&gt;"")),54)),"")</f>
        <v/>
      </c>
    </row>
    <row r="66">
      <c r="A66">
        <f>IF($Z66="","",INDEX(KRI!$B:$B,$Z66)&amp;"")</f>
        <v/>
      </c>
      <c r="B66">
        <f>IF($Z66="","",INDEX(KRI!$C:$C,$Z66)&amp;"")</f>
        <v/>
      </c>
      <c r="C66">
        <f>IF($Z66="","",INDEX(KRI!$D:$D,$Z66)&amp;"")</f>
        <v/>
      </c>
      <c r="D66">
        <f>IF($Z66="","",INDEX(KRI!$F:$F,$Z66)&amp;"")</f>
        <v/>
      </c>
      <c r="E66">
        <f>IF($Z66="","",IF(INDEX(KRI!$H:$H,$Z66)="","",INDEX(KRI!$H:$H,$Z66)))</f>
        <v/>
      </c>
      <c r="F66">
        <f>IF($Z66="","",IF(INDEX(KRI!$I:$I,$Z66)="","",INDEX(KRI!$I:$I,$Z66)))</f>
        <v/>
      </c>
      <c r="G66">
        <f>IF($Z66="","",IF(INDEX(KRI!$J:$J,$Z66)="","",INDEX(KRI!$J:$J,$Z66)))</f>
        <v/>
      </c>
      <c r="H66" s="117">
        <f>IF($Z66="","",IF(INDEX(KRI!$K:$K,$Z66)="","",INDEX(KRI!$K:$K,$Z66)))</f>
        <v/>
      </c>
      <c r="I66">
        <f>IF($Z66="","",INDEX(KRI!$N:$N,$Z66)&amp;"")</f>
        <v/>
      </c>
      <c r="J66">
        <f>IF($A66="","",IF(COUNTIFS(KRI_KRI_ID,$A66,KRI_Ciclo,cicloPrecedente,KRI_Valore_Corrente,"&lt;&gt;")=0,"—",SUMIFS(KRI_Valore_Corrente,KRI_KRI_ID,$A66,KRI_Ciclo,cicloPrecedente)))</f>
        <v/>
      </c>
      <c r="K66">
        <f>IF(OR(G66="",NOT(ISNUMBER(J66))),"",IF(G66&gt;J66,"▲ peggiora",IF(G66&lt;J66,"▼ migliora","● invariato")))</f>
        <v/>
      </c>
      <c r="L66" s="118">
        <f>IF($Z66="","",INDEX(KRI!$E:$E,$Z66)&amp;"")</f>
        <v/>
      </c>
      <c r="Z66">
        <f>IFERROR(_xlfn.AGGREGATE(15,6,ROW(KRI_Ciclo)/((KRI_Ciclo=cicloCorrente)*(KRI_In_Vigore="Sì")),60),"")</f>
        <v/>
      </c>
      <c r="AB66">
        <f>IFERROR(INDEX(KRI_KRI_ID,_xlfn.AGGREGATE(15,6,(ROW(KRI_KRI_ID)-5)/((KRI_Ciclo_Definizione=KRI_Ciclo)*(KRI_KRI_ID&lt;&gt;"")),55)),"")</f>
        <v/>
      </c>
    </row>
    <row r="67">
      <c r="AB67">
        <f>IFERROR(INDEX(KRI_KRI_ID,_xlfn.AGGREGATE(15,6,(ROW(KRI_KRI_ID)-5)/((KRI_Ciclo_Definizione=KRI_Ciclo)*(KRI_KRI_ID&lt;&gt;"")),56)),"")</f>
        <v/>
      </c>
    </row>
    <row r="68">
      <c r="AB68">
        <f>IFERROR(INDEX(KRI_KRI_ID,_xlfn.AGGREGATE(15,6,(ROW(KRI_KRI_ID)-5)/((KRI_Ciclo_Definizione=KRI_Ciclo)*(KRI_KRI_ID&lt;&gt;"")),57)),"")</f>
        <v/>
      </c>
    </row>
    <row r="69">
      <c r="AB69">
        <f>IFERROR(INDEX(KRI_KRI_ID,_xlfn.AGGREGATE(15,6,(ROW(KRI_KRI_ID)-5)/((KRI_Ciclo_Definizione=KRI_Ciclo)*(KRI_KRI_ID&lt;&gt;"")),58)),"")</f>
        <v/>
      </c>
    </row>
    <row r="70">
      <c r="AB70">
        <f>IFERROR(INDEX(KRI_KRI_ID,_xlfn.AGGREGATE(15,6,(ROW(KRI_KRI_ID)-5)/((KRI_Ciclo_Definizione=KRI_Ciclo)*(KRI_KRI_ID&lt;&gt;"")),59)),"")</f>
        <v/>
      </c>
    </row>
    <row r="71">
      <c r="AB71">
        <f>IFERROR(INDEX(KRI_KRI_ID,_xlfn.AGGREGATE(15,6,(ROW(KRI_KRI_ID)-5)/((KRI_Ciclo_Definizione=KRI_Ciclo)*(KRI_KRI_ID&lt;&gt;"")),60)),"")</f>
        <v/>
      </c>
    </row>
    <row r="72">
      <c r="AB72">
        <f>IFERROR(INDEX(KRI_KRI_ID,_xlfn.AGGREGATE(15,6,(ROW(KRI_KRI_ID)-5)/((KRI_Ciclo_Definizione=KRI_Ciclo)*(KRI_KRI_ID&lt;&gt;"")),61)),"")</f>
        <v/>
      </c>
    </row>
    <row r="73">
      <c r="AB73">
        <f>IFERROR(INDEX(KRI_KRI_ID,_xlfn.AGGREGATE(15,6,(ROW(KRI_KRI_ID)-5)/((KRI_Ciclo_Definizione=KRI_Ciclo)*(KRI_KRI_ID&lt;&gt;"")),62)),"")</f>
        <v/>
      </c>
    </row>
    <row r="74">
      <c r="AB74">
        <f>IFERROR(INDEX(KRI_KRI_ID,_xlfn.AGGREGATE(15,6,(ROW(KRI_KRI_ID)-5)/((KRI_Ciclo_Definizione=KRI_Ciclo)*(KRI_KRI_ID&lt;&gt;"")),63)),"")</f>
        <v/>
      </c>
    </row>
    <row r="75">
      <c r="AB75">
        <f>IFERROR(INDEX(KRI_KRI_ID,_xlfn.AGGREGATE(15,6,(ROW(KRI_KRI_ID)-5)/((KRI_Ciclo_Definizione=KRI_Ciclo)*(KRI_KRI_ID&lt;&gt;"")),64)),"")</f>
        <v/>
      </c>
    </row>
    <row r="76">
      <c r="AB76">
        <f>IFERROR(INDEX(KRI_KRI_ID,_xlfn.AGGREGATE(15,6,(ROW(KRI_KRI_ID)-5)/((KRI_Ciclo_Definizione=KRI_Ciclo)*(KRI_KRI_ID&lt;&gt;"")),65)),"")</f>
        <v/>
      </c>
    </row>
    <row r="77">
      <c r="AB77">
        <f>IFERROR(INDEX(KRI_KRI_ID,_xlfn.AGGREGATE(15,6,(ROW(KRI_KRI_ID)-5)/((KRI_Ciclo_Definizione=KRI_Ciclo)*(KRI_KRI_ID&lt;&gt;"")),66)),"")</f>
        <v/>
      </c>
    </row>
    <row r="78">
      <c r="AB78">
        <f>IFERROR(INDEX(KRI_KRI_ID,_xlfn.AGGREGATE(15,6,(ROW(KRI_KRI_ID)-5)/((KRI_Ciclo_Definizione=KRI_Ciclo)*(KRI_KRI_ID&lt;&gt;"")),67)),"")</f>
        <v/>
      </c>
    </row>
    <row r="79">
      <c r="AB79">
        <f>IFERROR(INDEX(KRI_KRI_ID,_xlfn.AGGREGATE(15,6,(ROW(KRI_KRI_ID)-5)/((KRI_Ciclo_Definizione=KRI_Ciclo)*(KRI_KRI_ID&lt;&gt;"")),68)),"")</f>
        <v/>
      </c>
    </row>
    <row r="80">
      <c r="AB80">
        <f>IFERROR(INDEX(KRI_KRI_ID,_xlfn.AGGREGATE(15,6,(ROW(KRI_KRI_ID)-5)/((KRI_Ciclo_Definizione=KRI_Ciclo)*(KRI_KRI_ID&lt;&gt;"")),69)),"")</f>
        <v/>
      </c>
    </row>
    <row r="81">
      <c r="AB81">
        <f>IFERROR(INDEX(KRI_KRI_ID,_xlfn.AGGREGATE(15,6,(ROW(KRI_KRI_ID)-5)/((KRI_Ciclo_Definizione=KRI_Ciclo)*(KRI_KRI_ID&lt;&gt;"")),70)),"")</f>
        <v/>
      </c>
    </row>
    <row r="82">
      <c r="AB82">
        <f>IFERROR(INDEX(KRI_KRI_ID,_xlfn.AGGREGATE(15,6,(ROW(KRI_KRI_ID)-5)/((KRI_Ciclo_Definizione=KRI_Ciclo)*(KRI_KRI_ID&lt;&gt;"")),71)),"")</f>
        <v/>
      </c>
    </row>
    <row r="83">
      <c r="AB83">
        <f>IFERROR(INDEX(KRI_KRI_ID,_xlfn.AGGREGATE(15,6,(ROW(KRI_KRI_ID)-5)/((KRI_Ciclo_Definizione=KRI_Ciclo)*(KRI_KRI_ID&lt;&gt;"")),72)),"")</f>
        <v/>
      </c>
    </row>
    <row r="84">
      <c r="AB84">
        <f>IFERROR(INDEX(KRI_KRI_ID,_xlfn.AGGREGATE(15,6,(ROW(KRI_KRI_ID)-5)/((KRI_Ciclo_Definizione=KRI_Ciclo)*(KRI_KRI_ID&lt;&gt;"")),73)),"")</f>
        <v/>
      </c>
    </row>
    <row r="85">
      <c r="AB85">
        <f>IFERROR(INDEX(KRI_KRI_ID,_xlfn.AGGREGATE(15,6,(ROW(KRI_KRI_ID)-5)/((KRI_Ciclo_Definizione=KRI_Ciclo)*(KRI_KRI_ID&lt;&gt;"")),74)),"")</f>
        <v/>
      </c>
    </row>
    <row r="86">
      <c r="AB86">
        <f>IFERROR(INDEX(KRI_KRI_ID,_xlfn.AGGREGATE(15,6,(ROW(KRI_KRI_ID)-5)/((KRI_Ciclo_Definizione=KRI_Ciclo)*(KRI_KRI_ID&lt;&gt;"")),75)),"")</f>
        <v/>
      </c>
    </row>
    <row r="87">
      <c r="AB87">
        <f>IFERROR(INDEX(KRI_KRI_ID,_xlfn.AGGREGATE(15,6,(ROW(KRI_KRI_ID)-5)/((KRI_Ciclo_Definizione=KRI_Ciclo)*(KRI_KRI_ID&lt;&gt;"")),76)),"")</f>
        <v/>
      </c>
    </row>
    <row r="88">
      <c r="AB88">
        <f>IFERROR(INDEX(KRI_KRI_ID,_xlfn.AGGREGATE(15,6,(ROW(KRI_KRI_ID)-5)/((KRI_Ciclo_Definizione=KRI_Ciclo)*(KRI_KRI_ID&lt;&gt;"")),77)),"")</f>
        <v/>
      </c>
    </row>
    <row r="89">
      <c r="AB89">
        <f>IFERROR(INDEX(KRI_KRI_ID,_xlfn.AGGREGATE(15,6,(ROW(KRI_KRI_ID)-5)/((KRI_Ciclo_Definizione=KRI_Ciclo)*(KRI_KRI_ID&lt;&gt;"")),78)),"")</f>
        <v/>
      </c>
    </row>
    <row r="90">
      <c r="AB90">
        <f>IFERROR(INDEX(KRI_KRI_ID,_xlfn.AGGREGATE(15,6,(ROW(KRI_KRI_ID)-5)/((KRI_Ciclo_Definizione=KRI_Ciclo)*(KRI_KRI_ID&lt;&gt;"")),79)),"")</f>
        <v/>
      </c>
    </row>
    <row r="91">
      <c r="AB91">
        <f>IFERROR(INDEX(KRI_KRI_ID,_xlfn.AGGREGATE(15,6,(ROW(KRI_KRI_ID)-5)/((KRI_Ciclo_Definizione=KRI_Ciclo)*(KRI_KRI_ID&lt;&gt;"")),80)),"")</f>
        <v/>
      </c>
    </row>
    <row r="92">
      <c r="AB92">
        <f>IFERROR(INDEX(KRI_KRI_ID,_xlfn.AGGREGATE(15,6,(ROW(KRI_KRI_ID)-5)/((KRI_Ciclo_Definizione=KRI_Ciclo)*(KRI_KRI_ID&lt;&gt;"")),81)),"")</f>
        <v/>
      </c>
    </row>
    <row r="93">
      <c r="AB93">
        <f>IFERROR(INDEX(KRI_KRI_ID,_xlfn.AGGREGATE(15,6,(ROW(KRI_KRI_ID)-5)/((KRI_Ciclo_Definizione=KRI_Ciclo)*(KRI_KRI_ID&lt;&gt;"")),82)),"")</f>
        <v/>
      </c>
    </row>
    <row r="94">
      <c r="AB94">
        <f>IFERROR(INDEX(KRI_KRI_ID,_xlfn.AGGREGATE(15,6,(ROW(KRI_KRI_ID)-5)/((KRI_Ciclo_Definizione=KRI_Ciclo)*(KRI_KRI_ID&lt;&gt;"")),83)),"")</f>
        <v/>
      </c>
    </row>
    <row r="95">
      <c r="AB95">
        <f>IFERROR(INDEX(KRI_KRI_ID,_xlfn.AGGREGATE(15,6,(ROW(KRI_KRI_ID)-5)/((KRI_Ciclo_Definizione=KRI_Ciclo)*(KRI_KRI_ID&lt;&gt;"")),84)),"")</f>
        <v/>
      </c>
    </row>
    <row r="96">
      <c r="AB96">
        <f>IFERROR(INDEX(KRI_KRI_ID,_xlfn.AGGREGATE(15,6,(ROW(KRI_KRI_ID)-5)/((KRI_Ciclo_Definizione=KRI_Ciclo)*(KRI_KRI_ID&lt;&gt;"")),85)),"")</f>
        <v/>
      </c>
    </row>
    <row r="97">
      <c r="AB97">
        <f>IFERROR(INDEX(KRI_KRI_ID,_xlfn.AGGREGATE(15,6,(ROW(KRI_KRI_ID)-5)/((KRI_Ciclo_Definizione=KRI_Ciclo)*(KRI_KRI_ID&lt;&gt;"")),86)),"")</f>
        <v/>
      </c>
    </row>
    <row r="98">
      <c r="AB98">
        <f>IFERROR(INDEX(KRI_KRI_ID,_xlfn.AGGREGATE(15,6,(ROW(KRI_KRI_ID)-5)/((KRI_Ciclo_Definizione=KRI_Ciclo)*(KRI_KRI_ID&lt;&gt;"")),87)),"")</f>
        <v/>
      </c>
    </row>
    <row r="99">
      <c r="AB99">
        <f>IFERROR(INDEX(KRI_KRI_ID,_xlfn.AGGREGATE(15,6,(ROW(KRI_KRI_ID)-5)/((KRI_Ciclo_Definizione=KRI_Ciclo)*(KRI_KRI_ID&lt;&gt;"")),88)),"")</f>
        <v/>
      </c>
    </row>
    <row r="100">
      <c r="AB100">
        <f>IFERROR(INDEX(KRI_KRI_ID,_xlfn.AGGREGATE(15,6,(ROW(KRI_KRI_ID)-5)/((KRI_Ciclo_Definizione=KRI_Ciclo)*(KRI_KRI_ID&lt;&gt;"")),89)),"")</f>
        <v/>
      </c>
    </row>
    <row r="101">
      <c r="AB101">
        <f>IFERROR(INDEX(KRI_KRI_ID,_xlfn.AGGREGATE(15,6,(ROW(KRI_KRI_ID)-5)/((KRI_Ciclo_Definizione=KRI_Ciclo)*(KRI_KRI_ID&lt;&gt;"")),90)),"")</f>
        <v/>
      </c>
    </row>
    <row r="102">
      <c r="AB102">
        <f>IFERROR(INDEX(KRI_KRI_ID,_xlfn.AGGREGATE(15,6,(ROW(KRI_KRI_ID)-5)/((KRI_Ciclo_Definizione=KRI_Ciclo)*(KRI_KRI_ID&lt;&gt;"")),91)),"")</f>
        <v/>
      </c>
    </row>
    <row r="103">
      <c r="AB103">
        <f>IFERROR(INDEX(KRI_KRI_ID,_xlfn.AGGREGATE(15,6,(ROW(KRI_KRI_ID)-5)/((KRI_Ciclo_Definizione=KRI_Ciclo)*(KRI_KRI_ID&lt;&gt;"")),92)),"")</f>
        <v/>
      </c>
    </row>
    <row r="104">
      <c r="AB104">
        <f>IFERROR(INDEX(KRI_KRI_ID,_xlfn.AGGREGATE(15,6,(ROW(KRI_KRI_ID)-5)/((KRI_Ciclo_Definizione=KRI_Ciclo)*(KRI_KRI_ID&lt;&gt;"")),93)),"")</f>
        <v/>
      </c>
    </row>
    <row r="105">
      <c r="AB105">
        <f>IFERROR(INDEX(KRI_KRI_ID,_xlfn.AGGREGATE(15,6,(ROW(KRI_KRI_ID)-5)/((KRI_Ciclo_Definizione=KRI_Ciclo)*(KRI_KRI_ID&lt;&gt;"")),94)),"")</f>
        <v/>
      </c>
    </row>
    <row r="106">
      <c r="AB106">
        <f>IFERROR(INDEX(KRI_KRI_ID,_xlfn.AGGREGATE(15,6,(ROW(KRI_KRI_ID)-5)/((KRI_Ciclo_Definizione=KRI_Ciclo)*(KRI_KRI_ID&lt;&gt;"")),95)),"")</f>
        <v/>
      </c>
    </row>
    <row r="107">
      <c r="AB107">
        <f>IFERROR(INDEX(KRI_KRI_ID,_xlfn.AGGREGATE(15,6,(ROW(KRI_KRI_ID)-5)/((KRI_Ciclo_Definizione=KRI_Ciclo)*(KRI_KRI_ID&lt;&gt;"")),96)),"")</f>
        <v/>
      </c>
    </row>
    <row r="108">
      <c r="AB108">
        <f>IFERROR(INDEX(KRI_KRI_ID,_xlfn.AGGREGATE(15,6,(ROW(KRI_KRI_ID)-5)/((KRI_Ciclo_Definizione=KRI_Ciclo)*(KRI_KRI_ID&lt;&gt;"")),97)),"")</f>
        <v/>
      </c>
    </row>
    <row r="109">
      <c r="AB109">
        <f>IFERROR(INDEX(KRI_KRI_ID,_xlfn.AGGREGATE(15,6,(ROW(KRI_KRI_ID)-5)/((KRI_Ciclo_Definizione=KRI_Ciclo)*(KRI_KRI_ID&lt;&gt;"")),98)),"")</f>
        <v/>
      </c>
    </row>
    <row r="110">
      <c r="AB110">
        <f>IFERROR(INDEX(KRI_KRI_ID,_xlfn.AGGREGATE(15,6,(ROW(KRI_KRI_ID)-5)/((KRI_Ciclo_Definizione=KRI_Ciclo)*(KRI_KRI_ID&lt;&gt;"")),99)),"")</f>
        <v/>
      </c>
    </row>
    <row r="111">
      <c r="AB111">
        <f>IFERROR(INDEX(KRI_KRI_ID,_xlfn.AGGREGATE(15,6,(ROW(KRI_KRI_ID)-5)/((KRI_Ciclo_Definizione=KRI_Ciclo)*(KRI_KRI_ID&lt;&gt;"")),100)),"")</f>
        <v/>
      </c>
    </row>
    <row r="112">
      <c r="AB112">
        <f>IFERROR(INDEX(KRI_KRI_ID,_xlfn.AGGREGATE(15,6,(ROW(KRI_KRI_ID)-5)/((KRI_Ciclo_Definizione=KRI_Ciclo)*(KRI_KRI_ID&lt;&gt;"")),101)),"")</f>
        <v/>
      </c>
    </row>
    <row r="113">
      <c r="AB113">
        <f>IFERROR(INDEX(KRI_KRI_ID,_xlfn.AGGREGATE(15,6,(ROW(KRI_KRI_ID)-5)/((KRI_Ciclo_Definizione=KRI_Ciclo)*(KRI_KRI_ID&lt;&gt;"")),102)),"")</f>
        <v/>
      </c>
    </row>
    <row r="114">
      <c r="AB114">
        <f>IFERROR(INDEX(KRI_KRI_ID,_xlfn.AGGREGATE(15,6,(ROW(KRI_KRI_ID)-5)/((KRI_Ciclo_Definizione=KRI_Ciclo)*(KRI_KRI_ID&lt;&gt;"")),103)),"")</f>
        <v/>
      </c>
    </row>
    <row r="115">
      <c r="AB115">
        <f>IFERROR(INDEX(KRI_KRI_ID,_xlfn.AGGREGATE(15,6,(ROW(KRI_KRI_ID)-5)/((KRI_Ciclo_Definizione=KRI_Ciclo)*(KRI_KRI_ID&lt;&gt;"")),104)),"")</f>
        <v/>
      </c>
    </row>
    <row r="116">
      <c r="AB116">
        <f>IFERROR(INDEX(KRI_KRI_ID,_xlfn.AGGREGATE(15,6,(ROW(KRI_KRI_ID)-5)/((KRI_Ciclo_Definizione=KRI_Ciclo)*(KRI_KRI_ID&lt;&gt;"")),105)),"")</f>
        <v/>
      </c>
    </row>
    <row r="117">
      <c r="AB117">
        <f>IFERROR(INDEX(KRI_KRI_ID,_xlfn.AGGREGATE(15,6,(ROW(KRI_KRI_ID)-5)/((KRI_Ciclo_Definizione=KRI_Ciclo)*(KRI_KRI_ID&lt;&gt;"")),106)),"")</f>
        <v/>
      </c>
    </row>
    <row r="118">
      <c r="AB118">
        <f>IFERROR(INDEX(KRI_KRI_ID,_xlfn.AGGREGATE(15,6,(ROW(KRI_KRI_ID)-5)/((KRI_Ciclo_Definizione=KRI_Ciclo)*(KRI_KRI_ID&lt;&gt;"")),107)),"")</f>
        <v/>
      </c>
    </row>
    <row r="119">
      <c r="AB119">
        <f>IFERROR(INDEX(KRI_KRI_ID,_xlfn.AGGREGATE(15,6,(ROW(KRI_KRI_ID)-5)/((KRI_Ciclo_Definizione=KRI_Ciclo)*(KRI_KRI_ID&lt;&gt;"")),108)),"")</f>
        <v/>
      </c>
    </row>
    <row r="120">
      <c r="AB120">
        <f>IFERROR(INDEX(KRI_KRI_ID,_xlfn.AGGREGATE(15,6,(ROW(KRI_KRI_ID)-5)/((KRI_Ciclo_Definizione=KRI_Ciclo)*(KRI_KRI_ID&lt;&gt;"")),109)),"")</f>
        <v/>
      </c>
    </row>
    <row r="121">
      <c r="AB121">
        <f>IFERROR(INDEX(KRI_KRI_ID,_xlfn.AGGREGATE(15,6,(ROW(KRI_KRI_ID)-5)/((KRI_Ciclo_Definizione=KRI_Ciclo)*(KRI_KRI_ID&lt;&gt;"")),110)),"")</f>
        <v/>
      </c>
    </row>
    <row r="122">
      <c r="AB122">
        <f>IFERROR(INDEX(KRI_KRI_ID,_xlfn.AGGREGATE(15,6,(ROW(KRI_KRI_ID)-5)/((KRI_Ciclo_Definizione=KRI_Ciclo)*(KRI_KRI_ID&lt;&gt;"")),111)),"")</f>
        <v/>
      </c>
    </row>
    <row r="123">
      <c r="AB123">
        <f>IFERROR(INDEX(KRI_KRI_ID,_xlfn.AGGREGATE(15,6,(ROW(KRI_KRI_ID)-5)/((KRI_Ciclo_Definizione=KRI_Ciclo)*(KRI_KRI_ID&lt;&gt;"")),112)),"")</f>
        <v/>
      </c>
    </row>
    <row r="124">
      <c r="AB124">
        <f>IFERROR(INDEX(KRI_KRI_ID,_xlfn.AGGREGATE(15,6,(ROW(KRI_KRI_ID)-5)/((KRI_Ciclo_Definizione=KRI_Ciclo)*(KRI_KRI_ID&lt;&gt;"")),113)),"")</f>
        <v/>
      </c>
    </row>
    <row r="125">
      <c r="AB125">
        <f>IFERROR(INDEX(KRI_KRI_ID,_xlfn.AGGREGATE(15,6,(ROW(KRI_KRI_ID)-5)/((KRI_Ciclo_Definizione=KRI_Ciclo)*(KRI_KRI_ID&lt;&gt;"")),114)),"")</f>
        <v/>
      </c>
    </row>
    <row r="126">
      <c r="AB126">
        <f>IFERROR(INDEX(KRI_KRI_ID,_xlfn.AGGREGATE(15,6,(ROW(KRI_KRI_ID)-5)/((KRI_Ciclo_Definizione=KRI_Ciclo)*(KRI_KRI_ID&lt;&gt;"")),115)),"")</f>
        <v/>
      </c>
    </row>
    <row r="127">
      <c r="AB127">
        <f>IFERROR(INDEX(KRI_KRI_ID,_xlfn.AGGREGATE(15,6,(ROW(KRI_KRI_ID)-5)/((KRI_Ciclo_Definizione=KRI_Ciclo)*(KRI_KRI_ID&lt;&gt;"")),116)),"")</f>
        <v/>
      </c>
    </row>
    <row r="128">
      <c r="AB128">
        <f>IFERROR(INDEX(KRI_KRI_ID,_xlfn.AGGREGATE(15,6,(ROW(KRI_KRI_ID)-5)/((KRI_Ciclo_Definizione=KRI_Ciclo)*(KRI_KRI_ID&lt;&gt;"")),117)),"")</f>
        <v/>
      </c>
    </row>
    <row r="129">
      <c r="AB129">
        <f>IFERROR(INDEX(KRI_KRI_ID,_xlfn.AGGREGATE(15,6,(ROW(KRI_KRI_ID)-5)/((KRI_Ciclo_Definizione=KRI_Ciclo)*(KRI_KRI_ID&lt;&gt;"")),118)),"")</f>
        <v/>
      </c>
    </row>
    <row r="130">
      <c r="AB130">
        <f>IFERROR(INDEX(KRI_KRI_ID,_xlfn.AGGREGATE(15,6,(ROW(KRI_KRI_ID)-5)/((KRI_Ciclo_Definizione=KRI_Ciclo)*(KRI_KRI_ID&lt;&gt;"")),119)),"")</f>
        <v/>
      </c>
    </row>
    <row r="131">
      <c r="AB131">
        <f>IFERROR(INDEX(KRI_KRI_ID,_xlfn.AGGREGATE(15,6,(ROW(KRI_KRI_ID)-5)/((KRI_Ciclo_Definizione=KRI_Ciclo)*(KRI_KRI_ID&lt;&gt;"")),120)),"")</f>
        <v/>
      </c>
    </row>
    <row r="132">
      <c r="AB132">
        <f>IFERROR(INDEX(KRI_KRI_ID,_xlfn.AGGREGATE(15,6,(ROW(KRI_KRI_ID)-5)/((KRI_Ciclo_Definizione=KRI_Ciclo)*(KRI_KRI_ID&lt;&gt;"")),121)),"")</f>
        <v/>
      </c>
    </row>
    <row r="133">
      <c r="AB133">
        <f>IFERROR(INDEX(KRI_KRI_ID,_xlfn.AGGREGATE(15,6,(ROW(KRI_KRI_ID)-5)/((KRI_Ciclo_Definizione=KRI_Ciclo)*(KRI_KRI_ID&lt;&gt;"")),122)),"")</f>
        <v/>
      </c>
    </row>
    <row r="134">
      <c r="AB134">
        <f>IFERROR(INDEX(KRI_KRI_ID,_xlfn.AGGREGATE(15,6,(ROW(KRI_KRI_ID)-5)/((KRI_Ciclo_Definizione=KRI_Ciclo)*(KRI_KRI_ID&lt;&gt;"")),123)),"")</f>
        <v/>
      </c>
    </row>
    <row r="135">
      <c r="AB135">
        <f>IFERROR(INDEX(KRI_KRI_ID,_xlfn.AGGREGATE(15,6,(ROW(KRI_KRI_ID)-5)/((KRI_Ciclo_Definizione=KRI_Ciclo)*(KRI_KRI_ID&lt;&gt;"")),124)),"")</f>
        <v/>
      </c>
    </row>
    <row r="136">
      <c r="AB136">
        <f>IFERROR(INDEX(KRI_KRI_ID,_xlfn.AGGREGATE(15,6,(ROW(KRI_KRI_ID)-5)/((KRI_Ciclo_Definizione=KRI_Ciclo)*(KRI_KRI_ID&lt;&gt;"")),125)),"")</f>
        <v/>
      </c>
    </row>
    <row r="137">
      <c r="AB137">
        <f>IFERROR(INDEX(KRI_KRI_ID,_xlfn.AGGREGATE(15,6,(ROW(KRI_KRI_ID)-5)/((KRI_Ciclo_Definizione=KRI_Ciclo)*(KRI_KRI_ID&lt;&gt;"")),126)),"")</f>
        <v/>
      </c>
    </row>
    <row r="138">
      <c r="AB138">
        <f>IFERROR(INDEX(KRI_KRI_ID,_xlfn.AGGREGATE(15,6,(ROW(KRI_KRI_ID)-5)/((KRI_Ciclo_Definizione=KRI_Ciclo)*(KRI_KRI_ID&lt;&gt;"")),127)),"")</f>
        <v/>
      </c>
    </row>
    <row r="139">
      <c r="AB139">
        <f>IFERROR(INDEX(KRI_KRI_ID,_xlfn.AGGREGATE(15,6,(ROW(KRI_KRI_ID)-5)/((KRI_Ciclo_Definizione=KRI_Ciclo)*(KRI_KRI_ID&lt;&gt;"")),128)),"")</f>
        <v/>
      </c>
    </row>
    <row r="140">
      <c r="AB140">
        <f>IFERROR(INDEX(KRI_KRI_ID,_xlfn.AGGREGATE(15,6,(ROW(KRI_KRI_ID)-5)/((KRI_Ciclo_Definizione=KRI_Ciclo)*(KRI_KRI_ID&lt;&gt;"")),129)),"")</f>
        <v/>
      </c>
    </row>
    <row r="141">
      <c r="AB141">
        <f>IFERROR(INDEX(KRI_KRI_ID,_xlfn.AGGREGATE(15,6,(ROW(KRI_KRI_ID)-5)/((KRI_Ciclo_Definizione=KRI_Ciclo)*(KRI_KRI_ID&lt;&gt;"")),130)),"")</f>
        <v/>
      </c>
    </row>
    <row r="142">
      <c r="AB142">
        <f>IFERROR(INDEX(KRI_KRI_ID,_xlfn.AGGREGATE(15,6,(ROW(KRI_KRI_ID)-5)/((KRI_Ciclo_Definizione=KRI_Ciclo)*(KRI_KRI_ID&lt;&gt;"")),131)),"")</f>
        <v/>
      </c>
    </row>
    <row r="143">
      <c r="AB143">
        <f>IFERROR(INDEX(KRI_KRI_ID,_xlfn.AGGREGATE(15,6,(ROW(KRI_KRI_ID)-5)/((KRI_Ciclo_Definizione=KRI_Ciclo)*(KRI_KRI_ID&lt;&gt;"")),132)),"")</f>
        <v/>
      </c>
    </row>
    <row r="144">
      <c r="AB144">
        <f>IFERROR(INDEX(KRI_KRI_ID,_xlfn.AGGREGATE(15,6,(ROW(KRI_KRI_ID)-5)/((KRI_Ciclo_Definizione=KRI_Ciclo)*(KRI_KRI_ID&lt;&gt;"")),133)),"")</f>
        <v/>
      </c>
    </row>
    <row r="145">
      <c r="AB145">
        <f>IFERROR(INDEX(KRI_KRI_ID,_xlfn.AGGREGATE(15,6,(ROW(KRI_KRI_ID)-5)/((KRI_Ciclo_Definizione=KRI_Ciclo)*(KRI_KRI_ID&lt;&gt;"")),134)),"")</f>
        <v/>
      </c>
    </row>
    <row r="146">
      <c r="AB146">
        <f>IFERROR(INDEX(KRI_KRI_ID,_xlfn.AGGREGATE(15,6,(ROW(KRI_KRI_ID)-5)/((KRI_Ciclo_Definizione=KRI_Ciclo)*(KRI_KRI_ID&lt;&gt;"")),135)),"")</f>
        <v/>
      </c>
    </row>
    <row r="147">
      <c r="AB147">
        <f>IFERROR(INDEX(KRI_KRI_ID,_xlfn.AGGREGATE(15,6,(ROW(KRI_KRI_ID)-5)/((KRI_Ciclo_Definizione=KRI_Ciclo)*(KRI_KRI_ID&lt;&gt;"")),136)),"")</f>
        <v/>
      </c>
    </row>
    <row r="148">
      <c r="AB148">
        <f>IFERROR(INDEX(KRI_KRI_ID,_xlfn.AGGREGATE(15,6,(ROW(KRI_KRI_ID)-5)/((KRI_Ciclo_Definizione=KRI_Ciclo)*(KRI_KRI_ID&lt;&gt;"")),137)),"")</f>
        <v/>
      </c>
    </row>
    <row r="149">
      <c r="AB149">
        <f>IFERROR(INDEX(KRI_KRI_ID,_xlfn.AGGREGATE(15,6,(ROW(KRI_KRI_ID)-5)/((KRI_Ciclo_Definizione=KRI_Ciclo)*(KRI_KRI_ID&lt;&gt;"")),138)),"")</f>
        <v/>
      </c>
    </row>
    <row r="150">
      <c r="AB150">
        <f>IFERROR(INDEX(KRI_KRI_ID,_xlfn.AGGREGATE(15,6,(ROW(KRI_KRI_ID)-5)/((KRI_Ciclo_Definizione=KRI_Ciclo)*(KRI_KRI_ID&lt;&gt;"")),139)),"")</f>
        <v/>
      </c>
    </row>
    <row r="151">
      <c r="AB151">
        <f>IFERROR(INDEX(KRI_KRI_ID,_xlfn.AGGREGATE(15,6,(ROW(KRI_KRI_ID)-5)/((KRI_Ciclo_Definizione=KRI_Ciclo)*(KRI_KRI_ID&lt;&gt;"")),140)),"")</f>
        <v/>
      </c>
    </row>
    <row r="152">
      <c r="AB152">
        <f>IFERROR(INDEX(KRI_KRI_ID,_xlfn.AGGREGATE(15,6,(ROW(KRI_KRI_ID)-5)/((KRI_Ciclo_Definizione=KRI_Ciclo)*(KRI_KRI_ID&lt;&gt;"")),141)),"")</f>
        <v/>
      </c>
    </row>
    <row r="153">
      <c r="AB153">
        <f>IFERROR(INDEX(KRI_KRI_ID,_xlfn.AGGREGATE(15,6,(ROW(KRI_KRI_ID)-5)/((KRI_Ciclo_Definizione=KRI_Ciclo)*(KRI_KRI_ID&lt;&gt;"")),142)),"")</f>
        <v/>
      </c>
    </row>
    <row r="154">
      <c r="AB154">
        <f>IFERROR(INDEX(KRI_KRI_ID,_xlfn.AGGREGATE(15,6,(ROW(KRI_KRI_ID)-5)/((KRI_Ciclo_Definizione=KRI_Ciclo)*(KRI_KRI_ID&lt;&gt;"")),143)),"")</f>
        <v/>
      </c>
    </row>
    <row r="155">
      <c r="AB155">
        <f>IFERROR(INDEX(KRI_KRI_ID,_xlfn.AGGREGATE(15,6,(ROW(KRI_KRI_ID)-5)/((KRI_Ciclo_Definizione=KRI_Ciclo)*(KRI_KRI_ID&lt;&gt;"")),144)),"")</f>
        <v/>
      </c>
    </row>
    <row r="156">
      <c r="AB156">
        <f>IFERROR(INDEX(KRI_KRI_ID,_xlfn.AGGREGATE(15,6,(ROW(KRI_KRI_ID)-5)/((KRI_Ciclo_Definizione=KRI_Ciclo)*(KRI_KRI_ID&lt;&gt;"")),145)),"")</f>
        <v/>
      </c>
    </row>
    <row r="157">
      <c r="AB157">
        <f>IFERROR(INDEX(KRI_KRI_ID,_xlfn.AGGREGATE(15,6,(ROW(KRI_KRI_ID)-5)/((KRI_Ciclo_Definizione=KRI_Ciclo)*(KRI_KRI_ID&lt;&gt;"")),146)),"")</f>
        <v/>
      </c>
    </row>
    <row r="158">
      <c r="AB158">
        <f>IFERROR(INDEX(KRI_KRI_ID,_xlfn.AGGREGATE(15,6,(ROW(KRI_KRI_ID)-5)/((KRI_Ciclo_Definizione=KRI_Ciclo)*(KRI_KRI_ID&lt;&gt;"")),147)),"")</f>
        <v/>
      </c>
    </row>
    <row r="159">
      <c r="AB159">
        <f>IFERROR(INDEX(KRI_KRI_ID,_xlfn.AGGREGATE(15,6,(ROW(KRI_KRI_ID)-5)/((KRI_Ciclo_Definizione=KRI_Ciclo)*(KRI_KRI_ID&lt;&gt;"")),148)),"")</f>
        <v/>
      </c>
    </row>
    <row r="160">
      <c r="AB160">
        <f>IFERROR(INDEX(KRI_KRI_ID,_xlfn.AGGREGATE(15,6,(ROW(KRI_KRI_ID)-5)/((KRI_Ciclo_Definizione=KRI_Ciclo)*(KRI_KRI_ID&lt;&gt;"")),149)),"")</f>
        <v/>
      </c>
    </row>
    <row r="161">
      <c r="AB161">
        <f>IFERROR(INDEX(KRI_KRI_ID,_xlfn.AGGREGATE(15,6,(ROW(KRI_KRI_ID)-5)/((KRI_Ciclo_Definizione=KRI_Ciclo)*(KRI_KRI_ID&lt;&gt;"")),150)),"")</f>
        <v/>
      </c>
    </row>
  </sheetData>
  <mergeCells count="2">
    <mergeCell ref="A1:U1"/>
    <mergeCell ref="A2:T2"/>
  </mergeCells>
  <conditionalFormatting sqref="I7:I66">
    <cfRule type="expression" priority="1" dxfId="15">
      <formula>I7="Rosso"</formula>
    </cfRule>
    <cfRule type="expression" priority="2" dxfId="19">
      <formula>I7="Ambra"</formula>
    </cfRule>
    <cfRule type="expression" priority="3" dxfId="20">
      <formula>I7="Verde"</formula>
    </cfRule>
    <cfRule type="expression" priority="4" dxfId="15">
      <formula>I7="SOGLIE INVERTITE — correggere"</formula>
    </cfRule>
    <cfRule type="expression" priority="5" dxfId="1">
      <formula>I7="Soglie da definire"</formula>
    </cfRule>
  </conditionalFormatting>
  <conditionalFormatting sqref="K7:K66">
    <cfRule type="expression" priority="6" dxfId="30">
      <formula>LEFT(K7,1)="▲"</formula>
    </cfRule>
    <cfRule type="expression" priority="7" dxfId="31">
      <formula>LEFT(K7,1)="▼"</formula>
    </cfRule>
  </conditionalFormatting>
  <conditionalFormatting sqref="N12:P19">
    <cfRule type="expression" priority="8" dxfId="11">
      <formula>ISNA(N12)</formula>
    </cfRule>
  </conditionalFormatting>
  <conditionalFormatting sqref="Q12:Q19">
    <cfRule type="expression" priority="9" dxfId="15">
      <formula>Q12="Rosso"</formula>
    </cfRule>
    <cfRule type="expression" priority="10" dxfId="19">
      <formula>Q12="Ambra"</formula>
    </cfRule>
    <cfRule type="expression" priority="11" dxfId="20">
      <formula>Q12="Verde"</formula>
    </cfRule>
    <cfRule type="expression" priority="12" dxfId="15">
      <formula>Q12="SOGLIE INVERTITE — correggere"</formula>
    </cfRule>
    <cfRule type="expression" priority="13" dxfId="1">
      <formula>Q12="Soglie da definire"</formula>
    </cfRule>
  </conditionalFormatting>
  <dataValidations count="1">
    <dataValidation sqref="N4" showDropDown="0" showInputMessage="0" showErrorMessage="0" allowBlank="1" type="list">
      <formula1>=elencoKRI</formula1>
    </dataValidation>
  </dataValidation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tabColor rgb="002E75B6"/>
    <outlinePr summaryBelow="1" summaryRight="1"/>
    <pageSetUpPr/>
  </sheetPr>
  <dimension ref="A1:S32"/>
  <sheetViews>
    <sheetView showGridLines="0" workbookViewId="0">
      <selection activeCell="A1" sqref="A1"/>
    </sheetView>
  </sheetViews>
  <sheetFormatPr baseColWidth="8" defaultRowHeight="15"/>
  <cols>
    <col width="12" customWidth="1" min="1" max="1"/>
    <col width="50" customWidth="1" min="2" max="2"/>
    <col width="16" customWidth="1" min="3" max="3"/>
    <col width="16" customWidth="1" min="4" max="4"/>
    <col width="14" customWidth="1" min="5" max="5"/>
    <col width="24" customWidth="1" min="6" max="6"/>
    <col width="12" customWidth="1" min="7" max="7"/>
    <col width="12" customWidth="1" min="8" max="8"/>
    <col width="12" customWidth="1" min="9" max="9"/>
    <col width="40" customWidth="1" min="10" max="10"/>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s>
  <sheetData>
    <row r="1" ht="28" customHeight="1">
      <c r="A1" s="1">
        <f>"Horizon Scan NFR — Notizie: pressione sulle categorie di rischio   ·   "&amp;etichettaCiclo</f>
        <v/>
      </c>
      <c r="B1" s="2" t="n"/>
      <c r="C1" s="2" t="n"/>
      <c r="D1" s="2" t="n"/>
      <c r="E1" s="2" t="n"/>
      <c r="F1" s="2" t="n"/>
      <c r="G1" s="2" t="n"/>
      <c r="H1" s="2" t="n"/>
      <c r="I1" s="2" t="n"/>
      <c r="J1" s="2" t="n"/>
    </row>
    <row r="2" ht="59" customHeight="1">
      <c r="A2" s="119" t="inlineStr">
        <is>
          <r>
            <rPr>
              <rFont val="Calibri"/>
              <b val="1"/>
              <color rgb="00375623"/>
              <sz val="10"/>
            </rPr>
            <t>CICLO SETTIMANALE — solo formule sulle notizie delle ultime 4 settimane (foglio NewsLog, scritto dopo A3).</t>
          </r>
          <r>
            <rPr>
              <rFont val="Calibri"/>
              <color rgb="00262626"/>
              <sz val="10"/>
            </rPr>
            <t xml:space="preserve">
Per categoria quante notizie e quanto forti. AREA NON PRESIDIATA = notizie di intensita' 2 o piu' su una categoria senza rischi nel registro: tema da portare al prossimo ciclo trimestrale; In osservazione = nessun rischio nel radar, almeno uno in osservazione (D-79). Le notizie non cambiano score. A destra la sintesi di A3 della settimana corrente e i flag proposti, anche sui rischi in osservazione (foglio Sintesi_Settimane, D-66, D-79); in rosso la proposta di ciclo straordinario (D-75). A4 (pareri su richiesta) non scrive nel workbook.</t>
          </r>
        </is>
      </c>
    </row>
    <row r="4" ht="30" customHeight="1">
      <c r="A4" s="57" t="inlineStr">
        <is>
          <t>Codice</t>
        </is>
      </c>
      <c r="B4" s="57" t="inlineStr">
        <is>
          <t>Categoria</t>
        </is>
      </c>
      <c r="C4" s="57" t="inlineStr">
        <is>
          <t>Intensita' max 4 sett. (0-3)</t>
        </is>
      </c>
      <c r="D4" s="57" t="inlineStr">
        <is>
          <t>Notizie con intensita' &gt;= 2</t>
        </is>
      </c>
      <c r="E4" s="57" t="inlineStr">
        <is>
          <t>Rischi in anagrafica</t>
        </is>
      </c>
      <c r="F4" s="57" t="inlineStr">
        <is>
          <t>Presidio</t>
        </is>
      </c>
      <c r="G4" s="57" t="inlineStr">
        <is>
          <t>Intensita' 1: nesso indiretto</t>
        </is>
      </c>
      <c r="H4" s="57" t="inlineStr">
        <is>
          <t>Intensita' 2: nesso diretto</t>
        </is>
      </c>
      <c r="I4" s="57" t="inlineStr">
        <is>
          <t>Intensita' 3: diretto e immediato</t>
        </is>
      </c>
      <c r="J4" s="57" t="inlineStr">
        <is>
          <t>Etichetta del grafico</t>
        </is>
      </c>
      <c r="L4" s="98" t="inlineStr">
        <is>
          <t>Sintesi di A3 della settimana corrente</t>
        </is>
      </c>
    </row>
    <row r="5">
      <c r="A5" t="inlineStr">
        <is>
          <t>9.1</t>
        </is>
      </c>
      <c r="B5" t="inlineStr">
        <is>
          <t>Condotta</t>
        </is>
      </c>
      <c r="C5">
        <f>_xlfn.MAXIFS(NW_Imp_9_1,NW_Settimana,"&gt;="&amp;inizioFinestra4,NW_Settimana,"&lt;="&amp;settimanaCorrente)</f>
        <v/>
      </c>
      <c r="D5">
        <f>COUNTIFS(NW_Imp_9_1,"&gt;=2",NW_Settimana,"&gt;="&amp;inizioFinestra4,NW_Settimana,"&lt;="&amp;settimanaCorrente)</f>
        <v/>
      </c>
      <c r="E5">
        <f>COUNTIF(ANA_Event_Type,A5)</f>
        <v/>
      </c>
      <c r="F5">
        <f>IF(E5&gt;0,"Presidiata",IF(COUNTIFS(RR_Ciclo,cicloCorrente,RR_Stato,"Osservazione",RR_Event_Type,A5)&gt;0,"In osservazione",IF(D5&gt;0,"AREA NON PRESIDIATA","Nessun rischio censito")))</f>
        <v/>
      </c>
      <c r="G5">
        <f>COUNTIFS(NW_Imp_9_1,1,NW_Settimana,"&gt;="&amp;inizioFinestra4,NW_Settimana,"&lt;="&amp;settimanaCorrente)</f>
        <v/>
      </c>
      <c r="H5">
        <f>COUNTIFS(NW_Imp_9_1,2,NW_Settimana,"&gt;="&amp;inizioFinestra4,NW_Settimana,"&lt;="&amp;settimanaCorrente)</f>
        <v/>
      </c>
      <c r="I5">
        <f>COUNTIFS(NW_Imp_9_1,3,NW_Settimana,"&gt;="&amp;inizioFinestra4,NW_Settimana,"&lt;="&amp;settimanaCorrente)</f>
        <v/>
      </c>
      <c r="J5">
        <f>IF(F5="AREA NON PRESIDIATA","NON PRESIDIATA ► ","")&amp;A5&amp;" "&amp;B5</f>
        <v/>
      </c>
      <c r="L5" s="120">
        <f>IFERROR(INDEX(SE_Sintesi_A3,MATCH(settimanaCorrente,SE_Settimana,0))&amp;"","Nessuna sintesi di A3 per la settimana corrente.")</f>
        <v/>
      </c>
    </row>
    <row r="6">
      <c r="A6" t="inlineStr">
        <is>
          <t>9.4</t>
        </is>
      </c>
      <c r="B6" t="inlineStr">
        <is>
          <t>Legale</t>
        </is>
      </c>
      <c r="C6">
        <f>_xlfn.MAXIFS(NW_Imp_9_4,NW_Settimana,"&gt;="&amp;inizioFinestra4,NW_Settimana,"&lt;="&amp;settimanaCorrente)</f>
        <v/>
      </c>
      <c r="D6">
        <f>COUNTIFS(NW_Imp_9_4,"&gt;=2",NW_Settimana,"&gt;="&amp;inizioFinestra4,NW_Settimana,"&lt;="&amp;settimanaCorrente)</f>
        <v/>
      </c>
      <c r="E6">
        <f>COUNTIF(ANA_Event_Type,A6)</f>
        <v/>
      </c>
      <c r="F6">
        <f>IF(E6&gt;0,"Presidiata",IF(COUNTIFS(RR_Ciclo,cicloCorrente,RR_Stato,"Osservazione",RR_Event_Type,A6)&gt;0,"In osservazione",IF(D6&gt;0,"AREA NON PRESIDIATA","Nessun rischio censito")))</f>
        <v/>
      </c>
      <c r="G6">
        <f>COUNTIFS(NW_Imp_9_4,1,NW_Settimana,"&gt;="&amp;inizioFinestra4,NW_Settimana,"&lt;="&amp;settimanaCorrente)</f>
        <v/>
      </c>
      <c r="H6">
        <f>COUNTIFS(NW_Imp_9_4,2,NW_Settimana,"&gt;="&amp;inizioFinestra4,NW_Settimana,"&lt;="&amp;settimanaCorrente)</f>
        <v/>
      </c>
      <c r="I6">
        <f>COUNTIFS(NW_Imp_9_4,3,NW_Settimana,"&gt;="&amp;inizioFinestra4,NW_Settimana,"&lt;="&amp;settimanaCorrente)</f>
        <v/>
      </c>
      <c r="J6">
        <f>IF(F6="AREA NON PRESIDIATA","NON PRESIDIATA ► ","")&amp;A6&amp;" "&amp;B6</f>
        <v/>
      </c>
    </row>
    <row r="7">
      <c r="A7" t="inlineStr">
        <is>
          <t>9.5</t>
        </is>
      </c>
      <c r="B7" t="inlineStr">
        <is>
          <t>Fiscale</t>
        </is>
      </c>
      <c r="C7">
        <f>_xlfn.MAXIFS(NW_Imp_9_5,NW_Settimana,"&gt;="&amp;inizioFinestra4,NW_Settimana,"&lt;="&amp;settimanaCorrente)</f>
        <v/>
      </c>
      <c r="D7">
        <f>COUNTIFS(NW_Imp_9_5,"&gt;=2",NW_Settimana,"&gt;="&amp;inizioFinestra4,NW_Settimana,"&lt;="&amp;settimanaCorrente)</f>
        <v/>
      </c>
      <c r="E7">
        <f>COUNTIF(ANA_Event_Type,A7)</f>
        <v/>
      </c>
      <c r="F7">
        <f>IF(E7&gt;0,"Presidiata",IF(COUNTIFS(RR_Ciclo,cicloCorrente,RR_Stato,"Osservazione",RR_Event_Type,A7)&gt;0,"In osservazione",IF(D7&gt;0,"AREA NON PRESIDIATA","Nessun rischio censito")))</f>
        <v/>
      </c>
      <c r="G7">
        <f>COUNTIFS(NW_Imp_9_5,1,NW_Settimana,"&gt;="&amp;inizioFinestra4,NW_Settimana,"&lt;="&amp;settimanaCorrente)</f>
        <v/>
      </c>
      <c r="H7">
        <f>COUNTIFS(NW_Imp_9_5,2,NW_Settimana,"&gt;="&amp;inizioFinestra4,NW_Settimana,"&lt;="&amp;settimanaCorrente)</f>
        <v/>
      </c>
      <c r="I7">
        <f>COUNTIFS(NW_Imp_9_5,3,NW_Settimana,"&gt;="&amp;inizioFinestra4,NW_Settimana,"&lt;="&amp;settimanaCorrente)</f>
        <v/>
      </c>
      <c r="J7">
        <f>IF(F7="AREA NON PRESIDIATA","NON PRESIDIATA ► ","")&amp;A7&amp;" "&amp;B7</f>
        <v/>
      </c>
    </row>
    <row r="8">
      <c r="A8" t="inlineStr">
        <is>
          <t>9.6</t>
        </is>
      </c>
      <c r="B8" t="inlineStr">
        <is>
          <t>Tecnologico</t>
        </is>
      </c>
      <c r="C8">
        <f>_xlfn.MAXIFS(NW_Imp_9_6,NW_Settimana,"&gt;="&amp;inizioFinestra4,NW_Settimana,"&lt;="&amp;settimanaCorrente)</f>
        <v/>
      </c>
      <c r="D8">
        <f>COUNTIFS(NW_Imp_9_6,"&gt;=2",NW_Settimana,"&gt;="&amp;inizioFinestra4,NW_Settimana,"&lt;="&amp;settimanaCorrente)</f>
        <v/>
      </c>
      <c r="E8">
        <f>COUNTIF(ANA_Event_Type,A8)</f>
        <v/>
      </c>
      <c r="F8">
        <f>IF(E8&gt;0,"Presidiata",IF(COUNTIFS(RR_Ciclo,cicloCorrente,RR_Stato,"Osservazione",RR_Event_Type,A8)&gt;0,"In osservazione",IF(D8&gt;0,"AREA NON PRESIDIATA","Nessun rischio censito")))</f>
        <v/>
      </c>
      <c r="G8">
        <f>COUNTIFS(NW_Imp_9_6,1,NW_Settimana,"&gt;="&amp;inizioFinestra4,NW_Settimana,"&lt;="&amp;settimanaCorrente)</f>
        <v/>
      </c>
      <c r="H8">
        <f>COUNTIFS(NW_Imp_9_6,2,NW_Settimana,"&gt;="&amp;inizioFinestra4,NW_Settimana,"&lt;="&amp;settimanaCorrente)</f>
        <v/>
      </c>
      <c r="I8">
        <f>COUNTIFS(NW_Imp_9_6,3,NW_Settimana,"&gt;="&amp;inizioFinestra4,NW_Settimana,"&lt;="&amp;settimanaCorrente)</f>
        <v/>
      </c>
      <c r="J8">
        <f>IF(F8="AREA NON PRESIDIATA","NON PRESIDIATA ► ","")&amp;A8&amp;" "&amp;B8</f>
        <v/>
      </c>
    </row>
    <row r="9">
      <c r="A9" t="inlineStr">
        <is>
          <t>9.7</t>
        </is>
      </c>
      <c r="B9" t="inlineStr">
        <is>
          <t>Sicurezza informatica</t>
        </is>
      </c>
      <c r="C9">
        <f>_xlfn.MAXIFS(NW_Imp_9_7,NW_Settimana,"&gt;="&amp;inizioFinestra4,NW_Settimana,"&lt;="&amp;settimanaCorrente)</f>
        <v/>
      </c>
      <c r="D9">
        <f>COUNTIFS(NW_Imp_9_7,"&gt;=2",NW_Settimana,"&gt;="&amp;inizioFinestra4,NW_Settimana,"&lt;="&amp;settimanaCorrente)</f>
        <v/>
      </c>
      <c r="E9">
        <f>COUNTIF(ANA_Event_Type,A9)</f>
        <v/>
      </c>
      <c r="F9">
        <f>IF(E9&gt;0,"Presidiata",IF(COUNTIFS(RR_Ciclo,cicloCorrente,RR_Stato,"Osservazione",RR_Event_Type,A9)&gt;0,"In osservazione",IF(D9&gt;0,"AREA NON PRESIDIATA","Nessun rischio censito")))</f>
        <v/>
      </c>
      <c r="G9">
        <f>COUNTIFS(NW_Imp_9_7,1,NW_Settimana,"&gt;="&amp;inizioFinestra4,NW_Settimana,"&lt;="&amp;settimanaCorrente)</f>
        <v/>
      </c>
      <c r="H9">
        <f>COUNTIFS(NW_Imp_9_7,2,NW_Settimana,"&gt;="&amp;inizioFinestra4,NW_Settimana,"&lt;="&amp;settimanaCorrente)</f>
        <v/>
      </c>
      <c r="I9">
        <f>COUNTIFS(NW_Imp_9_7,3,NW_Settimana,"&gt;="&amp;inizioFinestra4,NW_Settimana,"&lt;="&amp;settimanaCorrente)</f>
        <v/>
      </c>
      <c r="J9">
        <f>IF(F9="AREA NON PRESIDIATA","NON PRESIDIATA ► ","")&amp;A9&amp;" "&amp;B9</f>
        <v/>
      </c>
    </row>
    <row r="10">
      <c r="A10" t="inlineStr">
        <is>
          <t>9.8</t>
        </is>
      </c>
      <c r="B10" t="inlineStr">
        <is>
          <t>Sicurezza fisica</t>
        </is>
      </c>
      <c r="C10">
        <f>_xlfn.MAXIFS(NW_Imp_9_8,NW_Settimana,"&gt;="&amp;inizioFinestra4,NW_Settimana,"&lt;="&amp;settimanaCorrente)</f>
        <v/>
      </c>
      <c r="D10">
        <f>COUNTIFS(NW_Imp_9_8,"&gt;=2",NW_Settimana,"&gt;="&amp;inizioFinestra4,NW_Settimana,"&lt;="&amp;settimanaCorrente)</f>
        <v/>
      </c>
      <c r="E10">
        <f>COUNTIF(ANA_Event_Type,A10)</f>
        <v/>
      </c>
      <c r="F10">
        <f>IF(E10&gt;0,"Presidiata",IF(COUNTIFS(RR_Ciclo,cicloCorrente,RR_Stato,"Osservazione",RR_Event_Type,A10)&gt;0,"In osservazione",IF(D10&gt;0,"AREA NON PRESIDIATA","Nessun rischio censito")))</f>
        <v/>
      </c>
      <c r="G10">
        <f>COUNTIFS(NW_Imp_9_8,1,NW_Settimana,"&gt;="&amp;inizioFinestra4,NW_Settimana,"&lt;="&amp;settimanaCorrente)</f>
        <v/>
      </c>
      <c r="H10">
        <f>COUNTIFS(NW_Imp_9_8,2,NW_Settimana,"&gt;="&amp;inizioFinestra4,NW_Settimana,"&lt;="&amp;settimanaCorrente)</f>
        <v/>
      </c>
      <c r="I10">
        <f>COUNTIFS(NW_Imp_9_8,3,NW_Settimana,"&gt;="&amp;inizioFinestra4,NW_Settimana,"&lt;="&amp;settimanaCorrente)</f>
        <v/>
      </c>
      <c r="J10">
        <f>IF(F10="AREA NON PRESIDIATA","NON PRESIDIATA ► ","")&amp;A10&amp;" "&amp;B10</f>
        <v/>
      </c>
      <c r="L10" s="98" t="inlineStr">
        <is>
          <t>Flag proposti da A3 (non cambiano score)</t>
        </is>
      </c>
    </row>
    <row r="11">
      <c r="A11" t="inlineStr">
        <is>
          <t>9.9</t>
        </is>
      </c>
      <c r="B11" t="inlineStr">
        <is>
          <t>Terze parti</t>
        </is>
      </c>
      <c r="C11">
        <f>_xlfn.MAXIFS(NW_Imp_9_9,NW_Settimana,"&gt;="&amp;inizioFinestra4,NW_Settimana,"&lt;="&amp;settimanaCorrente)</f>
        <v/>
      </c>
      <c r="D11">
        <f>COUNTIFS(NW_Imp_9_9,"&gt;=2",NW_Settimana,"&gt;="&amp;inizioFinestra4,NW_Settimana,"&lt;="&amp;settimanaCorrente)</f>
        <v/>
      </c>
      <c r="E11">
        <f>COUNTIF(ANA_Event_Type,A11)</f>
        <v/>
      </c>
      <c r="F11">
        <f>IF(E11&gt;0,"Presidiata",IF(COUNTIFS(RR_Ciclo,cicloCorrente,RR_Stato,"Osservazione",RR_Event_Type,A11)&gt;0,"In osservazione",IF(D11&gt;0,"AREA NON PRESIDIATA","Nessun rischio censito")))</f>
        <v/>
      </c>
      <c r="G11">
        <f>COUNTIFS(NW_Imp_9_9,1,NW_Settimana,"&gt;="&amp;inizioFinestra4,NW_Settimana,"&lt;="&amp;settimanaCorrente)</f>
        <v/>
      </c>
      <c r="H11">
        <f>COUNTIFS(NW_Imp_9_9,2,NW_Settimana,"&gt;="&amp;inizioFinestra4,NW_Settimana,"&lt;="&amp;settimanaCorrente)</f>
        <v/>
      </c>
      <c r="I11">
        <f>COUNTIFS(NW_Imp_9_9,3,NW_Settimana,"&gt;="&amp;inizioFinestra4,NW_Settimana,"&lt;="&amp;settimanaCorrente)</f>
        <v/>
      </c>
      <c r="J11">
        <f>IF(F11="AREA NON PRESIDIATA","NON PRESIDIATA ► ","")&amp;A11&amp;" "&amp;B11</f>
        <v/>
      </c>
      <c r="L11" s="120">
        <f>IFERROR(INDEX(SE_Flag_Proposti,MATCH(settimanaCorrente,SE_Settimana,0))&amp;"","—")</f>
        <v/>
      </c>
    </row>
    <row r="12">
      <c r="A12" t="inlineStr">
        <is>
          <t>9.11</t>
        </is>
      </c>
      <c r="B12" t="inlineStr">
        <is>
          <t>Employer</t>
        </is>
      </c>
      <c r="C12">
        <f>_xlfn.MAXIFS(NW_Imp_9_11,NW_Settimana,"&gt;="&amp;inizioFinestra4,NW_Settimana,"&lt;="&amp;settimanaCorrente)</f>
        <v/>
      </c>
      <c r="D12">
        <f>COUNTIFS(NW_Imp_9_11,"&gt;=2",NW_Settimana,"&gt;="&amp;inizioFinestra4,NW_Settimana,"&lt;="&amp;settimanaCorrente)</f>
        <v/>
      </c>
      <c r="E12">
        <f>COUNTIF(ANA_Event_Type,A12)</f>
        <v/>
      </c>
      <c r="F12">
        <f>IF(E12&gt;0,"Presidiata",IF(COUNTIFS(RR_Ciclo,cicloCorrente,RR_Stato,"Osservazione",RR_Event_Type,A12)&gt;0,"In osservazione",IF(D12&gt;0,"AREA NON PRESIDIATA","Nessun rischio censito")))</f>
        <v/>
      </c>
      <c r="G12">
        <f>COUNTIFS(NW_Imp_9_11,1,NW_Settimana,"&gt;="&amp;inizioFinestra4,NW_Settimana,"&lt;="&amp;settimanaCorrente)</f>
        <v/>
      </c>
      <c r="H12">
        <f>COUNTIFS(NW_Imp_9_11,2,NW_Settimana,"&gt;="&amp;inizioFinestra4,NW_Settimana,"&lt;="&amp;settimanaCorrente)</f>
        <v/>
      </c>
      <c r="I12">
        <f>COUNTIFS(NW_Imp_9_11,3,NW_Settimana,"&gt;="&amp;inizioFinestra4,NW_Settimana,"&lt;="&amp;settimanaCorrente)</f>
        <v/>
      </c>
      <c r="J12">
        <f>IF(F12="AREA NON PRESIDIATA","NON PRESIDIATA ► ","")&amp;A12&amp;" "&amp;B12</f>
        <v/>
      </c>
    </row>
    <row r="13">
      <c r="A13" t="inlineStr">
        <is>
          <t>9.13</t>
        </is>
      </c>
      <c r="B13" t="inlineStr">
        <is>
          <t>Processo</t>
        </is>
      </c>
      <c r="C13">
        <f>_xlfn.MAXIFS(NW_Imp_9_13,NW_Settimana,"&gt;="&amp;inizioFinestra4,NW_Settimana,"&lt;="&amp;settimanaCorrente)</f>
        <v/>
      </c>
      <c r="D13">
        <f>COUNTIFS(NW_Imp_9_13,"&gt;=2",NW_Settimana,"&gt;="&amp;inizioFinestra4,NW_Settimana,"&lt;="&amp;settimanaCorrente)</f>
        <v/>
      </c>
      <c r="E13">
        <f>COUNTIF(ANA_Event_Type,A13)</f>
        <v/>
      </c>
      <c r="F13">
        <f>IF(E13&gt;0,"Presidiata",IF(COUNTIFS(RR_Ciclo,cicloCorrente,RR_Stato,"Osservazione",RR_Event_Type,A13)&gt;0,"In osservazione",IF(D13&gt;0,"AREA NON PRESIDIATA","Nessun rischio censito")))</f>
        <v/>
      </c>
      <c r="G13">
        <f>COUNTIFS(NW_Imp_9_13,1,NW_Settimana,"&gt;="&amp;inizioFinestra4,NW_Settimana,"&lt;="&amp;settimanaCorrente)</f>
        <v/>
      </c>
      <c r="H13">
        <f>COUNTIFS(NW_Imp_9_13,2,NW_Settimana,"&gt;="&amp;inizioFinestra4,NW_Settimana,"&lt;="&amp;settimanaCorrente)</f>
        <v/>
      </c>
      <c r="I13">
        <f>COUNTIFS(NW_Imp_9_13,3,NW_Settimana,"&gt;="&amp;inizioFinestra4,NW_Settimana,"&lt;="&amp;settimanaCorrente)</f>
        <v/>
      </c>
      <c r="J13">
        <f>IF(F13="AREA NON PRESIDIATA","NON PRESIDIATA ► ","")&amp;A13&amp;" "&amp;B13</f>
        <v/>
      </c>
    </row>
    <row r="15">
      <c r="A15" t="inlineStr">
        <is>
          <t>Notizie non collegate a un rischio censito (4 settimane)</t>
        </is>
      </c>
      <c r="D15">
        <f>COUNTIFS(NW_Rischio_ID,"NON PRESIDIATO",NW_Settimana,"&gt;="&amp;inizioFinestra4,NW_Settimana,"&lt;="&amp;settimanaCorrente)</f>
        <v/>
      </c>
      <c r="L15" s="98" t="inlineStr">
        <is>
          <t>Notizie di A3 sui rischi in osservazione (registro unico, D-79)</t>
        </is>
      </c>
    </row>
    <row r="16">
      <c r="L16" s="120">
        <f>IF(cicloCorrente="","—","Nelle ultime 4 settimane A3 ha collegato "&amp;SUMPRODUCT((NW_Settimana&gt;=inizioFinestra4)*(NW_Settimana&lt;=settimanaCorrente)*(COUNTIFS(RR_ID_Rischio,NW_Rischio_ID,RR_Ciclo,cicloCorrente,RR_Stato,"Osservazione")&gt;0))&amp;" notizie a rischi in osservazione: quanti per rischio nel foglio Osservazione, colonna O; un flag di A3 su uno di questi rischi è fra i flag proposti qui sopra.")</f>
        <v/>
      </c>
    </row>
    <row r="17">
      <c r="A17" s="29" t="inlineStr">
        <is>
          <t>Pressione settimanale (12 settimane)</t>
        </is>
      </c>
      <c r="B17" s="30" t="n"/>
      <c r="C17" s="30" t="n"/>
      <c r="D17" s="30" t="n"/>
      <c r="E17" s="30" t="n"/>
    </row>
    <row r="18">
      <c r="A18" s="98" t="inlineStr">
        <is>
          <t>Settimana</t>
        </is>
      </c>
      <c r="B18" s="98" t="inlineStr">
        <is>
          <t>Notizie</t>
        </is>
      </c>
      <c r="C18" s="98" t="inlineStr">
        <is>
          <t>Peggiorativi</t>
        </is>
      </c>
      <c r="D18" s="98" t="inlineStr">
        <is>
          <t>Migliorativi</t>
        </is>
      </c>
      <c r="E18" s="98" t="inlineStr">
        <is>
          <t>Netto</t>
        </is>
      </c>
    </row>
    <row r="19">
      <c r="A19" s="117">
        <f>Parametri!$B$34</f>
        <v/>
      </c>
      <c r="B19">
        <f>COUNTIFS(NW_Settimana,A19)</f>
        <v/>
      </c>
      <c r="C19">
        <f>COUNTIFS(NW_Settimana,A19,NW_Segnale,"Peggiorativo")</f>
        <v/>
      </c>
      <c r="D19">
        <f>COUNTIFS(NW_Settimana,A19,NW_Segnale,"Migliorativo")</f>
        <v/>
      </c>
      <c r="E19">
        <f>C19-D19</f>
        <v/>
      </c>
    </row>
    <row r="20">
      <c r="A20" s="117">
        <f>Parametri!$B$35</f>
        <v/>
      </c>
      <c r="B20">
        <f>COUNTIFS(NW_Settimana,A20)</f>
        <v/>
      </c>
      <c r="C20">
        <f>COUNTIFS(NW_Settimana,A20,NW_Segnale,"Peggiorativo")</f>
        <v/>
      </c>
      <c r="D20">
        <f>COUNTIFS(NW_Settimana,A20,NW_Segnale,"Migliorativo")</f>
        <v/>
      </c>
      <c r="E20">
        <f>C20-D20</f>
        <v/>
      </c>
    </row>
    <row r="21">
      <c r="A21" s="117">
        <f>Parametri!$B$36</f>
        <v/>
      </c>
      <c r="B21">
        <f>COUNTIFS(NW_Settimana,A21)</f>
        <v/>
      </c>
      <c r="C21">
        <f>COUNTIFS(NW_Settimana,A21,NW_Segnale,"Peggiorativo")</f>
        <v/>
      </c>
      <c r="D21">
        <f>COUNTIFS(NW_Settimana,A21,NW_Segnale,"Migliorativo")</f>
        <v/>
      </c>
      <c r="E21">
        <f>C21-D21</f>
        <v/>
      </c>
      <c r="L21" s="98" t="inlineStr">
        <is>
          <t>Proposta di ciclo straordinario di A3 (decide la funzione di rischio, D-75)</t>
        </is>
      </c>
    </row>
    <row r="22">
      <c r="A22" s="117">
        <f>Parametri!$B$37</f>
        <v/>
      </c>
      <c r="B22">
        <f>COUNTIFS(NW_Settimana,A22)</f>
        <v/>
      </c>
      <c r="C22">
        <f>COUNTIFS(NW_Settimana,A22,NW_Segnale,"Peggiorativo")</f>
        <v/>
      </c>
      <c r="D22">
        <f>COUNTIFS(NW_Settimana,A22,NW_Segnale,"Migliorativo")</f>
        <v/>
      </c>
      <c r="E22">
        <f>C22-D22</f>
        <v/>
      </c>
      <c r="L22" s="121">
        <f>IFERROR(INDEX(SE_Proposta_Straordinario,MATCH(settimanaCorrente,SE_Settimana,0))&amp;"","—")</f>
        <v/>
      </c>
    </row>
    <row r="23">
      <c r="A23" s="117">
        <f>Parametri!$B$38</f>
        <v/>
      </c>
      <c r="B23">
        <f>COUNTIFS(NW_Settimana,A23)</f>
        <v/>
      </c>
      <c r="C23">
        <f>COUNTIFS(NW_Settimana,A23,NW_Segnale,"Peggiorativo")</f>
        <v/>
      </c>
      <c r="D23">
        <f>COUNTIFS(NW_Settimana,A23,NW_Segnale,"Migliorativo")</f>
        <v/>
      </c>
      <c r="E23">
        <f>C23-D23</f>
        <v/>
      </c>
    </row>
    <row r="24">
      <c r="A24" s="117">
        <f>Parametri!$B$39</f>
        <v/>
      </c>
      <c r="B24">
        <f>COUNTIFS(NW_Settimana,A24)</f>
        <v/>
      </c>
      <c r="C24">
        <f>COUNTIFS(NW_Settimana,A24,NW_Segnale,"Peggiorativo")</f>
        <v/>
      </c>
      <c r="D24">
        <f>COUNTIFS(NW_Settimana,A24,NW_Segnale,"Migliorativo")</f>
        <v/>
      </c>
      <c r="E24">
        <f>C24-D24</f>
        <v/>
      </c>
    </row>
    <row r="25">
      <c r="A25" s="117">
        <f>Parametri!$B$40</f>
        <v/>
      </c>
      <c r="B25">
        <f>COUNTIFS(NW_Settimana,A25)</f>
        <v/>
      </c>
      <c r="C25">
        <f>COUNTIFS(NW_Settimana,A25,NW_Segnale,"Peggiorativo")</f>
        <v/>
      </c>
      <c r="D25">
        <f>COUNTIFS(NW_Settimana,A25,NW_Segnale,"Migliorativo")</f>
        <v/>
      </c>
      <c r="E25">
        <f>C25-D25</f>
        <v/>
      </c>
    </row>
    <row r="26">
      <c r="A26" s="117">
        <f>Parametri!$B$41</f>
        <v/>
      </c>
      <c r="B26">
        <f>COUNTIFS(NW_Settimana,A26)</f>
        <v/>
      </c>
      <c r="C26">
        <f>COUNTIFS(NW_Settimana,A26,NW_Segnale,"Peggiorativo")</f>
        <v/>
      </c>
      <c r="D26">
        <f>COUNTIFS(NW_Settimana,A26,NW_Segnale,"Migliorativo")</f>
        <v/>
      </c>
      <c r="E26">
        <f>C26-D26</f>
        <v/>
      </c>
    </row>
    <row r="27">
      <c r="A27" s="117">
        <f>Parametri!$B$42</f>
        <v/>
      </c>
      <c r="B27">
        <f>COUNTIFS(NW_Settimana,A27)</f>
        <v/>
      </c>
      <c r="C27">
        <f>COUNTIFS(NW_Settimana,A27,NW_Segnale,"Peggiorativo")</f>
        <v/>
      </c>
      <c r="D27">
        <f>COUNTIFS(NW_Settimana,A27,NW_Segnale,"Migliorativo")</f>
        <v/>
      </c>
      <c r="E27">
        <f>C27-D27</f>
        <v/>
      </c>
    </row>
    <row r="28">
      <c r="A28" s="117">
        <f>Parametri!$B$43</f>
        <v/>
      </c>
      <c r="B28">
        <f>COUNTIFS(NW_Settimana,A28)</f>
        <v/>
      </c>
      <c r="C28">
        <f>COUNTIFS(NW_Settimana,A28,NW_Segnale,"Peggiorativo")</f>
        <v/>
      </c>
      <c r="D28">
        <f>COUNTIFS(NW_Settimana,A28,NW_Segnale,"Migliorativo")</f>
        <v/>
      </c>
      <c r="E28">
        <f>C28-D28</f>
        <v/>
      </c>
    </row>
    <row r="29">
      <c r="A29" s="117">
        <f>Parametri!$B$44</f>
        <v/>
      </c>
      <c r="B29">
        <f>COUNTIFS(NW_Settimana,A29)</f>
        <v/>
      </c>
      <c r="C29">
        <f>COUNTIFS(NW_Settimana,A29,NW_Segnale,"Peggiorativo")</f>
        <v/>
      </c>
      <c r="D29">
        <f>COUNTIFS(NW_Settimana,A29,NW_Segnale,"Migliorativo")</f>
        <v/>
      </c>
      <c r="E29">
        <f>C29-D29</f>
        <v/>
      </c>
    </row>
    <row r="30">
      <c r="A30" s="117">
        <f>Parametri!$B$45</f>
        <v/>
      </c>
      <c r="B30">
        <f>COUNTIFS(NW_Settimana,A30)</f>
        <v/>
      </c>
      <c r="C30">
        <f>COUNTIFS(NW_Settimana,A30,NW_Segnale,"Peggiorativo")</f>
        <v/>
      </c>
      <c r="D30">
        <f>COUNTIFS(NW_Settimana,A30,NW_Segnale,"Migliorativo")</f>
        <v/>
      </c>
      <c r="E30">
        <f>C30-D30</f>
        <v/>
      </c>
    </row>
    <row r="32">
      <c r="A32" s="122" t="inlineStr">
        <is>
          <t>Grafici: notizie per categoria (sopra) e segnali per settimana (sotto).</t>
        </is>
      </c>
    </row>
  </sheetData>
  <mergeCells count="7">
    <mergeCell ref="L5:S9"/>
    <mergeCell ref="A1:J1"/>
    <mergeCell ref="L11:S13"/>
    <mergeCell ref="L16:S19"/>
    <mergeCell ref="L22:S24"/>
    <mergeCell ref="A2:J2"/>
    <mergeCell ref="A17:E17"/>
  </mergeCells>
  <conditionalFormatting sqref="F5:F13">
    <cfRule type="expression" priority="1" dxfId="15">
      <formula>F5="AREA NON PRESIDIATA"</formula>
    </cfRule>
    <cfRule type="expression" priority="2" dxfId="34">
      <formula>F5="In osservazione"</formula>
    </cfRule>
  </conditionalFormatting>
  <conditionalFormatting sqref="L22">
    <cfRule type="expression" priority="3" dxfId="35">
      <formula>LEFT($L$22,8)="PROPOSTA"</formula>
    </cfRule>
  </conditionalFormatting>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tabColor rgb="002E75B6"/>
    <outlinePr summaryBelow="1" summaryRight="1"/>
    <pageSetUpPr/>
  </sheetPr>
  <dimension ref="A1:N157"/>
  <sheetViews>
    <sheetView showGridLines="0" workbookViewId="0">
      <pane ySplit="5" topLeftCell="A6" activePane="bottomLeft" state="frozen"/>
      <selection pane="bottomLeft" activeCell="A1" sqref="A1"/>
    </sheetView>
  </sheetViews>
  <sheetFormatPr baseColWidth="8" defaultRowHeight="15"/>
  <cols>
    <col width="8" customWidth="1" min="1" max="1"/>
    <col width="8" customWidth="1" min="2" max="2"/>
    <col width="17" customWidth="1" min="3" max="3"/>
    <col width="60" customWidth="1" min="4" max="4"/>
    <col width="28" customWidth="1" min="5" max="5"/>
    <col width="9" customWidth="1" min="6" max="6"/>
    <col width="20" customWidth="1" min="7" max="7"/>
    <col width="11" customWidth="1" min="8" max="8"/>
    <col width="11" customWidth="1" min="9" max="9"/>
    <col width="12" customWidth="1" min="10" max="10"/>
    <col hidden="1" width="13" customWidth="1" min="14" max="14"/>
  </cols>
  <sheetData>
    <row r="1" ht="28" customHeight="1">
      <c r="A1" s="1">
        <f>"Horizon Scan NFR — Piano delle azioni   ·   "&amp;etichettaCiclo</f>
        <v/>
      </c>
      <c r="B1" s="2" t="n"/>
      <c r="C1" s="2" t="n"/>
      <c r="D1" s="2" t="n"/>
      <c r="E1" s="2" t="n"/>
      <c r="F1" s="2" t="n"/>
      <c r="G1" s="2" t="n"/>
      <c r="H1" s="2" t="n"/>
      <c r="I1" s="2" t="n"/>
      <c r="J1" s="2" t="n"/>
    </row>
    <row r="2" ht="45.5" customHeight="1">
      <c r="A2" s="123" t="inlineStr">
        <is>
          <r>
            <rPr>
              <rFont val="Calibri"/>
              <b val="1"/>
              <color rgb="007F6000"/>
              <sz val="10"/>
            </rPr>
            <t>CICLO TRIMESTRALE (A1 propone) · VALIDATORE (decide nel foglio Validazione; poi aggiorna lo Stato nel foglio Azioni).</t>
          </r>
          <r>
            <rPr>
              <rFont val="Calibri"/>
              <color rgb="00262626"/>
              <sz val="10"/>
            </rPr>
            <t xml:space="preserve">
Tutte le azioni: prima le proposte da decidere, poi le altre. La validazione e' la delibera (Accettato o Rettificato = Approvata, Respinto = Respinta); In corso e Completata si scrivono a mano nella colonna Stato del foglio Azioni, quando l'owner lo comunica. Scadenza = data della decisione + orizzonte. Le azioni aperte passano ad A1 nel trimestre dopo.</t>
          </r>
        </is>
      </c>
    </row>
    <row r="4">
      <c r="A4" s="124" t="inlineStr">
        <is>
          <t>La proposta (A1)</t>
        </is>
      </c>
      <c r="B4" s="103" t="n"/>
      <c r="C4" s="103" t="n"/>
      <c r="D4" s="103" t="n"/>
      <c r="E4" s="103" t="n"/>
      <c r="F4" s="103" t="n"/>
      <c r="G4" s="125" t="inlineStr">
        <is>
          <t>La decisione (validazione) e l'avanzamento</t>
        </is>
      </c>
      <c r="H4" s="47" t="n"/>
      <c r="I4" s="47" t="n"/>
      <c r="J4" s="125" t="inlineStr">
        <is>
          <t>Validazione</t>
        </is>
      </c>
    </row>
    <row r="5">
      <c r="A5" s="116" t="inlineStr">
        <is>
          <t>Ciclo</t>
        </is>
      </c>
      <c r="B5" s="116" t="inlineStr">
        <is>
          <t>Rischio</t>
        </is>
      </c>
      <c r="C5" s="116" t="inlineStr">
        <is>
          <t>ID azione</t>
        </is>
      </c>
      <c r="D5" s="116" t="inlineStr">
        <is>
          <t>Azione</t>
        </is>
      </c>
      <c r="E5" s="116" t="inlineStr">
        <is>
          <t>Owner</t>
        </is>
      </c>
      <c r="F5" s="116" t="inlineStr">
        <is>
          <t>Orizzonte</t>
        </is>
      </c>
      <c r="G5" s="116" t="inlineStr">
        <is>
          <t>Stato</t>
        </is>
      </c>
      <c r="H5" s="116" t="inlineStr">
        <is>
          <t>Decisa il</t>
        </is>
      </c>
      <c r="I5" s="116" t="inlineStr">
        <is>
          <t>Scadenza</t>
        </is>
      </c>
      <c r="J5" s="116" t="inlineStr">
        <is>
          <t>Validazione</t>
        </is>
      </c>
    </row>
    <row r="6">
      <c r="A6" s="126">
        <f>IF($N6="","",INDEX(Azioni!$A:$A,$N6)&amp;"")</f>
        <v/>
      </c>
      <c r="B6" s="126">
        <f>IF($N6="","",INDEX(Azioni!$B:$B,$N6)&amp;"")</f>
        <v/>
      </c>
      <c r="C6" s="126">
        <f>IF($N6="","",INDEX(Azioni!$C:$C,$N6)&amp;"")</f>
        <v/>
      </c>
      <c r="D6" s="127">
        <f>IF($N6="","",INDEX(Azioni!$D:$D,$N6)&amp;"")</f>
        <v/>
      </c>
      <c r="E6" s="126">
        <f>IF($N6="","",INDEX(Azioni!$E:$E,$N6)&amp;"")</f>
        <v/>
      </c>
      <c r="F6" s="126">
        <f>IF($N6="","",INDEX(Azioni!$F:$F,$N6)&amp;"")</f>
        <v/>
      </c>
      <c r="G6" s="126">
        <f>IF($N6="","",INDEX(Azioni!$I:$I,$N6)&amp;"")</f>
        <v/>
      </c>
      <c r="H6" s="128">
        <f>IF($N6="","",IF(INDEX(Azioni!$J:$J,$N6)="","",INDEX(Azioni!$J:$J,$N6)))</f>
        <v/>
      </c>
      <c r="I6" s="128">
        <f>IF(OR($N6="",H6=""),"",IF(OR(G6="Approvata",G6="In corso"),EDATE(H6,N(INDEX(Azioni!$G:$G,$N6))),""))</f>
        <v/>
      </c>
      <c r="J6" s="126">
        <f>IF($N6="","",INDEX(Azioni!$L:$L,$N6)&amp;"")</f>
        <v/>
      </c>
      <c r="N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1000000),"")</f>
        <v/>
      </c>
    </row>
    <row r="7">
      <c r="A7" s="126">
        <f>IF($N7="","",INDEX(Azioni!$A:$A,$N7)&amp;"")</f>
        <v/>
      </c>
      <c r="B7" s="126">
        <f>IF($N7="","",INDEX(Azioni!$B:$B,$N7)&amp;"")</f>
        <v/>
      </c>
      <c r="C7" s="126">
        <f>IF($N7="","",INDEX(Azioni!$C:$C,$N7)&amp;"")</f>
        <v/>
      </c>
      <c r="D7" s="127">
        <f>IF($N7="","",INDEX(Azioni!$D:$D,$N7)&amp;"")</f>
        <v/>
      </c>
      <c r="E7" s="126">
        <f>IF($N7="","",INDEX(Azioni!$E:$E,$N7)&amp;"")</f>
        <v/>
      </c>
      <c r="F7" s="126">
        <f>IF($N7="","",INDEX(Azioni!$F:$F,$N7)&amp;"")</f>
        <v/>
      </c>
      <c r="G7" s="126">
        <f>IF($N7="","",INDEX(Azioni!$I:$I,$N7)&amp;"")</f>
        <v/>
      </c>
      <c r="H7" s="128">
        <f>IF($N7="","",IF(INDEX(Azioni!$J:$J,$N7)="","",INDEX(Azioni!$J:$J,$N7)))</f>
        <v/>
      </c>
      <c r="I7" s="128">
        <f>IF(OR($N7="",H7=""),"",IF(OR(G7="Approvata",G7="In corso"),EDATE(H7,N(INDEX(Azioni!$G:$G,$N7))),""))</f>
        <v/>
      </c>
      <c r="J7" s="126">
        <f>IF($N7="","",INDEX(Azioni!$L:$L,$N7)&amp;"")</f>
        <v/>
      </c>
      <c r="N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1000000),"")</f>
        <v/>
      </c>
    </row>
    <row r="8">
      <c r="A8" s="126">
        <f>IF($N8="","",INDEX(Azioni!$A:$A,$N8)&amp;"")</f>
        <v/>
      </c>
      <c r="B8" s="126">
        <f>IF($N8="","",INDEX(Azioni!$B:$B,$N8)&amp;"")</f>
        <v/>
      </c>
      <c r="C8" s="126">
        <f>IF($N8="","",INDEX(Azioni!$C:$C,$N8)&amp;"")</f>
        <v/>
      </c>
      <c r="D8" s="127">
        <f>IF($N8="","",INDEX(Azioni!$D:$D,$N8)&amp;"")</f>
        <v/>
      </c>
      <c r="E8" s="126">
        <f>IF($N8="","",INDEX(Azioni!$E:$E,$N8)&amp;"")</f>
        <v/>
      </c>
      <c r="F8" s="126">
        <f>IF($N8="","",INDEX(Azioni!$F:$F,$N8)&amp;"")</f>
        <v/>
      </c>
      <c r="G8" s="126">
        <f>IF($N8="","",INDEX(Azioni!$I:$I,$N8)&amp;"")</f>
        <v/>
      </c>
      <c r="H8" s="128">
        <f>IF($N8="","",IF(INDEX(Azioni!$J:$J,$N8)="","",INDEX(Azioni!$J:$J,$N8)))</f>
        <v/>
      </c>
      <c r="I8" s="128">
        <f>IF(OR($N8="",H8=""),"",IF(OR(G8="Approvata",G8="In corso"),EDATE(H8,N(INDEX(Azioni!$G:$G,$N8))),""))</f>
        <v/>
      </c>
      <c r="J8" s="126">
        <f>IF($N8="","",INDEX(Azioni!$L:$L,$N8)&amp;"")</f>
        <v/>
      </c>
      <c r="N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1000000),"")</f>
        <v/>
      </c>
    </row>
    <row r="9">
      <c r="A9" s="126">
        <f>IF($N9="","",INDEX(Azioni!$A:$A,$N9)&amp;"")</f>
        <v/>
      </c>
      <c r="B9" s="126">
        <f>IF($N9="","",INDEX(Azioni!$B:$B,$N9)&amp;"")</f>
        <v/>
      </c>
      <c r="C9" s="126">
        <f>IF($N9="","",INDEX(Azioni!$C:$C,$N9)&amp;"")</f>
        <v/>
      </c>
      <c r="D9" s="127">
        <f>IF($N9="","",INDEX(Azioni!$D:$D,$N9)&amp;"")</f>
        <v/>
      </c>
      <c r="E9" s="126">
        <f>IF($N9="","",INDEX(Azioni!$E:$E,$N9)&amp;"")</f>
        <v/>
      </c>
      <c r="F9" s="126">
        <f>IF($N9="","",INDEX(Azioni!$F:$F,$N9)&amp;"")</f>
        <v/>
      </c>
      <c r="G9" s="126">
        <f>IF($N9="","",INDEX(Azioni!$I:$I,$N9)&amp;"")</f>
        <v/>
      </c>
      <c r="H9" s="128">
        <f>IF($N9="","",IF(INDEX(Azioni!$J:$J,$N9)="","",INDEX(Azioni!$J:$J,$N9)))</f>
        <v/>
      </c>
      <c r="I9" s="128">
        <f>IF(OR($N9="",H9=""),"",IF(OR(G9="Approvata",G9="In corso"),EDATE(H9,N(INDEX(Azioni!$G:$G,$N9))),""))</f>
        <v/>
      </c>
      <c r="J9" s="126">
        <f>IF($N9="","",INDEX(Azioni!$L:$L,$N9)&amp;"")</f>
        <v/>
      </c>
      <c r="N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1000000),"")</f>
        <v/>
      </c>
    </row>
    <row r="10">
      <c r="A10" s="126">
        <f>IF($N10="","",INDEX(Azioni!$A:$A,$N10)&amp;"")</f>
        <v/>
      </c>
      <c r="B10" s="126">
        <f>IF($N10="","",INDEX(Azioni!$B:$B,$N10)&amp;"")</f>
        <v/>
      </c>
      <c r="C10" s="126">
        <f>IF($N10="","",INDEX(Azioni!$C:$C,$N10)&amp;"")</f>
        <v/>
      </c>
      <c r="D10" s="127">
        <f>IF($N10="","",INDEX(Azioni!$D:$D,$N10)&amp;"")</f>
        <v/>
      </c>
      <c r="E10" s="126">
        <f>IF($N10="","",INDEX(Azioni!$E:$E,$N10)&amp;"")</f>
        <v/>
      </c>
      <c r="F10" s="126">
        <f>IF($N10="","",INDEX(Azioni!$F:$F,$N10)&amp;"")</f>
        <v/>
      </c>
      <c r="G10" s="126">
        <f>IF($N10="","",INDEX(Azioni!$I:$I,$N10)&amp;"")</f>
        <v/>
      </c>
      <c r="H10" s="128">
        <f>IF($N10="","",IF(INDEX(Azioni!$J:$J,$N10)="","",INDEX(Azioni!$J:$J,$N10)))</f>
        <v/>
      </c>
      <c r="I10" s="128">
        <f>IF(OR($N10="",H10=""),"",IF(OR(G10="Approvata",G10="In corso"),EDATE(H10,N(INDEX(Azioni!$G:$G,$N10))),""))</f>
        <v/>
      </c>
      <c r="J10" s="126">
        <f>IF($N10="","",INDEX(Azioni!$L:$L,$N10)&amp;"")</f>
        <v/>
      </c>
      <c r="N1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1000000),"")</f>
        <v/>
      </c>
    </row>
    <row r="11">
      <c r="A11" s="126">
        <f>IF($N11="","",INDEX(Azioni!$A:$A,$N11)&amp;"")</f>
        <v/>
      </c>
      <c r="B11" s="126">
        <f>IF($N11="","",INDEX(Azioni!$B:$B,$N11)&amp;"")</f>
        <v/>
      </c>
      <c r="C11" s="126">
        <f>IF($N11="","",INDEX(Azioni!$C:$C,$N11)&amp;"")</f>
        <v/>
      </c>
      <c r="D11" s="127">
        <f>IF($N11="","",INDEX(Azioni!$D:$D,$N11)&amp;"")</f>
        <v/>
      </c>
      <c r="E11" s="126">
        <f>IF($N11="","",INDEX(Azioni!$E:$E,$N11)&amp;"")</f>
        <v/>
      </c>
      <c r="F11" s="126">
        <f>IF($N11="","",INDEX(Azioni!$F:$F,$N11)&amp;"")</f>
        <v/>
      </c>
      <c r="G11" s="126">
        <f>IF($N11="","",INDEX(Azioni!$I:$I,$N11)&amp;"")</f>
        <v/>
      </c>
      <c r="H11" s="128">
        <f>IF($N11="","",IF(INDEX(Azioni!$J:$J,$N11)="","",INDEX(Azioni!$J:$J,$N11)))</f>
        <v/>
      </c>
      <c r="I11" s="128">
        <f>IF(OR($N11="",H11=""),"",IF(OR(G11="Approvata",G11="In corso"),EDATE(H11,N(INDEX(Azioni!$G:$G,$N11))),""))</f>
        <v/>
      </c>
      <c r="J11" s="126">
        <f>IF($N11="","",INDEX(Azioni!$L:$L,$N11)&amp;"")</f>
        <v/>
      </c>
      <c r="N1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1000000),"")</f>
        <v/>
      </c>
    </row>
    <row r="12">
      <c r="A12" s="126">
        <f>IF($N12="","",INDEX(Azioni!$A:$A,$N12)&amp;"")</f>
        <v/>
      </c>
      <c r="B12" s="126">
        <f>IF($N12="","",INDEX(Azioni!$B:$B,$N12)&amp;"")</f>
        <v/>
      </c>
      <c r="C12" s="126">
        <f>IF($N12="","",INDEX(Azioni!$C:$C,$N12)&amp;"")</f>
        <v/>
      </c>
      <c r="D12" s="127">
        <f>IF($N12="","",INDEX(Azioni!$D:$D,$N12)&amp;"")</f>
        <v/>
      </c>
      <c r="E12" s="126">
        <f>IF($N12="","",INDEX(Azioni!$E:$E,$N12)&amp;"")</f>
        <v/>
      </c>
      <c r="F12" s="126">
        <f>IF($N12="","",INDEX(Azioni!$F:$F,$N12)&amp;"")</f>
        <v/>
      </c>
      <c r="G12" s="126">
        <f>IF($N12="","",INDEX(Azioni!$I:$I,$N12)&amp;"")</f>
        <v/>
      </c>
      <c r="H12" s="128">
        <f>IF($N12="","",IF(INDEX(Azioni!$J:$J,$N12)="","",INDEX(Azioni!$J:$J,$N12)))</f>
        <v/>
      </c>
      <c r="I12" s="128">
        <f>IF(OR($N12="",H12=""),"",IF(OR(G12="Approvata",G12="In corso"),EDATE(H12,N(INDEX(Azioni!$G:$G,$N12))),""))</f>
        <v/>
      </c>
      <c r="J12" s="126">
        <f>IF($N12="","",INDEX(Azioni!$L:$L,$N12)&amp;"")</f>
        <v/>
      </c>
      <c r="N1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1000000),"")</f>
        <v/>
      </c>
    </row>
    <row r="13">
      <c r="A13" s="126">
        <f>IF($N13="","",INDEX(Azioni!$A:$A,$N13)&amp;"")</f>
        <v/>
      </c>
      <c r="B13" s="126">
        <f>IF($N13="","",INDEX(Azioni!$B:$B,$N13)&amp;"")</f>
        <v/>
      </c>
      <c r="C13" s="126">
        <f>IF($N13="","",INDEX(Azioni!$C:$C,$N13)&amp;"")</f>
        <v/>
      </c>
      <c r="D13" s="127">
        <f>IF($N13="","",INDEX(Azioni!$D:$D,$N13)&amp;"")</f>
        <v/>
      </c>
      <c r="E13" s="126">
        <f>IF($N13="","",INDEX(Azioni!$E:$E,$N13)&amp;"")</f>
        <v/>
      </c>
      <c r="F13" s="126">
        <f>IF($N13="","",INDEX(Azioni!$F:$F,$N13)&amp;"")</f>
        <v/>
      </c>
      <c r="G13" s="126">
        <f>IF($N13="","",INDEX(Azioni!$I:$I,$N13)&amp;"")</f>
        <v/>
      </c>
      <c r="H13" s="128">
        <f>IF($N13="","",IF(INDEX(Azioni!$J:$J,$N13)="","",INDEX(Azioni!$J:$J,$N13)))</f>
        <v/>
      </c>
      <c r="I13" s="128">
        <f>IF(OR($N13="",H13=""),"",IF(OR(G13="Approvata",G13="In corso"),EDATE(H13,N(INDEX(Azioni!$G:$G,$N13))),""))</f>
        <v/>
      </c>
      <c r="J13" s="126">
        <f>IF($N13="","",INDEX(Azioni!$L:$L,$N13)&amp;"")</f>
        <v/>
      </c>
      <c r="N1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1000000),"")</f>
        <v/>
      </c>
    </row>
    <row r="14">
      <c r="A14" s="126">
        <f>IF($N14="","",INDEX(Azioni!$A:$A,$N14)&amp;"")</f>
        <v/>
      </c>
      <c r="B14" s="126">
        <f>IF($N14="","",INDEX(Azioni!$B:$B,$N14)&amp;"")</f>
        <v/>
      </c>
      <c r="C14" s="126">
        <f>IF($N14="","",INDEX(Azioni!$C:$C,$N14)&amp;"")</f>
        <v/>
      </c>
      <c r="D14" s="127">
        <f>IF($N14="","",INDEX(Azioni!$D:$D,$N14)&amp;"")</f>
        <v/>
      </c>
      <c r="E14" s="126">
        <f>IF($N14="","",INDEX(Azioni!$E:$E,$N14)&amp;"")</f>
        <v/>
      </c>
      <c r="F14" s="126">
        <f>IF($N14="","",INDEX(Azioni!$F:$F,$N14)&amp;"")</f>
        <v/>
      </c>
      <c r="G14" s="126">
        <f>IF($N14="","",INDEX(Azioni!$I:$I,$N14)&amp;"")</f>
        <v/>
      </c>
      <c r="H14" s="128">
        <f>IF($N14="","",IF(INDEX(Azioni!$J:$J,$N14)="","",INDEX(Azioni!$J:$J,$N14)))</f>
        <v/>
      </c>
      <c r="I14" s="128">
        <f>IF(OR($N14="",H14=""),"",IF(OR(G14="Approvata",G14="In corso"),EDATE(H14,N(INDEX(Azioni!$G:$G,$N14))),""))</f>
        <v/>
      </c>
      <c r="J14" s="126">
        <f>IF($N14="","",INDEX(Azioni!$L:$L,$N14)&amp;"")</f>
        <v/>
      </c>
      <c r="N1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1000000),"")</f>
        <v/>
      </c>
    </row>
    <row r="15">
      <c r="A15" s="126">
        <f>IF($N15="","",INDEX(Azioni!$A:$A,$N15)&amp;"")</f>
        <v/>
      </c>
      <c r="B15" s="126">
        <f>IF($N15="","",INDEX(Azioni!$B:$B,$N15)&amp;"")</f>
        <v/>
      </c>
      <c r="C15" s="126">
        <f>IF($N15="","",INDEX(Azioni!$C:$C,$N15)&amp;"")</f>
        <v/>
      </c>
      <c r="D15" s="127">
        <f>IF($N15="","",INDEX(Azioni!$D:$D,$N15)&amp;"")</f>
        <v/>
      </c>
      <c r="E15" s="126">
        <f>IF($N15="","",INDEX(Azioni!$E:$E,$N15)&amp;"")</f>
        <v/>
      </c>
      <c r="F15" s="126">
        <f>IF($N15="","",INDEX(Azioni!$F:$F,$N15)&amp;"")</f>
        <v/>
      </c>
      <c r="G15" s="126">
        <f>IF($N15="","",INDEX(Azioni!$I:$I,$N15)&amp;"")</f>
        <v/>
      </c>
      <c r="H15" s="128">
        <f>IF($N15="","",IF(INDEX(Azioni!$J:$J,$N15)="","",INDEX(Azioni!$J:$J,$N15)))</f>
        <v/>
      </c>
      <c r="I15" s="128">
        <f>IF(OR($N15="",H15=""),"",IF(OR(G15="Approvata",G15="In corso"),EDATE(H15,N(INDEX(Azioni!$G:$G,$N15))),""))</f>
        <v/>
      </c>
      <c r="J15" s="126">
        <f>IF($N15="","",INDEX(Azioni!$L:$L,$N15)&amp;"")</f>
        <v/>
      </c>
      <c r="N1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1000000),"")</f>
        <v/>
      </c>
    </row>
    <row r="16">
      <c r="A16" s="126">
        <f>IF($N16="","",INDEX(Azioni!$A:$A,$N16)&amp;"")</f>
        <v/>
      </c>
      <c r="B16" s="126">
        <f>IF($N16="","",INDEX(Azioni!$B:$B,$N16)&amp;"")</f>
        <v/>
      </c>
      <c r="C16" s="126">
        <f>IF($N16="","",INDEX(Azioni!$C:$C,$N16)&amp;"")</f>
        <v/>
      </c>
      <c r="D16" s="127">
        <f>IF($N16="","",INDEX(Azioni!$D:$D,$N16)&amp;"")</f>
        <v/>
      </c>
      <c r="E16" s="126">
        <f>IF($N16="","",INDEX(Azioni!$E:$E,$N16)&amp;"")</f>
        <v/>
      </c>
      <c r="F16" s="126">
        <f>IF($N16="","",INDEX(Azioni!$F:$F,$N16)&amp;"")</f>
        <v/>
      </c>
      <c r="G16" s="126">
        <f>IF($N16="","",INDEX(Azioni!$I:$I,$N16)&amp;"")</f>
        <v/>
      </c>
      <c r="H16" s="128">
        <f>IF($N16="","",IF(INDEX(Azioni!$J:$J,$N16)="","",INDEX(Azioni!$J:$J,$N16)))</f>
        <v/>
      </c>
      <c r="I16" s="128">
        <f>IF(OR($N16="",H16=""),"",IF(OR(G16="Approvata",G16="In corso"),EDATE(H16,N(INDEX(Azioni!$G:$G,$N16))),""))</f>
        <v/>
      </c>
      <c r="J16" s="126">
        <f>IF($N16="","",INDEX(Azioni!$L:$L,$N16)&amp;"")</f>
        <v/>
      </c>
      <c r="N1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1000000),"")</f>
        <v/>
      </c>
    </row>
    <row r="17">
      <c r="A17" s="126">
        <f>IF($N17="","",INDEX(Azioni!$A:$A,$N17)&amp;"")</f>
        <v/>
      </c>
      <c r="B17" s="126">
        <f>IF($N17="","",INDEX(Azioni!$B:$B,$N17)&amp;"")</f>
        <v/>
      </c>
      <c r="C17" s="126">
        <f>IF($N17="","",INDEX(Azioni!$C:$C,$N17)&amp;"")</f>
        <v/>
      </c>
      <c r="D17" s="127">
        <f>IF($N17="","",INDEX(Azioni!$D:$D,$N17)&amp;"")</f>
        <v/>
      </c>
      <c r="E17" s="126">
        <f>IF($N17="","",INDEX(Azioni!$E:$E,$N17)&amp;"")</f>
        <v/>
      </c>
      <c r="F17" s="126">
        <f>IF($N17="","",INDEX(Azioni!$F:$F,$N17)&amp;"")</f>
        <v/>
      </c>
      <c r="G17" s="126">
        <f>IF($N17="","",INDEX(Azioni!$I:$I,$N17)&amp;"")</f>
        <v/>
      </c>
      <c r="H17" s="128">
        <f>IF($N17="","",IF(INDEX(Azioni!$J:$J,$N17)="","",INDEX(Azioni!$J:$J,$N17)))</f>
        <v/>
      </c>
      <c r="I17" s="128">
        <f>IF(OR($N17="",H17=""),"",IF(OR(G17="Approvata",G17="In corso"),EDATE(H17,N(INDEX(Azioni!$G:$G,$N17))),""))</f>
        <v/>
      </c>
      <c r="J17" s="126">
        <f>IF($N17="","",INDEX(Azioni!$L:$L,$N17)&amp;"")</f>
        <v/>
      </c>
      <c r="N1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1000000),"")</f>
        <v/>
      </c>
    </row>
    <row r="18">
      <c r="A18" s="126">
        <f>IF($N18="","",INDEX(Azioni!$A:$A,$N18)&amp;"")</f>
        <v/>
      </c>
      <c r="B18" s="126">
        <f>IF($N18="","",INDEX(Azioni!$B:$B,$N18)&amp;"")</f>
        <v/>
      </c>
      <c r="C18" s="126">
        <f>IF($N18="","",INDEX(Azioni!$C:$C,$N18)&amp;"")</f>
        <v/>
      </c>
      <c r="D18" s="127">
        <f>IF($N18="","",INDEX(Azioni!$D:$D,$N18)&amp;"")</f>
        <v/>
      </c>
      <c r="E18" s="126">
        <f>IF($N18="","",INDEX(Azioni!$E:$E,$N18)&amp;"")</f>
        <v/>
      </c>
      <c r="F18" s="126">
        <f>IF($N18="","",INDEX(Azioni!$F:$F,$N18)&amp;"")</f>
        <v/>
      </c>
      <c r="G18" s="126">
        <f>IF($N18="","",INDEX(Azioni!$I:$I,$N18)&amp;"")</f>
        <v/>
      </c>
      <c r="H18" s="128">
        <f>IF($N18="","",IF(INDEX(Azioni!$J:$J,$N18)="","",INDEX(Azioni!$J:$J,$N18)))</f>
        <v/>
      </c>
      <c r="I18" s="128">
        <f>IF(OR($N18="",H18=""),"",IF(OR(G18="Approvata",G18="In corso"),EDATE(H18,N(INDEX(Azioni!$G:$G,$N18))),""))</f>
        <v/>
      </c>
      <c r="J18" s="126">
        <f>IF($N18="","",INDEX(Azioni!$L:$L,$N18)&amp;"")</f>
        <v/>
      </c>
      <c r="N1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1000000),"")</f>
        <v/>
      </c>
    </row>
    <row r="19">
      <c r="A19" s="126">
        <f>IF($N19="","",INDEX(Azioni!$A:$A,$N19)&amp;"")</f>
        <v/>
      </c>
      <c r="B19" s="126">
        <f>IF($N19="","",INDEX(Azioni!$B:$B,$N19)&amp;"")</f>
        <v/>
      </c>
      <c r="C19" s="126">
        <f>IF($N19="","",INDEX(Azioni!$C:$C,$N19)&amp;"")</f>
        <v/>
      </c>
      <c r="D19" s="127">
        <f>IF($N19="","",INDEX(Azioni!$D:$D,$N19)&amp;"")</f>
        <v/>
      </c>
      <c r="E19" s="126">
        <f>IF($N19="","",INDEX(Azioni!$E:$E,$N19)&amp;"")</f>
        <v/>
      </c>
      <c r="F19" s="126">
        <f>IF($N19="","",INDEX(Azioni!$F:$F,$N19)&amp;"")</f>
        <v/>
      </c>
      <c r="G19" s="126">
        <f>IF($N19="","",INDEX(Azioni!$I:$I,$N19)&amp;"")</f>
        <v/>
      </c>
      <c r="H19" s="128">
        <f>IF($N19="","",IF(INDEX(Azioni!$J:$J,$N19)="","",INDEX(Azioni!$J:$J,$N19)))</f>
        <v/>
      </c>
      <c r="I19" s="128">
        <f>IF(OR($N19="",H19=""),"",IF(OR(G19="Approvata",G19="In corso"),EDATE(H19,N(INDEX(Azioni!$G:$G,$N19))),""))</f>
        <v/>
      </c>
      <c r="J19" s="126">
        <f>IF($N19="","",INDEX(Azioni!$L:$L,$N19)&amp;"")</f>
        <v/>
      </c>
      <c r="N1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1000000),"")</f>
        <v/>
      </c>
    </row>
    <row r="20">
      <c r="A20" s="126">
        <f>IF($N20="","",INDEX(Azioni!$A:$A,$N20)&amp;"")</f>
        <v/>
      </c>
      <c r="B20" s="126">
        <f>IF($N20="","",INDEX(Azioni!$B:$B,$N20)&amp;"")</f>
        <v/>
      </c>
      <c r="C20" s="126">
        <f>IF($N20="","",INDEX(Azioni!$C:$C,$N20)&amp;"")</f>
        <v/>
      </c>
      <c r="D20" s="127">
        <f>IF($N20="","",INDEX(Azioni!$D:$D,$N20)&amp;"")</f>
        <v/>
      </c>
      <c r="E20" s="126">
        <f>IF($N20="","",INDEX(Azioni!$E:$E,$N20)&amp;"")</f>
        <v/>
      </c>
      <c r="F20" s="126">
        <f>IF($N20="","",INDEX(Azioni!$F:$F,$N20)&amp;"")</f>
        <v/>
      </c>
      <c r="G20" s="126">
        <f>IF($N20="","",INDEX(Azioni!$I:$I,$N20)&amp;"")</f>
        <v/>
      </c>
      <c r="H20" s="128">
        <f>IF($N20="","",IF(INDEX(Azioni!$J:$J,$N20)="","",INDEX(Azioni!$J:$J,$N20)))</f>
        <v/>
      </c>
      <c r="I20" s="128">
        <f>IF(OR($N20="",H20=""),"",IF(OR(G20="Approvata",G20="In corso"),EDATE(H20,N(INDEX(Azioni!$G:$G,$N20))),""))</f>
        <v/>
      </c>
      <c r="J20" s="126">
        <f>IF($N20="","",INDEX(Azioni!$L:$L,$N20)&amp;"")</f>
        <v/>
      </c>
      <c r="N2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1000000),"")</f>
        <v/>
      </c>
    </row>
    <row r="21">
      <c r="A21" s="126">
        <f>IF($N21="","",INDEX(Azioni!$A:$A,$N21)&amp;"")</f>
        <v/>
      </c>
      <c r="B21" s="126">
        <f>IF($N21="","",INDEX(Azioni!$B:$B,$N21)&amp;"")</f>
        <v/>
      </c>
      <c r="C21" s="126">
        <f>IF($N21="","",INDEX(Azioni!$C:$C,$N21)&amp;"")</f>
        <v/>
      </c>
      <c r="D21" s="127">
        <f>IF($N21="","",INDEX(Azioni!$D:$D,$N21)&amp;"")</f>
        <v/>
      </c>
      <c r="E21" s="126">
        <f>IF($N21="","",INDEX(Azioni!$E:$E,$N21)&amp;"")</f>
        <v/>
      </c>
      <c r="F21" s="126">
        <f>IF($N21="","",INDEX(Azioni!$F:$F,$N21)&amp;"")</f>
        <v/>
      </c>
      <c r="G21" s="126">
        <f>IF($N21="","",INDEX(Azioni!$I:$I,$N21)&amp;"")</f>
        <v/>
      </c>
      <c r="H21" s="128">
        <f>IF($N21="","",IF(INDEX(Azioni!$J:$J,$N21)="","",INDEX(Azioni!$J:$J,$N21)))</f>
        <v/>
      </c>
      <c r="I21" s="128">
        <f>IF(OR($N21="",H21=""),"",IF(OR(G21="Approvata",G21="In corso"),EDATE(H21,N(INDEX(Azioni!$G:$G,$N21))),""))</f>
        <v/>
      </c>
      <c r="J21" s="126">
        <f>IF($N21="","",INDEX(Azioni!$L:$L,$N21)&amp;"")</f>
        <v/>
      </c>
      <c r="N2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16),1000000),"")</f>
        <v/>
      </c>
    </row>
    <row r="22">
      <c r="A22" s="126">
        <f>IF($N22="","",INDEX(Azioni!$A:$A,$N22)&amp;"")</f>
        <v/>
      </c>
      <c r="B22" s="126">
        <f>IF($N22="","",INDEX(Azioni!$B:$B,$N22)&amp;"")</f>
        <v/>
      </c>
      <c r="C22" s="126">
        <f>IF($N22="","",INDEX(Azioni!$C:$C,$N22)&amp;"")</f>
        <v/>
      </c>
      <c r="D22" s="127">
        <f>IF($N22="","",INDEX(Azioni!$D:$D,$N22)&amp;"")</f>
        <v/>
      </c>
      <c r="E22" s="126">
        <f>IF($N22="","",INDEX(Azioni!$E:$E,$N22)&amp;"")</f>
        <v/>
      </c>
      <c r="F22" s="126">
        <f>IF($N22="","",INDEX(Azioni!$F:$F,$N22)&amp;"")</f>
        <v/>
      </c>
      <c r="G22" s="126">
        <f>IF($N22="","",INDEX(Azioni!$I:$I,$N22)&amp;"")</f>
        <v/>
      </c>
      <c r="H22" s="128">
        <f>IF($N22="","",IF(INDEX(Azioni!$J:$J,$N22)="","",INDEX(Azioni!$J:$J,$N22)))</f>
        <v/>
      </c>
      <c r="I22" s="128">
        <f>IF(OR($N22="",H22=""),"",IF(OR(G22="Approvata",G22="In corso"),EDATE(H22,N(INDEX(Azioni!$G:$G,$N22))),""))</f>
        <v/>
      </c>
      <c r="J22" s="126">
        <f>IF($N22="","",INDEX(Azioni!$L:$L,$N22)&amp;"")</f>
        <v/>
      </c>
      <c r="N2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17),1000000),"")</f>
        <v/>
      </c>
    </row>
    <row r="23">
      <c r="A23" s="126">
        <f>IF($N23="","",INDEX(Azioni!$A:$A,$N23)&amp;"")</f>
        <v/>
      </c>
      <c r="B23" s="126">
        <f>IF($N23="","",INDEX(Azioni!$B:$B,$N23)&amp;"")</f>
        <v/>
      </c>
      <c r="C23" s="126">
        <f>IF($N23="","",INDEX(Azioni!$C:$C,$N23)&amp;"")</f>
        <v/>
      </c>
      <c r="D23" s="127">
        <f>IF($N23="","",INDEX(Azioni!$D:$D,$N23)&amp;"")</f>
        <v/>
      </c>
      <c r="E23" s="126">
        <f>IF($N23="","",INDEX(Azioni!$E:$E,$N23)&amp;"")</f>
        <v/>
      </c>
      <c r="F23" s="126">
        <f>IF($N23="","",INDEX(Azioni!$F:$F,$N23)&amp;"")</f>
        <v/>
      </c>
      <c r="G23" s="126">
        <f>IF($N23="","",INDEX(Azioni!$I:$I,$N23)&amp;"")</f>
        <v/>
      </c>
      <c r="H23" s="128">
        <f>IF($N23="","",IF(INDEX(Azioni!$J:$J,$N23)="","",INDEX(Azioni!$J:$J,$N23)))</f>
        <v/>
      </c>
      <c r="I23" s="128">
        <f>IF(OR($N23="",H23=""),"",IF(OR(G23="Approvata",G23="In corso"),EDATE(H23,N(INDEX(Azioni!$G:$G,$N23))),""))</f>
        <v/>
      </c>
      <c r="J23" s="126">
        <f>IF($N23="","",INDEX(Azioni!$L:$L,$N23)&amp;"")</f>
        <v/>
      </c>
      <c r="N2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18),1000000),"")</f>
        <v/>
      </c>
    </row>
    <row r="24">
      <c r="A24" s="126">
        <f>IF($N24="","",INDEX(Azioni!$A:$A,$N24)&amp;"")</f>
        <v/>
      </c>
      <c r="B24" s="126">
        <f>IF($N24="","",INDEX(Azioni!$B:$B,$N24)&amp;"")</f>
        <v/>
      </c>
      <c r="C24" s="126">
        <f>IF($N24="","",INDEX(Azioni!$C:$C,$N24)&amp;"")</f>
        <v/>
      </c>
      <c r="D24" s="127">
        <f>IF($N24="","",INDEX(Azioni!$D:$D,$N24)&amp;"")</f>
        <v/>
      </c>
      <c r="E24" s="126">
        <f>IF($N24="","",INDEX(Azioni!$E:$E,$N24)&amp;"")</f>
        <v/>
      </c>
      <c r="F24" s="126">
        <f>IF($N24="","",INDEX(Azioni!$F:$F,$N24)&amp;"")</f>
        <v/>
      </c>
      <c r="G24" s="126">
        <f>IF($N24="","",INDEX(Azioni!$I:$I,$N24)&amp;"")</f>
        <v/>
      </c>
      <c r="H24" s="128">
        <f>IF($N24="","",IF(INDEX(Azioni!$J:$J,$N24)="","",INDEX(Azioni!$J:$J,$N24)))</f>
        <v/>
      </c>
      <c r="I24" s="128">
        <f>IF(OR($N24="",H24=""),"",IF(OR(G24="Approvata",G24="In corso"),EDATE(H24,N(INDEX(Azioni!$G:$G,$N24))),""))</f>
        <v/>
      </c>
      <c r="J24" s="126">
        <f>IF($N24="","",INDEX(Azioni!$L:$L,$N24)&amp;"")</f>
        <v/>
      </c>
      <c r="N2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19),1000000),"")</f>
        <v/>
      </c>
    </row>
    <row r="25">
      <c r="A25" s="126">
        <f>IF($N25="","",INDEX(Azioni!$A:$A,$N25)&amp;"")</f>
        <v/>
      </c>
      <c r="B25" s="126">
        <f>IF($N25="","",INDEX(Azioni!$B:$B,$N25)&amp;"")</f>
        <v/>
      </c>
      <c r="C25" s="126">
        <f>IF($N25="","",INDEX(Azioni!$C:$C,$N25)&amp;"")</f>
        <v/>
      </c>
      <c r="D25" s="127">
        <f>IF($N25="","",INDEX(Azioni!$D:$D,$N25)&amp;"")</f>
        <v/>
      </c>
      <c r="E25" s="126">
        <f>IF($N25="","",INDEX(Azioni!$E:$E,$N25)&amp;"")</f>
        <v/>
      </c>
      <c r="F25" s="126">
        <f>IF($N25="","",INDEX(Azioni!$F:$F,$N25)&amp;"")</f>
        <v/>
      </c>
      <c r="G25" s="126">
        <f>IF($N25="","",INDEX(Azioni!$I:$I,$N25)&amp;"")</f>
        <v/>
      </c>
      <c r="H25" s="128">
        <f>IF($N25="","",IF(INDEX(Azioni!$J:$J,$N25)="","",INDEX(Azioni!$J:$J,$N25)))</f>
        <v/>
      </c>
      <c r="I25" s="128">
        <f>IF(OR($N25="",H25=""),"",IF(OR(G25="Approvata",G25="In corso"),EDATE(H25,N(INDEX(Azioni!$G:$G,$N25))),""))</f>
        <v/>
      </c>
      <c r="J25" s="126">
        <f>IF($N25="","",INDEX(Azioni!$L:$L,$N25)&amp;"")</f>
        <v/>
      </c>
      <c r="N2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20),1000000),"")</f>
        <v/>
      </c>
    </row>
    <row r="26">
      <c r="A26" s="126">
        <f>IF($N26="","",INDEX(Azioni!$A:$A,$N26)&amp;"")</f>
        <v/>
      </c>
      <c r="B26" s="126">
        <f>IF($N26="","",INDEX(Azioni!$B:$B,$N26)&amp;"")</f>
        <v/>
      </c>
      <c r="C26" s="126">
        <f>IF($N26="","",INDEX(Azioni!$C:$C,$N26)&amp;"")</f>
        <v/>
      </c>
      <c r="D26" s="127">
        <f>IF($N26="","",INDEX(Azioni!$D:$D,$N26)&amp;"")</f>
        <v/>
      </c>
      <c r="E26" s="126">
        <f>IF($N26="","",INDEX(Azioni!$E:$E,$N26)&amp;"")</f>
        <v/>
      </c>
      <c r="F26" s="126">
        <f>IF($N26="","",INDEX(Azioni!$F:$F,$N26)&amp;"")</f>
        <v/>
      </c>
      <c r="G26" s="126">
        <f>IF($N26="","",INDEX(Azioni!$I:$I,$N26)&amp;"")</f>
        <v/>
      </c>
      <c r="H26" s="128">
        <f>IF($N26="","",IF(INDEX(Azioni!$J:$J,$N26)="","",INDEX(Azioni!$J:$J,$N26)))</f>
        <v/>
      </c>
      <c r="I26" s="128">
        <f>IF(OR($N26="",H26=""),"",IF(OR(G26="Approvata",G26="In corso"),EDATE(H26,N(INDEX(Azioni!$G:$G,$N26))),""))</f>
        <v/>
      </c>
      <c r="J26" s="126">
        <f>IF($N26="","",INDEX(Azioni!$L:$L,$N26)&amp;"")</f>
        <v/>
      </c>
      <c r="N2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1000000),"")</f>
        <v/>
      </c>
    </row>
    <row r="27">
      <c r="A27" s="126">
        <f>IF($N27="","",INDEX(Azioni!$A:$A,$N27)&amp;"")</f>
        <v/>
      </c>
      <c r="B27" s="126">
        <f>IF($N27="","",INDEX(Azioni!$B:$B,$N27)&amp;"")</f>
        <v/>
      </c>
      <c r="C27" s="126">
        <f>IF($N27="","",INDEX(Azioni!$C:$C,$N27)&amp;"")</f>
        <v/>
      </c>
      <c r="D27" s="127">
        <f>IF($N27="","",INDEX(Azioni!$D:$D,$N27)&amp;"")</f>
        <v/>
      </c>
      <c r="E27" s="126">
        <f>IF($N27="","",INDEX(Azioni!$E:$E,$N27)&amp;"")</f>
        <v/>
      </c>
      <c r="F27" s="126">
        <f>IF($N27="","",INDEX(Azioni!$F:$F,$N27)&amp;"")</f>
        <v/>
      </c>
      <c r="G27" s="126">
        <f>IF($N27="","",INDEX(Azioni!$I:$I,$N27)&amp;"")</f>
        <v/>
      </c>
      <c r="H27" s="128">
        <f>IF($N27="","",IF(INDEX(Azioni!$J:$J,$N27)="","",INDEX(Azioni!$J:$J,$N27)))</f>
        <v/>
      </c>
      <c r="I27" s="128">
        <f>IF(OR($N27="",H27=""),"",IF(OR(G27="Approvata",G27="In corso"),EDATE(H27,N(INDEX(Azioni!$G:$G,$N27))),""))</f>
        <v/>
      </c>
      <c r="J27" s="126">
        <f>IF($N27="","",INDEX(Azioni!$L:$L,$N27)&amp;"")</f>
        <v/>
      </c>
      <c r="N2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22),1000000),"")</f>
        <v/>
      </c>
    </row>
    <row r="28">
      <c r="A28" s="126">
        <f>IF($N28="","",INDEX(Azioni!$A:$A,$N28)&amp;"")</f>
        <v/>
      </c>
      <c r="B28" s="126">
        <f>IF($N28="","",INDEX(Azioni!$B:$B,$N28)&amp;"")</f>
        <v/>
      </c>
      <c r="C28" s="126">
        <f>IF($N28="","",INDEX(Azioni!$C:$C,$N28)&amp;"")</f>
        <v/>
      </c>
      <c r="D28" s="127">
        <f>IF($N28="","",INDEX(Azioni!$D:$D,$N28)&amp;"")</f>
        <v/>
      </c>
      <c r="E28" s="126">
        <f>IF($N28="","",INDEX(Azioni!$E:$E,$N28)&amp;"")</f>
        <v/>
      </c>
      <c r="F28" s="126">
        <f>IF($N28="","",INDEX(Azioni!$F:$F,$N28)&amp;"")</f>
        <v/>
      </c>
      <c r="G28" s="126">
        <f>IF($N28="","",INDEX(Azioni!$I:$I,$N28)&amp;"")</f>
        <v/>
      </c>
      <c r="H28" s="128">
        <f>IF($N28="","",IF(INDEX(Azioni!$J:$J,$N28)="","",INDEX(Azioni!$J:$J,$N28)))</f>
        <v/>
      </c>
      <c r="I28" s="128">
        <f>IF(OR($N28="",H28=""),"",IF(OR(G28="Approvata",G28="In corso"),EDATE(H28,N(INDEX(Azioni!$G:$G,$N28))),""))</f>
        <v/>
      </c>
      <c r="J28" s="126">
        <f>IF($N28="","",INDEX(Azioni!$L:$L,$N28)&amp;"")</f>
        <v/>
      </c>
      <c r="N2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23),1000000),"")</f>
        <v/>
      </c>
    </row>
    <row r="29">
      <c r="A29" s="126">
        <f>IF($N29="","",INDEX(Azioni!$A:$A,$N29)&amp;"")</f>
        <v/>
      </c>
      <c r="B29" s="126">
        <f>IF($N29="","",INDEX(Azioni!$B:$B,$N29)&amp;"")</f>
        <v/>
      </c>
      <c r="C29" s="126">
        <f>IF($N29="","",INDEX(Azioni!$C:$C,$N29)&amp;"")</f>
        <v/>
      </c>
      <c r="D29" s="127">
        <f>IF($N29="","",INDEX(Azioni!$D:$D,$N29)&amp;"")</f>
        <v/>
      </c>
      <c r="E29" s="126">
        <f>IF($N29="","",INDEX(Azioni!$E:$E,$N29)&amp;"")</f>
        <v/>
      </c>
      <c r="F29" s="126">
        <f>IF($N29="","",INDEX(Azioni!$F:$F,$N29)&amp;"")</f>
        <v/>
      </c>
      <c r="G29" s="126">
        <f>IF($N29="","",INDEX(Azioni!$I:$I,$N29)&amp;"")</f>
        <v/>
      </c>
      <c r="H29" s="128">
        <f>IF($N29="","",IF(INDEX(Azioni!$J:$J,$N29)="","",INDEX(Azioni!$J:$J,$N29)))</f>
        <v/>
      </c>
      <c r="I29" s="128">
        <f>IF(OR($N29="",H29=""),"",IF(OR(G29="Approvata",G29="In corso"),EDATE(H29,N(INDEX(Azioni!$G:$G,$N29))),""))</f>
        <v/>
      </c>
      <c r="J29" s="126">
        <f>IF($N29="","",INDEX(Azioni!$L:$L,$N29)&amp;"")</f>
        <v/>
      </c>
      <c r="N2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24),1000000),"")</f>
        <v/>
      </c>
    </row>
    <row r="30">
      <c r="A30" s="126">
        <f>IF($N30="","",INDEX(Azioni!$A:$A,$N30)&amp;"")</f>
        <v/>
      </c>
      <c r="B30" s="126">
        <f>IF($N30="","",INDEX(Azioni!$B:$B,$N30)&amp;"")</f>
        <v/>
      </c>
      <c r="C30" s="126">
        <f>IF($N30="","",INDEX(Azioni!$C:$C,$N30)&amp;"")</f>
        <v/>
      </c>
      <c r="D30" s="127">
        <f>IF($N30="","",INDEX(Azioni!$D:$D,$N30)&amp;"")</f>
        <v/>
      </c>
      <c r="E30" s="126">
        <f>IF($N30="","",INDEX(Azioni!$E:$E,$N30)&amp;"")</f>
        <v/>
      </c>
      <c r="F30" s="126">
        <f>IF($N30="","",INDEX(Azioni!$F:$F,$N30)&amp;"")</f>
        <v/>
      </c>
      <c r="G30" s="126">
        <f>IF($N30="","",INDEX(Azioni!$I:$I,$N30)&amp;"")</f>
        <v/>
      </c>
      <c r="H30" s="128">
        <f>IF($N30="","",IF(INDEX(Azioni!$J:$J,$N30)="","",INDEX(Azioni!$J:$J,$N30)))</f>
        <v/>
      </c>
      <c r="I30" s="128">
        <f>IF(OR($N30="",H30=""),"",IF(OR(G30="Approvata",G30="In corso"),EDATE(H30,N(INDEX(Azioni!$G:$G,$N30))),""))</f>
        <v/>
      </c>
      <c r="J30" s="126">
        <f>IF($N30="","",INDEX(Azioni!$L:$L,$N30)&amp;"")</f>
        <v/>
      </c>
      <c r="N3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25),1000000),"")</f>
        <v/>
      </c>
    </row>
    <row r="31">
      <c r="A31" s="126">
        <f>IF($N31="","",INDEX(Azioni!$A:$A,$N31)&amp;"")</f>
        <v/>
      </c>
      <c r="B31" s="126">
        <f>IF($N31="","",INDEX(Azioni!$B:$B,$N31)&amp;"")</f>
        <v/>
      </c>
      <c r="C31" s="126">
        <f>IF($N31="","",INDEX(Azioni!$C:$C,$N31)&amp;"")</f>
        <v/>
      </c>
      <c r="D31" s="127">
        <f>IF($N31="","",INDEX(Azioni!$D:$D,$N31)&amp;"")</f>
        <v/>
      </c>
      <c r="E31" s="126">
        <f>IF($N31="","",INDEX(Azioni!$E:$E,$N31)&amp;"")</f>
        <v/>
      </c>
      <c r="F31" s="126">
        <f>IF($N31="","",INDEX(Azioni!$F:$F,$N31)&amp;"")</f>
        <v/>
      </c>
      <c r="G31" s="126">
        <f>IF($N31="","",INDEX(Azioni!$I:$I,$N31)&amp;"")</f>
        <v/>
      </c>
      <c r="H31" s="128">
        <f>IF($N31="","",IF(INDEX(Azioni!$J:$J,$N31)="","",INDEX(Azioni!$J:$J,$N31)))</f>
        <v/>
      </c>
      <c r="I31" s="128">
        <f>IF(OR($N31="",H31=""),"",IF(OR(G31="Approvata",G31="In corso"),EDATE(H31,N(INDEX(Azioni!$G:$G,$N31))),""))</f>
        <v/>
      </c>
      <c r="J31" s="126">
        <f>IF($N31="","",INDEX(Azioni!$L:$L,$N31)&amp;"")</f>
        <v/>
      </c>
      <c r="N3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26),1000000),"")</f>
        <v/>
      </c>
    </row>
    <row r="32">
      <c r="A32" s="126">
        <f>IF($N32="","",INDEX(Azioni!$A:$A,$N32)&amp;"")</f>
        <v/>
      </c>
      <c r="B32" s="126">
        <f>IF($N32="","",INDEX(Azioni!$B:$B,$N32)&amp;"")</f>
        <v/>
      </c>
      <c r="C32" s="126">
        <f>IF($N32="","",INDEX(Azioni!$C:$C,$N32)&amp;"")</f>
        <v/>
      </c>
      <c r="D32" s="127">
        <f>IF($N32="","",INDEX(Azioni!$D:$D,$N32)&amp;"")</f>
        <v/>
      </c>
      <c r="E32" s="126">
        <f>IF($N32="","",INDEX(Azioni!$E:$E,$N32)&amp;"")</f>
        <v/>
      </c>
      <c r="F32" s="126">
        <f>IF($N32="","",INDEX(Azioni!$F:$F,$N32)&amp;"")</f>
        <v/>
      </c>
      <c r="G32" s="126">
        <f>IF($N32="","",INDEX(Azioni!$I:$I,$N32)&amp;"")</f>
        <v/>
      </c>
      <c r="H32" s="128">
        <f>IF($N32="","",IF(INDEX(Azioni!$J:$J,$N32)="","",INDEX(Azioni!$J:$J,$N32)))</f>
        <v/>
      </c>
      <c r="I32" s="128">
        <f>IF(OR($N32="",H32=""),"",IF(OR(G32="Approvata",G32="In corso"),EDATE(H32,N(INDEX(Azioni!$G:$G,$N32))),""))</f>
        <v/>
      </c>
      <c r="J32" s="126">
        <f>IF($N32="","",INDEX(Azioni!$L:$L,$N32)&amp;"")</f>
        <v/>
      </c>
      <c r="N3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27),1000000),"")</f>
        <v/>
      </c>
    </row>
    <row r="33">
      <c r="A33" s="126">
        <f>IF($N33="","",INDEX(Azioni!$A:$A,$N33)&amp;"")</f>
        <v/>
      </c>
      <c r="B33" s="126">
        <f>IF($N33="","",INDEX(Azioni!$B:$B,$N33)&amp;"")</f>
        <v/>
      </c>
      <c r="C33" s="126">
        <f>IF($N33="","",INDEX(Azioni!$C:$C,$N33)&amp;"")</f>
        <v/>
      </c>
      <c r="D33" s="127">
        <f>IF($N33="","",INDEX(Azioni!$D:$D,$N33)&amp;"")</f>
        <v/>
      </c>
      <c r="E33" s="126">
        <f>IF($N33="","",INDEX(Azioni!$E:$E,$N33)&amp;"")</f>
        <v/>
      </c>
      <c r="F33" s="126">
        <f>IF($N33="","",INDEX(Azioni!$F:$F,$N33)&amp;"")</f>
        <v/>
      </c>
      <c r="G33" s="126">
        <f>IF($N33="","",INDEX(Azioni!$I:$I,$N33)&amp;"")</f>
        <v/>
      </c>
      <c r="H33" s="128">
        <f>IF($N33="","",IF(INDEX(Azioni!$J:$J,$N33)="","",INDEX(Azioni!$J:$J,$N33)))</f>
        <v/>
      </c>
      <c r="I33" s="128">
        <f>IF(OR($N33="",H33=""),"",IF(OR(G33="Approvata",G33="In corso"),EDATE(H33,N(INDEX(Azioni!$G:$G,$N33))),""))</f>
        <v/>
      </c>
      <c r="J33" s="126">
        <f>IF($N33="","",INDEX(Azioni!$L:$L,$N33)&amp;"")</f>
        <v/>
      </c>
      <c r="N3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28),1000000),"")</f>
        <v/>
      </c>
    </row>
    <row r="34">
      <c r="A34" s="126">
        <f>IF($N34="","",INDEX(Azioni!$A:$A,$N34)&amp;"")</f>
        <v/>
      </c>
      <c r="B34" s="126">
        <f>IF($N34="","",INDEX(Azioni!$B:$B,$N34)&amp;"")</f>
        <v/>
      </c>
      <c r="C34" s="126">
        <f>IF($N34="","",INDEX(Azioni!$C:$C,$N34)&amp;"")</f>
        <v/>
      </c>
      <c r="D34" s="127">
        <f>IF($N34="","",INDEX(Azioni!$D:$D,$N34)&amp;"")</f>
        <v/>
      </c>
      <c r="E34" s="126">
        <f>IF($N34="","",INDEX(Azioni!$E:$E,$N34)&amp;"")</f>
        <v/>
      </c>
      <c r="F34" s="126">
        <f>IF($N34="","",INDEX(Azioni!$F:$F,$N34)&amp;"")</f>
        <v/>
      </c>
      <c r="G34" s="126">
        <f>IF($N34="","",INDEX(Azioni!$I:$I,$N34)&amp;"")</f>
        <v/>
      </c>
      <c r="H34" s="128">
        <f>IF($N34="","",IF(INDEX(Azioni!$J:$J,$N34)="","",INDEX(Azioni!$J:$J,$N34)))</f>
        <v/>
      </c>
      <c r="I34" s="128">
        <f>IF(OR($N34="",H34=""),"",IF(OR(G34="Approvata",G34="In corso"),EDATE(H34,N(INDEX(Azioni!$G:$G,$N34))),""))</f>
        <v/>
      </c>
      <c r="J34" s="126">
        <f>IF($N34="","",INDEX(Azioni!$L:$L,$N34)&amp;"")</f>
        <v/>
      </c>
      <c r="N3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29),1000000),"")</f>
        <v/>
      </c>
    </row>
    <row r="35">
      <c r="A35" s="126">
        <f>IF($N35="","",INDEX(Azioni!$A:$A,$N35)&amp;"")</f>
        <v/>
      </c>
      <c r="B35" s="126">
        <f>IF($N35="","",INDEX(Azioni!$B:$B,$N35)&amp;"")</f>
        <v/>
      </c>
      <c r="C35" s="126">
        <f>IF($N35="","",INDEX(Azioni!$C:$C,$N35)&amp;"")</f>
        <v/>
      </c>
      <c r="D35" s="127">
        <f>IF($N35="","",INDEX(Azioni!$D:$D,$N35)&amp;"")</f>
        <v/>
      </c>
      <c r="E35" s="126">
        <f>IF($N35="","",INDEX(Azioni!$E:$E,$N35)&amp;"")</f>
        <v/>
      </c>
      <c r="F35" s="126">
        <f>IF($N35="","",INDEX(Azioni!$F:$F,$N35)&amp;"")</f>
        <v/>
      </c>
      <c r="G35" s="126">
        <f>IF($N35="","",INDEX(Azioni!$I:$I,$N35)&amp;"")</f>
        <v/>
      </c>
      <c r="H35" s="128">
        <f>IF($N35="","",IF(INDEX(Azioni!$J:$J,$N35)="","",INDEX(Azioni!$J:$J,$N35)))</f>
        <v/>
      </c>
      <c r="I35" s="128">
        <f>IF(OR($N35="",H35=""),"",IF(OR(G35="Approvata",G35="In corso"),EDATE(H35,N(INDEX(Azioni!$G:$G,$N35))),""))</f>
        <v/>
      </c>
      <c r="J35" s="126">
        <f>IF($N35="","",INDEX(Azioni!$L:$L,$N35)&amp;"")</f>
        <v/>
      </c>
      <c r="N3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30),1000000),"")</f>
        <v/>
      </c>
    </row>
    <row r="36">
      <c r="A36" s="126">
        <f>IF($N36="","",INDEX(Azioni!$A:$A,$N36)&amp;"")</f>
        <v/>
      </c>
      <c r="B36" s="126">
        <f>IF($N36="","",INDEX(Azioni!$B:$B,$N36)&amp;"")</f>
        <v/>
      </c>
      <c r="C36" s="126">
        <f>IF($N36="","",INDEX(Azioni!$C:$C,$N36)&amp;"")</f>
        <v/>
      </c>
      <c r="D36" s="127">
        <f>IF($N36="","",INDEX(Azioni!$D:$D,$N36)&amp;"")</f>
        <v/>
      </c>
      <c r="E36" s="126">
        <f>IF($N36="","",INDEX(Azioni!$E:$E,$N36)&amp;"")</f>
        <v/>
      </c>
      <c r="F36" s="126">
        <f>IF($N36="","",INDEX(Azioni!$F:$F,$N36)&amp;"")</f>
        <v/>
      </c>
      <c r="G36" s="126">
        <f>IF($N36="","",INDEX(Azioni!$I:$I,$N36)&amp;"")</f>
        <v/>
      </c>
      <c r="H36" s="128">
        <f>IF($N36="","",IF(INDEX(Azioni!$J:$J,$N36)="","",INDEX(Azioni!$J:$J,$N36)))</f>
        <v/>
      </c>
      <c r="I36" s="128">
        <f>IF(OR($N36="",H36=""),"",IF(OR(G36="Approvata",G36="In corso"),EDATE(H36,N(INDEX(Azioni!$G:$G,$N36))),""))</f>
        <v/>
      </c>
      <c r="J36" s="126">
        <f>IF($N36="","",INDEX(Azioni!$L:$L,$N36)&amp;"")</f>
        <v/>
      </c>
      <c r="N3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1000000),"")</f>
        <v/>
      </c>
    </row>
    <row r="37">
      <c r="A37" s="126">
        <f>IF($N37="","",INDEX(Azioni!$A:$A,$N37)&amp;"")</f>
        <v/>
      </c>
      <c r="B37" s="126">
        <f>IF($N37="","",INDEX(Azioni!$B:$B,$N37)&amp;"")</f>
        <v/>
      </c>
      <c r="C37" s="126">
        <f>IF($N37="","",INDEX(Azioni!$C:$C,$N37)&amp;"")</f>
        <v/>
      </c>
      <c r="D37" s="127">
        <f>IF($N37="","",INDEX(Azioni!$D:$D,$N37)&amp;"")</f>
        <v/>
      </c>
      <c r="E37" s="126">
        <f>IF($N37="","",INDEX(Azioni!$E:$E,$N37)&amp;"")</f>
        <v/>
      </c>
      <c r="F37" s="126">
        <f>IF($N37="","",INDEX(Azioni!$F:$F,$N37)&amp;"")</f>
        <v/>
      </c>
      <c r="G37" s="126">
        <f>IF($N37="","",INDEX(Azioni!$I:$I,$N37)&amp;"")</f>
        <v/>
      </c>
      <c r="H37" s="128">
        <f>IF($N37="","",IF(INDEX(Azioni!$J:$J,$N37)="","",INDEX(Azioni!$J:$J,$N37)))</f>
        <v/>
      </c>
      <c r="I37" s="128">
        <f>IF(OR($N37="",H37=""),"",IF(OR(G37="Approvata",G37="In corso"),EDATE(H37,N(INDEX(Azioni!$G:$G,$N37))),""))</f>
        <v/>
      </c>
      <c r="J37" s="126">
        <f>IF($N37="","",INDEX(Azioni!$L:$L,$N37)&amp;"")</f>
        <v/>
      </c>
      <c r="N3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32),1000000),"")</f>
        <v/>
      </c>
    </row>
    <row r="38">
      <c r="A38" s="126">
        <f>IF($N38="","",INDEX(Azioni!$A:$A,$N38)&amp;"")</f>
        <v/>
      </c>
      <c r="B38" s="126">
        <f>IF($N38="","",INDEX(Azioni!$B:$B,$N38)&amp;"")</f>
        <v/>
      </c>
      <c r="C38" s="126">
        <f>IF($N38="","",INDEX(Azioni!$C:$C,$N38)&amp;"")</f>
        <v/>
      </c>
      <c r="D38" s="127">
        <f>IF($N38="","",INDEX(Azioni!$D:$D,$N38)&amp;"")</f>
        <v/>
      </c>
      <c r="E38" s="126">
        <f>IF($N38="","",INDEX(Azioni!$E:$E,$N38)&amp;"")</f>
        <v/>
      </c>
      <c r="F38" s="126">
        <f>IF($N38="","",INDEX(Azioni!$F:$F,$N38)&amp;"")</f>
        <v/>
      </c>
      <c r="G38" s="126">
        <f>IF($N38="","",INDEX(Azioni!$I:$I,$N38)&amp;"")</f>
        <v/>
      </c>
      <c r="H38" s="128">
        <f>IF($N38="","",IF(INDEX(Azioni!$J:$J,$N38)="","",INDEX(Azioni!$J:$J,$N38)))</f>
        <v/>
      </c>
      <c r="I38" s="128">
        <f>IF(OR($N38="",H38=""),"",IF(OR(G38="Approvata",G38="In corso"),EDATE(H38,N(INDEX(Azioni!$G:$G,$N38))),""))</f>
        <v/>
      </c>
      <c r="J38" s="126">
        <f>IF($N38="","",INDEX(Azioni!$L:$L,$N38)&amp;"")</f>
        <v/>
      </c>
      <c r="N3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33),1000000),"")</f>
        <v/>
      </c>
    </row>
    <row r="39">
      <c r="A39" s="126">
        <f>IF($N39="","",INDEX(Azioni!$A:$A,$N39)&amp;"")</f>
        <v/>
      </c>
      <c r="B39" s="126">
        <f>IF($N39="","",INDEX(Azioni!$B:$B,$N39)&amp;"")</f>
        <v/>
      </c>
      <c r="C39" s="126">
        <f>IF($N39="","",INDEX(Azioni!$C:$C,$N39)&amp;"")</f>
        <v/>
      </c>
      <c r="D39" s="127">
        <f>IF($N39="","",INDEX(Azioni!$D:$D,$N39)&amp;"")</f>
        <v/>
      </c>
      <c r="E39" s="126">
        <f>IF($N39="","",INDEX(Azioni!$E:$E,$N39)&amp;"")</f>
        <v/>
      </c>
      <c r="F39" s="126">
        <f>IF($N39="","",INDEX(Azioni!$F:$F,$N39)&amp;"")</f>
        <v/>
      </c>
      <c r="G39" s="126">
        <f>IF($N39="","",INDEX(Azioni!$I:$I,$N39)&amp;"")</f>
        <v/>
      </c>
      <c r="H39" s="128">
        <f>IF($N39="","",IF(INDEX(Azioni!$J:$J,$N39)="","",INDEX(Azioni!$J:$J,$N39)))</f>
        <v/>
      </c>
      <c r="I39" s="128">
        <f>IF(OR($N39="",H39=""),"",IF(OR(G39="Approvata",G39="In corso"),EDATE(H39,N(INDEX(Azioni!$G:$G,$N39))),""))</f>
        <v/>
      </c>
      <c r="J39" s="126">
        <f>IF($N39="","",INDEX(Azioni!$L:$L,$N39)&amp;"")</f>
        <v/>
      </c>
      <c r="N3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34),1000000),"")</f>
        <v/>
      </c>
    </row>
    <row r="40">
      <c r="A40" s="126">
        <f>IF($N40="","",INDEX(Azioni!$A:$A,$N40)&amp;"")</f>
        <v/>
      </c>
      <c r="B40" s="126">
        <f>IF($N40="","",INDEX(Azioni!$B:$B,$N40)&amp;"")</f>
        <v/>
      </c>
      <c r="C40" s="126">
        <f>IF($N40="","",INDEX(Azioni!$C:$C,$N40)&amp;"")</f>
        <v/>
      </c>
      <c r="D40" s="127">
        <f>IF($N40="","",INDEX(Azioni!$D:$D,$N40)&amp;"")</f>
        <v/>
      </c>
      <c r="E40" s="126">
        <f>IF($N40="","",INDEX(Azioni!$E:$E,$N40)&amp;"")</f>
        <v/>
      </c>
      <c r="F40" s="126">
        <f>IF($N40="","",INDEX(Azioni!$F:$F,$N40)&amp;"")</f>
        <v/>
      </c>
      <c r="G40" s="126">
        <f>IF($N40="","",INDEX(Azioni!$I:$I,$N40)&amp;"")</f>
        <v/>
      </c>
      <c r="H40" s="128">
        <f>IF($N40="","",IF(INDEX(Azioni!$J:$J,$N40)="","",INDEX(Azioni!$J:$J,$N40)))</f>
        <v/>
      </c>
      <c r="I40" s="128">
        <f>IF(OR($N40="",H40=""),"",IF(OR(G40="Approvata",G40="In corso"),EDATE(H40,N(INDEX(Azioni!$G:$G,$N40))),""))</f>
        <v/>
      </c>
      <c r="J40" s="126">
        <f>IF($N40="","",INDEX(Azioni!$L:$L,$N40)&amp;"")</f>
        <v/>
      </c>
      <c r="N4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35),1000000),"")</f>
        <v/>
      </c>
    </row>
    <row r="41">
      <c r="A41" s="126">
        <f>IF($N41="","",INDEX(Azioni!$A:$A,$N41)&amp;"")</f>
        <v/>
      </c>
      <c r="B41" s="126">
        <f>IF($N41="","",INDEX(Azioni!$B:$B,$N41)&amp;"")</f>
        <v/>
      </c>
      <c r="C41" s="126">
        <f>IF($N41="","",INDEX(Azioni!$C:$C,$N41)&amp;"")</f>
        <v/>
      </c>
      <c r="D41" s="127">
        <f>IF($N41="","",INDEX(Azioni!$D:$D,$N41)&amp;"")</f>
        <v/>
      </c>
      <c r="E41" s="126">
        <f>IF($N41="","",INDEX(Azioni!$E:$E,$N41)&amp;"")</f>
        <v/>
      </c>
      <c r="F41" s="126">
        <f>IF($N41="","",INDEX(Azioni!$F:$F,$N41)&amp;"")</f>
        <v/>
      </c>
      <c r="G41" s="126">
        <f>IF($N41="","",INDEX(Azioni!$I:$I,$N41)&amp;"")</f>
        <v/>
      </c>
      <c r="H41" s="128">
        <f>IF($N41="","",IF(INDEX(Azioni!$J:$J,$N41)="","",INDEX(Azioni!$J:$J,$N41)))</f>
        <v/>
      </c>
      <c r="I41" s="128">
        <f>IF(OR($N41="",H41=""),"",IF(OR(G41="Approvata",G41="In corso"),EDATE(H41,N(INDEX(Azioni!$G:$G,$N41))),""))</f>
        <v/>
      </c>
      <c r="J41" s="126">
        <f>IF($N41="","",INDEX(Azioni!$L:$L,$N41)&amp;"")</f>
        <v/>
      </c>
      <c r="N4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36),1000000),"")</f>
        <v/>
      </c>
    </row>
    <row r="42">
      <c r="A42" s="126">
        <f>IF($N42="","",INDEX(Azioni!$A:$A,$N42)&amp;"")</f>
        <v/>
      </c>
      <c r="B42" s="126">
        <f>IF($N42="","",INDEX(Azioni!$B:$B,$N42)&amp;"")</f>
        <v/>
      </c>
      <c r="C42" s="126">
        <f>IF($N42="","",INDEX(Azioni!$C:$C,$N42)&amp;"")</f>
        <v/>
      </c>
      <c r="D42" s="127">
        <f>IF($N42="","",INDEX(Azioni!$D:$D,$N42)&amp;"")</f>
        <v/>
      </c>
      <c r="E42" s="126">
        <f>IF($N42="","",INDEX(Azioni!$E:$E,$N42)&amp;"")</f>
        <v/>
      </c>
      <c r="F42" s="126">
        <f>IF($N42="","",INDEX(Azioni!$F:$F,$N42)&amp;"")</f>
        <v/>
      </c>
      <c r="G42" s="126">
        <f>IF($N42="","",INDEX(Azioni!$I:$I,$N42)&amp;"")</f>
        <v/>
      </c>
      <c r="H42" s="128">
        <f>IF($N42="","",IF(INDEX(Azioni!$J:$J,$N42)="","",INDEX(Azioni!$J:$J,$N42)))</f>
        <v/>
      </c>
      <c r="I42" s="128">
        <f>IF(OR($N42="",H42=""),"",IF(OR(G42="Approvata",G42="In corso"),EDATE(H42,N(INDEX(Azioni!$G:$G,$N42))),""))</f>
        <v/>
      </c>
      <c r="J42" s="126">
        <f>IF($N42="","",INDEX(Azioni!$L:$L,$N42)&amp;"")</f>
        <v/>
      </c>
      <c r="N4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37),1000000),"")</f>
        <v/>
      </c>
    </row>
    <row r="43">
      <c r="A43" s="126">
        <f>IF($N43="","",INDEX(Azioni!$A:$A,$N43)&amp;"")</f>
        <v/>
      </c>
      <c r="B43" s="126">
        <f>IF($N43="","",INDEX(Azioni!$B:$B,$N43)&amp;"")</f>
        <v/>
      </c>
      <c r="C43" s="126">
        <f>IF($N43="","",INDEX(Azioni!$C:$C,$N43)&amp;"")</f>
        <v/>
      </c>
      <c r="D43" s="127">
        <f>IF($N43="","",INDEX(Azioni!$D:$D,$N43)&amp;"")</f>
        <v/>
      </c>
      <c r="E43" s="126">
        <f>IF($N43="","",INDEX(Azioni!$E:$E,$N43)&amp;"")</f>
        <v/>
      </c>
      <c r="F43" s="126">
        <f>IF($N43="","",INDEX(Azioni!$F:$F,$N43)&amp;"")</f>
        <v/>
      </c>
      <c r="G43" s="126">
        <f>IF($N43="","",INDEX(Azioni!$I:$I,$N43)&amp;"")</f>
        <v/>
      </c>
      <c r="H43" s="128">
        <f>IF($N43="","",IF(INDEX(Azioni!$J:$J,$N43)="","",INDEX(Azioni!$J:$J,$N43)))</f>
        <v/>
      </c>
      <c r="I43" s="128">
        <f>IF(OR($N43="",H43=""),"",IF(OR(G43="Approvata",G43="In corso"),EDATE(H43,N(INDEX(Azioni!$G:$G,$N43))),""))</f>
        <v/>
      </c>
      <c r="J43" s="126">
        <f>IF($N43="","",INDEX(Azioni!$L:$L,$N43)&amp;"")</f>
        <v/>
      </c>
      <c r="N4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38),1000000),"")</f>
        <v/>
      </c>
    </row>
    <row r="44">
      <c r="A44" s="126">
        <f>IF($N44="","",INDEX(Azioni!$A:$A,$N44)&amp;"")</f>
        <v/>
      </c>
      <c r="B44" s="126">
        <f>IF($N44="","",INDEX(Azioni!$B:$B,$N44)&amp;"")</f>
        <v/>
      </c>
      <c r="C44" s="126">
        <f>IF($N44="","",INDEX(Azioni!$C:$C,$N44)&amp;"")</f>
        <v/>
      </c>
      <c r="D44" s="127">
        <f>IF($N44="","",INDEX(Azioni!$D:$D,$N44)&amp;"")</f>
        <v/>
      </c>
      <c r="E44" s="126">
        <f>IF($N44="","",INDEX(Azioni!$E:$E,$N44)&amp;"")</f>
        <v/>
      </c>
      <c r="F44" s="126">
        <f>IF($N44="","",INDEX(Azioni!$F:$F,$N44)&amp;"")</f>
        <v/>
      </c>
      <c r="G44" s="126">
        <f>IF($N44="","",INDEX(Azioni!$I:$I,$N44)&amp;"")</f>
        <v/>
      </c>
      <c r="H44" s="128">
        <f>IF($N44="","",IF(INDEX(Azioni!$J:$J,$N44)="","",INDEX(Azioni!$J:$J,$N44)))</f>
        <v/>
      </c>
      <c r="I44" s="128">
        <f>IF(OR($N44="",H44=""),"",IF(OR(G44="Approvata",G44="In corso"),EDATE(H44,N(INDEX(Azioni!$G:$G,$N44))),""))</f>
        <v/>
      </c>
      <c r="J44" s="126">
        <f>IF($N44="","",INDEX(Azioni!$L:$L,$N44)&amp;"")</f>
        <v/>
      </c>
      <c r="N4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39),1000000),"")</f>
        <v/>
      </c>
    </row>
    <row r="45">
      <c r="A45" s="126">
        <f>IF($N45="","",INDEX(Azioni!$A:$A,$N45)&amp;"")</f>
        <v/>
      </c>
      <c r="B45" s="126">
        <f>IF($N45="","",INDEX(Azioni!$B:$B,$N45)&amp;"")</f>
        <v/>
      </c>
      <c r="C45" s="126">
        <f>IF($N45="","",INDEX(Azioni!$C:$C,$N45)&amp;"")</f>
        <v/>
      </c>
      <c r="D45" s="127">
        <f>IF($N45="","",INDEX(Azioni!$D:$D,$N45)&amp;"")</f>
        <v/>
      </c>
      <c r="E45" s="126">
        <f>IF($N45="","",INDEX(Azioni!$E:$E,$N45)&amp;"")</f>
        <v/>
      </c>
      <c r="F45" s="126">
        <f>IF($N45="","",INDEX(Azioni!$F:$F,$N45)&amp;"")</f>
        <v/>
      </c>
      <c r="G45" s="126">
        <f>IF($N45="","",INDEX(Azioni!$I:$I,$N45)&amp;"")</f>
        <v/>
      </c>
      <c r="H45" s="128">
        <f>IF($N45="","",IF(INDEX(Azioni!$J:$J,$N45)="","",INDEX(Azioni!$J:$J,$N45)))</f>
        <v/>
      </c>
      <c r="I45" s="128">
        <f>IF(OR($N45="",H45=""),"",IF(OR(G45="Approvata",G45="In corso"),EDATE(H45,N(INDEX(Azioni!$G:$G,$N45))),""))</f>
        <v/>
      </c>
      <c r="J45" s="126">
        <f>IF($N45="","",INDEX(Azioni!$L:$L,$N45)&amp;"")</f>
        <v/>
      </c>
      <c r="N4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40),1000000),"")</f>
        <v/>
      </c>
    </row>
    <row r="46">
      <c r="A46" s="126">
        <f>IF($N46="","",INDEX(Azioni!$A:$A,$N46)&amp;"")</f>
        <v/>
      </c>
      <c r="B46" s="126">
        <f>IF($N46="","",INDEX(Azioni!$B:$B,$N46)&amp;"")</f>
        <v/>
      </c>
      <c r="C46" s="126">
        <f>IF($N46="","",INDEX(Azioni!$C:$C,$N46)&amp;"")</f>
        <v/>
      </c>
      <c r="D46" s="127">
        <f>IF($N46="","",INDEX(Azioni!$D:$D,$N46)&amp;"")</f>
        <v/>
      </c>
      <c r="E46" s="126">
        <f>IF($N46="","",INDEX(Azioni!$E:$E,$N46)&amp;"")</f>
        <v/>
      </c>
      <c r="F46" s="126">
        <f>IF($N46="","",INDEX(Azioni!$F:$F,$N46)&amp;"")</f>
        <v/>
      </c>
      <c r="G46" s="126">
        <f>IF($N46="","",INDEX(Azioni!$I:$I,$N46)&amp;"")</f>
        <v/>
      </c>
      <c r="H46" s="128">
        <f>IF($N46="","",IF(INDEX(Azioni!$J:$J,$N46)="","",INDEX(Azioni!$J:$J,$N46)))</f>
        <v/>
      </c>
      <c r="I46" s="128">
        <f>IF(OR($N46="",H46=""),"",IF(OR(G46="Approvata",G46="In corso"),EDATE(H46,N(INDEX(Azioni!$G:$G,$N46))),""))</f>
        <v/>
      </c>
      <c r="J46" s="126">
        <f>IF($N46="","",INDEX(Azioni!$L:$L,$N46)&amp;"")</f>
        <v/>
      </c>
      <c r="N4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1000000),"")</f>
        <v/>
      </c>
    </row>
    <row r="47">
      <c r="A47" s="126">
        <f>IF($N47="","",INDEX(Azioni!$A:$A,$N47)&amp;"")</f>
        <v/>
      </c>
      <c r="B47" s="126">
        <f>IF($N47="","",INDEX(Azioni!$B:$B,$N47)&amp;"")</f>
        <v/>
      </c>
      <c r="C47" s="126">
        <f>IF($N47="","",INDEX(Azioni!$C:$C,$N47)&amp;"")</f>
        <v/>
      </c>
      <c r="D47" s="127">
        <f>IF($N47="","",INDEX(Azioni!$D:$D,$N47)&amp;"")</f>
        <v/>
      </c>
      <c r="E47" s="126">
        <f>IF($N47="","",INDEX(Azioni!$E:$E,$N47)&amp;"")</f>
        <v/>
      </c>
      <c r="F47" s="126">
        <f>IF($N47="","",INDEX(Azioni!$F:$F,$N47)&amp;"")</f>
        <v/>
      </c>
      <c r="G47" s="126">
        <f>IF($N47="","",INDEX(Azioni!$I:$I,$N47)&amp;"")</f>
        <v/>
      </c>
      <c r="H47" s="128">
        <f>IF($N47="","",IF(INDEX(Azioni!$J:$J,$N47)="","",INDEX(Azioni!$J:$J,$N47)))</f>
        <v/>
      </c>
      <c r="I47" s="128">
        <f>IF(OR($N47="",H47=""),"",IF(OR(G47="Approvata",G47="In corso"),EDATE(H47,N(INDEX(Azioni!$G:$G,$N47))),""))</f>
        <v/>
      </c>
      <c r="J47" s="126">
        <f>IF($N47="","",INDEX(Azioni!$L:$L,$N47)&amp;"")</f>
        <v/>
      </c>
      <c r="N4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42),1000000),"")</f>
        <v/>
      </c>
    </row>
    <row r="48">
      <c r="A48" s="126">
        <f>IF($N48="","",INDEX(Azioni!$A:$A,$N48)&amp;"")</f>
        <v/>
      </c>
      <c r="B48" s="126">
        <f>IF($N48="","",INDEX(Azioni!$B:$B,$N48)&amp;"")</f>
        <v/>
      </c>
      <c r="C48" s="126">
        <f>IF($N48="","",INDEX(Azioni!$C:$C,$N48)&amp;"")</f>
        <v/>
      </c>
      <c r="D48" s="127">
        <f>IF($N48="","",INDEX(Azioni!$D:$D,$N48)&amp;"")</f>
        <v/>
      </c>
      <c r="E48" s="126">
        <f>IF($N48="","",INDEX(Azioni!$E:$E,$N48)&amp;"")</f>
        <v/>
      </c>
      <c r="F48" s="126">
        <f>IF($N48="","",INDEX(Azioni!$F:$F,$N48)&amp;"")</f>
        <v/>
      </c>
      <c r="G48" s="126">
        <f>IF($N48="","",INDEX(Azioni!$I:$I,$N48)&amp;"")</f>
        <v/>
      </c>
      <c r="H48" s="128">
        <f>IF($N48="","",IF(INDEX(Azioni!$J:$J,$N48)="","",INDEX(Azioni!$J:$J,$N48)))</f>
        <v/>
      </c>
      <c r="I48" s="128">
        <f>IF(OR($N48="",H48=""),"",IF(OR(G48="Approvata",G48="In corso"),EDATE(H48,N(INDEX(Azioni!$G:$G,$N48))),""))</f>
        <v/>
      </c>
      <c r="J48" s="126">
        <f>IF($N48="","",INDEX(Azioni!$L:$L,$N48)&amp;"")</f>
        <v/>
      </c>
      <c r="N4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43),1000000),"")</f>
        <v/>
      </c>
    </row>
    <row r="49">
      <c r="A49" s="126">
        <f>IF($N49="","",INDEX(Azioni!$A:$A,$N49)&amp;"")</f>
        <v/>
      </c>
      <c r="B49" s="126">
        <f>IF($N49="","",INDEX(Azioni!$B:$B,$N49)&amp;"")</f>
        <v/>
      </c>
      <c r="C49" s="126">
        <f>IF($N49="","",INDEX(Azioni!$C:$C,$N49)&amp;"")</f>
        <v/>
      </c>
      <c r="D49" s="127">
        <f>IF($N49="","",INDEX(Azioni!$D:$D,$N49)&amp;"")</f>
        <v/>
      </c>
      <c r="E49" s="126">
        <f>IF($N49="","",INDEX(Azioni!$E:$E,$N49)&amp;"")</f>
        <v/>
      </c>
      <c r="F49" s="126">
        <f>IF($N49="","",INDEX(Azioni!$F:$F,$N49)&amp;"")</f>
        <v/>
      </c>
      <c r="G49" s="126">
        <f>IF($N49="","",INDEX(Azioni!$I:$I,$N49)&amp;"")</f>
        <v/>
      </c>
      <c r="H49" s="128">
        <f>IF($N49="","",IF(INDEX(Azioni!$J:$J,$N49)="","",INDEX(Azioni!$J:$J,$N49)))</f>
        <v/>
      </c>
      <c r="I49" s="128">
        <f>IF(OR($N49="",H49=""),"",IF(OR(G49="Approvata",G49="In corso"),EDATE(H49,N(INDEX(Azioni!$G:$G,$N49))),""))</f>
        <v/>
      </c>
      <c r="J49" s="126">
        <f>IF($N49="","",INDEX(Azioni!$L:$L,$N49)&amp;"")</f>
        <v/>
      </c>
      <c r="N4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44),1000000),"")</f>
        <v/>
      </c>
    </row>
    <row r="50">
      <c r="A50" s="126">
        <f>IF($N50="","",INDEX(Azioni!$A:$A,$N50)&amp;"")</f>
        <v/>
      </c>
      <c r="B50" s="126">
        <f>IF($N50="","",INDEX(Azioni!$B:$B,$N50)&amp;"")</f>
        <v/>
      </c>
      <c r="C50" s="126">
        <f>IF($N50="","",INDEX(Azioni!$C:$C,$N50)&amp;"")</f>
        <v/>
      </c>
      <c r="D50" s="127">
        <f>IF($N50="","",INDEX(Azioni!$D:$D,$N50)&amp;"")</f>
        <v/>
      </c>
      <c r="E50" s="126">
        <f>IF($N50="","",INDEX(Azioni!$E:$E,$N50)&amp;"")</f>
        <v/>
      </c>
      <c r="F50" s="126">
        <f>IF($N50="","",INDEX(Azioni!$F:$F,$N50)&amp;"")</f>
        <v/>
      </c>
      <c r="G50" s="126">
        <f>IF($N50="","",INDEX(Azioni!$I:$I,$N50)&amp;"")</f>
        <v/>
      </c>
      <c r="H50" s="128">
        <f>IF($N50="","",IF(INDEX(Azioni!$J:$J,$N50)="","",INDEX(Azioni!$J:$J,$N50)))</f>
        <v/>
      </c>
      <c r="I50" s="128">
        <f>IF(OR($N50="",H50=""),"",IF(OR(G50="Approvata",G50="In corso"),EDATE(H50,N(INDEX(Azioni!$G:$G,$N50))),""))</f>
        <v/>
      </c>
      <c r="J50" s="126">
        <f>IF($N50="","",INDEX(Azioni!$L:$L,$N50)&amp;"")</f>
        <v/>
      </c>
      <c r="N5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45),1000000),"")</f>
        <v/>
      </c>
    </row>
    <row r="51">
      <c r="A51" s="126">
        <f>IF($N51="","",INDEX(Azioni!$A:$A,$N51)&amp;"")</f>
        <v/>
      </c>
      <c r="B51" s="126">
        <f>IF($N51="","",INDEX(Azioni!$B:$B,$N51)&amp;"")</f>
        <v/>
      </c>
      <c r="C51" s="126">
        <f>IF($N51="","",INDEX(Azioni!$C:$C,$N51)&amp;"")</f>
        <v/>
      </c>
      <c r="D51" s="127">
        <f>IF($N51="","",INDEX(Azioni!$D:$D,$N51)&amp;"")</f>
        <v/>
      </c>
      <c r="E51" s="126">
        <f>IF($N51="","",INDEX(Azioni!$E:$E,$N51)&amp;"")</f>
        <v/>
      </c>
      <c r="F51" s="126">
        <f>IF($N51="","",INDEX(Azioni!$F:$F,$N51)&amp;"")</f>
        <v/>
      </c>
      <c r="G51" s="126">
        <f>IF($N51="","",INDEX(Azioni!$I:$I,$N51)&amp;"")</f>
        <v/>
      </c>
      <c r="H51" s="128">
        <f>IF($N51="","",IF(INDEX(Azioni!$J:$J,$N51)="","",INDEX(Azioni!$J:$J,$N51)))</f>
        <v/>
      </c>
      <c r="I51" s="128">
        <f>IF(OR($N51="",H51=""),"",IF(OR(G51="Approvata",G51="In corso"),EDATE(H51,N(INDEX(Azioni!$G:$G,$N51))),""))</f>
        <v/>
      </c>
      <c r="J51" s="126">
        <f>IF($N51="","",INDEX(Azioni!$L:$L,$N51)&amp;"")</f>
        <v/>
      </c>
      <c r="N5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46),1000000),"")</f>
        <v/>
      </c>
    </row>
    <row r="52">
      <c r="A52" s="126">
        <f>IF($N52="","",INDEX(Azioni!$A:$A,$N52)&amp;"")</f>
        <v/>
      </c>
      <c r="B52" s="126">
        <f>IF($N52="","",INDEX(Azioni!$B:$B,$N52)&amp;"")</f>
        <v/>
      </c>
      <c r="C52" s="126">
        <f>IF($N52="","",INDEX(Azioni!$C:$C,$N52)&amp;"")</f>
        <v/>
      </c>
      <c r="D52" s="127">
        <f>IF($N52="","",INDEX(Azioni!$D:$D,$N52)&amp;"")</f>
        <v/>
      </c>
      <c r="E52" s="126">
        <f>IF($N52="","",INDEX(Azioni!$E:$E,$N52)&amp;"")</f>
        <v/>
      </c>
      <c r="F52" s="126">
        <f>IF($N52="","",INDEX(Azioni!$F:$F,$N52)&amp;"")</f>
        <v/>
      </c>
      <c r="G52" s="126">
        <f>IF($N52="","",INDEX(Azioni!$I:$I,$N52)&amp;"")</f>
        <v/>
      </c>
      <c r="H52" s="128">
        <f>IF($N52="","",IF(INDEX(Azioni!$J:$J,$N52)="","",INDEX(Azioni!$J:$J,$N52)))</f>
        <v/>
      </c>
      <c r="I52" s="128">
        <f>IF(OR($N52="",H52=""),"",IF(OR(G52="Approvata",G52="In corso"),EDATE(H52,N(INDEX(Azioni!$G:$G,$N52))),""))</f>
        <v/>
      </c>
      <c r="J52" s="126">
        <f>IF($N52="","",INDEX(Azioni!$L:$L,$N52)&amp;"")</f>
        <v/>
      </c>
      <c r="N5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47),1000000),"")</f>
        <v/>
      </c>
    </row>
    <row r="53">
      <c r="A53" s="126">
        <f>IF($N53="","",INDEX(Azioni!$A:$A,$N53)&amp;"")</f>
        <v/>
      </c>
      <c r="B53" s="126">
        <f>IF($N53="","",INDEX(Azioni!$B:$B,$N53)&amp;"")</f>
        <v/>
      </c>
      <c r="C53" s="126">
        <f>IF($N53="","",INDEX(Azioni!$C:$C,$N53)&amp;"")</f>
        <v/>
      </c>
      <c r="D53" s="127">
        <f>IF($N53="","",INDEX(Azioni!$D:$D,$N53)&amp;"")</f>
        <v/>
      </c>
      <c r="E53" s="126">
        <f>IF($N53="","",INDEX(Azioni!$E:$E,$N53)&amp;"")</f>
        <v/>
      </c>
      <c r="F53" s="126">
        <f>IF($N53="","",INDEX(Azioni!$F:$F,$N53)&amp;"")</f>
        <v/>
      </c>
      <c r="G53" s="126">
        <f>IF($N53="","",INDEX(Azioni!$I:$I,$N53)&amp;"")</f>
        <v/>
      </c>
      <c r="H53" s="128">
        <f>IF($N53="","",IF(INDEX(Azioni!$J:$J,$N53)="","",INDEX(Azioni!$J:$J,$N53)))</f>
        <v/>
      </c>
      <c r="I53" s="128">
        <f>IF(OR($N53="",H53=""),"",IF(OR(G53="Approvata",G53="In corso"),EDATE(H53,N(INDEX(Azioni!$G:$G,$N53))),""))</f>
        <v/>
      </c>
      <c r="J53" s="126">
        <f>IF($N53="","",INDEX(Azioni!$L:$L,$N53)&amp;"")</f>
        <v/>
      </c>
      <c r="N5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48),1000000),"")</f>
        <v/>
      </c>
    </row>
    <row r="54">
      <c r="A54" s="126">
        <f>IF($N54="","",INDEX(Azioni!$A:$A,$N54)&amp;"")</f>
        <v/>
      </c>
      <c r="B54" s="126">
        <f>IF($N54="","",INDEX(Azioni!$B:$B,$N54)&amp;"")</f>
        <v/>
      </c>
      <c r="C54" s="126">
        <f>IF($N54="","",INDEX(Azioni!$C:$C,$N54)&amp;"")</f>
        <v/>
      </c>
      <c r="D54" s="127">
        <f>IF($N54="","",INDEX(Azioni!$D:$D,$N54)&amp;"")</f>
        <v/>
      </c>
      <c r="E54" s="126">
        <f>IF($N54="","",INDEX(Azioni!$E:$E,$N54)&amp;"")</f>
        <v/>
      </c>
      <c r="F54" s="126">
        <f>IF($N54="","",INDEX(Azioni!$F:$F,$N54)&amp;"")</f>
        <v/>
      </c>
      <c r="G54" s="126">
        <f>IF($N54="","",INDEX(Azioni!$I:$I,$N54)&amp;"")</f>
        <v/>
      </c>
      <c r="H54" s="128">
        <f>IF($N54="","",IF(INDEX(Azioni!$J:$J,$N54)="","",INDEX(Azioni!$J:$J,$N54)))</f>
        <v/>
      </c>
      <c r="I54" s="128">
        <f>IF(OR($N54="",H54=""),"",IF(OR(G54="Approvata",G54="In corso"),EDATE(H54,N(INDEX(Azioni!$G:$G,$N54))),""))</f>
        <v/>
      </c>
      <c r="J54" s="126">
        <f>IF($N54="","",INDEX(Azioni!$L:$L,$N54)&amp;"")</f>
        <v/>
      </c>
      <c r="N5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49),1000000),"")</f>
        <v/>
      </c>
    </row>
    <row r="55">
      <c r="A55" s="126">
        <f>IF($N55="","",INDEX(Azioni!$A:$A,$N55)&amp;"")</f>
        <v/>
      </c>
      <c r="B55" s="126">
        <f>IF($N55="","",INDEX(Azioni!$B:$B,$N55)&amp;"")</f>
        <v/>
      </c>
      <c r="C55" s="126">
        <f>IF($N55="","",INDEX(Azioni!$C:$C,$N55)&amp;"")</f>
        <v/>
      </c>
      <c r="D55" s="127">
        <f>IF($N55="","",INDEX(Azioni!$D:$D,$N55)&amp;"")</f>
        <v/>
      </c>
      <c r="E55" s="126">
        <f>IF($N55="","",INDEX(Azioni!$E:$E,$N55)&amp;"")</f>
        <v/>
      </c>
      <c r="F55" s="126">
        <f>IF($N55="","",INDEX(Azioni!$F:$F,$N55)&amp;"")</f>
        <v/>
      </c>
      <c r="G55" s="126">
        <f>IF($N55="","",INDEX(Azioni!$I:$I,$N55)&amp;"")</f>
        <v/>
      </c>
      <c r="H55" s="128">
        <f>IF($N55="","",IF(INDEX(Azioni!$J:$J,$N55)="","",INDEX(Azioni!$J:$J,$N55)))</f>
        <v/>
      </c>
      <c r="I55" s="128">
        <f>IF(OR($N55="",H55=""),"",IF(OR(G55="Approvata",G55="In corso"),EDATE(H55,N(INDEX(Azioni!$G:$G,$N55))),""))</f>
        <v/>
      </c>
      <c r="J55" s="126">
        <f>IF($N55="","",INDEX(Azioni!$L:$L,$N55)&amp;"")</f>
        <v/>
      </c>
      <c r="N5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50),1000000),"")</f>
        <v/>
      </c>
    </row>
    <row r="56">
      <c r="A56" s="126">
        <f>IF($N56="","",INDEX(Azioni!$A:$A,$N56)&amp;"")</f>
        <v/>
      </c>
      <c r="B56" s="126">
        <f>IF($N56="","",INDEX(Azioni!$B:$B,$N56)&amp;"")</f>
        <v/>
      </c>
      <c r="C56" s="126">
        <f>IF($N56="","",INDEX(Azioni!$C:$C,$N56)&amp;"")</f>
        <v/>
      </c>
      <c r="D56" s="127">
        <f>IF($N56="","",INDEX(Azioni!$D:$D,$N56)&amp;"")</f>
        <v/>
      </c>
      <c r="E56" s="126">
        <f>IF($N56="","",INDEX(Azioni!$E:$E,$N56)&amp;"")</f>
        <v/>
      </c>
      <c r="F56" s="126">
        <f>IF($N56="","",INDEX(Azioni!$F:$F,$N56)&amp;"")</f>
        <v/>
      </c>
      <c r="G56" s="126">
        <f>IF($N56="","",INDEX(Azioni!$I:$I,$N56)&amp;"")</f>
        <v/>
      </c>
      <c r="H56" s="128">
        <f>IF($N56="","",IF(INDEX(Azioni!$J:$J,$N56)="","",INDEX(Azioni!$J:$J,$N56)))</f>
        <v/>
      </c>
      <c r="I56" s="128">
        <f>IF(OR($N56="",H56=""),"",IF(OR(G56="Approvata",G56="In corso"),EDATE(H56,N(INDEX(Azioni!$G:$G,$N56))),""))</f>
        <v/>
      </c>
      <c r="J56" s="126">
        <f>IF($N56="","",INDEX(Azioni!$L:$L,$N56)&amp;"")</f>
        <v/>
      </c>
      <c r="N5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1000000),"")</f>
        <v/>
      </c>
    </row>
    <row r="57">
      <c r="A57" s="126">
        <f>IF($N57="","",INDEX(Azioni!$A:$A,$N57)&amp;"")</f>
        <v/>
      </c>
      <c r="B57" s="126">
        <f>IF($N57="","",INDEX(Azioni!$B:$B,$N57)&amp;"")</f>
        <v/>
      </c>
      <c r="C57" s="126">
        <f>IF($N57="","",INDEX(Azioni!$C:$C,$N57)&amp;"")</f>
        <v/>
      </c>
      <c r="D57" s="127">
        <f>IF($N57="","",INDEX(Azioni!$D:$D,$N57)&amp;"")</f>
        <v/>
      </c>
      <c r="E57" s="126">
        <f>IF($N57="","",INDEX(Azioni!$E:$E,$N57)&amp;"")</f>
        <v/>
      </c>
      <c r="F57" s="126">
        <f>IF($N57="","",INDEX(Azioni!$F:$F,$N57)&amp;"")</f>
        <v/>
      </c>
      <c r="G57" s="126">
        <f>IF($N57="","",INDEX(Azioni!$I:$I,$N57)&amp;"")</f>
        <v/>
      </c>
      <c r="H57" s="128">
        <f>IF($N57="","",IF(INDEX(Azioni!$J:$J,$N57)="","",INDEX(Azioni!$J:$J,$N57)))</f>
        <v/>
      </c>
      <c r="I57" s="128">
        <f>IF(OR($N57="",H57=""),"",IF(OR(G57="Approvata",G57="In corso"),EDATE(H57,N(INDEX(Azioni!$G:$G,$N57))),""))</f>
        <v/>
      </c>
      <c r="J57" s="126">
        <f>IF($N57="","",INDEX(Azioni!$L:$L,$N57)&amp;"")</f>
        <v/>
      </c>
      <c r="N5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52),1000000),"")</f>
        <v/>
      </c>
    </row>
    <row r="58">
      <c r="A58" s="126">
        <f>IF($N58="","",INDEX(Azioni!$A:$A,$N58)&amp;"")</f>
        <v/>
      </c>
      <c r="B58" s="126">
        <f>IF($N58="","",INDEX(Azioni!$B:$B,$N58)&amp;"")</f>
        <v/>
      </c>
      <c r="C58" s="126">
        <f>IF($N58="","",INDEX(Azioni!$C:$C,$N58)&amp;"")</f>
        <v/>
      </c>
      <c r="D58" s="127">
        <f>IF($N58="","",INDEX(Azioni!$D:$D,$N58)&amp;"")</f>
        <v/>
      </c>
      <c r="E58" s="126">
        <f>IF($N58="","",INDEX(Azioni!$E:$E,$N58)&amp;"")</f>
        <v/>
      </c>
      <c r="F58" s="126">
        <f>IF($N58="","",INDEX(Azioni!$F:$F,$N58)&amp;"")</f>
        <v/>
      </c>
      <c r="G58" s="126">
        <f>IF($N58="","",INDEX(Azioni!$I:$I,$N58)&amp;"")</f>
        <v/>
      </c>
      <c r="H58" s="128">
        <f>IF($N58="","",IF(INDEX(Azioni!$J:$J,$N58)="","",INDEX(Azioni!$J:$J,$N58)))</f>
        <v/>
      </c>
      <c r="I58" s="128">
        <f>IF(OR($N58="",H58=""),"",IF(OR(G58="Approvata",G58="In corso"),EDATE(H58,N(INDEX(Azioni!$G:$G,$N58))),""))</f>
        <v/>
      </c>
      <c r="J58" s="126">
        <f>IF($N58="","",INDEX(Azioni!$L:$L,$N58)&amp;"")</f>
        <v/>
      </c>
      <c r="N5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53),1000000),"")</f>
        <v/>
      </c>
    </row>
    <row r="59">
      <c r="A59" s="126">
        <f>IF($N59="","",INDEX(Azioni!$A:$A,$N59)&amp;"")</f>
        <v/>
      </c>
      <c r="B59" s="126">
        <f>IF($N59="","",INDEX(Azioni!$B:$B,$N59)&amp;"")</f>
        <v/>
      </c>
      <c r="C59" s="126">
        <f>IF($N59="","",INDEX(Azioni!$C:$C,$N59)&amp;"")</f>
        <v/>
      </c>
      <c r="D59" s="127">
        <f>IF($N59="","",INDEX(Azioni!$D:$D,$N59)&amp;"")</f>
        <v/>
      </c>
      <c r="E59" s="126">
        <f>IF($N59="","",INDEX(Azioni!$E:$E,$N59)&amp;"")</f>
        <v/>
      </c>
      <c r="F59" s="126">
        <f>IF($N59="","",INDEX(Azioni!$F:$F,$N59)&amp;"")</f>
        <v/>
      </c>
      <c r="G59" s="126">
        <f>IF($N59="","",INDEX(Azioni!$I:$I,$N59)&amp;"")</f>
        <v/>
      </c>
      <c r="H59" s="128">
        <f>IF($N59="","",IF(INDEX(Azioni!$J:$J,$N59)="","",INDEX(Azioni!$J:$J,$N59)))</f>
        <v/>
      </c>
      <c r="I59" s="128">
        <f>IF(OR($N59="",H59=""),"",IF(OR(G59="Approvata",G59="In corso"),EDATE(H59,N(INDEX(Azioni!$G:$G,$N59))),""))</f>
        <v/>
      </c>
      <c r="J59" s="126">
        <f>IF($N59="","",INDEX(Azioni!$L:$L,$N59)&amp;"")</f>
        <v/>
      </c>
      <c r="N5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54),1000000),"")</f>
        <v/>
      </c>
    </row>
    <row r="60">
      <c r="A60" s="126">
        <f>IF($N60="","",INDEX(Azioni!$A:$A,$N60)&amp;"")</f>
        <v/>
      </c>
      <c r="B60" s="126">
        <f>IF($N60="","",INDEX(Azioni!$B:$B,$N60)&amp;"")</f>
        <v/>
      </c>
      <c r="C60" s="126">
        <f>IF($N60="","",INDEX(Azioni!$C:$C,$N60)&amp;"")</f>
        <v/>
      </c>
      <c r="D60" s="127">
        <f>IF($N60="","",INDEX(Azioni!$D:$D,$N60)&amp;"")</f>
        <v/>
      </c>
      <c r="E60" s="126">
        <f>IF($N60="","",INDEX(Azioni!$E:$E,$N60)&amp;"")</f>
        <v/>
      </c>
      <c r="F60" s="126">
        <f>IF($N60="","",INDEX(Azioni!$F:$F,$N60)&amp;"")</f>
        <v/>
      </c>
      <c r="G60" s="126">
        <f>IF($N60="","",INDEX(Azioni!$I:$I,$N60)&amp;"")</f>
        <v/>
      </c>
      <c r="H60" s="128">
        <f>IF($N60="","",IF(INDEX(Azioni!$J:$J,$N60)="","",INDEX(Azioni!$J:$J,$N60)))</f>
        <v/>
      </c>
      <c r="I60" s="128">
        <f>IF(OR($N60="",H60=""),"",IF(OR(G60="Approvata",G60="In corso"),EDATE(H60,N(INDEX(Azioni!$G:$G,$N60))),""))</f>
        <v/>
      </c>
      <c r="J60" s="126">
        <f>IF($N60="","",INDEX(Azioni!$L:$L,$N60)&amp;"")</f>
        <v/>
      </c>
      <c r="N6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55),1000000),"")</f>
        <v/>
      </c>
    </row>
    <row r="61">
      <c r="A61" s="126">
        <f>IF($N61="","",INDEX(Azioni!$A:$A,$N61)&amp;"")</f>
        <v/>
      </c>
      <c r="B61" s="126">
        <f>IF($N61="","",INDEX(Azioni!$B:$B,$N61)&amp;"")</f>
        <v/>
      </c>
      <c r="C61" s="126">
        <f>IF($N61="","",INDEX(Azioni!$C:$C,$N61)&amp;"")</f>
        <v/>
      </c>
      <c r="D61" s="127">
        <f>IF($N61="","",INDEX(Azioni!$D:$D,$N61)&amp;"")</f>
        <v/>
      </c>
      <c r="E61" s="126">
        <f>IF($N61="","",INDEX(Azioni!$E:$E,$N61)&amp;"")</f>
        <v/>
      </c>
      <c r="F61" s="126">
        <f>IF($N61="","",INDEX(Azioni!$F:$F,$N61)&amp;"")</f>
        <v/>
      </c>
      <c r="G61" s="126">
        <f>IF($N61="","",INDEX(Azioni!$I:$I,$N61)&amp;"")</f>
        <v/>
      </c>
      <c r="H61" s="128">
        <f>IF($N61="","",IF(INDEX(Azioni!$J:$J,$N61)="","",INDEX(Azioni!$J:$J,$N61)))</f>
        <v/>
      </c>
      <c r="I61" s="128">
        <f>IF(OR($N61="",H61=""),"",IF(OR(G61="Approvata",G61="In corso"),EDATE(H61,N(INDEX(Azioni!$G:$G,$N61))),""))</f>
        <v/>
      </c>
      <c r="J61" s="126">
        <f>IF($N61="","",INDEX(Azioni!$L:$L,$N61)&amp;"")</f>
        <v/>
      </c>
      <c r="N6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56),1000000),"")</f>
        <v/>
      </c>
    </row>
    <row r="62">
      <c r="A62" s="126">
        <f>IF($N62="","",INDEX(Azioni!$A:$A,$N62)&amp;"")</f>
        <v/>
      </c>
      <c r="B62" s="126">
        <f>IF($N62="","",INDEX(Azioni!$B:$B,$N62)&amp;"")</f>
        <v/>
      </c>
      <c r="C62" s="126">
        <f>IF($N62="","",INDEX(Azioni!$C:$C,$N62)&amp;"")</f>
        <v/>
      </c>
      <c r="D62" s="127">
        <f>IF($N62="","",INDEX(Azioni!$D:$D,$N62)&amp;"")</f>
        <v/>
      </c>
      <c r="E62" s="126">
        <f>IF($N62="","",INDEX(Azioni!$E:$E,$N62)&amp;"")</f>
        <v/>
      </c>
      <c r="F62" s="126">
        <f>IF($N62="","",INDEX(Azioni!$F:$F,$N62)&amp;"")</f>
        <v/>
      </c>
      <c r="G62" s="126">
        <f>IF($N62="","",INDEX(Azioni!$I:$I,$N62)&amp;"")</f>
        <v/>
      </c>
      <c r="H62" s="128">
        <f>IF($N62="","",IF(INDEX(Azioni!$J:$J,$N62)="","",INDEX(Azioni!$J:$J,$N62)))</f>
        <v/>
      </c>
      <c r="I62" s="128">
        <f>IF(OR($N62="",H62=""),"",IF(OR(G62="Approvata",G62="In corso"),EDATE(H62,N(INDEX(Azioni!$G:$G,$N62))),""))</f>
        <v/>
      </c>
      <c r="J62" s="126">
        <f>IF($N62="","",INDEX(Azioni!$L:$L,$N62)&amp;"")</f>
        <v/>
      </c>
      <c r="N6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57),1000000),"")</f>
        <v/>
      </c>
    </row>
    <row r="63">
      <c r="A63" s="126">
        <f>IF($N63="","",INDEX(Azioni!$A:$A,$N63)&amp;"")</f>
        <v/>
      </c>
      <c r="B63" s="126">
        <f>IF($N63="","",INDEX(Azioni!$B:$B,$N63)&amp;"")</f>
        <v/>
      </c>
      <c r="C63" s="126">
        <f>IF($N63="","",INDEX(Azioni!$C:$C,$N63)&amp;"")</f>
        <v/>
      </c>
      <c r="D63" s="127">
        <f>IF($N63="","",INDEX(Azioni!$D:$D,$N63)&amp;"")</f>
        <v/>
      </c>
      <c r="E63" s="126">
        <f>IF($N63="","",INDEX(Azioni!$E:$E,$N63)&amp;"")</f>
        <v/>
      </c>
      <c r="F63" s="126">
        <f>IF($N63="","",INDEX(Azioni!$F:$F,$N63)&amp;"")</f>
        <v/>
      </c>
      <c r="G63" s="126">
        <f>IF($N63="","",INDEX(Azioni!$I:$I,$N63)&amp;"")</f>
        <v/>
      </c>
      <c r="H63" s="128">
        <f>IF($N63="","",IF(INDEX(Azioni!$J:$J,$N63)="","",INDEX(Azioni!$J:$J,$N63)))</f>
        <v/>
      </c>
      <c r="I63" s="128">
        <f>IF(OR($N63="",H63=""),"",IF(OR(G63="Approvata",G63="In corso"),EDATE(H63,N(INDEX(Azioni!$G:$G,$N63))),""))</f>
        <v/>
      </c>
      <c r="J63" s="126">
        <f>IF($N63="","",INDEX(Azioni!$L:$L,$N63)&amp;"")</f>
        <v/>
      </c>
      <c r="N6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58),1000000),"")</f>
        <v/>
      </c>
    </row>
    <row r="64">
      <c r="A64" s="126">
        <f>IF($N64="","",INDEX(Azioni!$A:$A,$N64)&amp;"")</f>
        <v/>
      </c>
      <c r="B64" s="126">
        <f>IF($N64="","",INDEX(Azioni!$B:$B,$N64)&amp;"")</f>
        <v/>
      </c>
      <c r="C64" s="126">
        <f>IF($N64="","",INDEX(Azioni!$C:$C,$N64)&amp;"")</f>
        <v/>
      </c>
      <c r="D64" s="127">
        <f>IF($N64="","",INDEX(Azioni!$D:$D,$N64)&amp;"")</f>
        <v/>
      </c>
      <c r="E64" s="126">
        <f>IF($N64="","",INDEX(Azioni!$E:$E,$N64)&amp;"")</f>
        <v/>
      </c>
      <c r="F64" s="126">
        <f>IF($N64="","",INDEX(Azioni!$F:$F,$N64)&amp;"")</f>
        <v/>
      </c>
      <c r="G64" s="126">
        <f>IF($N64="","",INDEX(Azioni!$I:$I,$N64)&amp;"")</f>
        <v/>
      </c>
      <c r="H64" s="128">
        <f>IF($N64="","",IF(INDEX(Azioni!$J:$J,$N64)="","",INDEX(Azioni!$J:$J,$N64)))</f>
        <v/>
      </c>
      <c r="I64" s="128">
        <f>IF(OR($N64="",H64=""),"",IF(OR(G64="Approvata",G64="In corso"),EDATE(H64,N(INDEX(Azioni!$G:$G,$N64))),""))</f>
        <v/>
      </c>
      <c r="J64" s="126">
        <f>IF($N64="","",INDEX(Azioni!$L:$L,$N64)&amp;"")</f>
        <v/>
      </c>
      <c r="N6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59),1000000),"")</f>
        <v/>
      </c>
    </row>
    <row r="65">
      <c r="A65" s="126">
        <f>IF($N65="","",INDEX(Azioni!$A:$A,$N65)&amp;"")</f>
        <v/>
      </c>
      <c r="B65" s="126">
        <f>IF($N65="","",INDEX(Azioni!$B:$B,$N65)&amp;"")</f>
        <v/>
      </c>
      <c r="C65" s="126">
        <f>IF($N65="","",INDEX(Azioni!$C:$C,$N65)&amp;"")</f>
        <v/>
      </c>
      <c r="D65" s="127">
        <f>IF($N65="","",INDEX(Azioni!$D:$D,$N65)&amp;"")</f>
        <v/>
      </c>
      <c r="E65" s="126">
        <f>IF($N65="","",INDEX(Azioni!$E:$E,$N65)&amp;"")</f>
        <v/>
      </c>
      <c r="F65" s="126">
        <f>IF($N65="","",INDEX(Azioni!$F:$F,$N65)&amp;"")</f>
        <v/>
      </c>
      <c r="G65" s="126">
        <f>IF($N65="","",INDEX(Azioni!$I:$I,$N65)&amp;"")</f>
        <v/>
      </c>
      <c r="H65" s="128">
        <f>IF($N65="","",IF(INDEX(Azioni!$J:$J,$N65)="","",INDEX(Azioni!$J:$J,$N65)))</f>
        <v/>
      </c>
      <c r="I65" s="128">
        <f>IF(OR($N65="",H65=""),"",IF(OR(G65="Approvata",G65="In corso"),EDATE(H65,N(INDEX(Azioni!$G:$G,$N65))),""))</f>
        <v/>
      </c>
      <c r="J65" s="126">
        <f>IF($N65="","",INDEX(Azioni!$L:$L,$N65)&amp;"")</f>
        <v/>
      </c>
      <c r="N6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60),1000000),"")</f>
        <v/>
      </c>
    </row>
    <row r="66">
      <c r="A66" s="126">
        <f>IF($N66="","",INDEX(Azioni!$A:$A,$N66)&amp;"")</f>
        <v/>
      </c>
      <c r="B66" s="126">
        <f>IF($N66="","",INDEX(Azioni!$B:$B,$N66)&amp;"")</f>
        <v/>
      </c>
      <c r="C66" s="126">
        <f>IF($N66="","",INDEX(Azioni!$C:$C,$N66)&amp;"")</f>
        <v/>
      </c>
      <c r="D66" s="127">
        <f>IF($N66="","",INDEX(Azioni!$D:$D,$N66)&amp;"")</f>
        <v/>
      </c>
      <c r="E66" s="126">
        <f>IF($N66="","",INDEX(Azioni!$E:$E,$N66)&amp;"")</f>
        <v/>
      </c>
      <c r="F66" s="126">
        <f>IF($N66="","",INDEX(Azioni!$F:$F,$N66)&amp;"")</f>
        <v/>
      </c>
      <c r="G66" s="126">
        <f>IF($N66="","",INDEX(Azioni!$I:$I,$N66)&amp;"")</f>
        <v/>
      </c>
      <c r="H66" s="128">
        <f>IF($N66="","",IF(INDEX(Azioni!$J:$J,$N66)="","",INDEX(Azioni!$J:$J,$N66)))</f>
        <v/>
      </c>
      <c r="I66" s="128">
        <f>IF(OR($N66="",H66=""),"",IF(OR(G66="Approvata",G66="In corso"),EDATE(H66,N(INDEX(Azioni!$G:$G,$N66))),""))</f>
        <v/>
      </c>
      <c r="J66" s="126">
        <f>IF($N66="","",INDEX(Azioni!$L:$L,$N66)&amp;"")</f>
        <v/>
      </c>
      <c r="N6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1000000),"")</f>
        <v/>
      </c>
    </row>
    <row r="67">
      <c r="A67" s="126">
        <f>IF($N67="","",INDEX(Azioni!$A:$A,$N67)&amp;"")</f>
        <v/>
      </c>
      <c r="B67" s="126">
        <f>IF($N67="","",INDEX(Azioni!$B:$B,$N67)&amp;"")</f>
        <v/>
      </c>
      <c r="C67" s="126">
        <f>IF($N67="","",INDEX(Azioni!$C:$C,$N67)&amp;"")</f>
        <v/>
      </c>
      <c r="D67" s="127">
        <f>IF($N67="","",INDEX(Azioni!$D:$D,$N67)&amp;"")</f>
        <v/>
      </c>
      <c r="E67" s="126">
        <f>IF($N67="","",INDEX(Azioni!$E:$E,$N67)&amp;"")</f>
        <v/>
      </c>
      <c r="F67" s="126">
        <f>IF($N67="","",INDEX(Azioni!$F:$F,$N67)&amp;"")</f>
        <v/>
      </c>
      <c r="G67" s="126">
        <f>IF($N67="","",INDEX(Azioni!$I:$I,$N67)&amp;"")</f>
        <v/>
      </c>
      <c r="H67" s="128">
        <f>IF($N67="","",IF(INDEX(Azioni!$J:$J,$N67)="","",INDEX(Azioni!$J:$J,$N67)))</f>
        <v/>
      </c>
      <c r="I67" s="128">
        <f>IF(OR($N67="",H67=""),"",IF(OR(G67="Approvata",G67="In corso"),EDATE(H67,N(INDEX(Azioni!$G:$G,$N67))),""))</f>
        <v/>
      </c>
      <c r="J67" s="126">
        <f>IF($N67="","",INDEX(Azioni!$L:$L,$N67)&amp;"")</f>
        <v/>
      </c>
      <c r="N6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62),1000000),"")</f>
        <v/>
      </c>
    </row>
    <row r="68">
      <c r="A68" s="126">
        <f>IF($N68="","",INDEX(Azioni!$A:$A,$N68)&amp;"")</f>
        <v/>
      </c>
      <c r="B68" s="126">
        <f>IF($N68="","",INDEX(Azioni!$B:$B,$N68)&amp;"")</f>
        <v/>
      </c>
      <c r="C68" s="126">
        <f>IF($N68="","",INDEX(Azioni!$C:$C,$N68)&amp;"")</f>
        <v/>
      </c>
      <c r="D68" s="127">
        <f>IF($N68="","",INDEX(Azioni!$D:$D,$N68)&amp;"")</f>
        <v/>
      </c>
      <c r="E68" s="126">
        <f>IF($N68="","",INDEX(Azioni!$E:$E,$N68)&amp;"")</f>
        <v/>
      </c>
      <c r="F68" s="126">
        <f>IF($N68="","",INDEX(Azioni!$F:$F,$N68)&amp;"")</f>
        <v/>
      </c>
      <c r="G68" s="126">
        <f>IF($N68="","",INDEX(Azioni!$I:$I,$N68)&amp;"")</f>
        <v/>
      </c>
      <c r="H68" s="128">
        <f>IF($N68="","",IF(INDEX(Azioni!$J:$J,$N68)="","",INDEX(Azioni!$J:$J,$N68)))</f>
        <v/>
      </c>
      <c r="I68" s="128">
        <f>IF(OR($N68="",H68=""),"",IF(OR(G68="Approvata",G68="In corso"),EDATE(H68,N(INDEX(Azioni!$G:$G,$N68))),""))</f>
        <v/>
      </c>
      <c r="J68" s="126">
        <f>IF($N68="","",INDEX(Azioni!$L:$L,$N68)&amp;"")</f>
        <v/>
      </c>
      <c r="N6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63),1000000),"")</f>
        <v/>
      </c>
    </row>
    <row r="69">
      <c r="A69" s="126">
        <f>IF($N69="","",INDEX(Azioni!$A:$A,$N69)&amp;"")</f>
        <v/>
      </c>
      <c r="B69" s="126">
        <f>IF($N69="","",INDEX(Azioni!$B:$B,$N69)&amp;"")</f>
        <v/>
      </c>
      <c r="C69" s="126">
        <f>IF($N69="","",INDEX(Azioni!$C:$C,$N69)&amp;"")</f>
        <v/>
      </c>
      <c r="D69" s="127">
        <f>IF($N69="","",INDEX(Azioni!$D:$D,$N69)&amp;"")</f>
        <v/>
      </c>
      <c r="E69" s="126">
        <f>IF($N69="","",INDEX(Azioni!$E:$E,$N69)&amp;"")</f>
        <v/>
      </c>
      <c r="F69" s="126">
        <f>IF($N69="","",INDEX(Azioni!$F:$F,$N69)&amp;"")</f>
        <v/>
      </c>
      <c r="G69" s="126">
        <f>IF($N69="","",INDEX(Azioni!$I:$I,$N69)&amp;"")</f>
        <v/>
      </c>
      <c r="H69" s="128">
        <f>IF($N69="","",IF(INDEX(Azioni!$J:$J,$N69)="","",INDEX(Azioni!$J:$J,$N69)))</f>
        <v/>
      </c>
      <c r="I69" s="128">
        <f>IF(OR($N69="",H69=""),"",IF(OR(G69="Approvata",G69="In corso"),EDATE(H69,N(INDEX(Azioni!$G:$G,$N69))),""))</f>
        <v/>
      </c>
      <c r="J69" s="126">
        <f>IF($N69="","",INDEX(Azioni!$L:$L,$N69)&amp;"")</f>
        <v/>
      </c>
      <c r="N6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64),1000000),"")</f>
        <v/>
      </c>
    </row>
    <row r="70">
      <c r="A70" s="126">
        <f>IF($N70="","",INDEX(Azioni!$A:$A,$N70)&amp;"")</f>
        <v/>
      </c>
      <c r="B70" s="126">
        <f>IF($N70="","",INDEX(Azioni!$B:$B,$N70)&amp;"")</f>
        <v/>
      </c>
      <c r="C70" s="126">
        <f>IF($N70="","",INDEX(Azioni!$C:$C,$N70)&amp;"")</f>
        <v/>
      </c>
      <c r="D70" s="127">
        <f>IF($N70="","",INDEX(Azioni!$D:$D,$N70)&amp;"")</f>
        <v/>
      </c>
      <c r="E70" s="126">
        <f>IF($N70="","",INDEX(Azioni!$E:$E,$N70)&amp;"")</f>
        <v/>
      </c>
      <c r="F70" s="126">
        <f>IF($N70="","",INDEX(Azioni!$F:$F,$N70)&amp;"")</f>
        <v/>
      </c>
      <c r="G70" s="126">
        <f>IF($N70="","",INDEX(Azioni!$I:$I,$N70)&amp;"")</f>
        <v/>
      </c>
      <c r="H70" s="128">
        <f>IF($N70="","",IF(INDEX(Azioni!$J:$J,$N70)="","",INDEX(Azioni!$J:$J,$N70)))</f>
        <v/>
      </c>
      <c r="I70" s="128">
        <f>IF(OR($N70="",H70=""),"",IF(OR(G70="Approvata",G70="In corso"),EDATE(H70,N(INDEX(Azioni!$G:$G,$N70))),""))</f>
        <v/>
      </c>
      <c r="J70" s="126">
        <f>IF($N70="","",INDEX(Azioni!$L:$L,$N70)&amp;"")</f>
        <v/>
      </c>
      <c r="N7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65),1000000),"")</f>
        <v/>
      </c>
    </row>
    <row r="71">
      <c r="A71" s="126">
        <f>IF($N71="","",INDEX(Azioni!$A:$A,$N71)&amp;"")</f>
        <v/>
      </c>
      <c r="B71" s="126">
        <f>IF($N71="","",INDEX(Azioni!$B:$B,$N71)&amp;"")</f>
        <v/>
      </c>
      <c r="C71" s="126">
        <f>IF($N71="","",INDEX(Azioni!$C:$C,$N71)&amp;"")</f>
        <v/>
      </c>
      <c r="D71" s="127">
        <f>IF($N71="","",INDEX(Azioni!$D:$D,$N71)&amp;"")</f>
        <v/>
      </c>
      <c r="E71" s="126">
        <f>IF($N71="","",INDEX(Azioni!$E:$E,$N71)&amp;"")</f>
        <v/>
      </c>
      <c r="F71" s="126">
        <f>IF($N71="","",INDEX(Azioni!$F:$F,$N71)&amp;"")</f>
        <v/>
      </c>
      <c r="G71" s="126">
        <f>IF($N71="","",INDEX(Azioni!$I:$I,$N71)&amp;"")</f>
        <v/>
      </c>
      <c r="H71" s="128">
        <f>IF($N71="","",IF(INDEX(Azioni!$J:$J,$N71)="","",INDEX(Azioni!$J:$J,$N71)))</f>
        <v/>
      </c>
      <c r="I71" s="128">
        <f>IF(OR($N71="",H71=""),"",IF(OR(G71="Approvata",G71="In corso"),EDATE(H71,N(INDEX(Azioni!$G:$G,$N71))),""))</f>
        <v/>
      </c>
      <c r="J71" s="126">
        <f>IF($N71="","",INDEX(Azioni!$L:$L,$N71)&amp;"")</f>
        <v/>
      </c>
      <c r="N7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66),1000000),"")</f>
        <v/>
      </c>
    </row>
    <row r="72">
      <c r="A72" s="126">
        <f>IF($N72="","",INDEX(Azioni!$A:$A,$N72)&amp;"")</f>
        <v/>
      </c>
      <c r="B72" s="126">
        <f>IF($N72="","",INDEX(Azioni!$B:$B,$N72)&amp;"")</f>
        <v/>
      </c>
      <c r="C72" s="126">
        <f>IF($N72="","",INDEX(Azioni!$C:$C,$N72)&amp;"")</f>
        <v/>
      </c>
      <c r="D72" s="127">
        <f>IF($N72="","",INDEX(Azioni!$D:$D,$N72)&amp;"")</f>
        <v/>
      </c>
      <c r="E72" s="126">
        <f>IF($N72="","",INDEX(Azioni!$E:$E,$N72)&amp;"")</f>
        <v/>
      </c>
      <c r="F72" s="126">
        <f>IF($N72="","",INDEX(Azioni!$F:$F,$N72)&amp;"")</f>
        <v/>
      </c>
      <c r="G72" s="126">
        <f>IF($N72="","",INDEX(Azioni!$I:$I,$N72)&amp;"")</f>
        <v/>
      </c>
      <c r="H72" s="128">
        <f>IF($N72="","",IF(INDEX(Azioni!$J:$J,$N72)="","",INDEX(Azioni!$J:$J,$N72)))</f>
        <v/>
      </c>
      <c r="I72" s="128">
        <f>IF(OR($N72="",H72=""),"",IF(OR(G72="Approvata",G72="In corso"),EDATE(H72,N(INDEX(Azioni!$G:$G,$N72))),""))</f>
        <v/>
      </c>
      <c r="J72" s="126">
        <f>IF($N72="","",INDEX(Azioni!$L:$L,$N72)&amp;"")</f>
        <v/>
      </c>
      <c r="N7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67),1000000),"")</f>
        <v/>
      </c>
    </row>
    <row r="73">
      <c r="A73" s="126">
        <f>IF($N73="","",INDEX(Azioni!$A:$A,$N73)&amp;"")</f>
        <v/>
      </c>
      <c r="B73" s="126">
        <f>IF($N73="","",INDEX(Azioni!$B:$B,$N73)&amp;"")</f>
        <v/>
      </c>
      <c r="C73" s="126">
        <f>IF($N73="","",INDEX(Azioni!$C:$C,$N73)&amp;"")</f>
        <v/>
      </c>
      <c r="D73" s="127">
        <f>IF($N73="","",INDEX(Azioni!$D:$D,$N73)&amp;"")</f>
        <v/>
      </c>
      <c r="E73" s="126">
        <f>IF($N73="","",INDEX(Azioni!$E:$E,$N73)&amp;"")</f>
        <v/>
      </c>
      <c r="F73" s="126">
        <f>IF($N73="","",INDEX(Azioni!$F:$F,$N73)&amp;"")</f>
        <v/>
      </c>
      <c r="G73" s="126">
        <f>IF($N73="","",INDEX(Azioni!$I:$I,$N73)&amp;"")</f>
        <v/>
      </c>
      <c r="H73" s="128">
        <f>IF($N73="","",IF(INDEX(Azioni!$J:$J,$N73)="","",INDEX(Azioni!$J:$J,$N73)))</f>
        <v/>
      </c>
      <c r="I73" s="128">
        <f>IF(OR($N73="",H73=""),"",IF(OR(G73="Approvata",G73="In corso"),EDATE(H73,N(INDEX(Azioni!$G:$G,$N73))),""))</f>
        <v/>
      </c>
      <c r="J73" s="126">
        <f>IF($N73="","",INDEX(Azioni!$L:$L,$N73)&amp;"")</f>
        <v/>
      </c>
      <c r="N7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68),1000000),"")</f>
        <v/>
      </c>
    </row>
    <row r="74">
      <c r="A74" s="126">
        <f>IF($N74="","",INDEX(Azioni!$A:$A,$N74)&amp;"")</f>
        <v/>
      </c>
      <c r="B74" s="126">
        <f>IF($N74="","",INDEX(Azioni!$B:$B,$N74)&amp;"")</f>
        <v/>
      </c>
      <c r="C74" s="126">
        <f>IF($N74="","",INDEX(Azioni!$C:$C,$N74)&amp;"")</f>
        <v/>
      </c>
      <c r="D74" s="127">
        <f>IF($N74="","",INDEX(Azioni!$D:$D,$N74)&amp;"")</f>
        <v/>
      </c>
      <c r="E74" s="126">
        <f>IF($N74="","",INDEX(Azioni!$E:$E,$N74)&amp;"")</f>
        <v/>
      </c>
      <c r="F74" s="126">
        <f>IF($N74="","",INDEX(Azioni!$F:$F,$N74)&amp;"")</f>
        <v/>
      </c>
      <c r="G74" s="126">
        <f>IF($N74="","",INDEX(Azioni!$I:$I,$N74)&amp;"")</f>
        <v/>
      </c>
      <c r="H74" s="128">
        <f>IF($N74="","",IF(INDEX(Azioni!$J:$J,$N74)="","",INDEX(Azioni!$J:$J,$N74)))</f>
        <v/>
      </c>
      <c r="I74" s="128">
        <f>IF(OR($N74="",H74=""),"",IF(OR(G74="Approvata",G74="In corso"),EDATE(H74,N(INDEX(Azioni!$G:$G,$N74))),""))</f>
        <v/>
      </c>
      <c r="J74" s="126">
        <f>IF($N74="","",INDEX(Azioni!$L:$L,$N74)&amp;"")</f>
        <v/>
      </c>
      <c r="N7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69),1000000),"")</f>
        <v/>
      </c>
    </row>
    <row r="75">
      <c r="A75" s="126">
        <f>IF($N75="","",INDEX(Azioni!$A:$A,$N75)&amp;"")</f>
        <v/>
      </c>
      <c r="B75" s="126">
        <f>IF($N75="","",INDEX(Azioni!$B:$B,$N75)&amp;"")</f>
        <v/>
      </c>
      <c r="C75" s="126">
        <f>IF($N75="","",INDEX(Azioni!$C:$C,$N75)&amp;"")</f>
        <v/>
      </c>
      <c r="D75" s="127">
        <f>IF($N75="","",INDEX(Azioni!$D:$D,$N75)&amp;"")</f>
        <v/>
      </c>
      <c r="E75" s="126">
        <f>IF($N75="","",INDEX(Azioni!$E:$E,$N75)&amp;"")</f>
        <v/>
      </c>
      <c r="F75" s="126">
        <f>IF($N75="","",INDEX(Azioni!$F:$F,$N75)&amp;"")</f>
        <v/>
      </c>
      <c r="G75" s="126">
        <f>IF($N75="","",INDEX(Azioni!$I:$I,$N75)&amp;"")</f>
        <v/>
      </c>
      <c r="H75" s="128">
        <f>IF($N75="","",IF(INDEX(Azioni!$J:$J,$N75)="","",INDEX(Azioni!$J:$J,$N75)))</f>
        <v/>
      </c>
      <c r="I75" s="128">
        <f>IF(OR($N75="",H75=""),"",IF(OR(G75="Approvata",G75="In corso"),EDATE(H75,N(INDEX(Azioni!$G:$G,$N75))),""))</f>
        <v/>
      </c>
      <c r="J75" s="126">
        <f>IF($N75="","",INDEX(Azioni!$L:$L,$N75)&amp;"")</f>
        <v/>
      </c>
      <c r="N7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70),1000000),"")</f>
        <v/>
      </c>
    </row>
    <row r="76">
      <c r="A76" s="126">
        <f>IF($N76="","",INDEX(Azioni!$A:$A,$N76)&amp;"")</f>
        <v/>
      </c>
      <c r="B76" s="126">
        <f>IF($N76="","",INDEX(Azioni!$B:$B,$N76)&amp;"")</f>
        <v/>
      </c>
      <c r="C76" s="126">
        <f>IF($N76="","",INDEX(Azioni!$C:$C,$N76)&amp;"")</f>
        <v/>
      </c>
      <c r="D76" s="127">
        <f>IF($N76="","",INDEX(Azioni!$D:$D,$N76)&amp;"")</f>
        <v/>
      </c>
      <c r="E76" s="126">
        <f>IF($N76="","",INDEX(Azioni!$E:$E,$N76)&amp;"")</f>
        <v/>
      </c>
      <c r="F76" s="126">
        <f>IF($N76="","",INDEX(Azioni!$F:$F,$N76)&amp;"")</f>
        <v/>
      </c>
      <c r="G76" s="126">
        <f>IF($N76="","",INDEX(Azioni!$I:$I,$N76)&amp;"")</f>
        <v/>
      </c>
      <c r="H76" s="128">
        <f>IF($N76="","",IF(INDEX(Azioni!$J:$J,$N76)="","",INDEX(Azioni!$J:$J,$N76)))</f>
        <v/>
      </c>
      <c r="I76" s="128">
        <f>IF(OR($N76="",H76=""),"",IF(OR(G76="Approvata",G76="In corso"),EDATE(H76,N(INDEX(Azioni!$G:$G,$N76))),""))</f>
        <v/>
      </c>
      <c r="J76" s="126">
        <f>IF($N76="","",INDEX(Azioni!$L:$L,$N76)&amp;"")</f>
        <v/>
      </c>
      <c r="N7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1000000),"")</f>
        <v/>
      </c>
    </row>
    <row r="77">
      <c r="A77" s="126">
        <f>IF($N77="","",INDEX(Azioni!$A:$A,$N77)&amp;"")</f>
        <v/>
      </c>
      <c r="B77" s="126">
        <f>IF($N77="","",INDEX(Azioni!$B:$B,$N77)&amp;"")</f>
        <v/>
      </c>
      <c r="C77" s="126">
        <f>IF($N77="","",INDEX(Azioni!$C:$C,$N77)&amp;"")</f>
        <v/>
      </c>
      <c r="D77" s="127">
        <f>IF($N77="","",INDEX(Azioni!$D:$D,$N77)&amp;"")</f>
        <v/>
      </c>
      <c r="E77" s="126">
        <f>IF($N77="","",INDEX(Azioni!$E:$E,$N77)&amp;"")</f>
        <v/>
      </c>
      <c r="F77" s="126">
        <f>IF($N77="","",INDEX(Azioni!$F:$F,$N77)&amp;"")</f>
        <v/>
      </c>
      <c r="G77" s="126">
        <f>IF($N77="","",INDEX(Azioni!$I:$I,$N77)&amp;"")</f>
        <v/>
      </c>
      <c r="H77" s="128">
        <f>IF($N77="","",IF(INDEX(Azioni!$J:$J,$N77)="","",INDEX(Azioni!$J:$J,$N77)))</f>
        <v/>
      </c>
      <c r="I77" s="128">
        <f>IF(OR($N77="",H77=""),"",IF(OR(G77="Approvata",G77="In corso"),EDATE(H77,N(INDEX(Azioni!$G:$G,$N77))),""))</f>
        <v/>
      </c>
      <c r="J77" s="126">
        <f>IF($N77="","",INDEX(Azioni!$L:$L,$N77)&amp;"")</f>
        <v/>
      </c>
      <c r="N7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72),1000000),"")</f>
        <v/>
      </c>
    </row>
    <row r="78">
      <c r="A78" s="126">
        <f>IF($N78="","",INDEX(Azioni!$A:$A,$N78)&amp;"")</f>
        <v/>
      </c>
      <c r="B78" s="126">
        <f>IF($N78="","",INDEX(Azioni!$B:$B,$N78)&amp;"")</f>
        <v/>
      </c>
      <c r="C78" s="126">
        <f>IF($N78="","",INDEX(Azioni!$C:$C,$N78)&amp;"")</f>
        <v/>
      </c>
      <c r="D78" s="127">
        <f>IF($N78="","",INDEX(Azioni!$D:$D,$N78)&amp;"")</f>
        <v/>
      </c>
      <c r="E78" s="126">
        <f>IF($N78="","",INDEX(Azioni!$E:$E,$N78)&amp;"")</f>
        <v/>
      </c>
      <c r="F78" s="126">
        <f>IF($N78="","",INDEX(Azioni!$F:$F,$N78)&amp;"")</f>
        <v/>
      </c>
      <c r="G78" s="126">
        <f>IF($N78="","",INDEX(Azioni!$I:$I,$N78)&amp;"")</f>
        <v/>
      </c>
      <c r="H78" s="128">
        <f>IF($N78="","",IF(INDEX(Azioni!$J:$J,$N78)="","",INDEX(Azioni!$J:$J,$N78)))</f>
        <v/>
      </c>
      <c r="I78" s="128">
        <f>IF(OR($N78="",H78=""),"",IF(OR(G78="Approvata",G78="In corso"),EDATE(H78,N(INDEX(Azioni!$G:$G,$N78))),""))</f>
        <v/>
      </c>
      <c r="J78" s="126">
        <f>IF($N78="","",INDEX(Azioni!$L:$L,$N78)&amp;"")</f>
        <v/>
      </c>
      <c r="N7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73),1000000),"")</f>
        <v/>
      </c>
    </row>
    <row r="79">
      <c r="A79" s="126">
        <f>IF($N79="","",INDEX(Azioni!$A:$A,$N79)&amp;"")</f>
        <v/>
      </c>
      <c r="B79" s="126">
        <f>IF($N79="","",INDEX(Azioni!$B:$B,$N79)&amp;"")</f>
        <v/>
      </c>
      <c r="C79" s="126">
        <f>IF($N79="","",INDEX(Azioni!$C:$C,$N79)&amp;"")</f>
        <v/>
      </c>
      <c r="D79" s="127">
        <f>IF($N79="","",INDEX(Azioni!$D:$D,$N79)&amp;"")</f>
        <v/>
      </c>
      <c r="E79" s="126">
        <f>IF($N79="","",INDEX(Azioni!$E:$E,$N79)&amp;"")</f>
        <v/>
      </c>
      <c r="F79" s="126">
        <f>IF($N79="","",INDEX(Azioni!$F:$F,$N79)&amp;"")</f>
        <v/>
      </c>
      <c r="G79" s="126">
        <f>IF($N79="","",INDEX(Azioni!$I:$I,$N79)&amp;"")</f>
        <v/>
      </c>
      <c r="H79" s="128">
        <f>IF($N79="","",IF(INDEX(Azioni!$J:$J,$N79)="","",INDEX(Azioni!$J:$J,$N79)))</f>
        <v/>
      </c>
      <c r="I79" s="128">
        <f>IF(OR($N79="",H79=""),"",IF(OR(G79="Approvata",G79="In corso"),EDATE(H79,N(INDEX(Azioni!$G:$G,$N79))),""))</f>
        <v/>
      </c>
      <c r="J79" s="126">
        <f>IF($N79="","",INDEX(Azioni!$L:$L,$N79)&amp;"")</f>
        <v/>
      </c>
      <c r="N7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74),1000000),"")</f>
        <v/>
      </c>
    </row>
    <row r="80">
      <c r="A80" s="126">
        <f>IF($N80="","",INDEX(Azioni!$A:$A,$N80)&amp;"")</f>
        <v/>
      </c>
      <c r="B80" s="126">
        <f>IF($N80="","",INDEX(Azioni!$B:$B,$N80)&amp;"")</f>
        <v/>
      </c>
      <c r="C80" s="126">
        <f>IF($N80="","",INDEX(Azioni!$C:$C,$N80)&amp;"")</f>
        <v/>
      </c>
      <c r="D80" s="127">
        <f>IF($N80="","",INDEX(Azioni!$D:$D,$N80)&amp;"")</f>
        <v/>
      </c>
      <c r="E80" s="126">
        <f>IF($N80="","",INDEX(Azioni!$E:$E,$N80)&amp;"")</f>
        <v/>
      </c>
      <c r="F80" s="126">
        <f>IF($N80="","",INDEX(Azioni!$F:$F,$N80)&amp;"")</f>
        <v/>
      </c>
      <c r="G80" s="126">
        <f>IF($N80="","",INDEX(Azioni!$I:$I,$N80)&amp;"")</f>
        <v/>
      </c>
      <c r="H80" s="128">
        <f>IF($N80="","",IF(INDEX(Azioni!$J:$J,$N80)="","",INDEX(Azioni!$J:$J,$N80)))</f>
        <v/>
      </c>
      <c r="I80" s="128">
        <f>IF(OR($N80="",H80=""),"",IF(OR(G80="Approvata",G80="In corso"),EDATE(H80,N(INDEX(Azioni!$G:$G,$N80))),""))</f>
        <v/>
      </c>
      <c r="J80" s="126">
        <f>IF($N80="","",INDEX(Azioni!$L:$L,$N80)&amp;"")</f>
        <v/>
      </c>
      <c r="N8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75),1000000),"")</f>
        <v/>
      </c>
    </row>
    <row r="81">
      <c r="A81" s="126">
        <f>IF($N81="","",INDEX(Azioni!$A:$A,$N81)&amp;"")</f>
        <v/>
      </c>
      <c r="B81" s="126">
        <f>IF($N81="","",INDEX(Azioni!$B:$B,$N81)&amp;"")</f>
        <v/>
      </c>
      <c r="C81" s="126">
        <f>IF($N81="","",INDEX(Azioni!$C:$C,$N81)&amp;"")</f>
        <v/>
      </c>
      <c r="D81" s="127">
        <f>IF($N81="","",INDEX(Azioni!$D:$D,$N81)&amp;"")</f>
        <v/>
      </c>
      <c r="E81" s="126">
        <f>IF($N81="","",INDEX(Azioni!$E:$E,$N81)&amp;"")</f>
        <v/>
      </c>
      <c r="F81" s="126">
        <f>IF($N81="","",INDEX(Azioni!$F:$F,$N81)&amp;"")</f>
        <v/>
      </c>
      <c r="G81" s="126">
        <f>IF($N81="","",INDEX(Azioni!$I:$I,$N81)&amp;"")</f>
        <v/>
      </c>
      <c r="H81" s="128">
        <f>IF($N81="","",IF(INDEX(Azioni!$J:$J,$N81)="","",INDEX(Azioni!$J:$J,$N81)))</f>
        <v/>
      </c>
      <c r="I81" s="128">
        <f>IF(OR($N81="",H81=""),"",IF(OR(G81="Approvata",G81="In corso"),EDATE(H81,N(INDEX(Azioni!$G:$G,$N81))),""))</f>
        <v/>
      </c>
      <c r="J81" s="126">
        <f>IF($N81="","",INDEX(Azioni!$L:$L,$N81)&amp;"")</f>
        <v/>
      </c>
      <c r="N8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76),1000000),"")</f>
        <v/>
      </c>
    </row>
    <row r="82">
      <c r="A82" s="126">
        <f>IF($N82="","",INDEX(Azioni!$A:$A,$N82)&amp;"")</f>
        <v/>
      </c>
      <c r="B82" s="126">
        <f>IF($N82="","",INDEX(Azioni!$B:$B,$N82)&amp;"")</f>
        <v/>
      </c>
      <c r="C82" s="126">
        <f>IF($N82="","",INDEX(Azioni!$C:$C,$N82)&amp;"")</f>
        <v/>
      </c>
      <c r="D82" s="127">
        <f>IF($N82="","",INDEX(Azioni!$D:$D,$N82)&amp;"")</f>
        <v/>
      </c>
      <c r="E82" s="126">
        <f>IF($N82="","",INDEX(Azioni!$E:$E,$N82)&amp;"")</f>
        <v/>
      </c>
      <c r="F82" s="126">
        <f>IF($N82="","",INDEX(Azioni!$F:$F,$N82)&amp;"")</f>
        <v/>
      </c>
      <c r="G82" s="126">
        <f>IF($N82="","",INDEX(Azioni!$I:$I,$N82)&amp;"")</f>
        <v/>
      </c>
      <c r="H82" s="128">
        <f>IF($N82="","",IF(INDEX(Azioni!$J:$J,$N82)="","",INDEX(Azioni!$J:$J,$N82)))</f>
        <v/>
      </c>
      <c r="I82" s="128">
        <f>IF(OR($N82="",H82=""),"",IF(OR(G82="Approvata",G82="In corso"),EDATE(H82,N(INDEX(Azioni!$G:$G,$N82))),""))</f>
        <v/>
      </c>
      <c r="J82" s="126">
        <f>IF($N82="","",INDEX(Azioni!$L:$L,$N82)&amp;"")</f>
        <v/>
      </c>
      <c r="N8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77),1000000),"")</f>
        <v/>
      </c>
    </row>
    <row r="83">
      <c r="A83" s="126">
        <f>IF($N83="","",INDEX(Azioni!$A:$A,$N83)&amp;"")</f>
        <v/>
      </c>
      <c r="B83" s="126">
        <f>IF($N83="","",INDEX(Azioni!$B:$B,$N83)&amp;"")</f>
        <v/>
      </c>
      <c r="C83" s="126">
        <f>IF($N83="","",INDEX(Azioni!$C:$C,$N83)&amp;"")</f>
        <v/>
      </c>
      <c r="D83" s="127">
        <f>IF($N83="","",INDEX(Azioni!$D:$D,$N83)&amp;"")</f>
        <v/>
      </c>
      <c r="E83" s="126">
        <f>IF($N83="","",INDEX(Azioni!$E:$E,$N83)&amp;"")</f>
        <v/>
      </c>
      <c r="F83" s="126">
        <f>IF($N83="","",INDEX(Azioni!$F:$F,$N83)&amp;"")</f>
        <v/>
      </c>
      <c r="G83" s="126">
        <f>IF($N83="","",INDEX(Azioni!$I:$I,$N83)&amp;"")</f>
        <v/>
      </c>
      <c r="H83" s="128">
        <f>IF($N83="","",IF(INDEX(Azioni!$J:$J,$N83)="","",INDEX(Azioni!$J:$J,$N83)))</f>
        <v/>
      </c>
      <c r="I83" s="128">
        <f>IF(OR($N83="",H83=""),"",IF(OR(G83="Approvata",G83="In corso"),EDATE(H83,N(INDEX(Azioni!$G:$G,$N83))),""))</f>
        <v/>
      </c>
      <c r="J83" s="126">
        <f>IF($N83="","",INDEX(Azioni!$L:$L,$N83)&amp;"")</f>
        <v/>
      </c>
      <c r="N8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78),1000000),"")</f>
        <v/>
      </c>
    </row>
    <row r="84">
      <c r="A84" s="126">
        <f>IF($N84="","",INDEX(Azioni!$A:$A,$N84)&amp;"")</f>
        <v/>
      </c>
      <c r="B84" s="126">
        <f>IF($N84="","",INDEX(Azioni!$B:$B,$N84)&amp;"")</f>
        <v/>
      </c>
      <c r="C84" s="126">
        <f>IF($N84="","",INDEX(Azioni!$C:$C,$N84)&amp;"")</f>
        <v/>
      </c>
      <c r="D84" s="127">
        <f>IF($N84="","",INDEX(Azioni!$D:$D,$N84)&amp;"")</f>
        <v/>
      </c>
      <c r="E84" s="126">
        <f>IF($N84="","",INDEX(Azioni!$E:$E,$N84)&amp;"")</f>
        <v/>
      </c>
      <c r="F84" s="126">
        <f>IF($N84="","",INDEX(Azioni!$F:$F,$N84)&amp;"")</f>
        <v/>
      </c>
      <c r="G84" s="126">
        <f>IF($N84="","",INDEX(Azioni!$I:$I,$N84)&amp;"")</f>
        <v/>
      </c>
      <c r="H84" s="128">
        <f>IF($N84="","",IF(INDEX(Azioni!$J:$J,$N84)="","",INDEX(Azioni!$J:$J,$N84)))</f>
        <v/>
      </c>
      <c r="I84" s="128">
        <f>IF(OR($N84="",H84=""),"",IF(OR(G84="Approvata",G84="In corso"),EDATE(H84,N(INDEX(Azioni!$G:$G,$N84))),""))</f>
        <v/>
      </c>
      <c r="J84" s="126">
        <f>IF($N84="","",INDEX(Azioni!$L:$L,$N84)&amp;"")</f>
        <v/>
      </c>
      <c r="N8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79),1000000),"")</f>
        <v/>
      </c>
    </row>
    <row r="85">
      <c r="A85" s="126">
        <f>IF($N85="","",INDEX(Azioni!$A:$A,$N85)&amp;"")</f>
        <v/>
      </c>
      <c r="B85" s="126">
        <f>IF($N85="","",INDEX(Azioni!$B:$B,$N85)&amp;"")</f>
        <v/>
      </c>
      <c r="C85" s="126">
        <f>IF($N85="","",INDEX(Azioni!$C:$C,$N85)&amp;"")</f>
        <v/>
      </c>
      <c r="D85" s="127">
        <f>IF($N85="","",INDEX(Azioni!$D:$D,$N85)&amp;"")</f>
        <v/>
      </c>
      <c r="E85" s="126">
        <f>IF($N85="","",INDEX(Azioni!$E:$E,$N85)&amp;"")</f>
        <v/>
      </c>
      <c r="F85" s="126">
        <f>IF($N85="","",INDEX(Azioni!$F:$F,$N85)&amp;"")</f>
        <v/>
      </c>
      <c r="G85" s="126">
        <f>IF($N85="","",INDEX(Azioni!$I:$I,$N85)&amp;"")</f>
        <v/>
      </c>
      <c r="H85" s="128">
        <f>IF($N85="","",IF(INDEX(Azioni!$J:$J,$N85)="","",INDEX(Azioni!$J:$J,$N85)))</f>
        <v/>
      </c>
      <c r="I85" s="128">
        <f>IF(OR($N85="",H85=""),"",IF(OR(G85="Approvata",G85="In corso"),EDATE(H85,N(INDEX(Azioni!$G:$G,$N85))),""))</f>
        <v/>
      </c>
      <c r="J85" s="126">
        <f>IF($N85="","",INDEX(Azioni!$L:$L,$N85)&amp;"")</f>
        <v/>
      </c>
      <c r="N8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80),1000000),"")</f>
        <v/>
      </c>
    </row>
    <row r="86">
      <c r="A86" s="126">
        <f>IF($N86="","",INDEX(Azioni!$A:$A,$N86)&amp;"")</f>
        <v/>
      </c>
      <c r="B86" s="126">
        <f>IF($N86="","",INDEX(Azioni!$B:$B,$N86)&amp;"")</f>
        <v/>
      </c>
      <c r="C86" s="126">
        <f>IF($N86="","",INDEX(Azioni!$C:$C,$N86)&amp;"")</f>
        <v/>
      </c>
      <c r="D86" s="127">
        <f>IF($N86="","",INDEX(Azioni!$D:$D,$N86)&amp;"")</f>
        <v/>
      </c>
      <c r="E86" s="126">
        <f>IF($N86="","",INDEX(Azioni!$E:$E,$N86)&amp;"")</f>
        <v/>
      </c>
      <c r="F86" s="126">
        <f>IF($N86="","",INDEX(Azioni!$F:$F,$N86)&amp;"")</f>
        <v/>
      </c>
      <c r="G86" s="126">
        <f>IF($N86="","",INDEX(Azioni!$I:$I,$N86)&amp;"")</f>
        <v/>
      </c>
      <c r="H86" s="128">
        <f>IF($N86="","",IF(INDEX(Azioni!$J:$J,$N86)="","",INDEX(Azioni!$J:$J,$N86)))</f>
        <v/>
      </c>
      <c r="I86" s="128">
        <f>IF(OR($N86="",H86=""),"",IF(OR(G86="Approvata",G86="In corso"),EDATE(H86,N(INDEX(Azioni!$G:$G,$N86))),""))</f>
        <v/>
      </c>
      <c r="J86" s="126">
        <f>IF($N86="","",INDEX(Azioni!$L:$L,$N86)&amp;"")</f>
        <v/>
      </c>
      <c r="N8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1000000),"")</f>
        <v/>
      </c>
    </row>
    <row r="87">
      <c r="A87" s="126">
        <f>IF($N87="","",INDEX(Azioni!$A:$A,$N87)&amp;"")</f>
        <v/>
      </c>
      <c r="B87" s="126">
        <f>IF($N87="","",INDEX(Azioni!$B:$B,$N87)&amp;"")</f>
        <v/>
      </c>
      <c r="C87" s="126">
        <f>IF($N87="","",INDEX(Azioni!$C:$C,$N87)&amp;"")</f>
        <v/>
      </c>
      <c r="D87" s="127">
        <f>IF($N87="","",INDEX(Azioni!$D:$D,$N87)&amp;"")</f>
        <v/>
      </c>
      <c r="E87" s="126">
        <f>IF($N87="","",INDEX(Azioni!$E:$E,$N87)&amp;"")</f>
        <v/>
      </c>
      <c r="F87" s="126">
        <f>IF($N87="","",INDEX(Azioni!$F:$F,$N87)&amp;"")</f>
        <v/>
      </c>
      <c r="G87" s="126">
        <f>IF($N87="","",INDEX(Azioni!$I:$I,$N87)&amp;"")</f>
        <v/>
      </c>
      <c r="H87" s="128">
        <f>IF($N87="","",IF(INDEX(Azioni!$J:$J,$N87)="","",INDEX(Azioni!$J:$J,$N87)))</f>
        <v/>
      </c>
      <c r="I87" s="128">
        <f>IF(OR($N87="",H87=""),"",IF(OR(G87="Approvata",G87="In corso"),EDATE(H87,N(INDEX(Azioni!$G:$G,$N87))),""))</f>
        <v/>
      </c>
      <c r="J87" s="126">
        <f>IF($N87="","",INDEX(Azioni!$L:$L,$N87)&amp;"")</f>
        <v/>
      </c>
      <c r="N8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82),1000000),"")</f>
        <v/>
      </c>
    </row>
    <row r="88">
      <c r="A88" s="126">
        <f>IF($N88="","",INDEX(Azioni!$A:$A,$N88)&amp;"")</f>
        <v/>
      </c>
      <c r="B88" s="126">
        <f>IF($N88="","",INDEX(Azioni!$B:$B,$N88)&amp;"")</f>
        <v/>
      </c>
      <c r="C88" s="126">
        <f>IF($N88="","",INDEX(Azioni!$C:$C,$N88)&amp;"")</f>
        <v/>
      </c>
      <c r="D88" s="127">
        <f>IF($N88="","",INDEX(Azioni!$D:$D,$N88)&amp;"")</f>
        <v/>
      </c>
      <c r="E88" s="126">
        <f>IF($N88="","",INDEX(Azioni!$E:$E,$N88)&amp;"")</f>
        <v/>
      </c>
      <c r="F88" s="126">
        <f>IF($N88="","",INDEX(Azioni!$F:$F,$N88)&amp;"")</f>
        <v/>
      </c>
      <c r="G88" s="126">
        <f>IF($N88="","",INDEX(Azioni!$I:$I,$N88)&amp;"")</f>
        <v/>
      </c>
      <c r="H88" s="128">
        <f>IF($N88="","",IF(INDEX(Azioni!$J:$J,$N88)="","",INDEX(Azioni!$J:$J,$N88)))</f>
        <v/>
      </c>
      <c r="I88" s="128">
        <f>IF(OR($N88="",H88=""),"",IF(OR(G88="Approvata",G88="In corso"),EDATE(H88,N(INDEX(Azioni!$G:$G,$N88))),""))</f>
        <v/>
      </c>
      <c r="J88" s="126">
        <f>IF($N88="","",INDEX(Azioni!$L:$L,$N88)&amp;"")</f>
        <v/>
      </c>
      <c r="N8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83),1000000),"")</f>
        <v/>
      </c>
    </row>
    <row r="89">
      <c r="A89" s="126">
        <f>IF($N89="","",INDEX(Azioni!$A:$A,$N89)&amp;"")</f>
        <v/>
      </c>
      <c r="B89" s="126">
        <f>IF($N89="","",INDEX(Azioni!$B:$B,$N89)&amp;"")</f>
        <v/>
      </c>
      <c r="C89" s="126">
        <f>IF($N89="","",INDEX(Azioni!$C:$C,$N89)&amp;"")</f>
        <v/>
      </c>
      <c r="D89" s="127">
        <f>IF($N89="","",INDEX(Azioni!$D:$D,$N89)&amp;"")</f>
        <v/>
      </c>
      <c r="E89" s="126">
        <f>IF($N89="","",INDEX(Azioni!$E:$E,$N89)&amp;"")</f>
        <v/>
      </c>
      <c r="F89" s="126">
        <f>IF($N89="","",INDEX(Azioni!$F:$F,$N89)&amp;"")</f>
        <v/>
      </c>
      <c r="G89" s="126">
        <f>IF($N89="","",INDEX(Azioni!$I:$I,$N89)&amp;"")</f>
        <v/>
      </c>
      <c r="H89" s="128">
        <f>IF($N89="","",IF(INDEX(Azioni!$J:$J,$N89)="","",INDEX(Azioni!$J:$J,$N89)))</f>
        <v/>
      </c>
      <c r="I89" s="128">
        <f>IF(OR($N89="",H89=""),"",IF(OR(G89="Approvata",G89="In corso"),EDATE(H89,N(INDEX(Azioni!$G:$G,$N89))),""))</f>
        <v/>
      </c>
      <c r="J89" s="126">
        <f>IF($N89="","",INDEX(Azioni!$L:$L,$N89)&amp;"")</f>
        <v/>
      </c>
      <c r="N8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84),1000000),"")</f>
        <v/>
      </c>
    </row>
    <row r="90">
      <c r="A90" s="126">
        <f>IF($N90="","",INDEX(Azioni!$A:$A,$N90)&amp;"")</f>
        <v/>
      </c>
      <c r="B90" s="126">
        <f>IF($N90="","",INDEX(Azioni!$B:$B,$N90)&amp;"")</f>
        <v/>
      </c>
      <c r="C90" s="126">
        <f>IF($N90="","",INDEX(Azioni!$C:$C,$N90)&amp;"")</f>
        <v/>
      </c>
      <c r="D90" s="127">
        <f>IF($N90="","",INDEX(Azioni!$D:$D,$N90)&amp;"")</f>
        <v/>
      </c>
      <c r="E90" s="126">
        <f>IF($N90="","",INDEX(Azioni!$E:$E,$N90)&amp;"")</f>
        <v/>
      </c>
      <c r="F90" s="126">
        <f>IF($N90="","",INDEX(Azioni!$F:$F,$N90)&amp;"")</f>
        <v/>
      </c>
      <c r="G90" s="126">
        <f>IF($N90="","",INDEX(Azioni!$I:$I,$N90)&amp;"")</f>
        <v/>
      </c>
      <c r="H90" s="128">
        <f>IF($N90="","",IF(INDEX(Azioni!$J:$J,$N90)="","",INDEX(Azioni!$J:$J,$N90)))</f>
        <v/>
      </c>
      <c r="I90" s="128">
        <f>IF(OR($N90="",H90=""),"",IF(OR(G90="Approvata",G90="In corso"),EDATE(H90,N(INDEX(Azioni!$G:$G,$N90))),""))</f>
        <v/>
      </c>
      <c r="J90" s="126">
        <f>IF($N90="","",INDEX(Azioni!$L:$L,$N90)&amp;"")</f>
        <v/>
      </c>
      <c r="N9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85),1000000),"")</f>
        <v/>
      </c>
    </row>
    <row r="91">
      <c r="A91" s="126">
        <f>IF($N91="","",INDEX(Azioni!$A:$A,$N91)&amp;"")</f>
        <v/>
      </c>
      <c r="B91" s="126">
        <f>IF($N91="","",INDEX(Azioni!$B:$B,$N91)&amp;"")</f>
        <v/>
      </c>
      <c r="C91" s="126">
        <f>IF($N91="","",INDEX(Azioni!$C:$C,$N91)&amp;"")</f>
        <v/>
      </c>
      <c r="D91" s="127">
        <f>IF($N91="","",INDEX(Azioni!$D:$D,$N91)&amp;"")</f>
        <v/>
      </c>
      <c r="E91" s="126">
        <f>IF($N91="","",INDEX(Azioni!$E:$E,$N91)&amp;"")</f>
        <v/>
      </c>
      <c r="F91" s="126">
        <f>IF($N91="","",INDEX(Azioni!$F:$F,$N91)&amp;"")</f>
        <v/>
      </c>
      <c r="G91" s="126">
        <f>IF($N91="","",INDEX(Azioni!$I:$I,$N91)&amp;"")</f>
        <v/>
      </c>
      <c r="H91" s="128">
        <f>IF($N91="","",IF(INDEX(Azioni!$J:$J,$N91)="","",INDEX(Azioni!$J:$J,$N91)))</f>
        <v/>
      </c>
      <c r="I91" s="128">
        <f>IF(OR($N91="",H91=""),"",IF(OR(G91="Approvata",G91="In corso"),EDATE(H91,N(INDEX(Azioni!$G:$G,$N91))),""))</f>
        <v/>
      </c>
      <c r="J91" s="126">
        <f>IF($N91="","",INDEX(Azioni!$L:$L,$N91)&amp;"")</f>
        <v/>
      </c>
      <c r="N9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86),1000000),"")</f>
        <v/>
      </c>
    </row>
    <row r="92">
      <c r="A92" s="126">
        <f>IF($N92="","",INDEX(Azioni!$A:$A,$N92)&amp;"")</f>
        <v/>
      </c>
      <c r="B92" s="126">
        <f>IF($N92="","",INDEX(Azioni!$B:$B,$N92)&amp;"")</f>
        <v/>
      </c>
      <c r="C92" s="126">
        <f>IF($N92="","",INDEX(Azioni!$C:$C,$N92)&amp;"")</f>
        <v/>
      </c>
      <c r="D92" s="127">
        <f>IF($N92="","",INDEX(Azioni!$D:$D,$N92)&amp;"")</f>
        <v/>
      </c>
      <c r="E92" s="126">
        <f>IF($N92="","",INDEX(Azioni!$E:$E,$N92)&amp;"")</f>
        <v/>
      </c>
      <c r="F92" s="126">
        <f>IF($N92="","",INDEX(Azioni!$F:$F,$N92)&amp;"")</f>
        <v/>
      </c>
      <c r="G92" s="126">
        <f>IF($N92="","",INDEX(Azioni!$I:$I,$N92)&amp;"")</f>
        <v/>
      </c>
      <c r="H92" s="128">
        <f>IF($N92="","",IF(INDEX(Azioni!$J:$J,$N92)="","",INDEX(Azioni!$J:$J,$N92)))</f>
        <v/>
      </c>
      <c r="I92" s="128">
        <f>IF(OR($N92="",H92=""),"",IF(OR(G92="Approvata",G92="In corso"),EDATE(H92,N(INDEX(Azioni!$G:$G,$N92))),""))</f>
        <v/>
      </c>
      <c r="J92" s="126">
        <f>IF($N92="","",INDEX(Azioni!$L:$L,$N92)&amp;"")</f>
        <v/>
      </c>
      <c r="N9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87),1000000),"")</f>
        <v/>
      </c>
    </row>
    <row r="93">
      <c r="A93" s="126">
        <f>IF($N93="","",INDEX(Azioni!$A:$A,$N93)&amp;"")</f>
        <v/>
      </c>
      <c r="B93" s="126">
        <f>IF($N93="","",INDEX(Azioni!$B:$B,$N93)&amp;"")</f>
        <v/>
      </c>
      <c r="C93" s="126">
        <f>IF($N93="","",INDEX(Azioni!$C:$C,$N93)&amp;"")</f>
        <v/>
      </c>
      <c r="D93" s="127">
        <f>IF($N93="","",INDEX(Azioni!$D:$D,$N93)&amp;"")</f>
        <v/>
      </c>
      <c r="E93" s="126">
        <f>IF($N93="","",INDEX(Azioni!$E:$E,$N93)&amp;"")</f>
        <v/>
      </c>
      <c r="F93" s="126">
        <f>IF($N93="","",INDEX(Azioni!$F:$F,$N93)&amp;"")</f>
        <v/>
      </c>
      <c r="G93" s="126">
        <f>IF($N93="","",INDEX(Azioni!$I:$I,$N93)&amp;"")</f>
        <v/>
      </c>
      <c r="H93" s="128">
        <f>IF($N93="","",IF(INDEX(Azioni!$J:$J,$N93)="","",INDEX(Azioni!$J:$J,$N93)))</f>
        <v/>
      </c>
      <c r="I93" s="128">
        <f>IF(OR($N93="",H93=""),"",IF(OR(G93="Approvata",G93="In corso"),EDATE(H93,N(INDEX(Azioni!$G:$G,$N93))),""))</f>
        <v/>
      </c>
      <c r="J93" s="126">
        <f>IF($N93="","",INDEX(Azioni!$L:$L,$N93)&amp;"")</f>
        <v/>
      </c>
      <c r="N9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88),1000000),"")</f>
        <v/>
      </c>
    </row>
    <row r="94">
      <c r="A94" s="126">
        <f>IF($N94="","",INDEX(Azioni!$A:$A,$N94)&amp;"")</f>
        <v/>
      </c>
      <c r="B94" s="126">
        <f>IF($N94="","",INDEX(Azioni!$B:$B,$N94)&amp;"")</f>
        <v/>
      </c>
      <c r="C94" s="126">
        <f>IF($N94="","",INDEX(Azioni!$C:$C,$N94)&amp;"")</f>
        <v/>
      </c>
      <c r="D94" s="127">
        <f>IF($N94="","",INDEX(Azioni!$D:$D,$N94)&amp;"")</f>
        <v/>
      </c>
      <c r="E94" s="126">
        <f>IF($N94="","",INDEX(Azioni!$E:$E,$N94)&amp;"")</f>
        <v/>
      </c>
      <c r="F94" s="126">
        <f>IF($N94="","",INDEX(Azioni!$F:$F,$N94)&amp;"")</f>
        <v/>
      </c>
      <c r="G94" s="126">
        <f>IF($N94="","",INDEX(Azioni!$I:$I,$N94)&amp;"")</f>
        <v/>
      </c>
      <c r="H94" s="128">
        <f>IF($N94="","",IF(INDEX(Azioni!$J:$J,$N94)="","",INDEX(Azioni!$J:$J,$N94)))</f>
        <v/>
      </c>
      <c r="I94" s="128">
        <f>IF(OR($N94="",H94=""),"",IF(OR(G94="Approvata",G94="In corso"),EDATE(H94,N(INDEX(Azioni!$G:$G,$N94))),""))</f>
        <v/>
      </c>
      <c r="J94" s="126">
        <f>IF($N94="","",INDEX(Azioni!$L:$L,$N94)&amp;"")</f>
        <v/>
      </c>
      <c r="N9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89),1000000),"")</f>
        <v/>
      </c>
    </row>
    <row r="95">
      <c r="A95" s="126">
        <f>IF($N95="","",INDEX(Azioni!$A:$A,$N95)&amp;"")</f>
        <v/>
      </c>
      <c r="B95" s="126">
        <f>IF($N95="","",INDEX(Azioni!$B:$B,$N95)&amp;"")</f>
        <v/>
      </c>
      <c r="C95" s="126">
        <f>IF($N95="","",INDEX(Azioni!$C:$C,$N95)&amp;"")</f>
        <v/>
      </c>
      <c r="D95" s="127">
        <f>IF($N95="","",INDEX(Azioni!$D:$D,$N95)&amp;"")</f>
        <v/>
      </c>
      <c r="E95" s="126">
        <f>IF($N95="","",INDEX(Azioni!$E:$E,$N95)&amp;"")</f>
        <v/>
      </c>
      <c r="F95" s="126">
        <f>IF($N95="","",INDEX(Azioni!$F:$F,$N95)&amp;"")</f>
        <v/>
      </c>
      <c r="G95" s="126">
        <f>IF($N95="","",INDEX(Azioni!$I:$I,$N95)&amp;"")</f>
        <v/>
      </c>
      <c r="H95" s="128">
        <f>IF($N95="","",IF(INDEX(Azioni!$J:$J,$N95)="","",INDEX(Azioni!$J:$J,$N95)))</f>
        <v/>
      </c>
      <c r="I95" s="128">
        <f>IF(OR($N95="",H95=""),"",IF(OR(G95="Approvata",G95="In corso"),EDATE(H95,N(INDEX(Azioni!$G:$G,$N95))),""))</f>
        <v/>
      </c>
      <c r="J95" s="126">
        <f>IF($N95="","",INDEX(Azioni!$L:$L,$N95)&amp;"")</f>
        <v/>
      </c>
      <c r="N9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90),1000000),"")</f>
        <v/>
      </c>
    </row>
    <row r="96">
      <c r="A96" s="126">
        <f>IF($N96="","",INDEX(Azioni!$A:$A,$N96)&amp;"")</f>
        <v/>
      </c>
      <c r="B96" s="126">
        <f>IF($N96="","",INDEX(Azioni!$B:$B,$N96)&amp;"")</f>
        <v/>
      </c>
      <c r="C96" s="126">
        <f>IF($N96="","",INDEX(Azioni!$C:$C,$N96)&amp;"")</f>
        <v/>
      </c>
      <c r="D96" s="127">
        <f>IF($N96="","",INDEX(Azioni!$D:$D,$N96)&amp;"")</f>
        <v/>
      </c>
      <c r="E96" s="126">
        <f>IF($N96="","",INDEX(Azioni!$E:$E,$N96)&amp;"")</f>
        <v/>
      </c>
      <c r="F96" s="126">
        <f>IF($N96="","",INDEX(Azioni!$F:$F,$N96)&amp;"")</f>
        <v/>
      </c>
      <c r="G96" s="126">
        <f>IF($N96="","",INDEX(Azioni!$I:$I,$N96)&amp;"")</f>
        <v/>
      </c>
      <c r="H96" s="128">
        <f>IF($N96="","",IF(INDEX(Azioni!$J:$J,$N96)="","",INDEX(Azioni!$J:$J,$N96)))</f>
        <v/>
      </c>
      <c r="I96" s="128">
        <f>IF(OR($N96="",H96=""),"",IF(OR(G96="Approvata",G96="In corso"),EDATE(H96,N(INDEX(Azioni!$G:$G,$N96))),""))</f>
        <v/>
      </c>
      <c r="J96" s="126">
        <f>IF($N96="","",INDEX(Azioni!$L:$L,$N96)&amp;"")</f>
        <v/>
      </c>
      <c r="N9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1000000),"")</f>
        <v/>
      </c>
    </row>
    <row r="97">
      <c r="A97" s="126">
        <f>IF($N97="","",INDEX(Azioni!$A:$A,$N97)&amp;"")</f>
        <v/>
      </c>
      <c r="B97" s="126">
        <f>IF($N97="","",INDEX(Azioni!$B:$B,$N97)&amp;"")</f>
        <v/>
      </c>
      <c r="C97" s="126">
        <f>IF($N97="","",INDEX(Azioni!$C:$C,$N97)&amp;"")</f>
        <v/>
      </c>
      <c r="D97" s="127">
        <f>IF($N97="","",INDEX(Azioni!$D:$D,$N97)&amp;"")</f>
        <v/>
      </c>
      <c r="E97" s="126">
        <f>IF($N97="","",INDEX(Azioni!$E:$E,$N97)&amp;"")</f>
        <v/>
      </c>
      <c r="F97" s="126">
        <f>IF($N97="","",INDEX(Azioni!$F:$F,$N97)&amp;"")</f>
        <v/>
      </c>
      <c r="G97" s="126">
        <f>IF($N97="","",INDEX(Azioni!$I:$I,$N97)&amp;"")</f>
        <v/>
      </c>
      <c r="H97" s="128">
        <f>IF($N97="","",IF(INDEX(Azioni!$J:$J,$N97)="","",INDEX(Azioni!$J:$J,$N97)))</f>
        <v/>
      </c>
      <c r="I97" s="128">
        <f>IF(OR($N97="",H97=""),"",IF(OR(G97="Approvata",G97="In corso"),EDATE(H97,N(INDEX(Azioni!$G:$G,$N97))),""))</f>
        <v/>
      </c>
      <c r="J97" s="126">
        <f>IF($N97="","",INDEX(Azioni!$L:$L,$N97)&amp;"")</f>
        <v/>
      </c>
      <c r="N9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92),1000000),"")</f>
        <v/>
      </c>
    </row>
    <row r="98">
      <c r="A98" s="126">
        <f>IF($N98="","",INDEX(Azioni!$A:$A,$N98)&amp;"")</f>
        <v/>
      </c>
      <c r="B98" s="126">
        <f>IF($N98="","",INDEX(Azioni!$B:$B,$N98)&amp;"")</f>
        <v/>
      </c>
      <c r="C98" s="126">
        <f>IF($N98="","",INDEX(Azioni!$C:$C,$N98)&amp;"")</f>
        <v/>
      </c>
      <c r="D98" s="127">
        <f>IF($N98="","",INDEX(Azioni!$D:$D,$N98)&amp;"")</f>
        <v/>
      </c>
      <c r="E98" s="126">
        <f>IF($N98="","",INDEX(Azioni!$E:$E,$N98)&amp;"")</f>
        <v/>
      </c>
      <c r="F98" s="126">
        <f>IF($N98="","",INDEX(Azioni!$F:$F,$N98)&amp;"")</f>
        <v/>
      </c>
      <c r="G98" s="126">
        <f>IF($N98="","",INDEX(Azioni!$I:$I,$N98)&amp;"")</f>
        <v/>
      </c>
      <c r="H98" s="128">
        <f>IF($N98="","",IF(INDEX(Azioni!$J:$J,$N98)="","",INDEX(Azioni!$J:$J,$N98)))</f>
        <v/>
      </c>
      <c r="I98" s="128">
        <f>IF(OR($N98="",H98=""),"",IF(OR(G98="Approvata",G98="In corso"),EDATE(H98,N(INDEX(Azioni!$G:$G,$N98))),""))</f>
        <v/>
      </c>
      <c r="J98" s="126">
        <f>IF($N98="","",INDEX(Azioni!$L:$L,$N98)&amp;"")</f>
        <v/>
      </c>
      <c r="N9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93),1000000),"")</f>
        <v/>
      </c>
    </row>
    <row r="99">
      <c r="A99" s="126">
        <f>IF($N99="","",INDEX(Azioni!$A:$A,$N99)&amp;"")</f>
        <v/>
      </c>
      <c r="B99" s="126">
        <f>IF($N99="","",INDEX(Azioni!$B:$B,$N99)&amp;"")</f>
        <v/>
      </c>
      <c r="C99" s="126">
        <f>IF($N99="","",INDEX(Azioni!$C:$C,$N99)&amp;"")</f>
        <v/>
      </c>
      <c r="D99" s="127">
        <f>IF($N99="","",INDEX(Azioni!$D:$D,$N99)&amp;"")</f>
        <v/>
      </c>
      <c r="E99" s="126">
        <f>IF($N99="","",INDEX(Azioni!$E:$E,$N99)&amp;"")</f>
        <v/>
      </c>
      <c r="F99" s="126">
        <f>IF($N99="","",INDEX(Azioni!$F:$F,$N99)&amp;"")</f>
        <v/>
      </c>
      <c r="G99" s="126">
        <f>IF($N99="","",INDEX(Azioni!$I:$I,$N99)&amp;"")</f>
        <v/>
      </c>
      <c r="H99" s="128">
        <f>IF($N99="","",IF(INDEX(Azioni!$J:$J,$N99)="","",INDEX(Azioni!$J:$J,$N99)))</f>
        <v/>
      </c>
      <c r="I99" s="128">
        <f>IF(OR($N99="",H99=""),"",IF(OR(G99="Approvata",G99="In corso"),EDATE(H99,N(INDEX(Azioni!$G:$G,$N99))),""))</f>
        <v/>
      </c>
      <c r="J99" s="126">
        <f>IF($N99="","",INDEX(Azioni!$L:$L,$N99)&amp;"")</f>
        <v/>
      </c>
      <c r="N9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94),1000000),"")</f>
        <v/>
      </c>
    </row>
    <row r="100">
      <c r="A100" s="126">
        <f>IF($N100="","",INDEX(Azioni!$A:$A,$N100)&amp;"")</f>
        <v/>
      </c>
      <c r="B100" s="126">
        <f>IF($N100="","",INDEX(Azioni!$B:$B,$N100)&amp;"")</f>
        <v/>
      </c>
      <c r="C100" s="126">
        <f>IF($N100="","",INDEX(Azioni!$C:$C,$N100)&amp;"")</f>
        <v/>
      </c>
      <c r="D100" s="127">
        <f>IF($N100="","",INDEX(Azioni!$D:$D,$N100)&amp;"")</f>
        <v/>
      </c>
      <c r="E100" s="126">
        <f>IF($N100="","",INDEX(Azioni!$E:$E,$N100)&amp;"")</f>
        <v/>
      </c>
      <c r="F100" s="126">
        <f>IF($N100="","",INDEX(Azioni!$F:$F,$N100)&amp;"")</f>
        <v/>
      </c>
      <c r="G100" s="126">
        <f>IF($N100="","",INDEX(Azioni!$I:$I,$N100)&amp;"")</f>
        <v/>
      </c>
      <c r="H100" s="128">
        <f>IF($N100="","",IF(INDEX(Azioni!$J:$J,$N100)="","",INDEX(Azioni!$J:$J,$N100)))</f>
        <v/>
      </c>
      <c r="I100" s="128">
        <f>IF(OR($N100="",H100=""),"",IF(OR(G100="Approvata",G100="In corso"),EDATE(H100,N(INDEX(Azioni!$G:$G,$N100))),""))</f>
        <v/>
      </c>
      <c r="J100" s="126">
        <f>IF($N100="","",INDEX(Azioni!$L:$L,$N100)&amp;"")</f>
        <v/>
      </c>
      <c r="N10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95),1000000),"")</f>
        <v/>
      </c>
    </row>
    <row r="101">
      <c r="A101" s="126">
        <f>IF($N101="","",INDEX(Azioni!$A:$A,$N101)&amp;"")</f>
        <v/>
      </c>
      <c r="B101" s="126">
        <f>IF($N101="","",INDEX(Azioni!$B:$B,$N101)&amp;"")</f>
        <v/>
      </c>
      <c r="C101" s="126">
        <f>IF($N101="","",INDEX(Azioni!$C:$C,$N101)&amp;"")</f>
        <v/>
      </c>
      <c r="D101" s="127">
        <f>IF($N101="","",INDEX(Azioni!$D:$D,$N101)&amp;"")</f>
        <v/>
      </c>
      <c r="E101" s="126">
        <f>IF($N101="","",INDEX(Azioni!$E:$E,$N101)&amp;"")</f>
        <v/>
      </c>
      <c r="F101" s="126">
        <f>IF($N101="","",INDEX(Azioni!$F:$F,$N101)&amp;"")</f>
        <v/>
      </c>
      <c r="G101" s="126">
        <f>IF($N101="","",INDEX(Azioni!$I:$I,$N101)&amp;"")</f>
        <v/>
      </c>
      <c r="H101" s="128">
        <f>IF($N101="","",IF(INDEX(Azioni!$J:$J,$N101)="","",INDEX(Azioni!$J:$J,$N101)))</f>
        <v/>
      </c>
      <c r="I101" s="128">
        <f>IF(OR($N101="",H101=""),"",IF(OR(G101="Approvata",G101="In corso"),EDATE(H101,N(INDEX(Azioni!$G:$G,$N101))),""))</f>
        <v/>
      </c>
      <c r="J101" s="126">
        <f>IF($N101="","",INDEX(Azioni!$L:$L,$N101)&amp;"")</f>
        <v/>
      </c>
      <c r="N10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96),1000000),"")</f>
        <v/>
      </c>
    </row>
    <row r="102">
      <c r="A102" s="126">
        <f>IF($N102="","",INDEX(Azioni!$A:$A,$N102)&amp;"")</f>
        <v/>
      </c>
      <c r="B102" s="126">
        <f>IF($N102="","",INDEX(Azioni!$B:$B,$N102)&amp;"")</f>
        <v/>
      </c>
      <c r="C102" s="126">
        <f>IF($N102="","",INDEX(Azioni!$C:$C,$N102)&amp;"")</f>
        <v/>
      </c>
      <c r="D102" s="127">
        <f>IF($N102="","",INDEX(Azioni!$D:$D,$N102)&amp;"")</f>
        <v/>
      </c>
      <c r="E102" s="126">
        <f>IF($N102="","",INDEX(Azioni!$E:$E,$N102)&amp;"")</f>
        <v/>
      </c>
      <c r="F102" s="126">
        <f>IF($N102="","",INDEX(Azioni!$F:$F,$N102)&amp;"")</f>
        <v/>
      </c>
      <c r="G102" s="126">
        <f>IF($N102="","",INDEX(Azioni!$I:$I,$N102)&amp;"")</f>
        <v/>
      </c>
      <c r="H102" s="128">
        <f>IF($N102="","",IF(INDEX(Azioni!$J:$J,$N102)="","",INDEX(Azioni!$J:$J,$N102)))</f>
        <v/>
      </c>
      <c r="I102" s="128">
        <f>IF(OR($N102="",H102=""),"",IF(OR(G102="Approvata",G102="In corso"),EDATE(H102,N(INDEX(Azioni!$G:$G,$N102))),""))</f>
        <v/>
      </c>
      <c r="J102" s="126">
        <f>IF($N102="","",INDEX(Azioni!$L:$L,$N102)&amp;"")</f>
        <v/>
      </c>
      <c r="N10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97),1000000),"")</f>
        <v/>
      </c>
    </row>
    <row r="103">
      <c r="A103" s="126">
        <f>IF($N103="","",INDEX(Azioni!$A:$A,$N103)&amp;"")</f>
        <v/>
      </c>
      <c r="B103" s="126">
        <f>IF($N103="","",INDEX(Azioni!$B:$B,$N103)&amp;"")</f>
        <v/>
      </c>
      <c r="C103" s="126">
        <f>IF($N103="","",INDEX(Azioni!$C:$C,$N103)&amp;"")</f>
        <v/>
      </c>
      <c r="D103" s="127">
        <f>IF($N103="","",INDEX(Azioni!$D:$D,$N103)&amp;"")</f>
        <v/>
      </c>
      <c r="E103" s="126">
        <f>IF($N103="","",INDEX(Azioni!$E:$E,$N103)&amp;"")</f>
        <v/>
      </c>
      <c r="F103" s="126">
        <f>IF($N103="","",INDEX(Azioni!$F:$F,$N103)&amp;"")</f>
        <v/>
      </c>
      <c r="G103" s="126">
        <f>IF($N103="","",INDEX(Azioni!$I:$I,$N103)&amp;"")</f>
        <v/>
      </c>
      <c r="H103" s="128">
        <f>IF($N103="","",IF(INDEX(Azioni!$J:$J,$N103)="","",INDEX(Azioni!$J:$J,$N103)))</f>
        <v/>
      </c>
      <c r="I103" s="128">
        <f>IF(OR($N103="",H103=""),"",IF(OR(G103="Approvata",G103="In corso"),EDATE(H103,N(INDEX(Azioni!$G:$G,$N103))),""))</f>
        <v/>
      </c>
      <c r="J103" s="126">
        <f>IF($N103="","",INDEX(Azioni!$L:$L,$N103)&amp;"")</f>
        <v/>
      </c>
      <c r="N10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98),1000000),"")</f>
        <v/>
      </c>
    </row>
    <row r="104">
      <c r="A104" s="126">
        <f>IF($N104="","",INDEX(Azioni!$A:$A,$N104)&amp;"")</f>
        <v/>
      </c>
      <c r="B104" s="126">
        <f>IF($N104="","",INDEX(Azioni!$B:$B,$N104)&amp;"")</f>
        <v/>
      </c>
      <c r="C104" s="126">
        <f>IF($N104="","",INDEX(Azioni!$C:$C,$N104)&amp;"")</f>
        <v/>
      </c>
      <c r="D104" s="127">
        <f>IF($N104="","",INDEX(Azioni!$D:$D,$N104)&amp;"")</f>
        <v/>
      </c>
      <c r="E104" s="126">
        <f>IF($N104="","",INDEX(Azioni!$E:$E,$N104)&amp;"")</f>
        <v/>
      </c>
      <c r="F104" s="126">
        <f>IF($N104="","",INDEX(Azioni!$F:$F,$N104)&amp;"")</f>
        <v/>
      </c>
      <c r="G104" s="126">
        <f>IF($N104="","",INDEX(Azioni!$I:$I,$N104)&amp;"")</f>
        <v/>
      </c>
      <c r="H104" s="128">
        <f>IF($N104="","",IF(INDEX(Azioni!$J:$J,$N104)="","",INDEX(Azioni!$J:$J,$N104)))</f>
        <v/>
      </c>
      <c r="I104" s="128">
        <f>IF(OR($N104="",H104=""),"",IF(OR(G104="Approvata",G104="In corso"),EDATE(H104,N(INDEX(Azioni!$G:$G,$N104))),""))</f>
        <v/>
      </c>
      <c r="J104" s="126">
        <f>IF($N104="","",INDEX(Azioni!$L:$L,$N104)&amp;"")</f>
        <v/>
      </c>
      <c r="N10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99),1000000),"")</f>
        <v/>
      </c>
    </row>
    <row r="105">
      <c r="A105" s="126">
        <f>IF($N105="","",INDEX(Azioni!$A:$A,$N105)&amp;"")</f>
        <v/>
      </c>
      <c r="B105" s="126">
        <f>IF($N105="","",INDEX(Azioni!$B:$B,$N105)&amp;"")</f>
        <v/>
      </c>
      <c r="C105" s="126">
        <f>IF($N105="","",INDEX(Azioni!$C:$C,$N105)&amp;"")</f>
        <v/>
      </c>
      <c r="D105" s="127">
        <f>IF($N105="","",INDEX(Azioni!$D:$D,$N105)&amp;"")</f>
        <v/>
      </c>
      <c r="E105" s="126">
        <f>IF($N105="","",INDEX(Azioni!$E:$E,$N105)&amp;"")</f>
        <v/>
      </c>
      <c r="F105" s="126">
        <f>IF($N105="","",INDEX(Azioni!$F:$F,$N105)&amp;"")</f>
        <v/>
      </c>
      <c r="G105" s="126">
        <f>IF($N105="","",INDEX(Azioni!$I:$I,$N105)&amp;"")</f>
        <v/>
      </c>
      <c r="H105" s="128">
        <f>IF($N105="","",IF(INDEX(Azioni!$J:$J,$N105)="","",INDEX(Azioni!$J:$J,$N105)))</f>
        <v/>
      </c>
      <c r="I105" s="128">
        <f>IF(OR($N105="",H105=""),"",IF(OR(G105="Approvata",G105="In corso"),EDATE(H105,N(INDEX(Azioni!$G:$G,$N105))),""))</f>
        <v/>
      </c>
      <c r="J105" s="126">
        <f>IF($N105="","",INDEX(Azioni!$L:$L,$N105)&amp;"")</f>
        <v/>
      </c>
      <c r="N10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100),1000000),"")</f>
        <v/>
      </c>
    </row>
    <row r="106">
      <c r="A106" s="126">
        <f>IF($N106="","",INDEX(Azioni!$A:$A,$N106)&amp;"")</f>
        <v/>
      </c>
      <c r="B106" s="126">
        <f>IF($N106="","",INDEX(Azioni!$B:$B,$N106)&amp;"")</f>
        <v/>
      </c>
      <c r="C106" s="126">
        <f>IF($N106="","",INDEX(Azioni!$C:$C,$N106)&amp;"")</f>
        <v/>
      </c>
      <c r="D106" s="127">
        <f>IF($N106="","",INDEX(Azioni!$D:$D,$N106)&amp;"")</f>
        <v/>
      </c>
      <c r="E106" s="126">
        <f>IF($N106="","",INDEX(Azioni!$E:$E,$N106)&amp;"")</f>
        <v/>
      </c>
      <c r="F106" s="126">
        <f>IF($N106="","",INDEX(Azioni!$F:$F,$N106)&amp;"")</f>
        <v/>
      </c>
      <c r="G106" s="126">
        <f>IF($N106="","",INDEX(Azioni!$I:$I,$N106)&amp;"")</f>
        <v/>
      </c>
      <c r="H106" s="128">
        <f>IF($N106="","",IF(INDEX(Azioni!$J:$J,$N106)="","",INDEX(Azioni!$J:$J,$N106)))</f>
        <v/>
      </c>
      <c r="I106" s="128">
        <f>IF(OR($N106="",H106=""),"",IF(OR(G106="Approvata",G106="In corso"),EDATE(H106,N(INDEX(Azioni!$G:$G,$N106))),""))</f>
        <v/>
      </c>
      <c r="J106" s="126">
        <f>IF($N106="","",INDEX(Azioni!$L:$L,$N106)&amp;"")</f>
        <v/>
      </c>
      <c r="N10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1000000),"")</f>
        <v/>
      </c>
    </row>
    <row r="107">
      <c r="A107" s="126">
        <f>IF($N107="","",INDEX(Azioni!$A:$A,$N107)&amp;"")</f>
        <v/>
      </c>
      <c r="B107" s="126">
        <f>IF($N107="","",INDEX(Azioni!$B:$B,$N107)&amp;"")</f>
        <v/>
      </c>
      <c r="C107" s="126">
        <f>IF($N107="","",INDEX(Azioni!$C:$C,$N107)&amp;"")</f>
        <v/>
      </c>
      <c r="D107" s="127">
        <f>IF($N107="","",INDEX(Azioni!$D:$D,$N107)&amp;"")</f>
        <v/>
      </c>
      <c r="E107" s="126">
        <f>IF($N107="","",INDEX(Azioni!$E:$E,$N107)&amp;"")</f>
        <v/>
      </c>
      <c r="F107" s="126">
        <f>IF($N107="","",INDEX(Azioni!$F:$F,$N107)&amp;"")</f>
        <v/>
      </c>
      <c r="G107" s="126">
        <f>IF($N107="","",INDEX(Azioni!$I:$I,$N107)&amp;"")</f>
        <v/>
      </c>
      <c r="H107" s="128">
        <f>IF($N107="","",IF(INDEX(Azioni!$J:$J,$N107)="","",INDEX(Azioni!$J:$J,$N107)))</f>
        <v/>
      </c>
      <c r="I107" s="128">
        <f>IF(OR($N107="",H107=""),"",IF(OR(G107="Approvata",G107="In corso"),EDATE(H107,N(INDEX(Azioni!$G:$G,$N107))),""))</f>
        <v/>
      </c>
      <c r="J107" s="126">
        <f>IF($N107="","",INDEX(Azioni!$L:$L,$N107)&amp;"")</f>
        <v/>
      </c>
      <c r="N10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102),1000000),"")</f>
        <v/>
      </c>
    </row>
    <row r="108">
      <c r="A108" s="126">
        <f>IF($N108="","",INDEX(Azioni!$A:$A,$N108)&amp;"")</f>
        <v/>
      </c>
      <c r="B108" s="126">
        <f>IF($N108="","",INDEX(Azioni!$B:$B,$N108)&amp;"")</f>
        <v/>
      </c>
      <c r="C108" s="126">
        <f>IF($N108="","",INDEX(Azioni!$C:$C,$N108)&amp;"")</f>
        <v/>
      </c>
      <c r="D108" s="127">
        <f>IF($N108="","",INDEX(Azioni!$D:$D,$N108)&amp;"")</f>
        <v/>
      </c>
      <c r="E108" s="126">
        <f>IF($N108="","",INDEX(Azioni!$E:$E,$N108)&amp;"")</f>
        <v/>
      </c>
      <c r="F108" s="126">
        <f>IF($N108="","",INDEX(Azioni!$F:$F,$N108)&amp;"")</f>
        <v/>
      </c>
      <c r="G108" s="126">
        <f>IF($N108="","",INDEX(Azioni!$I:$I,$N108)&amp;"")</f>
        <v/>
      </c>
      <c r="H108" s="128">
        <f>IF($N108="","",IF(INDEX(Azioni!$J:$J,$N108)="","",INDEX(Azioni!$J:$J,$N108)))</f>
        <v/>
      </c>
      <c r="I108" s="128">
        <f>IF(OR($N108="",H108=""),"",IF(OR(G108="Approvata",G108="In corso"),EDATE(H108,N(INDEX(Azioni!$G:$G,$N108))),""))</f>
        <v/>
      </c>
      <c r="J108" s="126">
        <f>IF($N108="","",INDEX(Azioni!$L:$L,$N108)&amp;"")</f>
        <v/>
      </c>
      <c r="N10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103),1000000),"")</f>
        <v/>
      </c>
    </row>
    <row r="109">
      <c r="A109" s="126">
        <f>IF($N109="","",INDEX(Azioni!$A:$A,$N109)&amp;"")</f>
        <v/>
      </c>
      <c r="B109" s="126">
        <f>IF($N109="","",INDEX(Azioni!$B:$B,$N109)&amp;"")</f>
        <v/>
      </c>
      <c r="C109" s="126">
        <f>IF($N109="","",INDEX(Azioni!$C:$C,$N109)&amp;"")</f>
        <v/>
      </c>
      <c r="D109" s="127">
        <f>IF($N109="","",INDEX(Azioni!$D:$D,$N109)&amp;"")</f>
        <v/>
      </c>
      <c r="E109" s="126">
        <f>IF($N109="","",INDEX(Azioni!$E:$E,$N109)&amp;"")</f>
        <v/>
      </c>
      <c r="F109" s="126">
        <f>IF($N109="","",INDEX(Azioni!$F:$F,$N109)&amp;"")</f>
        <v/>
      </c>
      <c r="G109" s="126">
        <f>IF($N109="","",INDEX(Azioni!$I:$I,$N109)&amp;"")</f>
        <v/>
      </c>
      <c r="H109" s="128">
        <f>IF($N109="","",IF(INDEX(Azioni!$J:$J,$N109)="","",INDEX(Azioni!$J:$J,$N109)))</f>
        <v/>
      </c>
      <c r="I109" s="128">
        <f>IF(OR($N109="",H109=""),"",IF(OR(G109="Approvata",G109="In corso"),EDATE(H109,N(INDEX(Azioni!$G:$G,$N109))),""))</f>
        <v/>
      </c>
      <c r="J109" s="126">
        <f>IF($N109="","",INDEX(Azioni!$L:$L,$N109)&amp;"")</f>
        <v/>
      </c>
      <c r="N10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104),1000000),"")</f>
        <v/>
      </c>
    </row>
    <row r="110">
      <c r="A110" s="126">
        <f>IF($N110="","",INDEX(Azioni!$A:$A,$N110)&amp;"")</f>
        <v/>
      </c>
      <c r="B110" s="126">
        <f>IF($N110="","",INDEX(Azioni!$B:$B,$N110)&amp;"")</f>
        <v/>
      </c>
      <c r="C110" s="126">
        <f>IF($N110="","",INDEX(Azioni!$C:$C,$N110)&amp;"")</f>
        <v/>
      </c>
      <c r="D110" s="127">
        <f>IF($N110="","",INDEX(Azioni!$D:$D,$N110)&amp;"")</f>
        <v/>
      </c>
      <c r="E110" s="126">
        <f>IF($N110="","",INDEX(Azioni!$E:$E,$N110)&amp;"")</f>
        <v/>
      </c>
      <c r="F110" s="126">
        <f>IF($N110="","",INDEX(Azioni!$F:$F,$N110)&amp;"")</f>
        <v/>
      </c>
      <c r="G110" s="126">
        <f>IF($N110="","",INDEX(Azioni!$I:$I,$N110)&amp;"")</f>
        <v/>
      </c>
      <c r="H110" s="128">
        <f>IF($N110="","",IF(INDEX(Azioni!$J:$J,$N110)="","",INDEX(Azioni!$J:$J,$N110)))</f>
        <v/>
      </c>
      <c r="I110" s="128">
        <f>IF(OR($N110="",H110=""),"",IF(OR(G110="Approvata",G110="In corso"),EDATE(H110,N(INDEX(Azioni!$G:$G,$N110))),""))</f>
        <v/>
      </c>
      <c r="J110" s="126">
        <f>IF($N110="","",INDEX(Azioni!$L:$L,$N110)&amp;"")</f>
        <v/>
      </c>
      <c r="N11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105),1000000),"")</f>
        <v/>
      </c>
    </row>
    <row r="111">
      <c r="A111" s="126">
        <f>IF($N111="","",INDEX(Azioni!$A:$A,$N111)&amp;"")</f>
        <v/>
      </c>
      <c r="B111" s="126">
        <f>IF($N111="","",INDEX(Azioni!$B:$B,$N111)&amp;"")</f>
        <v/>
      </c>
      <c r="C111" s="126">
        <f>IF($N111="","",INDEX(Azioni!$C:$C,$N111)&amp;"")</f>
        <v/>
      </c>
      <c r="D111" s="127">
        <f>IF($N111="","",INDEX(Azioni!$D:$D,$N111)&amp;"")</f>
        <v/>
      </c>
      <c r="E111" s="126">
        <f>IF($N111="","",INDEX(Azioni!$E:$E,$N111)&amp;"")</f>
        <v/>
      </c>
      <c r="F111" s="126">
        <f>IF($N111="","",INDEX(Azioni!$F:$F,$N111)&amp;"")</f>
        <v/>
      </c>
      <c r="G111" s="126">
        <f>IF($N111="","",INDEX(Azioni!$I:$I,$N111)&amp;"")</f>
        <v/>
      </c>
      <c r="H111" s="128">
        <f>IF($N111="","",IF(INDEX(Azioni!$J:$J,$N111)="","",INDEX(Azioni!$J:$J,$N111)))</f>
        <v/>
      </c>
      <c r="I111" s="128">
        <f>IF(OR($N111="",H111=""),"",IF(OR(G111="Approvata",G111="In corso"),EDATE(H111,N(INDEX(Azioni!$G:$G,$N111))),""))</f>
        <v/>
      </c>
      <c r="J111" s="126">
        <f>IF($N111="","",INDEX(Azioni!$L:$L,$N111)&amp;"")</f>
        <v/>
      </c>
      <c r="N11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106),1000000),"")</f>
        <v/>
      </c>
    </row>
    <row r="112">
      <c r="A112" s="126">
        <f>IF($N112="","",INDEX(Azioni!$A:$A,$N112)&amp;"")</f>
        <v/>
      </c>
      <c r="B112" s="126">
        <f>IF($N112="","",INDEX(Azioni!$B:$B,$N112)&amp;"")</f>
        <v/>
      </c>
      <c r="C112" s="126">
        <f>IF($N112="","",INDEX(Azioni!$C:$C,$N112)&amp;"")</f>
        <v/>
      </c>
      <c r="D112" s="127">
        <f>IF($N112="","",INDEX(Azioni!$D:$D,$N112)&amp;"")</f>
        <v/>
      </c>
      <c r="E112" s="126">
        <f>IF($N112="","",INDEX(Azioni!$E:$E,$N112)&amp;"")</f>
        <v/>
      </c>
      <c r="F112" s="126">
        <f>IF($N112="","",INDEX(Azioni!$F:$F,$N112)&amp;"")</f>
        <v/>
      </c>
      <c r="G112" s="126">
        <f>IF($N112="","",INDEX(Azioni!$I:$I,$N112)&amp;"")</f>
        <v/>
      </c>
      <c r="H112" s="128">
        <f>IF($N112="","",IF(INDEX(Azioni!$J:$J,$N112)="","",INDEX(Azioni!$J:$J,$N112)))</f>
        <v/>
      </c>
      <c r="I112" s="128">
        <f>IF(OR($N112="",H112=""),"",IF(OR(G112="Approvata",G112="In corso"),EDATE(H112,N(INDEX(Azioni!$G:$G,$N112))),""))</f>
        <v/>
      </c>
      <c r="J112" s="126">
        <f>IF($N112="","",INDEX(Azioni!$L:$L,$N112)&amp;"")</f>
        <v/>
      </c>
      <c r="N11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107),1000000),"")</f>
        <v/>
      </c>
    </row>
    <row r="113">
      <c r="A113" s="126">
        <f>IF($N113="","",INDEX(Azioni!$A:$A,$N113)&amp;"")</f>
        <v/>
      </c>
      <c r="B113" s="126">
        <f>IF($N113="","",INDEX(Azioni!$B:$B,$N113)&amp;"")</f>
        <v/>
      </c>
      <c r="C113" s="126">
        <f>IF($N113="","",INDEX(Azioni!$C:$C,$N113)&amp;"")</f>
        <v/>
      </c>
      <c r="D113" s="127">
        <f>IF($N113="","",INDEX(Azioni!$D:$D,$N113)&amp;"")</f>
        <v/>
      </c>
      <c r="E113" s="126">
        <f>IF($N113="","",INDEX(Azioni!$E:$E,$N113)&amp;"")</f>
        <v/>
      </c>
      <c r="F113" s="126">
        <f>IF($N113="","",INDEX(Azioni!$F:$F,$N113)&amp;"")</f>
        <v/>
      </c>
      <c r="G113" s="126">
        <f>IF($N113="","",INDEX(Azioni!$I:$I,$N113)&amp;"")</f>
        <v/>
      </c>
      <c r="H113" s="128">
        <f>IF($N113="","",IF(INDEX(Azioni!$J:$J,$N113)="","",INDEX(Azioni!$J:$J,$N113)))</f>
        <v/>
      </c>
      <c r="I113" s="128">
        <f>IF(OR($N113="",H113=""),"",IF(OR(G113="Approvata",G113="In corso"),EDATE(H113,N(INDEX(Azioni!$G:$G,$N113))),""))</f>
        <v/>
      </c>
      <c r="J113" s="126">
        <f>IF($N113="","",INDEX(Azioni!$L:$L,$N113)&amp;"")</f>
        <v/>
      </c>
      <c r="N11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108),1000000),"")</f>
        <v/>
      </c>
    </row>
    <row r="114">
      <c r="A114" s="126">
        <f>IF($N114="","",INDEX(Azioni!$A:$A,$N114)&amp;"")</f>
        <v/>
      </c>
      <c r="B114" s="126">
        <f>IF($N114="","",INDEX(Azioni!$B:$B,$N114)&amp;"")</f>
        <v/>
      </c>
      <c r="C114" s="126">
        <f>IF($N114="","",INDEX(Azioni!$C:$C,$N114)&amp;"")</f>
        <v/>
      </c>
      <c r="D114" s="127">
        <f>IF($N114="","",INDEX(Azioni!$D:$D,$N114)&amp;"")</f>
        <v/>
      </c>
      <c r="E114" s="126">
        <f>IF($N114="","",INDEX(Azioni!$E:$E,$N114)&amp;"")</f>
        <v/>
      </c>
      <c r="F114" s="126">
        <f>IF($N114="","",INDEX(Azioni!$F:$F,$N114)&amp;"")</f>
        <v/>
      </c>
      <c r="G114" s="126">
        <f>IF($N114="","",INDEX(Azioni!$I:$I,$N114)&amp;"")</f>
        <v/>
      </c>
      <c r="H114" s="128">
        <f>IF($N114="","",IF(INDEX(Azioni!$J:$J,$N114)="","",INDEX(Azioni!$J:$J,$N114)))</f>
        <v/>
      </c>
      <c r="I114" s="128">
        <f>IF(OR($N114="",H114=""),"",IF(OR(G114="Approvata",G114="In corso"),EDATE(H114,N(INDEX(Azioni!$G:$G,$N114))),""))</f>
        <v/>
      </c>
      <c r="J114" s="126">
        <f>IF($N114="","",INDEX(Azioni!$L:$L,$N114)&amp;"")</f>
        <v/>
      </c>
      <c r="N11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109),1000000),"")</f>
        <v/>
      </c>
    </row>
    <row r="115">
      <c r="A115" s="126">
        <f>IF($N115="","",INDEX(Azioni!$A:$A,$N115)&amp;"")</f>
        <v/>
      </c>
      <c r="B115" s="126">
        <f>IF($N115="","",INDEX(Azioni!$B:$B,$N115)&amp;"")</f>
        <v/>
      </c>
      <c r="C115" s="126">
        <f>IF($N115="","",INDEX(Azioni!$C:$C,$N115)&amp;"")</f>
        <v/>
      </c>
      <c r="D115" s="127">
        <f>IF($N115="","",INDEX(Azioni!$D:$D,$N115)&amp;"")</f>
        <v/>
      </c>
      <c r="E115" s="126">
        <f>IF($N115="","",INDEX(Azioni!$E:$E,$N115)&amp;"")</f>
        <v/>
      </c>
      <c r="F115" s="126">
        <f>IF($N115="","",INDEX(Azioni!$F:$F,$N115)&amp;"")</f>
        <v/>
      </c>
      <c r="G115" s="126">
        <f>IF($N115="","",INDEX(Azioni!$I:$I,$N115)&amp;"")</f>
        <v/>
      </c>
      <c r="H115" s="128">
        <f>IF($N115="","",IF(INDEX(Azioni!$J:$J,$N115)="","",INDEX(Azioni!$J:$J,$N115)))</f>
        <v/>
      </c>
      <c r="I115" s="128">
        <f>IF(OR($N115="",H115=""),"",IF(OR(G115="Approvata",G115="In corso"),EDATE(H115,N(INDEX(Azioni!$G:$G,$N115))),""))</f>
        <v/>
      </c>
      <c r="J115" s="126">
        <f>IF($N115="","",INDEX(Azioni!$L:$L,$N115)&amp;"")</f>
        <v/>
      </c>
      <c r="N11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1000000),"")</f>
        <v/>
      </c>
    </row>
    <row r="116">
      <c r="A116" s="126">
        <f>IF($N116="","",INDEX(Azioni!$A:$A,$N116)&amp;"")</f>
        <v/>
      </c>
      <c r="B116" s="126">
        <f>IF($N116="","",INDEX(Azioni!$B:$B,$N116)&amp;"")</f>
        <v/>
      </c>
      <c r="C116" s="126">
        <f>IF($N116="","",INDEX(Azioni!$C:$C,$N116)&amp;"")</f>
        <v/>
      </c>
      <c r="D116" s="127">
        <f>IF($N116="","",INDEX(Azioni!$D:$D,$N116)&amp;"")</f>
        <v/>
      </c>
      <c r="E116" s="126">
        <f>IF($N116="","",INDEX(Azioni!$E:$E,$N116)&amp;"")</f>
        <v/>
      </c>
      <c r="F116" s="126">
        <f>IF($N116="","",INDEX(Azioni!$F:$F,$N116)&amp;"")</f>
        <v/>
      </c>
      <c r="G116" s="126">
        <f>IF($N116="","",INDEX(Azioni!$I:$I,$N116)&amp;"")</f>
        <v/>
      </c>
      <c r="H116" s="128">
        <f>IF($N116="","",IF(INDEX(Azioni!$J:$J,$N116)="","",INDEX(Azioni!$J:$J,$N116)))</f>
        <v/>
      </c>
      <c r="I116" s="128">
        <f>IF(OR($N116="",H116=""),"",IF(OR(G116="Approvata",G116="In corso"),EDATE(H116,N(INDEX(Azioni!$G:$G,$N116))),""))</f>
        <v/>
      </c>
      <c r="J116" s="126">
        <f>IF($N116="","",INDEX(Azioni!$L:$L,$N116)&amp;"")</f>
        <v/>
      </c>
      <c r="N11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1000000),"")</f>
        <v/>
      </c>
    </row>
    <row r="117">
      <c r="A117" s="126">
        <f>IF($N117="","",INDEX(Azioni!$A:$A,$N117)&amp;"")</f>
        <v/>
      </c>
      <c r="B117" s="126">
        <f>IF($N117="","",INDEX(Azioni!$B:$B,$N117)&amp;"")</f>
        <v/>
      </c>
      <c r="C117" s="126">
        <f>IF($N117="","",INDEX(Azioni!$C:$C,$N117)&amp;"")</f>
        <v/>
      </c>
      <c r="D117" s="127">
        <f>IF($N117="","",INDEX(Azioni!$D:$D,$N117)&amp;"")</f>
        <v/>
      </c>
      <c r="E117" s="126">
        <f>IF($N117="","",INDEX(Azioni!$E:$E,$N117)&amp;"")</f>
        <v/>
      </c>
      <c r="F117" s="126">
        <f>IF($N117="","",INDEX(Azioni!$F:$F,$N117)&amp;"")</f>
        <v/>
      </c>
      <c r="G117" s="126">
        <f>IF($N117="","",INDEX(Azioni!$I:$I,$N117)&amp;"")</f>
        <v/>
      </c>
      <c r="H117" s="128">
        <f>IF($N117="","",IF(INDEX(Azioni!$J:$J,$N117)="","",INDEX(Azioni!$J:$J,$N117)))</f>
        <v/>
      </c>
      <c r="I117" s="128">
        <f>IF(OR($N117="",H117=""),"",IF(OR(G117="Approvata",G117="In corso"),EDATE(H117,N(INDEX(Azioni!$G:$G,$N117))),""))</f>
        <v/>
      </c>
      <c r="J117" s="126">
        <f>IF($N117="","",INDEX(Azioni!$L:$L,$N117)&amp;"")</f>
        <v/>
      </c>
      <c r="N11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112),1000000),"")</f>
        <v/>
      </c>
    </row>
    <row r="118">
      <c r="A118" s="126">
        <f>IF($N118="","",INDEX(Azioni!$A:$A,$N118)&amp;"")</f>
        <v/>
      </c>
      <c r="B118" s="126">
        <f>IF($N118="","",INDEX(Azioni!$B:$B,$N118)&amp;"")</f>
        <v/>
      </c>
      <c r="C118" s="126">
        <f>IF($N118="","",INDEX(Azioni!$C:$C,$N118)&amp;"")</f>
        <v/>
      </c>
      <c r="D118" s="127">
        <f>IF($N118="","",INDEX(Azioni!$D:$D,$N118)&amp;"")</f>
        <v/>
      </c>
      <c r="E118" s="126">
        <f>IF($N118="","",INDEX(Azioni!$E:$E,$N118)&amp;"")</f>
        <v/>
      </c>
      <c r="F118" s="126">
        <f>IF($N118="","",INDEX(Azioni!$F:$F,$N118)&amp;"")</f>
        <v/>
      </c>
      <c r="G118" s="126">
        <f>IF($N118="","",INDEX(Azioni!$I:$I,$N118)&amp;"")</f>
        <v/>
      </c>
      <c r="H118" s="128">
        <f>IF($N118="","",IF(INDEX(Azioni!$J:$J,$N118)="","",INDEX(Azioni!$J:$J,$N118)))</f>
        <v/>
      </c>
      <c r="I118" s="128">
        <f>IF(OR($N118="",H118=""),"",IF(OR(G118="Approvata",G118="In corso"),EDATE(H118,N(INDEX(Azioni!$G:$G,$N118))),""))</f>
        <v/>
      </c>
      <c r="J118" s="126">
        <f>IF($N118="","",INDEX(Azioni!$L:$L,$N118)&amp;"")</f>
        <v/>
      </c>
      <c r="N11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113),1000000),"")</f>
        <v/>
      </c>
    </row>
    <row r="119">
      <c r="A119" s="126">
        <f>IF($N119="","",INDEX(Azioni!$A:$A,$N119)&amp;"")</f>
        <v/>
      </c>
      <c r="B119" s="126">
        <f>IF($N119="","",INDEX(Azioni!$B:$B,$N119)&amp;"")</f>
        <v/>
      </c>
      <c r="C119" s="126">
        <f>IF($N119="","",INDEX(Azioni!$C:$C,$N119)&amp;"")</f>
        <v/>
      </c>
      <c r="D119" s="127">
        <f>IF($N119="","",INDEX(Azioni!$D:$D,$N119)&amp;"")</f>
        <v/>
      </c>
      <c r="E119" s="126">
        <f>IF($N119="","",INDEX(Azioni!$E:$E,$N119)&amp;"")</f>
        <v/>
      </c>
      <c r="F119" s="126">
        <f>IF($N119="","",INDEX(Azioni!$F:$F,$N119)&amp;"")</f>
        <v/>
      </c>
      <c r="G119" s="126">
        <f>IF($N119="","",INDEX(Azioni!$I:$I,$N119)&amp;"")</f>
        <v/>
      </c>
      <c r="H119" s="128">
        <f>IF($N119="","",IF(INDEX(Azioni!$J:$J,$N119)="","",INDEX(Azioni!$J:$J,$N119)))</f>
        <v/>
      </c>
      <c r="I119" s="128">
        <f>IF(OR($N119="",H119=""),"",IF(OR(G119="Approvata",G119="In corso"),EDATE(H119,N(INDEX(Azioni!$G:$G,$N119))),""))</f>
        <v/>
      </c>
      <c r="J119" s="126">
        <f>IF($N119="","",INDEX(Azioni!$L:$L,$N119)&amp;"")</f>
        <v/>
      </c>
      <c r="N11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114),1000000),"")</f>
        <v/>
      </c>
    </row>
    <row r="120">
      <c r="A120" s="126">
        <f>IF($N120="","",INDEX(Azioni!$A:$A,$N120)&amp;"")</f>
        <v/>
      </c>
      <c r="B120" s="126">
        <f>IF($N120="","",INDEX(Azioni!$B:$B,$N120)&amp;"")</f>
        <v/>
      </c>
      <c r="C120" s="126">
        <f>IF($N120="","",INDEX(Azioni!$C:$C,$N120)&amp;"")</f>
        <v/>
      </c>
      <c r="D120" s="127">
        <f>IF($N120="","",INDEX(Azioni!$D:$D,$N120)&amp;"")</f>
        <v/>
      </c>
      <c r="E120" s="126">
        <f>IF($N120="","",INDEX(Azioni!$E:$E,$N120)&amp;"")</f>
        <v/>
      </c>
      <c r="F120" s="126">
        <f>IF($N120="","",INDEX(Azioni!$F:$F,$N120)&amp;"")</f>
        <v/>
      </c>
      <c r="G120" s="126">
        <f>IF($N120="","",INDEX(Azioni!$I:$I,$N120)&amp;"")</f>
        <v/>
      </c>
      <c r="H120" s="128">
        <f>IF($N120="","",IF(INDEX(Azioni!$J:$J,$N120)="","",INDEX(Azioni!$J:$J,$N120)))</f>
        <v/>
      </c>
      <c r="I120" s="128">
        <f>IF(OR($N120="",H120=""),"",IF(OR(G120="Approvata",G120="In corso"),EDATE(H120,N(INDEX(Azioni!$G:$G,$N120))),""))</f>
        <v/>
      </c>
      <c r="J120" s="126">
        <f>IF($N120="","",INDEX(Azioni!$L:$L,$N120)&amp;"")</f>
        <v/>
      </c>
      <c r="N12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115),1000000),"")</f>
        <v/>
      </c>
    </row>
    <row r="121">
      <c r="A121" s="126">
        <f>IF($N121="","",INDEX(Azioni!$A:$A,$N121)&amp;"")</f>
        <v/>
      </c>
      <c r="B121" s="126">
        <f>IF($N121="","",INDEX(Azioni!$B:$B,$N121)&amp;"")</f>
        <v/>
      </c>
      <c r="C121" s="126">
        <f>IF($N121="","",INDEX(Azioni!$C:$C,$N121)&amp;"")</f>
        <v/>
      </c>
      <c r="D121" s="127">
        <f>IF($N121="","",INDEX(Azioni!$D:$D,$N121)&amp;"")</f>
        <v/>
      </c>
      <c r="E121" s="126">
        <f>IF($N121="","",INDEX(Azioni!$E:$E,$N121)&amp;"")</f>
        <v/>
      </c>
      <c r="F121" s="126">
        <f>IF($N121="","",INDEX(Azioni!$F:$F,$N121)&amp;"")</f>
        <v/>
      </c>
      <c r="G121" s="126">
        <f>IF($N121="","",INDEX(Azioni!$I:$I,$N121)&amp;"")</f>
        <v/>
      </c>
      <c r="H121" s="128">
        <f>IF($N121="","",IF(INDEX(Azioni!$J:$J,$N121)="","",INDEX(Azioni!$J:$J,$N121)))</f>
        <v/>
      </c>
      <c r="I121" s="128">
        <f>IF(OR($N121="",H121=""),"",IF(OR(G121="Approvata",G121="In corso"),EDATE(H121,N(INDEX(Azioni!$G:$G,$N121))),""))</f>
        <v/>
      </c>
      <c r="J121" s="126">
        <f>IF($N121="","",INDEX(Azioni!$L:$L,$N121)&amp;"")</f>
        <v/>
      </c>
      <c r="N12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116),1000000),"")</f>
        <v/>
      </c>
    </row>
    <row r="122">
      <c r="A122" s="126">
        <f>IF($N122="","",INDEX(Azioni!$A:$A,$N122)&amp;"")</f>
        <v/>
      </c>
      <c r="B122" s="126">
        <f>IF($N122="","",INDEX(Azioni!$B:$B,$N122)&amp;"")</f>
        <v/>
      </c>
      <c r="C122" s="126">
        <f>IF($N122="","",INDEX(Azioni!$C:$C,$N122)&amp;"")</f>
        <v/>
      </c>
      <c r="D122" s="127">
        <f>IF($N122="","",INDEX(Azioni!$D:$D,$N122)&amp;"")</f>
        <v/>
      </c>
      <c r="E122" s="126">
        <f>IF($N122="","",INDEX(Azioni!$E:$E,$N122)&amp;"")</f>
        <v/>
      </c>
      <c r="F122" s="126">
        <f>IF($N122="","",INDEX(Azioni!$F:$F,$N122)&amp;"")</f>
        <v/>
      </c>
      <c r="G122" s="126">
        <f>IF($N122="","",INDEX(Azioni!$I:$I,$N122)&amp;"")</f>
        <v/>
      </c>
      <c r="H122" s="128">
        <f>IF($N122="","",IF(INDEX(Azioni!$J:$J,$N122)="","",INDEX(Azioni!$J:$J,$N122)))</f>
        <v/>
      </c>
      <c r="I122" s="128">
        <f>IF(OR($N122="",H122=""),"",IF(OR(G122="Approvata",G122="In corso"),EDATE(H122,N(INDEX(Azioni!$G:$G,$N122))),""))</f>
        <v/>
      </c>
      <c r="J122" s="126">
        <f>IF($N122="","",INDEX(Azioni!$L:$L,$N122)&amp;"")</f>
        <v/>
      </c>
      <c r="N12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117),1000000),"")</f>
        <v/>
      </c>
    </row>
    <row r="123">
      <c r="A123" s="126">
        <f>IF($N123="","",INDEX(Azioni!$A:$A,$N123)&amp;"")</f>
        <v/>
      </c>
      <c r="B123" s="126">
        <f>IF($N123="","",INDEX(Azioni!$B:$B,$N123)&amp;"")</f>
        <v/>
      </c>
      <c r="C123" s="126">
        <f>IF($N123="","",INDEX(Azioni!$C:$C,$N123)&amp;"")</f>
        <v/>
      </c>
      <c r="D123" s="127">
        <f>IF($N123="","",INDEX(Azioni!$D:$D,$N123)&amp;"")</f>
        <v/>
      </c>
      <c r="E123" s="126">
        <f>IF($N123="","",INDEX(Azioni!$E:$E,$N123)&amp;"")</f>
        <v/>
      </c>
      <c r="F123" s="126">
        <f>IF($N123="","",INDEX(Azioni!$F:$F,$N123)&amp;"")</f>
        <v/>
      </c>
      <c r="G123" s="126">
        <f>IF($N123="","",INDEX(Azioni!$I:$I,$N123)&amp;"")</f>
        <v/>
      </c>
      <c r="H123" s="128">
        <f>IF($N123="","",IF(INDEX(Azioni!$J:$J,$N123)="","",INDEX(Azioni!$J:$J,$N123)))</f>
        <v/>
      </c>
      <c r="I123" s="128">
        <f>IF(OR($N123="",H123=""),"",IF(OR(G123="Approvata",G123="In corso"),EDATE(H123,N(INDEX(Azioni!$G:$G,$N123))),""))</f>
        <v/>
      </c>
      <c r="J123" s="126">
        <f>IF($N123="","",INDEX(Azioni!$L:$L,$N123)&amp;"")</f>
        <v/>
      </c>
      <c r="N12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118),1000000),"")</f>
        <v/>
      </c>
    </row>
    <row r="124">
      <c r="A124" s="126">
        <f>IF($N124="","",INDEX(Azioni!$A:$A,$N124)&amp;"")</f>
        <v/>
      </c>
      <c r="B124" s="126">
        <f>IF($N124="","",INDEX(Azioni!$B:$B,$N124)&amp;"")</f>
        <v/>
      </c>
      <c r="C124" s="126">
        <f>IF($N124="","",INDEX(Azioni!$C:$C,$N124)&amp;"")</f>
        <v/>
      </c>
      <c r="D124" s="127">
        <f>IF($N124="","",INDEX(Azioni!$D:$D,$N124)&amp;"")</f>
        <v/>
      </c>
      <c r="E124" s="126">
        <f>IF($N124="","",INDEX(Azioni!$E:$E,$N124)&amp;"")</f>
        <v/>
      </c>
      <c r="F124" s="126">
        <f>IF($N124="","",INDEX(Azioni!$F:$F,$N124)&amp;"")</f>
        <v/>
      </c>
      <c r="G124" s="126">
        <f>IF($N124="","",INDEX(Azioni!$I:$I,$N124)&amp;"")</f>
        <v/>
      </c>
      <c r="H124" s="128">
        <f>IF($N124="","",IF(INDEX(Azioni!$J:$J,$N124)="","",INDEX(Azioni!$J:$J,$N124)))</f>
        <v/>
      </c>
      <c r="I124" s="128">
        <f>IF(OR($N124="",H124=""),"",IF(OR(G124="Approvata",G124="In corso"),EDATE(H124,N(INDEX(Azioni!$G:$G,$N124))),""))</f>
        <v/>
      </c>
      <c r="J124" s="126">
        <f>IF($N124="","",INDEX(Azioni!$L:$L,$N124)&amp;"")</f>
        <v/>
      </c>
      <c r="N12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119),1000000),"")</f>
        <v/>
      </c>
    </row>
    <row r="125">
      <c r="A125" s="126">
        <f>IF($N125="","",INDEX(Azioni!$A:$A,$N125)&amp;"")</f>
        <v/>
      </c>
      <c r="B125" s="126">
        <f>IF($N125="","",INDEX(Azioni!$B:$B,$N125)&amp;"")</f>
        <v/>
      </c>
      <c r="C125" s="126">
        <f>IF($N125="","",INDEX(Azioni!$C:$C,$N125)&amp;"")</f>
        <v/>
      </c>
      <c r="D125" s="127">
        <f>IF($N125="","",INDEX(Azioni!$D:$D,$N125)&amp;"")</f>
        <v/>
      </c>
      <c r="E125" s="126">
        <f>IF($N125="","",INDEX(Azioni!$E:$E,$N125)&amp;"")</f>
        <v/>
      </c>
      <c r="F125" s="126">
        <f>IF($N125="","",INDEX(Azioni!$F:$F,$N125)&amp;"")</f>
        <v/>
      </c>
      <c r="G125" s="126">
        <f>IF($N125="","",INDEX(Azioni!$I:$I,$N125)&amp;"")</f>
        <v/>
      </c>
      <c r="H125" s="128">
        <f>IF($N125="","",IF(INDEX(Azioni!$J:$J,$N125)="","",INDEX(Azioni!$J:$J,$N125)))</f>
        <v/>
      </c>
      <c r="I125" s="128">
        <f>IF(OR($N125="",H125=""),"",IF(OR(G125="Approvata",G125="In corso"),EDATE(H125,N(INDEX(Azioni!$G:$G,$N125))),""))</f>
        <v/>
      </c>
      <c r="J125" s="126">
        <f>IF($N125="","",INDEX(Azioni!$L:$L,$N125)&amp;"")</f>
        <v/>
      </c>
      <c r="N12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120),1000000),"")</f>
        <v/>
      </c>
    </row>
    <row r="126">
      <c r="A126" s="126">
        <f>IF($N126="","",INDEX(Azioni!$A:$A,$N126)&amp;"")</f>
        <v/>
      </c>
      <c r="B126" s="126">
        <f>IF($N126="","",INDEX(Azioni!$B:$B,$N126)&amp;"")</f>
        <v/>
      </c>
      <c r="C126" s="126">
        <f>IF($N126="","",INDEX(Azioni!$C:$C,$N126)&amp;"")</f>
        <v/>
      </c>
      <c r="D126" s="127">
        <f>IF($N126="","",INDEX(Azioni!$D:$D,$N126)&amp;"")</f>
        <v/>
      </c>
      <c r="E126" s="126">
        <f>IF($N126="","",INDEX(Azioni!$E:$E,$N126)&amp;"")</f>
        <v/>
      </c>
      <c r="F126" s="126">
        <f>IF($N126="","",INDEX(Azioni!$F:$F,$N126)&amp;"")</f>
        <v/>
      </c>
      <c r="G126" s="126">
        <f>IF($N126="","",INDEX(Azioni!$I:$I,$N126)&amp;"")</f>
        <v/>
      </c>
      <c r="H126" s="128">
        <f>IF($N126="","",IF(INDEX(Azioni!$J:$J,$N126)="","",INDEX(Azioni!$J:$J,$N126)))</f>
        <v/>
      </c>
      <c r="I126" s="128">
        <f>IF(OR($N126="",H126=""),"",IF(OR(G126="Approvata",G126="In corso"),EDATE(H126,N(INDEX(Azioni!$G:$G,$N126))),""))</f>
        <v/>
      </c>
      <c r="J126" s="126">
        <f>IF($N126="","",INDEX(Azioni!$L:$L,$N126)&amp;"")</f>
        <v/>
      </c>
      <c r="N12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1000000),"")</f>
        <v/>
      </c>
    </row>
    <row r="127">
      <c r="A127" s="126">
        <f>IF($N127="","",INDEX(Azioni!$A:$A,$N127)&amp;"")</f>
        <v/>
      </c>
      <c r="B127" s="126">
        <f>IF($N127="","",INDEX(Azioni!$B:$B,$N127)&amp;"")</f>
        <v/>
      </c>
      <c r="C127" s="126">
        <f>IF($N127="","",INDEX(Azioni!$C:$C,$N127)&amp;"")</f>
        <v/>
      </c>
      <c r="D127" s="127">
        <f>IF($N127="","",INDEX(Azioni!$D:$D,$N127)&amp;"")</f>
        <v/>
      </c>
      <c r="E127" s="126">
        <f>IF($N127="","",INDEX(Azioni!$E:$E,$N127)&amp;"")</f>
        <v/>
      </c>
      <c r="F127" s="126">
        <f>IF($N127="","",INDEX(Azioni!$F:$F,$N127)&amp;"")</f>
        <v/>
      </c>
      <c r="G127" s="126">
        <f>IF($N127="","",INDEX(Azioni!$I:$I,$N127)&amp;"")</f>
        <v/>
      </c>
      <c r="H127" s="128">
        <f>IF($N127="","",IF(INDEX(Azioni!$J:$J,$N127)="","",INDEX(Azioni!$J:$J,$N127)))</f>
        <v/>
      </c>
      <c r="I127" s="128">
        <f>IF(OR($N127="",H127=""),"",IF(OR(G127="Approvata",G127="In corso"),EDATE(H127,N(INDEX(Azioni!$G:$G,$N127))),""))</f>
        <v/>
      </c>
      <c r="J127" s="126">
        <f>IF($N127="","",INDEX(Azioni!$L:$L,$N127)&amp;"")</f>
        <v/>
      </c>
      <c r="N12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122),1000000),"")</f>
        <v/>
      </c>
    </row>
    <row r="128">
      <c r="A128" s="126">
        <f>IF($N128="","",INDEX(Azioni!$A:$A,$N128)&amp;"")</f>
        <v/>
      </c>
      <c r="B128" s="126">
        <f>IF($N128="","",INDEX(Azioni!$B:$B,$N128)&amp;"")</f>
        <v/>
      </c>
      <c r="C128" s="126">
        <f>IF($N128="","",INDEX(Azioni!$C:$C,$N128)&amp;"")</f>
        <v/>
      </c>
      <c r="D128" s="127">
        <f>IF($N128="","",INDEX(Azioni!$D:$D,$N128)&amp;"")</f>
        <v/>
      </c>
      <c r="E128" s="126">
        <f>IF($N128="","",INDEX(Azioni!$E:$E,$N128)&amp;"")</f>
        <v/>
      </c>
      <c r="F128" s="126">
        <f>IF($N128="","",INDEX(Azioni!$F:$F,$N128)&amp;"")</f>
        <v/>
      </c>
      <c r="G128" s="126">
        <f>IF($N128="","",INDEX(Azioni!$I:$I,$N128)&amp;"")</f>
        <v/>
      </c>
      <c r="H128" s="128">
        <f>IF($N128="","",IF(INDEX(Azioni!$J:$J,$N128)="","",INDEX(Azioni!$J:$J,$N128)))</f>
        <v/>
      </c>
      <c r="I128" s="128">
        <f>IF(OR($N128="",H128=""),"",IF(OR(G128="Approvata",G128="In corso"),EDATE(H128,N(INDEX(Azioni!$G:$G,$N128))),""))</f>
        <v/>
      </c>
      <c r="J128" s="126">
        <f>IF($N128="","",INDEX(Azioni!$L:$L,$N128)&amp;"")</f>
        <v/>
      </c>
      <c r="N12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123),1000000),"")</f>
        <v/>
      </c>
    </row>
    <row r="129">
      <c r="A129" s="126">
        <f>IF($N129="","",INDEX(Azioni!$A:$A,$N129)&amp;"")</f>
        <v/>
      </c>
      <c r="B129" s="126">
        <f>IF($N129="","",INDEX(Azioni!$B:$B,$N129)&amp;"")</f>
        <v/>
      </c>
      <c r="C129" s="126">
        <f>IF($N129="","",INDEX(Azioni!$C:$C,$N129)&amp;"")</f>
        <v/>
      </c>
      <c r="D129" s="127">
        <f>IF($N129="","",INDEX(Azioni!$D:$D,$N129)&amp;"")</f>
        <v/>
      </c>
      <c r="E129" s="126">
        <f>IF($N129="","",INDEX(Azioni!$E:$E,$N129)&amp;"")</f>
        <v/>
      </c>
      <c r="F129" s="126">
        <f>IF($N129="","",INDEX(Azioni!$F:$F,$N129)&amp;"")</f>
        <v/>
      </c>
      <c r="G129" s="126">
        <f>IF($N129="","",INDEX(Azioni!$I:$I,$N129)&amp;"")</f>
        <v/>
      </c>
      <c r="H129" s="128">
        <f>IF($N129="","",IF(INDEX(Azioni!$J:$J,$N129)="","",INDEX(Azioni!$J:$J,$N129)))</f>
        <v/>
      </c>
      <c r="I129" s="128">
        <f>IF(OR($N129="",H129=""),"",IF(OR(G129="Approvata",G129="In corso"),EDATE(H129,N(INDEX(Azioni!$G:$G,$N129))),""))</f>
        <v/>
      </c>
      <c r="J129" s="126">
        <f>IF($N129="","",INDEX(Azioni!$L:$L,$N129)&amp;"")</f>
        <v/>
      </c>
      <c r="N12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124),1000000),"")</f>
        <v/>
      </c>
    </row>
    <row r="130">
      <c r="A130" s="126">
        <f>IF($N130="","",INDEX(Azioni!$A:$A,$N130)&amp;"")</f>
        <v/>
      </c>
      <c r="B130" s="126">
        <f>IF($N130="","",INDEX(Azioni!$B:$B,$N130)&amp;"")</f>
        <v/>
      </c>
      <c r="C130" s="126">
        <f>IF($N130="","",INDEX(Azioni!$C:$C,$N130)&amp;"")</f>
        <v/>
      </c>
      <c r="D130" s="127">
        <f>IF($N130="","",INDEX(Azioni!$D:$D,$N130)&amp;"")</f>
        <v/>
      </c>
      <c r="E130" s="126">
        <f>IF($N130="","",INDEX(Azioni!$E:$E,$N130)&amp;"")</f>
        <v/>
      </c>
      <c r="F130" s="126">
        <f>IF($N130="","",INDEX(Azioni!$F:$F,$N130)&amp;"")</f>
        <v/>
      </c>
      <c r="G130" s="126">
        <f>IF($N130="","",INDEX(Azioni!$I:$I,$N130)&amp;"")</f>
        <v/>
      </c>
      <c r="H130" s="128">
        <f>IF($N130="","",IF(INDEX(Azioni!$J:$J,$N130)="","",INDEX(Azioni!$J:$J,$N130)))</f>
        <v/>
      </c>
      <c r="I130" s="128">
        <f>IF(OR($N130="",H130=""),"",IF(OR(G130="Approvata",G130="In corso"),EDATE(H130,N(INDEX(Azioni!$G:$G,$N130))),""))</f>
        <v/>
      </c>
      <c r="J130" s="126">
        <f>IF($N130="","",INDEX(Azioni!$L:$L,$N130)&amp;"")</f>
        <v/>
      </c>
      <c r="N13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125),1000000),"")</f>
        <v/>
      </c>
    </row>
    <row r="131">
      <c r="A131" s="126">
        <f>IF($N131="","",INDEX(Azioni!$A:$A,$N131)&amp;"")</f>
        <v/>
      </c>
      <c r="B131" s="126">
        <f>IF($N131="","",INDEX(Azioni!$B:$B,$N131)&amp;"")</f>
        <v/>
      </c>
      <c r="C131" s="126">
        <f>IF($N131="","",INDEX(Azioni!$C:$C,$N131)&amp;"")</f>
        <v/>
      </c>
      <c r="D131" s="127">
        <f>IF($N131="","",INDEX(Azioni!$D:$D,$N131)&amp;"")</f>
        <v/>
      </c>
      <c r="E131" s="126">
        <f>IF($N131="","",INDEX(Azioni!$E:$E,$N131)&amp;"")</f>
        <v/>
      </c>
      <c r="F131" s="126">
        <f>IF($N131="","",INDEX(Azioni!$F:$F,$N131)&amp;"")</f>
        <v/>
      </c>
      <c r="G131" s="126">
        <f>IF($N131="","",INDEX(Azioni!$I:$I,$N131)&amp;"")</f>
        <v/>
      </c>
      <c r="H131" s="128">
        <f>IF($N131="","",IF(INDEX(Azioni!$J:$J,$N131)="","",INDEX(Azioni!$J:$J,$N131)))</f>
        <v/>
      </c>
      <c r="I131" s="128">
        <f>IF(OR($N131="",H131=""),"",IF(OR(G131="Approvata",G131="In corso"),EDATE(H131,N(INDEX(Azioni!$G:$G,$N131))),""))</f>
        <v/>
      </c>
      <c r="J131" s="126">
        <f>IF($N131="","",INDEX(Azioni!$L:$L,$N131)&amp;"")</f>
        <v/>
      </c>
      <c r="N13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126),1000000),"")</f>
        <v/>
      </c>
    </row>
    <row r="132">
      <c r="A132" s="126">
        <f>IF($N132="","",INDEX(Azioni!$A:$A,$N132)&amp;"")</f>
        <v/>
      </c>
      <c r="B132" s="126">
        <f>IF($N132="","",INDEX(Azioni!$B:$B,$N132)&amp;"")</f>
        <v/>
      </c>
      <c r="C132" s="126">
        <f>IF($N132="","",INDEX(Azioni!$C:$C,$N132)&amp;"")</f>
        <v/>
      </c>
      <c r="D132" s="127">
        <f>IF($N132="","",INDEX(Azioni!$D:$D,$N132)&amp;"")</f>
        <v/>
      </c>
      <c r="E132" s="126">
        <f>IF($N132="","",INDEX(Azioni!$E:$E,$N132)&amp;"")</f>
        <v/>
      </c>
      <c r="F132" s="126">
        <f>IF($N132="","",INDEX(Azioni!$F:$F,$N132)&amp;"")</f>
        <v/>
      </c>
      <c r="G132" s="126">
        <f>IF($N132="","",INDEX(Azioni!$I:$I,$N132)&amp;"")</f>
        <v/>
      </c>
      <c r="H132" s="128">
        <f>IF($N132="","",IF(INDEX(Azioni!$J:$J,$N132)="","",INDEX(Azioni!$J:$J,$N132)))</f>
        <v/>
      </c>
      <c r="I132" s="128">
        <f>IF(OR($N132="",H132=""),"",IF(OR(G132="Approvata",G132="In corso"),EDATE(H132,N(INDEX(Azioni!$G:$G,$N132))),""))</f>
        <v/>
      </c>
      <c r="J132" s="126">
        <f>IF($N132="","",INDEX(Azioni!$L:$L,$N132)&amp;"")</f>
        <v/>
      </c>
      <c r="N13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127),1000000),"")</f>
        <v/>
      </c>
    </row>
    <row r="133">
      <c r="A133" s="126">
        <f>IF($N133="","",INDEX(Azioni!$A:$A,$N133)&amp;"")</f>
        <v/>
      </c>
      <c r="B133" s="126">
        <f>IF($N133="","",INDEX(Azioni!$B:$B,$N133)&amp;"")</f>
        <v/>
      </c>
      <c r="C133" s="126">
        <f>IF($N133="","",INDEX(Azioni!$C:$C,$N133)&amp;"")</f>
        <v/>
      </c>
      <c r="D133" s="127">
        <f>IF($N133="","",INDEX(Azioni!$D:$D,$N133)&amp;"")</f>
        <v/>
      </c>
      <c r="E133" s="126">
        <f>IF($N133="","",INDEX(Azioni!$E:$E,$N133)&amp;"")</f>
        <v/>
      </c>
      <c r="F133" s="126">
        <f>IF($N133="","",INDEX(Azioni!$F:$F,$N133)&amp;"")</f>
        <v/>
      </c>
      <c r="G133" s="126">
        <f>IF($N133="","",INDEX(Azioni!$I:$I,$N133)&amp;"")</f>
        <v/>
      </c>
      <c r="H133" s="128">
        <f>IF($N133="","",IF(INDEX(Azioni!$J:$J,$N133)="","",INDEX(Azioni!$J:$J,$N133)))</f>
        <v/>
      </c>
      <c r="I133" s="128">
        <f>IF(OR($N133="",H133=""),"",IF(OR(G133="Approvata",G133="In corso"),EDATE(H133,N(INDEX(Azioni!$G:$G,$N133))),""))</f>
        <v/>
      </c>
      <c r="J133" s="126">
        <f>IF($N133="","",INDEX(Azioni!$L:$L,$N133)&amp;"")</f>
        <v/>
      </c>
      <c r="N13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128),1000000),"")</f>
        <v/>
      </c>
    </row>
    <row r="134">
      <c r="A134" s="126">
        <f>IF($N134="","",INDEX(Azioni!$A:$A,$N134)&amp;"")</f>
        <v/>
      </c>
      <c r="B134" s="126">
        <f>IF($N134="","",INDEX(Azioni!$B:$B,$N134)&amp;"")</f>
        <v/>
      </c>
      <c r="C134" s="126">
        <f>IF($N134="","",INDEX(Azioni!$C:$C,$N134)&amp;"")</f>
        <v/>
      </c>
      <c r="D134" s="127">
        <f>IF($N134="","",INDEX(Azioni!$D:$D,$N134)&amp;"")</f>
        <v/>
      </c>
      <c r="E134" s="126">
        <f>IF($N134="","",INDEX(Azioni!$E:$E,$N134)&amp;"")</f>
        <v/>
      </c>
      <c r="F134" s="126">
        <f>IF($N134="","",INDEX(Azioni!$F:$F,$N134)&amp;"")</f>
        <v/>
      </c>
      <c r="G134" s="126">
        <f>IF($N134="","",INDEX(Azioni!$I:$I,$N134)&amp;"")</f>
        <v/>
      </c>
      <c r="H134" s="128">
        <f>IF($N134="","",IF(INDEX(Azioni!$J:$J,$N134)="","",INDEX(Azioni!$J:$J,$N134)))</f>
        <v/>
      </c>
      <c r="I134" s="128">
        <f>IF(OR($N134="",H134=""),"",IF(OR(G134="Approvata",G134="In corso"),EDATE(H134,N(INDEX(Azioni!$G:$G,$N134))),""))</f>
        <v/>
      </c>
      <c r="J134" s="126">
        <f>IF($N134="","",INDEX(Azioni!$L:$L,$N134)&amp;"")</f>
        <v/>
      </c>
      <c r="N13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129),1000000),"")</f>
        <v/>
      </c>
    </row>
    <row r="135">
      <c r="A135" s="126">
        <f>IF($N135="","",INDEX(Azioni!$A:$A,$N135)&amp;"")</f>
        <v/>
      </c>
      <c r="B135" s="126">
        <f>IF($N135="","",INDEX(Azioni!$B:$B,$N135)&amp;"")</f>
        <v/>
      </c>
      <c r="C135" s="126">
        <f>IF($N135="","",INDEX(Azioni!$C:$C,$N135)&amp;"")</f>
        <v/>
      </c>
      <c r="D135" s="127">
        <f>IF($N135="","",INDEX(Azioni!$D:$D,$N135)&amp;"")</f>
        <v/>
      </c>
      <c r="E135" s="126">
        <f>IF($N135="","",INDEX(Azioni!$E:$E,$N135)&amp;"")</f>
        <v/>
      </c>
      <c r="F135" s="126">
        <f>IF($N135="","",INDEX(Azioni!$F:$F,$N135)&amp;"")</f>
        <v/>
      </c>
      <c r="G135" s="126">
        <f>IF($N135="","",INDEX(Azioni!$I:$I,$N135)&amp;"")</f>
        <v/>
      </c>
      <c r="H135" s="128">
        <f>IF($N135="","",IF(INDEX(Azioni!$J:$J,$N135)="","",INDEX(Azioni!$J:$J,$N135)))</f>
        <v/>
      </c>
      <c r="I135" s="128">
        <f>IF(OR($N135="",H135=""),"",IF(OR(G135="Approvata",G135="In corso"),EDATE(H135,N(INDEX(Azioni!$G:$G,$N135))),""))</f>
        <v/>
      </c>
      <c r="J135" s="126">
        <f>IF($N135="","",INDEX(Azioni!$L:$L,$N135)&amp;"")</f>
        <v/>
      </c>
      <c r="N13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130),1000000),"")</f>
        <v/>
      </c>
    </row>
    <row r="136">
      <c r="A136" s="126">
        <f>IF($N136="","",INDEX(Azioni!$A:$A,$N136)&amp;"")</f>
        <v/>
      </c>
      <c r="B136" s="126">
        <f>IF($N136="","",INDEX(Azioni!$B:$B,$N136)&amp;"")</f>
        <v/>
      </c>
      <c r="C136" s="126">
        <f>IF($N136="","",INDEX(Azioni!$C:$C,$N136)&amp;"")</f>
        <v/>
      </c>
      <c r="D136" s="127">
        <f>IF($N136="","",INDEX(Azioni!$D:$D,$N136)&amp;"")</f>
        <v/>
      </c>
      <c r="E136" s="126">
        <f>IF($N136="","",INDEX(Azioni!$E:$E,$N136)&amp;"")</f>
        <v/>
      </c>
      <c r="F136" s="126">
        <f>IF($N136="","",INDEX(Azioni!$F:$F,$N136)&amp;"")</f>
        <v/>
      </c>
      <c r="G136" s="126">
        <f>IF($N136="","",INDEX(Azioni!$I:$I,$N136)&amp;"")</f>
        <v/>
      </c>
      <c r="H136" s="128">
        <f>IF($N136="","",IF(INDEX(Azioni!$J:$J,$N136)="","",INDEX(Azioni!$J:$J,$N136)))</f>
        <v/>
      </c>
      <c r="I136" s="128">
        <f>IF(OR($N136="",H136=""),"",IF(OR(G136="Approvata",G136="In corso"),EDATE(H136,N(INDEX(Azioni!$G:$G,$N136))),""))</f>
        <v/>
      </c>
      <c r="J136" s="126">
        <f>IF($N136="","",INDEX(Azioni!$L:$L,$N136)&amp;"")</f>
        <v/>
      </c>
      <c r="N13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1000000),"")</f>
        <v/>
      </c>
    </row>
    <row r="137">
      <c r="A137" s="126">
        <f>IF($N137="","",INDEX(Azioni!$A:$A,$N137)&amp;"")</f>
        <v/>
      </c>
      <c r="B137" s="126">
        <f>IF($N137="","",INDEX(Azioni!$B:$B,$N137)&amp;"")</f>
        <v/>
      </c>
      <c r="C137" s="126">
        <f>IF($N137="","",INDEX(Azioni!$C:$C,$N137)&amp;"")</f>
        <v/>
      </c>
      <c r="D137" s="127">
        <f>IF($N137="","",INDEX(Azioni!$D:$D,$N137)&amp;"")</f>
        <v/>
      </c>
      <c r="E137" s="126">
        <f>IF($N137="","",INDEX(Azioni!$E:$E,$N137)&amp;"")</f>
        <v/>
      </c>
      <c r="F137" s="126">
        <f>IF($N137="","",INDEX(Azioni!$F:$F,$N137)&amp;"")</f>
        <v/>
      </c>
      <c r="G137" s="126">
        <f>IF($N137="","",INDEX(Azioni!$I:$I,$N137)&amp;"")</f>
        <v/>
      </c>
      <c r="H137" s="128">
        <f>IF($N137="","",IF(INDEX(Azioni!$J:$J,$N137)="","",INDEX(Azioni!$J:$J,$N137)))</f>
        <v/>
      </c>
      <c r="I137" s="128">
        <f>IF(OR($N137="",H137=""),"",IF(OR(G137="Approvata",G137="In corso"),EDATE(H137,N(INDEX(Azioni!$G:$G,$N137))),""))</f>
        <v/>
      </c>
      <c r="J137" s="126">
        <f>IF($N137="","",INDEX(Azioni!$L:$L,$N137)&amp;"")</f>
        <v/>
      </c>
      <c r="N13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132),1000000),"")</f>
        <v/>
      </c>
    </row>
    <row r="138">
      <c r="A138" s="126">
        <f>IF($N138="","",INDEX(Azioni!$A:$A,$N138)&amp;"")</f>
        <v/>
      </c>
      <c r="B138" s="126">
        <f>IF($N138="","",INDEX(Azioni!$B:$B,$N138)&amp;"")</f>
        <v/>
      </c>
      <c r="C138" s="126">
        <f>IF($N138="","",INDEX(Azioni!$C:$C,$N138)&amp;"")</f>
        <v/>
      </c>
      <c r="D138" s="127">
        <f>IF($N138="","",INDEX(Azioni!$D:$D,$N138)&amp;"")</f>
        <v/>
      </c>
      <c r="E138" s="126">
        <f>IF($N138="","",INDEX(Azioni!$E:$E,$N138)&amp;"")</f>
        <v/>
      </c>
      <c r="F138" s="126">
        <f>IF($N138="","",INDEX(Azioni!$F:$F,$N138)&amp;"")</f>
        <v/>
      </c>
      <c r="G138" s="126">
        <f>IF($N138="","",INDEX(Azioni!$I:$I,$N138)&amp;"")</f>
        <v/>
      </c>
      <c r="H138" s="128">
        <f>IF($N138="","",IF(INDEX(Azioni!$J:$J,$N138)="","",INDEX(Azioni!$J:$J,$N138)))</f>
        <v/>
      </c>
      <c r="I138" s="128">
        <f>IF(OR($N138="",H138=""),"",IF(OR(G138="Approvata",G138="In corso"),EDATE(H138,N(INDEX(Azioni!$G:$G,$N138))),""))</f>
        <v/>
      </c>
      <c r="J138" s="126">
        <f>IF($N138="","",INDEX(Azioni!$L:$L,$N138)&amp;"")</f>
        <v/>
      </c>
      <c r="N13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133),1000000),"")</f>
        <v/>
      </c>
    </row>
    <row r="139">
      <c r="A139" s="126">
        <f>IF($N139="","",INDEX(Azioni!$A:$A,$N139)&amp;"")</f>
        <v/>
      </c>
      <c r="B139" s="126">
        <f>IF($N139="","",INDEX(Azioni!$B:$B,$N139)&amp;"")</f>
        <v/>
      </c>
      <c r="C139" s="126">
        <f>IF($N139="","",INDEX(Azioni!$C:$C,$N139)&amp;"")</f>
        <v/>
      </c>
      <c r="D139" s="127">
        <f>IF($N139="","",INDEX(Azioni!$D:$D,$N139)&amp;"")</f>
        <v/>
      </c>
      <c r="E139" s="126">
        <f>IF($N139="","",INDEX(Azioni!$E:$E,$N139)&amp;"")</f>
        <v/>
      </c>
      <c r="F139" s="126">
        <f>IF($N139="","",INDEX(Azioni!$F:$F,$N139)&amp;"")</f>
        <v/>
      </c>
      <c r="G139" s="126">
        <f>IF($N139="","",INDEX(Azioni!$I:$I,$N139)&amp;"")</f>
        <v/>
      </c>
      <c r="H139" s="128">
        <f>IF($N139="","",IF(INDEX(Azioni!$J:$J,$N139)="","",INDEX(Azioni!$J:$J,$N139)))</f>
        <v/>
      </c>
      <c r="I139" s="128">
        <f>IF(OR($N139="",H139=""),"",IF(OR(G139="Approvata",G139="In corso"),EDATE(H139,N(INDEX(Azioni!$G:$G,$N139))),""))</f>
        <v/>
      </c>
      <c r="J139" s="126">
        <f>IF($N139="","",INDEX(Azioni!$L:$L,$N139)&amp;"")</f>
        <v/>
      </c>
      <c r="N13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134),1000000),"")</f>
        <v/>
      </c>
    </row>
    <row r="140">
      <c r="A140" s="126">
        <f>IF($N140="","",INDEX(Azioni!$A:$A,$N140)&amp;"")</f>
        <v/>
      </c>
      <c r="B140" s="126">
        <f>IF($N140="","",INDEX(Azioni!$B:$B,$N140)&amp;"")</f>
        <v/>
      </c>
      <c r="C140" s="126">
        <f>IF($N140="","",INDEX(Azioni!$C:$C,$N140)&amp;"")</f>
        <v/>
      </c>
      <c r="D140" s="127">
        <f>IF($N140="","",INDEX(Azioni!$D:$D,$N140)&amp;"")</f>
        <v/>
      </c>
      <c r="E140" s="126">
        <f>IF($N140="","",INDEX(Azioni!$E:$E,$N140)&amp;"")</f>
        <v/>
      </c>
      <c r="F140" s="126">
        <f>IF($N140="","",INDEX(Azioni!$F:$F,$N140)&amp;"")</f>
        <v/>
      </c>
      <c r="G140" s="126">
        <f>IF($N140="","",INDEX(Azioni!$I:$I,$N140)&amp;"")</f>
        <v/>
      </c>
      <c r="H140" s="128">
        <f>IF($N140="","",IF(INDEX(Azioni!$J:$J,$N140)="","",INDEX(Azioni!$J:$J,$N140)))</f>
        <v/>
      </c>
      <c r="I140" s="128">
        <f>IF(OR($N140="",H140=""),"",IF(OR(G140="Approvata",G140="In corso"),EDATE(H140,N(INDEX(Azioni!$G:$G,$N140))),""))</f>
        <v/>
      </c>
      <c r="J140" s="126">
        <f>IF($N140="","",INDEX(Azioni!$L:$L,$N140)&amp;"")</f>
        <v/>
      </c>
      <c r="N14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135),1000000),"")</f>
        <v/>
      </c>
    </row>
    <row r="141">
      <c r="A141" s="126">
        <f>IF($N141="","",INDEX(Azioni!$A:$A,$N141)&amp;"")</f>
        <v/>
      </c>
      <c r="B141" s="126">
        <f>IF($N141="","",INDEX(Azioni!$B:$B,$N141)&amp;"")</f>
        <v/>
      </c>
      <c r="C141" s="126">
        <f>IF($N141="","",INDEX(Azioni!$C:$C,$N141)&amp;"")</f>
        <v/>
      </c>
      <c r="D141" s="127">
        <f>IF($N141="","",INDEX(Azioni!$D:$D,$N141)&amp;"")</f>
        <v/>
      </c>
      <c r="E141" s="126">
        <f>IF($N141="","",INDEX(Azioni!$E:$E,$N141)&amp;"")</f>
        <v/>
      </c>
      <c r="F141" s="126">
        <f>IF($N141="","",INDEX(Azioni!$F:$F,$N141)&amp;"")</f>
        <v/>
      </c>
      <c r="G141" s="126">
        <f>IF($N141="","",INDEX(Azioni!$I:$I,$N141)&amp;"")</f>
        <v/>
      </c>
      <c r="H141" s="128">
        <f>IF($N141="","",IF(INDEX(Azioni!$J:$J,$N141)="","",INDEX(Azioni!$J:$J,$N141)))</f>
        <v/>
      </c>
      <c r="I141" s="128">
        <f>IF(OR($N141="",H141=""),"",IF(OR(G141="Approvata",G141="In corso"),EDATE(H141,N(INDEX(Azioni!$G:$G,$N141))),""))</f>
        <v/>
      </c>
      <c r="J141" s="126">
        <f>IF($N141="","",INDEX(Azioni!$L:$L,$N141)&amp;"")</f>
        <v/>
      </c>
      <c r="N14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136),1000000),"")</f>
        <v/>
      </c>
    </row>
    <row r="142">
      <c r="A142" s="126">
        <f>IF($N142="","",INDEX(Azioni!$A:$A,$N142)&amp;"")</f>
        <v/>
      </c>
      <c r="B142" s="126">
        <f>IF($N142="","",INDEX(Azioni!$B:$B,$N142)&amp;"")</f>
        <v/>
      </c>
      <c r="C142" s="126">
        <f>IF($N142="","",INDEX(Azioni!$C:$C,$N142)&amp;"")</f>
        <v/>
      </c>
      <c r="D142" s="127">
        <f>IF($N142="","",INDEX(Azioni!$D:$D,$N142)&amp;"")</f>
        <v/>
      </c>
      <c r="E142" s="126">
        <f>IF($N142="","",INDEX(Azioni!$E:$E,$N142)&amp;"")</f>
        <v/>
      </c>
      <c r="F142" s="126">
        <f>IF($N142="","",INDEX(Azioni!$F:$F,$N142)&amp;"")</f>
        <v/>
      </c>
      <c r="G142" s="126">
        <f>IF($N142="","",INDEX(Azioni!$I:$I,$N142)&amp;"")</f>
        <v/>
      </c>
      <c r="H142" s="128">
        <f>IF($N142="","",IF(INDEX(Azioni!$J:$J,$N142)="","",INDEX(Azioni!$J:$J,$N142)))</f>
        <v/>
      </c>
      <c r="I142" s="128">
        <f>IF(OR($N142="",H142=""),"",IF(OR(G142="Approvata",G142="In corso"),EDATE(H142,N(INDEX(Azioni!$G:$G,$N142))),""))</f>
        <v/>
      </c>
      <c r="J142" s="126">
        <f>IF($N142="","",INDEX(Azioni!$L:$L,$N142)&amp;"")</f>
        <v/>
      </c>
      <c r="N14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137),1000000),"")</f>
        <v/>
      </c>
    </row>
    <row r="143">
      <c r="A143" s="126">
        <f>IF($N143="","",INDEX(Azioni!$A:$A,$N143)&amp;"")</f>
        <v/>
      </c>
      <c r="B143" s="126">
        <f>IF($N143="","",INDEX(Azioni!$B:$B,$N143)&amp;"")</f>
        <v/>
      </c>
      <c r="C143" s="126">
        <f>IF($N143="","",INDEX(Azioni!$C:$C,$N143)&amp;"")</f>
        <v/>
      </c>
      <c r="D143" s="127">
        <f>IF($N143="","",INDEX(Azioni!$D:$D,$N143)&amp;"")</f>
        <v/>
      </c>
      <c r="E143" s="126">
        <f>IF($N143="","",INDEX(Azioni!$E:$E,$N143)&amp;"")</f>
        <v/>
      </c>
      <c r="F143" s="126">
        <f>IF($N143="","",INDEX(Azioni!$F:$F,$N143)&amp;"")</f>
        <v/>
      </c>
      <c r="G143" s="126">
        <f>IF($N143="","",INDEX(Azioni!$I:$I,$N143)&amp;"")</f>
        <v/>
      </c>
      <c r="H143" s="128">
        <f>IF($N143="","",IF(INDEX(Azioni!$J:$J,$N143)="","",INDEX(Azioni!$J:$J,$N143)))</f>
        <v/>
      </c>
      <c r="I143" s="128">
        <f>IF(OR($N143="",H143=""),"",IF(OR(G143="Approvata",G143="In corso"),EDATE(H143,N(INDEX(Azioni!$G:$G,$N143))),""))</f>
        <v/>
      </c>
      <c r="J143" s="126">
        <f>IF($N143="","",INDEX(Azioni!$L:$L,$N143)&amp;"")</f>
        <v/>
      </c>
      <c r="N14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138),1000000),"")</f>
        <v/>
      </c>
    </row>
    <row r="144">
      <c r="A144" s="126">
        <f>IF($N144="","",INDEX(Azioni!$A:$A,$N144)&amp;"")</f>
        <v/>
      </c>
      <c r="B144" s="126">
        <f>IF($N144="","",INDEX(Azioni!$B:$B,$N144)&amp;"")</f>
        <v/>
      </c>
      <c r="C144" s="126">
        <f>IF($N144="","",INDEX(Azioni!$C:$C,$N144)&amp;"")</f>
        <v/>
      </c>
      <c r="D144" s="127">
        <f>IF($N144="","",INDEX(Azioni!$D:$D,$N144)&amp;"")</f>
        <v/>
      </c>
      <c r="E144" s="126">
        <f>IF($N144="","",INDEX(Azioni!$E:$E,$N144)&amp;"")</f>
        <v/>
      </c>
      <c r="F144" s="126">
        <f>IF($N144="","",INDEX(Azioni!$F:$F,$N144)&amp;"")</f>
        <v/>
      </c>
      <c r="G144" s="126">
        <f>IF($N144="","",INDEX(Azioni!$I:$I,$N144)&amp;"")</f>
        <v/>
      </c>
      <c r="H144" s="128">
        <f>IF($N144="","",IF(INDEX(Azioni!$J:$J,$N144)="","",INDEX(Azioni!$J:$J,$N144)))</f>
        <v/>
      </c>
      <c r="I144" s="128">
        <f>IF(OR($N144="",H144=""),"",IF(OR(G144="Approvata",G144="In corso"),EDATE(H144,N(INDEX(Azioni!$G:$G,$N144))),""))</f>
        <v/>
      </c>
      <c r="J144" s="126">
        <f>IF($N144="","",INDEX(Azioni!$L:$L,$N144)&amp;"")</f>
        <v/>
      </c>
      <c r="N14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139),1000000),"")</f>
        <v/>
      </c>
    </row>
    <row r="145">
      <c r="A145" s="126">
        <f>IF($N145="","",INDEX(Azioni!$A:$A,$N145)&amp;"")</f>
        <v/>
      </c>
      <c r="B145" s="126">
        <f>IF($N145="","",INDEX(Azioni!$B:$B,$N145)&amp;"")</f>
        <v/>
      </c>
      <c r="C145" s="126">
        <f>IF($N145="","",INDEX(Azioni!$C:$C,$N145)&amp;"")</f>
        <v/>
      </c>
      <c r="D145" s="127">
        <f>IF($N145="","",INDEX(Azioni!$D:$D,$N145)&amp;"")</f>
        <v/>
      </c>
      <c r="E145" s="126">
        <f>IF($N145="","",INDEX(Azioni!$E:$E,$N145)&amp;"")</f>
        <v/>
      </c>
      <c r="F145" s="126">
        <f>IF($N145="","",INDEX(Azioni!$F:$F,$N145)&amp;"")</f>
        <v/>
      </c>
      <c r="G145" s="126">
        <f>IF($N145="","",INDEX(Azioni!$I:$I,$N145)&amp;"")</f>
        <v/>
      </c>
      <c r="H145" s="128">
        <f>IF($N145="","",IF(INDEX(Azioni!$J:$J,$N145)="","",INDEX(Azioni!$J:$J,$N145)))</f>
        <v/>
      </c>
      <c r="I145" s="128">
        <f>IF(OR($N145="",H145=""),"",IF(OR(G145="Approvata",G145="In corso"),EDATE(H145,N(INDEX(Azioni!$G:$G,$N145))),""))</f>
        <v/>
      </c>
      <c r="J145" s="126">
        <f>IF($N145="","",INDEX(Azioni!$L:$L,$N145)&amp;"")</f>
        <v/>
      </c>
      <c r="N14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140),1000000),"")</f>
        <v/>
      </c>
    </row>
    <row r="146">
      <c r="A146" s="126">
        <f>IF($N146="","",INDEX(Azioni!$A:$A,$N146)&amp;"")</f>
        <v/>
      </c>
      <c r="B146" s="126">
        <f>IF($N146="","",INDEX(Azioni!$B:$B,$N146)&amp;"")</f>
        <v/>
      </c>
      <c r="C146" s="126">
        <f>IF($N146="","",INDEX(Azioni!$C:$C,$N146)&amp;"")</f>
        <v/>
      </c>
      <c r="D146" s="127">
        <f>IF($N146="","",INDEX(Azioni!$D:$D,$N146)&amp;"")</f>
        <v/>
      </c>
      <c r="E146" s="126">
        <f>IF($N146="","",INDEX(Azioni!$E:$E,$N146)&amp;"")</f>
        <v/>
      </c>
      <c r="F146" s="126">
        <f>IF($N146="","",INDEX(Azioni!$F:$F,$N146)&amp;"")</f>
        <v/>
      </c>
      <c r="G146" s="126">
        <f>IF($N146="","",INDEX(Azioni!$I:$I,$N146)&amp;"")</f>
        <v/>
      </c>
      <c r="H146" s="128">
        <f>IF($N146="","",IF(INDEX(Azioni!$J:$J,$N146)="","",INDEX(Azioni!$J:$J,$N146)))</f>
        <v/>
      </c>
      <c r="I146" s="128">
        <f>IF(OR($N146="",H146=""),"",IF(OR(G146="Approvata",G146="In corso"),EDATE(H146,N(INDEX(Azioni!$G:$G,$N146))),""))</f>
        <v/>
      </c>
      <c r="J146" s="126">
        <f>IF($N146="","",INDEX(Azioni!$L:$L,$N146)&amp;"")</f>
        <v/>
      </c>
      <c r="N14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1000000),"")</f>
        <v/>
      </c>
    </row>
    <row r="147">
      <c r="A147" s="126">
        <f>IF($N147="","",INDEX(Azioni!$A:$A,$N147)&amp;"")</f>
        <v/>
      </c>
      <c r="B147" s="126">
        <f>IF($N147="","",INDEX(Azioni!$B:$B,$N147)&amp;"")</f>
        <v/>
      </c>
      <c r="C147" s="126">
        <f>IF($N147="","",INDEX(Azioni!$C:$C,$N147)&amp;"")</f>
        <v/>
      </c>
      <c r="D147" s="127">
        <f>IF($N147="","",INDEX(Azioni!$D:$D,$N147)&amp;"")</f>
        <v/>
      </c>
      <c r="E147" s="126">
        <f>IF($N147="","",INDEX(Azioni!$E:$E,$N147)&amp;"")</f>
        <v/>
      </c>
      <c r="F147" s="126">
        <f>IF($N147="","",INDEX(Azioni!$F:$F,$N147)&amp;"")</f>
        <v/>
      </c>
      <c r="G147" s="126">
        <f>IF($N147="","",INDEX(Azioni!$I:$I,$N147)&amp;"")</f>
        <v/>
      </c>
      <c r="H147" s="128">
        <f>IF($N147="","",IF(INDEX(Azioni!$J:$J,$N147)="","",INDEX(Azioni!$J:$J,$N147)))</f>
        <v/>
      </c>
      <c r="I147" s="128">
        <f>IF(OR($N147="",H147=""),"",IF(OR(G147="Approvata",G147="In corso"),EDATE(H147,N(INDEX(Azioni!$G:$G,$N147))),""))</f>
        <v/>
      </c>
      <c r="J147" s="126">
        <f>IF($N147="","",INDEX(Azioni!$L:$L,$N147)&amp;"")</f>
        <v/>
      </c>
      <c r="N14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142),1000000),"")</f>
        <v/>
      </c>
    </row>
    <row r="148">
      <c r="A148" s="126">
        <f>IF($N148="","",INDEX(Azioni!$A:$A,$N148)&amp;"")</f>
        <v/>
      </c>
      <c r="B148" s="126">
        <f>IF($N148="","",INDEX(Azioni!$B:$B,$N148)&amp;"")</f>
        <v/>
      </c>
      <c r="C148" s="126">
        <f>IF($N148="","",INDEX(Azioni!$C:$C,$N148)&amp;"")</f>
        <v/>
      </c>
      <c r="D148" s="127">
        <f>IF($N148="","",INDEX(Azioni!$D:$D,$N148)&amp;"")</f>
        <v/>
      </c>
      <c r="E148" s="126">
        <f>IF($N148="","",INDEX(Azioni!$E:$E,$N148)&amp;"")</f>
        <v/>
      </c>
      <c r="F148" s="126">
        <f>IF($N148="","",INDEX(Azioni!$F:$F,$N148)&amp;"")</f>
        <v/>
      </c>
      <c r="G148" s="126">
        <f>IF($N148="","",INDEX(Azioni!$I:$I,$N148)&amp;"")</f>
        <v/>
      </c>
      <c r="H148" s="128">
        <f>IF($N148="","",IF(INDEX(Azioni!$J:$J,$N148)="","",INDEX(Azioni!$J:$J,$N148)))</f>
        <v/>
      </c>
      <c r="I148" s="128">
        <f>IF(OR($N148="",H148=""),"",IF(OR(G148="Approvata",G148="In corso"),EDATE(H148,N(INDEX(Azioni!$G:$G,$N148))),""))</f>
        <v/>
      </c>
      <c r="J148" s="126">
        <f>IF($N148="","",INDEX(Azioni!$L:$L,$N148)&amp;"")</f>
        <v/>
      </c>
      <c r="N14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143),1000000),"")</f>
        <v/>
      </c>
    </row>
    <row r="149">
      <c r="A149" s="126">
        <f>IF($N149="","",INDEX(Azioni!$A:$A,$N149)&amp;"")</f>
        <v/>
      </c>
      <c r="B149" s="126">
        <f>IF($N149="","",INDEX(Azioni!$B:$B,$N149)&amp;"")</f>
        <v/>
      </c>
      <c r="C149" s="126">
        <f>IF($N149="","",INDEX(Azioni!$C:$C,$N149)&amp;"")</f>
        <v/>
      </c>
      <c r="D149" s="127">
        <f>IF($N149="","",INDEX(Azioni!$D:$D,$N149)&amp;"")</f>
        <v/>
      </c>
      <c r="E149" s="126">
        <f>IF($N149="","",INDEX(Azioni!$E:$E,$N149)&amp;"")</f>
        <v/>
      </c>
      <c r="F149" s="126">
        <f>IF($N149="","",INDEX(Azioni!$F:$F,$N149)&amp;"")</f>
        <v/>
      </c>
      <c r="G149" s="126">
        <f>IF($N149="","",INDEX(Azioni!$I:$I,$N149)&amp;"")</f>
        <v/>
      </c>
      <c r="H149" s="128">
        <f>IF($N149="","",IF(INDEX(Azioni!$J:$J,$N149)="","",INDEX(Azioni!$J:$J,$N149)))</f>
        <v/>
      </c>
      <c r="I149" s="128">
        <f>IF(OR($N149="",H149=""),"",IF(OR(G149="Approvata",G149="In corso"),EDATE(H149,N(INDEX(Azioni!$G:$G,$N149))),""))</f>
        <v/>
      </c>
      <c r="J149" s="126">
        <f>IF($N149="","",INDEX(Azioni!$L:$L,$N149)&amp;"")</f>
        <v/>
      </c>
      <c r="N14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144),1000000),"")</f>
        <v/>
      </c>
    </row>
    <row r="150">
      <c r="A150" s="126">
        <f>IF($N150="","",INDEX(Azioni!$A:$A,$N150)&amp;"")</f>
        <v/>
      </c>
      <c r="B150" s="126">
        <f>IF($N150="","",INDEX(Azioni!$B:$B,$N150)&amp;"")</f>
        <v/>
      </c>
      <c r="C150" s="126">
        <f>IF($N150="","",INDEX(Azioni!$C:$C,$N150)&amp;"")</f>
        <v/>
      </c>
      <c r="D150" s="127">
        <f>IF($N150="","",INDEX(Azioni!$D:$D,$N150)&amp;"")</f>
        <v/>
      </c>
      <c r="E150" s="126">
        <f>IF($N150="","",INDEX(Azioni!$E:$E,$N150)&amp;"")</f>
        <v/>
      </c>
      <c r="F150" s="126">
        <f>IF($N150="","",INDEX(Azioni!$F:$F,$N150)&amp;"")</f>
        <v/>
      </c>
      <c r="G150" s="126">
        <f>IF($N150="","",INDEX(Azioni!$I:$I,$N150)&amp;"")</f>
        <v/>
      </c>
      <c r="H150" s="128">
        <f>IF($N150="","",IF(INDEX(Azioni!$J:$J,$N150)="","",INDEX(Azioni!$J:$J,$N150)))</f>
        <v/>
      </c>
      <c r="I150" s="128">
        <f>IF(OR($N150="",H150=""),"",IF(OR(G150="Approvata",G150="In corso"),EDATE(H150,N(INDEX(Azioni!$G:$G,$N150))),""))</f>
        <v/>
      </c>
      <c r="J150" s="126">
        <f>IF($N150="","",INDEX(Azioni!$L:$L,$N150)&amp;"")</f>
        <v/>
      </c>
      <c r="N15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145),1000000),"")</f>
        <v/>
      </c>
    </row>
    <row r="151">
      <c r="A151" s="126">
        <f>IF($N151="","",INDEX(Azioni!$A:$A,$N151)&amp;"")</f>
        <v/>
      </c>
      <c r="B151" s="126">
        <f>IF($N151="","",INDEX(Azioni!$B:$B,$N151)&amp;"")</f>
        <v/>
      </c>
      <c r="C151" s="126">
        <f>IF($N151="","",INDEX(Azioni!$C:$C,$N151)&amp;"")</f>
        <v/>
      </c>
      <c r="D151" s="127">
        <f>IF($N151="","",INDEX(Azioni!$D:$D,$N151)&amp;"")</f>
        <v/>
      </c>
      <c r="E151" s="126">
        <f>IF($N151="","",INDEX(Azioni!$E:$E,$N151)&amp;"")</f>
        <v/>
      </c>
      <c r="F151" s="126">
        <f>IF($N151="","",INDEX(Azioni!$F:$F,$N151)&amp;"")</f>
        <v/>
      </c>
      <c r="G151" s="126">
        <f>IF($N151="","",INDEX(Azioni!$I:$I,$N151)&amp;"")</f>
        <v/>
      </c>
      <c r="H151" s="128">
        <f>IF($N151="","",IF(INDEX(Azioni!$J:$J,$N151)="","",INDEX(Azioni!$J:$J,$N151)))</f>
        <v/>
      </c>
      <c r="I151" s="128">
        <f>IF(OR($N151="",H151=""),"",IF(OR(G151="Approvata",G151="In corso"),EDATE(H151,N(INDEX(Azioni!$G:$G,$N151))),""))</f>
        <v/>
      </c>
      <c r="J151" s="126">
        <f>IF($N151="","",INDEX(Azioni!$L:$L,$N151)&amp;"")</f>
        <v/>
      </c>
      <c r="N15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146),1000000),"")</f>
        <v/>
      </c>
    </row>
    <row r="152">
      <c r="A152" s="126">
        <f>IF($N152="","",INDEX(Azioni!$A:$A,$N152)&amp;"")</f>
        <v/>
      </c>
      <c r="B152" s="126">
        <f>IF($N152="","",INDEX(Azioni!$B:$B,$N152)&amp;"")</f>
        <v/>
      </c>
      <c r="C152" s="126">
        <f>IF($N152="","",INDEX(Azioni!$C:$C,$N152)&amp;"")</f>
        <v/>
      </c>
      <c r="D152" s="127">
        <f>IF($N152="","",INDEX(Azioni!$D:$D,$N152)&amp;"")</f>
        <v/>
      </c>
      <c r="E152" s="126">
        <f>IF($N152="","",INDEX(Azioni!$E:$E,$N152)&amp;"")</f>
        <v/>
      </c>
      <c r="F152" s="126">
        <f>IF($N152="","",INDEX(Azioni!$F:$F,$N152)&amp;"")</f>
        <v/>
      </c>
      <c r="G152" s="126">
        <f>IF($N152="","",INDEX(Azioni!$I:$I,$N152)&amp;"")</f>
        <v/>
      </c>
      <c r="H152" s="128">
        <f>IF($N152="","",IF(INDEX(Azioni!$J:$J,$N152)="","",INDEX(Azioni!$J:$J,$N152)))</f>
        <v/>
      </c>
      <c r="I152" s="128">
        <f>IF(OR($N152="",H152=""),"",IF(OR(G152="Approvata",G152="In corso"),EDATE(H152,N(INDEX(Azioni!$G:$G,$N152))),""))</f>
        <v/>
      </c>
      <c r="J152" s="126">
        <f>IF($N152="","",INDEX(Azioni!$L:$L,$N152)&amp;"")</f>
        <v/>
      </c>
      <c r="N15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147),1000000),"")</f>
        <v/>
      </c>
    </row>
    <row r="153">
      <c r="A153" s="126">
        <f>IF($N153="","",INDEX(Azioni!$A:$A,$N153)&amp;"")</f>
        <v/>
      </c>
      <c r="B153" s="126">
        <f>IF($N153="","",INDEX(Azioni!$B:$B,$N153)&amp;"")</f>
        <v/>
      </c>
      <c r="C153" s="126">
        <f>IF($N153="","",INDEX(Azioni!$C:$C,$N153)&amp;"")</f>
        <v/>
      </c>
      <c r="D153" s="127">
        <f>IF($N153="","",INDEX(Azioni!$D:$D,$N153)&amp;"")</f>
        <v/>
      </c>
      <c r="E153" s="126">
        <f>IF($N153="","",INDEX(Azioni!$E:$E,$N153)&amp;"")</f>
        <v/>
      </c>
      <c r="F153" s="126">
        <f>IF($N153="","",INDEX(Azioni!$F:$F,$N153)&amp;"")</f>
        <v/>
      </c>
      <c r="G153" s="126">
        <f>IF($N153="","",INDEX(Azioni!$I:$I,$N153)&amp;"")</f>
        <v/>
      </c>
      <c r="H153" s="128">
        <f>IF($N153="","",IF(INDEX(Azioni!$J:$J,$N153)="","",INDEX(Azioni!$J:$J,$N153)))</f>
        <v/>
      </c>
      <c r="I153" s="128">
        <f>IF(OR($N153="",H153=""),"",IF(OR(G153="Approvata",G153="In corso"),EDATE(H153,N(INDEX(Azioni!$G:$G,$N153))),""))</f>
        <v/>
      </c>
      <c r="J153" s="126">
        <f>IF($N153="","",INDEX(Azioni!$L:$L,$N153)&amp;"")</f>
        <v/>
      </c>
      <c r="N15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148),1000000),"")</f>
        <v/>
      </c>
    </row>
    <row r="154">
      <c r="A154" s="126">
        <f>IF($N154="","",INDEX(Azioni!$A:$A,$N154)&amp;"")</f>
        <v/>
      </c>
      <c r="B154" s="126">
        <f>IF($N154="","",INDEX(Azioni!$B:$B,$N154)&amp;"")</f>
        <v/>
      </c>
      <c r="C154" s="126">
        <f>IF($N154="","",INDEX(Azioni!$C:$C,$N154)&amp;"")</f>
        <v/>
      </c>
      <c r="D154" s="127">
        <f>IF($N154="","",INDEX(Azioni!$D:$D,$N154)&amp;"")</f>
        <v/>
      </c>
      <c r="E154" s="126">
        <f>IF($N154="","",INDEX(Azioni!$E:$E,$N154)&amp;"")</f>
        <v/>
      </c>
      <c r="F154" s="126">
        <f>IF($N154="","",INDEX(Azioni!$F:$F,$N154)&amp;"")</f>
        <v/>
      </c>
      <c r="G154" s="126">
        <f>IF($N154="","",INDEX(Azioni!$I:$I,$N154)&amp;"")</f>
        <v/>
      </c>
      <c r="H154" s="128">
        <f>IF($N154="","",IF(INDEX(Azioni!$J:$J,$N154)="","",INDEX(Azioni!$J:$J,$N154)))</f>
        <v/>
      </c>
      <c r="I154" s="128">
        <f>IF(OR($N154="",H154=""),"",IF(OR(G154="Approvata",G154="In corso"),EDATE(H154,N(INDEX(Azioni!$G:$G,$N154))),""))</f>
        <v/>
      </c>
      <c r="J154" s="126">
        <f>IF($N154="","",INDEX(Azioni!$L:$L,$N154)&amp;"")</f>
        <v/>
      </c>
      <c r="N15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149),1000000),"")</f>
        <v/>
      </c>
    </row>
    <row r="155">
      <c r="A155" s="126">
        <f>IF($N155="","",INDEX(Azioni!$A:$A,$N155)&amp;"")</f>
        <v/>
      </c>
      <c r="B155" s="126">
        <f>IF($N155="","",INDEX(Azioni!$B:$B,$N155)&amp;"")</f>
        <v/>
      </c>
      <c r="C155" s="126">
        <f>IF($N155="","",INDEX(Azioni!$C:$C,$N155)&amp;"")</f>
        <v/>
      </c>
      <c r="D155" s="127">
        <f>IF($N155="","",INDEX(Azioni!$D:$D,$N155)&amp;"")</f>
        <v/>
      </c>
      <c r="E155" s="126">
        <f>IF($N155="","",INDEX(Azioni!$E:$E,$N155)&amp;"")</f>
        <v/>
      </c>
      <c r="F155" s="126">
        <f>IF($N155="","",INDEX(Azioni!$F:$F,$N155)&amp;"")</f>
        <v/>
      </c>
      <c r="G155" s="126">
        <f>IF($N155="","",INDEX(Azioni!$I:$I,$N155)&amp;"")</f>
        <v/>
      </c>
      <c r="H155" s="128">
        <f>IF($N155="","",IF(INDEX(Azioni!$J:$J,$N155)="","",INDEX(Azioni!$J:$J,$N155)))</f>
        <v/>
      </c>
      <c r="I155" s="128">
        <f>IF(OR($N155="",H155=""),"",IF(OR(G155="Approvata",G155="In corso"),EDATE(H155,N(INDEX(Azioni!$G:$G,$N155))),""))</f>
        <v/>
      </c>
      <c r="J155" s="126">
        <f>IF($N155="","",INDEX(Azioni!$L:$L,$N155)&amp;"")</f>
        <v/>
      </c>
      <c r="N15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150),1000000),"")</f>
        <v/>
      </c>
    </row>
    <row r="157" ht="15" customHeight="1">
      <c r="A157" s="56" t="inlineStr">
        <is>
          <t>Legenda — Orizzonte = tempo per completare l'azione; Scadenza = data della decisione + orizzonte (per le azioni approvate o in corso). Stato: giallo = da decidere nella validazione; azzurro = approvata; verde = in corso o completata; grigio = respinta o annullata.</t>
        </is>
      </c>
    </row>
  </sheetData>
  <mergeCells count="5">
    <mergeCell ref="A1:J1"/>
    <mergeCell ref="A2:J2"/>
    <mergeCell ref="G4:I4"/>
    <mergeCell ref="A157:J157"/>
    <mergeCell ref="A4:F4"/>
  </mergeCells>
  <conditionalFormatting sqref="G6:G155">
    <cfRule type="expression" priority="1" dxfId="36">
      <formula>G6="Proposta — da valutare"</formula>
    </cfRule>
    <cfRule type="expression" priority="2" dxfId="17">
      <formula>G6="Approvata"</formula>
    </cfRule>
    <cfRule type="expression" priority="3" dxfId="37">
      <formula>G6="In corso"</formula>
    </cfRule>
    <cfRule type="expression" priority="4" dxfId="29">
      <formula>G6="Completata"</formula>
    </cfRule>
    <cfRule type="expression" priority="5" dxfId="38">
      <formula>G6="Respinta"</formula>
    </cfRule>
    <cfRule type="expression" priority="6" dxfId="38">
      <formula>G6="Annullata"</formula>
    </cfRule>
  </conditionalFormatting>
  <pageMargins left="0.75" right="0.75" top="1" bottom="1" header="0.5" footer="0.5"/>
</worksheet>
</file>

<file path=xl/worksheets/sheet14.xml><?xml version="1.0" encoding="utf-8"?>
<worksheet xmlns="http://schemas.openxmlformats.org/spreadsheetml/2006/main">
  <sheetPr>
    <tabColor rgb="002E75B6"/>
    <outlinePr summaryBelow="1" summaryRight="1"/>
    <pageSetUpPr/>
  </sheetPr>
  <dimension ref="A1:AF40"/>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8" customWidth="1" min="1" max="1"/>
    <col width="30" customWidth="1" min="2" max="2"/>
    <col width="8" customWidth="1" min="3" max="3"/>
    <col width="16" customWidth="1" min="4" max="4"/>
    <col width="6" customWidth="1" min="5" max="5"/>
    <col width="6" customWidth="1" min="6" max="6"/>
    <col width="6" customWidth="1" min="7" max="7"/>
    <col width="6" customWidth="1" min="8" max="8"/>
    <col width="7" customWidth="1" min="9" max="9"/>
    <col width="36" customWidth="1" min="10" max="10"/>
    <col width="8" customWidth="1" min="11" max="11"/>
    <col width="40" customWidth="1" min="12" max="12"/>
    <col width="44" customWidth="1" min="13" max="13"/>
    <col width="11" customWidth="1" min="14" max="14"/>
    <col width="9" customWidth="1" min="15" max="15"/>
    <col width="22"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hidden="1" width="13" customWidth="1" min="32" max="32"/>
  </cols>
  <sheetData>
    <row r="1" ht="28" customHeight="1">
      <c r="A1" s="1">
        <f>"Horizon Scan NFR — Rischi in osservazione   ·   "&amp;etichettaCiclo</f>
        <v/>
      </c>
      <c r="B1" s="2" t="n"/>
      <c r="C1" s="2" t="n"/>
      <c r="D1" s="2" t="n"/>
      <c r="E1" s="2" t="n"/>
      <c r="F1" s="2" t="n"/>
      <c r="G1" s="2" t="n"/>
      <c r="H1" s="2" t="n"/>
      <c r="I1" s="2" t="n"/>
      <c r="J1" s="2" t="n"/>
      <c r="K1" s="2" t="n"/>
      <c r="L1" s="2" t="n"/>
      <c r="M1" s="2" t="n"/>
      <c r="N1" s="2" t="n"/>
    </row>
    <row r="2" ht="45.5" customHeight="1">
      <c r="A2" s="13" t="inlineStr">
        <is>
          <r>
            <rPr>
              <rFont val="Calibri"/>
              <b val="1"/>
              <color rgb="001F4E79"/>
              <sz val="10"/>
            </rPr>
            <t>CICLO TRIMESTRALE — solo formule sui rischi in osservazione del ciclo corrente (foglio RiskRegister, colonna Stato; registro unico, D-79).</t>
          </r>
          <r>
            <rPr>
              <rFont val="Calibri"/>
              <color rgb="00262626"/>
              <sz val="10"/>
            </rPr>
            <t xml:space="preserve">
A sinistra i rischi fuori dal radar con le quattro dimensioni, lo score, il motivo dello stato, l'orizzonte e il segnale di avvicinamento, il razionale di A1; colonna O le notizie che A3 ha collegato a ogni rischio nelle ultime 4 settimane. A destra dove si concentrano: rischi in osservazione per driver e categoria e, sotto, i rischi del radar con lo stesso incrocio. Si validano nel foglio Validazione con gli altri rischi; si leggono nel report alla pagina Fenomeni.</t>
          </r>
        </is>
      </c>
    </row>
    <row r="4">
      <c r="A4" s="29" t="inlineStr">
        <is>
          <t>Rischi in osservazione nel ciclo corrente (fuori dal radar: niente KRI ne' azioni), dallo score piu' alto</t>
        </is>
      </c>
      <c r="B4" s="30" t="n"/>
      <c r="C4" s="30" t="n"/>
      <c r="D4" s="30" t="n"/>
      <c r="E4" s="30" t="n"/>
      <c r="F4" s="30" t="n"/>
      <c r="G4" s="30" t="n"/>
      <c r="H4" s="30" t="n"/>
      <c r="I4" s="30" t="n"/>
      <c r="J4" s="30" t="n"/>
      <c r="K4" s="30" t="n"/>
      <c r="L4" s="30" t="n"/>
      <c r="M4" s="30" t="n"/>
      <c r="N4" s="30" t="n"/>
      <c r="P4" s="29" t="inlineStr">
        <is>
          <t>Dove si concentrano i rischi in osservazione (driver x categoria)</t>
        </is>
      </c>
      <c r="Q4" s="30" t="n"/>
      <c r="R4" s="30" t="n"/>
      <c r="S4" s="30" t="n"/>
      <c r="T4" s="30" t="n"/>
      <c r="U4" s="30" t="n"/>
      <c r="V4" s="30" t="n"/>
      <c r="W4" s="30" t="n"/>
      <c r="X4" s="30" t="n"/>
      <c r="Y4" s="30" t="n"/>
      <c r="Z4" s="30" t="n"/>
    </row>
    <row r="5" ht="28" customHeight="1">
      <c r="A5" s="82" t="inlineStr">
        <is>
          <t>ID</t>
        </is>
      </c>
      <c r="B5" s="82" t="inlineStr">
        <is>
          <t>Rischio</t>
        </is>
      </c>
      <c r="C5" s="82" t="inlineStr">
        <is>
          <t>Categoria</t>
        </is>
      </c>
      <c r="D5" s="82" t="inlineStr">
        <is>
          <t>Driver</t>
        </is>
      </c>
      <c r="E5" s="82" t="inlineStr">
        <is>
          <t>Imp.</t>
        </is>
      </c>
      <c r="F5" s="82" t="inlineStr">
        <is>
          <t>Prob.</t>
        </is>
      </c>
      <c r="G5" s="82" t="inlineStr">
        <is>
          <t>Pross.</t>
        </is>
      </c>
      <c r="H5" s="82" t="inlineStr">
        <is>
          <t>Vel.</t>
        </is>
      </c>
      <c r="I5" s="82" t="inlineStr">
        <is>
          <t>Score</t>
        </is>
      </c>
      <c r="J5" s="82" t="inlineStr">
        <is>
          <t>Perché fuori dal radar (regola, D-79)</t>
        </is>
      </c>
      <c r="K5" s="82" t="inlineStr">
        <is>
          <t>Orizz. (anni)</t>
        </is>
      </c>
      <c r="L5" s="82" t="inlineStr">
        <is>
          <t>Segnale che lo porterebbe nel radar</t>
        </is>
      </c>
      <c r="M5" s="82" t="inlineStr">
        <is>
          <t>Meccanismo (descrizione)</t>
        </is>
      </c>
      <c r="N5" s="82" t="inlineStr">
        <is>
          <t>Validazione</t>
        </is>
      </c>
      <c r="O5" s="82" t="inlineStr">
        <is>
          <t>Notizie di A3 (4 sett.)</t>
        </is>
      </c>
      <c r="P5" s="82" t="inlineStr">
        <is>
          <t>Driver</t>
        </is>
      </c>
      <c r="Q5" s="82" t="inlineStr">
        <is>
          <t>9.1</t>
        </is>
      </c>
      <c r="R5" s="82" t="inlineStr">
        <is>
          <t>9.4</t>
        </is>
      </c>
      <c r="S5" s="82" t="inlineStr">
        <is>
          <t>9.5</t>
        </is>
      </c>
      <c r="T5" s="82" t="inlineStr">
        <is>
          <t>9.6</t>
        </is>
      </c>
      <c r="U5" s="82" t="inlineStr">
        <is>
          <t>9.7</t>
        </is>
      </c>
      <c r="V5" s="82" t="inlineStr">
        <is>
          <t>9.8</t>
        </is>
      </c>
      <c r="W5" s="82" t="inlineStr">
        <is>
          <t>9.9</t>
        </is>
      </c>
      <c r="X5" s="82" t="inlineStr">
        <is>
          <t>9.11</t>
        </is>
      </c>
      <c r="Y5" s="82" t="inlineStr">
        <is>
          <t>9.13</t>
        </is>
      </c>
      <c r="Z5" s="82" t="inlineStr">
        <is>
          <t>Totale</t>
        </is>
      </c>
    </row>
    <row r="6" ht="45" customHeight="1">
      <c r="A6" s="129">
        <f>IF($AF6="","",INDEX(RiskRegister!$C:$C,$AF6)&amp;"")</f>
        <v/>
      </c>
      <c r="B6" s="85">
        <f>IF($AF6="","",INDEX(RiskRegister!$D:$D,$AF6)&amp;"")</f>
        <v/>
      </c>
      <c r="C6" s="83">
        <f>IF($AF6="","",INDEX(RiskRegister!$E:$E,$AF6)&amp;"")</f>
        <v/>
      </c>
      <c r="D6" s="85">
        <f>IF($AF6="","",INDEX(RiskRegister!$F:$F,$AF6)&amp;"")</f>
        <v/>
      </c>
      <c r="E6" s="83">
        <f>IF($AF6="","",IF(INDEX(RiskRegister!$G:$G,$AF6)="","",INDEX(RiskRegister!$G:$G,$AF6)))</f>
        <v/>
      </c>
      <c r="F6" s="83">
        <f>IF($AF6="","",IF(INDEX(RiskRegister!$K:$K,$AF6)="","",INDEX(RiskRegister!$K:$K,$AF6)))</f>
        <v/>
      </c>
      <c r="G6" s="83">
        <f>IF($AF6="","",IF(INDEX(RiskRegister!$I:$I,$AF6)="","",INDEX(RiskRegister!$I:$I,$AF6)))</f>
        <v/>
      </c>
      <c r="H6" s="83">
        <f>IF($AF6="","",IF(INDEX(RiskRegister!$H:$H,$AF6)="","",INDEX(RiskRegister!$H:$H,$AF6)))</f>
        <v/>
      </c>
      <c r="I6" s="86">
        <f>IF($AF6="","",IF(INDEX(RiskRegister!$J:$J,$AF6)="","",INDEX(RiskRegister!$J:$J,$AF6)))</f>
        <v/>
      </c>
      <c r="J6" s="85">
        <f>IF($AF6="","",INDEX(RiskRegister!$AA:$AA,$AF6)&amp;"")</f>
        <v/>
      </c>
      <c r="K6" s="83">
        <f>IF($AF6="","",IF(INDEX(RiskRegister!$AD:$AD,$AF6)="","",INDEX(RiskRegister!$AD:$AD,$AF6)))</f>
        <v/>
      </c>
      <c r="L6" s="85">
        <f>IF($AF6="","",INDEX(RiskRegister!$AE:$AE,$AF6)&amp;"")</f>
        <v/>
      </c>
      <c r="M6" s="85">
        <f>IF($AF6="","",INDEX(RiskRegister!$N:$N,$AF6)&amp;"")</f>
        <v/>
      </c>
      <c r="N6" s="83">
        <f>IF($AF6="","",INDEX(RiskRegister!$W:$W,$AF6)&amp;"")</f>
        <v/>
      </c>
      <c r="O6" s="130">
        <f>IF($A6="","",COUNTIFS(NW_Rischio_ID,$A6,NW_Settimana,"&gt;="&amp;inizioFinestra4,NW_Settimana,"&lt;="&amp;settimanaCorrente))</f>
        <v/>
      </c>
      <c r="P6" s="131">
        <f>INDEX(nomiDriver,1)</f>
        <v/>
      </c>
      <c r="Q6" s="132">
        <f>IF(COUNTIFS(RR_Ciclo,cicloCorrente,RR_Stato,"Osservazione",RR_Event_Type,Q$5,RR_Driver,"*"&amp;INDEX(codiciDriver,1)&amp;"*")=0,"",COUNTIFS(RR_Ciclo,cicloCorrente,RR_Stato,"Osservazione",RR_Event_Type,Q$5,RR_Driver,"*"&amp;INDEX(codiciDriver,1)&amp;"*"))</f>
        <v/>
      </c>
      <c r="R6" s="132">
        <f>IF(COUNTIFS(RR_Ciclo,cicloCorrente,RR_Stato,"Osservazione",RR_Event_Type,R$5,RR_Driver,"*"&amp;INDEX(codiciDriver,1)&amp;"*")=0,"",COUNTIFS(RR_Ciclo,cicloCorrente,RR_Stato,"Osservazione",RR_Event_Type,R$5,RR_Driver,"*"&amp;INDEX(codiciDriver,1)&amp;"*"))</f>
        <v/>
      </c>
      <c r="S6" s="132">
        <f>IF(COUNTIFS(RR_Ciclo,cicloCorrente,RR_Stato,"Osservazione",RR_Event_Type,S$5,RR_Driver,"*"&amp;INDEX(codiciDriver,1)&amp;"*")=0,"",COUNTIFS(RR_Ciclo,cicloCorrente,RR_Stato,"Osservazione",RR_Event_Type,S$5,RR_Driver,"*"&amp;INDEX(codiciDriver,1)&amp;"*"))</f>
        <v/>
      </c>
      <c r="T6" s="132">
        <f>IF(COUNTIFS(RR_Ciclo,cicloCorrente,RR_Stato,"Osservazione",RR_Event_Type,T$5,RR_Driver,"*"&amp;INDEX(codiciDriver,1)&amp;"*")=0,"",COUNTIFS(RR_Ciclo,cicloCorrente,RR_Stato,"Osservazione",RR_Event_Type,T$5,RR_Driver,"*"&amp;INDEX(codiciDriver,1)&amp;"*"))</f>
        <v/>
      </c>
      <c r="U6" s="132">
        <f>IF(COUNTIFS(RR_Ciclo,cicloCorrente,RR_Stato,"Osservazione",RR_Event_Type,U$5,RR_Driver,"*"&amp;INDEX(codiciDriver,1)&amp;"*")=0,"",COUNTIFS(RR_Ciclo,cicloCorrente,RR_Stato,"Osservazione",RR_Event_Type,U$5,RR_Driver,"*"&amp;INDEX(codiciDriver,1)&amp;"*"))</f>
        <v/>
      </c>
      <c r="V6" s="132">
        <f>IF(COUNTIFS(RR_Ciclo,cicloCorrente,RR_Stato,"Osservazione",RR_Event_Type,V$5,RR_Driver,"*"&amp;INDEX(codiciDriver,1)&amp;"*")=0,"",COUNTIFS(RR_Ciclo,cicloCorrente,RR_Stato,"Osservazione",RR_Event_Type,V$5,RR_Driver,"*"&amp;INDEX(codiciDriver,1)&amp;"*"))</f>
        <v/>
      </c>
      <c r="W6" s="132">
        <f>IF(COUNTIFS(RR_Ciclo,cicloCorrente,RR_Stato,"Osservazione",RR_Event_Type,W$5,RR_Driver,"*"&amp;INDEX(codiciDriver,1)&amp;"*")=0,"",COUNTIFS(RR_Ciclo,cicloCorrente,RR_Stato,"Osservazione",RR_Event_Type,W$5,RR_Driver,"*"&amp;INDEX(codiciDriver,1)&amp;"*"))</f>
        <v/>
      </c>
      <c r="X6" s="132">
        <f>IF(COUNTIFS(RR_Ciclo,cicloCorrente,RR_Stato,"Osservazione",RR_Event_Type,X$5,RR_Driver,"*"&amp;INDEX(codiciDriver,1)&amp;"*")=0,"",COUNTIFS(RR_Ciclo,cicloCorrente,RR_Stato,"Osservazione",RR_Event_Type,X$5,RR_Driver,"*"&amp;INDEX(codiciDriver,1)&amp;"*"))</f>
        <v/>
      </c>
      <c r="Y6" s="132">
        <f>IF(COUNTIFS(RR_Ciclo,cicloCorrente,RR_Stato,"Osservazione",RR_Event_Type,Y$5,RR_Driver,"*"&amp;INDEX(codiciDriver,1)&amp;"*")=0,"",COUNTIFS(RR_Ciclo,cicloCorrente,RR_Stato,"Osservazione",RR_Event_Type,Y$5,RR_Driver,"*"&amp;INDEX(codiciDriver,1)&amp;"*"))</f>
        <v/>
      </c>
      <c r="Z6" s="133">
        <f>SUM(Q6:Y6)</f>
        <v/>
      </c>
      <c r="AF6">
        <f>IFERROR(MATCH(_xlfn.AGGREGATE(14,6,RR_Ordine_Osservazione,1),RR_Ordine_Osservazione,0)+5,"")</f>
        <v/>
      </c>
    </row>
    <row r="7" ht="45" customHeight="1">
      <c r="A7" s="129">
        <f>IF($AF7="","",INDEX(RiskRegister!$C:$C,$AF7)&amp;"")</f>
        <v/>
      </c>
      <c r="B7" s="85">
        <f>IF($AF7="","",INDEX(RiskRegister!$D:$D,$AF7)&amp;"")</f>
        <v/>
      </c>
      <c r="C7" s="83">
        <f>IF($AF7="","",INDEX(RiskRegister!$E:$E,$AF7)&amp;"")</f>
        <v/>
      </c>
      <c r="D7" s="85">
        <f>IF($AF7="","",INDEX(RiskRegister!$F:$F,$AF7)&amp;"")</f>
        <v/>
      </c>
      <c r="E7" s="83">
        <f>IF($AF7="","",IF(INDEX(RiskRegister!$G:$G,$AF7)="","",INDEX(RiskRegister!$G:$G,$AF7)))</f>
        <v/>
      </c>
      <c r="F7" s="83">
        <f>IF($AF7="","",IF(INDEX(RiskRegister!$K:$K,$AF7)="","",INDEX(RiskRegister!$K:$K,$AF7)))</f>
        <v/>
      </c>
      <c r="G7" s="83">
        <f>IF($AF7="","",IF(INDEX(RiskRegister!$I:$I,$AF7)="","",INDEX(RiskRegister!$I:$I,$AF7)))</f>
        <v/>
      </c>
      <c r="H7" s="83">
        <f>IF($AF7="","",IF(INDEX(RiskRegister!$H:$H,$AF7)="","",INDEX(RiskRegister!$H:$H,$AF7)))</f>
        <v/>
      </c>
      <c r="I7" s="86">
        <f>IF($AF7="","",IF(INDEX(RiskRegister!$J:$J,$AF7)="","",INDEX(RiskRegister!$J:$J,$AF7)))</f>
        <v/>
      </c>
      <c r="J7" s="85">
        <f>IF($AF7="","",INDEX(RiskRegister!$AA:$AA,$AF7)&amp;"")</f>
        <v/>
      </c>
      <c r="K7" s="83">
        <f>IF($AF7="","",IF(INDEX(RiskRegister!$AD:$AD,$AF7)="","",INDEX(RiskRegister!$AD:$AD,$AF7)))</f>
        <v/>
      </c>
      <c r="L7" s="85">
        <f>IF($AF7="","",INDEX(RiskRegister!$AE:$AE,$AF7)&amp;"")</f>
        <v/>
      </c>
      <c r="M7" s="85">
        <f>IF($AF7="","",INDEX(RiskRegister!$N:$N,$AF7)&amp;"")</f>
        <v/>
      </c>
      <c r="N7" s="83">
        <f>IF($AF7="","",INDEX(RiskRegister!$W:$W,$AF7)&amp;"")</f>
        <v/>
      </c>
      <c r="O7" s="130">
        <f>IF($A7="","",COUNTIFS(NW_Rischio_ID,$A7,NW_Settimana,"&gt;="&amp;inizioFinestra4,NW_Settimana,"&lt;="&amp;settimanaCorrente))</f>
        <v/>
      </c>
      <c r="P7" s="131">
        <f>INDEX(nomiDriver,2)</f>
        <v/>
      </c>
      <c r="Q7" s="132">
        <f>IF(COUNTIFS(RR_Ciclo,cicloCorrente,RR_Stato,"Osservazione",RR_Event_Type,Q$5,RR_Driver,"*"&amp;INDEX(codiciDriver,2)&amp;"*")=0,"",COUNTIFS(RR_Ciclo,cicloCorrente,RR_Stato,"Osservazione",RR_Event_Type,Q$5,RR_Driver,"*"&amp;INDEX(codiciDriver,2)&amp;"*"))</f>
        <v/>
      </c>
      <c r="R7" s="132">
        <f>IF(COUNTIFS(RR_Ciclo,cicloCorrente,RR_Stato,"Osservazione",RR_Event_Type,R$5,RR_Driver,"*"&amp;INDEX(codiciDriver,2)&amp;"*")=0,"",COUNTIFS(RR_Ciclo,cicloCorrente,RR_Stato,"Osservazione",RR_Event_Type,R$5,RR_Driver,"*"&amp;INDEX(codiciDriver,2)&amp;"*"))</f>
        <v/>
      </c>
      <c r="S7" s="132">
        <f>IF(COUNTIFS(RR_Ciclo,cicloCorrente,RR_Stato,"Osservazione",RR_Event_Type,S$5,RR_Driver,"*"&amp;INDEX(codiciDriver,2)&amp;"*")=0,"",COUNTIFS(RR_Ciclo,cicloCorrente,RR_Stato,"Osservazione",RR_Event_Type,S$5,RR_Driver,"*"&amp;INDEX(codiciDriver,2)&amp;"*"))</f>
        <v/>
      </c>
      <c r="T7" s="132">
        <f>IF(COUNTIFS(RR_Ciclo,cicloCorrente,RR_Stato,"Osservazione",RR_Event_Type,T$5,RR_Driver,"*"&amp;INDEX(codiciDriver,2)&amp;"*")=0,"",COUNTIFS(RR_Ciclo,cicloCorrente,RR_Stato,"Osservazione",RR_Event_Type,T$5,RR_Driver,"*"&amp;INDEX(codiciDriver,2)&amp;"*"))</f>
        <v/>
      </c>
      <c r="U7" s="132">
        <f>IF(COUNTIFS(RR_Ciclo,cicloCorrente,RR_Stato,"Osservazione",RR_Event_Type,U$5,RR_Driver,"*"&amp;INDEX(codiciDriver,2)&amp;"*")=0,"",COUNTIFS(RR_Ciclo,cicloCorrente,RR_Stato,"Osservazione",RR_Event_Type,U$5,RR_Driver,"*"&amp;INDEX(codiciDriver,2)&amp;"*"))</f>
        <v/>
      </c>
      <c r="V7" s="132">
        <f>IF(COUNTIFS(RR_Ciclo,cicloCorrente,RR_Stato,"Osservazione",RR_Event_Type,V$5,RR_Driver,"*"&amp;INDEX(codiciDriver,2)&amp;"*")=0,"",COUNTIFS(RR_Ciclo,cicloCorrente,RR_Stato,"Osservazione",RR_Event_Type,V$5,RR_Driver,"*"&amp;INDEX(codiciDriver,2)&amp;"*"))</f>
        <v/>
      </c>
      <c r="W7" s="132">
        <f>IF(COUNTIFS(RR_Ciclo,cicloCorrente,RR_Stato,"Osservazione",RR_Event_Type,W$5,RR_Driver,"*"&amp;INDEX(codiciDriver,2)&amp;"*")=0,"",COUNTIFS(RR_Ciclo,cicloCorrente,RR_Stato,"Osservazione",RR_Event_Type,W$5,RR_Driver,"*"&amp;INDEX(codiciDriver,2)&amp;"*"))</f>
        <v/>
      </c>
      <c r="X7" s="132">
        <f>IF(COUNTIFS(RR_Ciclo,cicloCorrente,RR_Stato,"Osservazione",RR_Event_Type,X$5,RR_Driver,"*"&amp;INDEX(codiciDriver,2)&amp;"*")=0,"",COUNTIFS(RR_Ciclo,cicloCorrente,RR_Stato,"Osservazione",RR_Event_Type,X$5,RR_Driver,"*"&amp;INDEX(codiciDriver,2)&amp;"*"))</f>
        <v/>
      </c>
      <c r="Y7" s="132">
        <f>IF(COUNTIFS(RR_Ciclo,cicloCorrente,RR_Stato,"Osservazione",RR_Event_Type,Y$5,RR_Driver,"*"&amp;INDEX(codiciDriver,2)&amp;"*")=0,"",COUNTIFS(RR_Ciclo,cicloCorrente,RR_Stato,"Osservazione",RR_Event_Type,Y$5,RR_Driver,"*"&amp;INDEX(codiciDriver,2)&amp;"*"))</f>
        <v/>
      </c>
      <c r="Z7" s="133">
        <f>SUM(Q7:Y7)</f>
        <v/>
      </c>
      <c r="AF7">
        <f>IFERROR(MATCH(_xlfn.AGGREGATE(14,6,RR_Ordine_Osservazione,2),RR_Ordine_Osservazione,0)+5,"")</f>
        <v/>
      </c>
    </row>
    <row r="8" ht="45" customHeight="1">
      <c r="A8" s="129">
        <f>IF($AF8="","",INDEX(RiskRegister!$C:$C,$AF8)&amp;"")</f>
        <v/>
      </c>
      <c r="B8" s="85">
        <f>IF($AF8="","",INDEX(RiskRegister!$D:$D,$AF8)&amp;"")</f>
        <v/>
      </c>
      <c r="C8" s="83">
        <f>IF($AF8="","",INDEX(RiskRegister!$E:$E,$AF8)&amp;"")</f>
        <v/>
      </c>
      <c r="D8" s="85">
        <f>IF($AF8="","",INDEX(RiskRegister!$F:$F,$AF8)&amp;"")</f>
        <v/>
      </c>
      <c r="E8" s="83">
        <f>IF($AF8="","",IF(INDEX(RiskRegister!$G:$G,$AF8)="","",INDEX(RiskRegister!$G:$G,$AF8)))</f>
        <v/>
      </c>
      <c r="F8" s="83">
        <f>IF($AF8="","",IF(INDEX(RiskRegister!$K:$K,$AF8)="","",INDEX(RiskRegister!$K:$K,$AF8)))</f>
        <v/>
      </c>
      <c r="G8" s="83">
        <f>IF($AF8="","",IF(INDEX(RiskRegister!$I:$I,$AF8)="","",INDEX(RiskRegister!$I:$I,$AF8)))</f>
        <v/>
      </c>
      <c r="H8" s="83">
        <f>IF($AF8="","",IF(INDEX(RiskRegister!$H:$H,$AF8)="","",INDEX(RiskRegister!$H:$H,$AF8)))</f>
        <v/>
      </c>
      <c r="I8" s="86">
        <f>IF($AF8="","",IF(INDEX(RiskRegister!$J:$J,$AF8)="","",INDEX(RiskRegister!$J:$J,$AF8)))</f>
        <v/>
      </c>
      <c r="J8" s="85">
        <f>IF($AF8="","",INDEX(RiskRegister!$AA:$AA,$AF8)&amp;"")</f>
        <v/>
      </c>
      <c r="K8" s="83">
        <f>IF($AF8="","",IF(INDEX(RiskRegister!$AD:$AD,$AF8)="","",INDEX(RiskRegister!$AD:$AD,$AF8)))</f>
        <v/>
      </c>
      <c r="L8" s="85">
        <f>IF($AF8="","",INDEX(RiskRegister!$AE:$AE,$AF8)&amp;"")</f>
        <v/>
      </c>
      <c r="M8" s="85">
        <f>IF($AF8="","",INDEX(RiskRegister!$N:$N,$AF8)&amp;"")</f>
        <v/>
      </c>
      <c r="N8" s="83">
        <f>IF($AF8="","",INDEX(RiskRegister!$W:$W,$AF8)&amp;"")</f>
        <v/>
      </c>
      <c r="O8" s="130">
        <f>IF($A8="","",COUNTIFS(NW_Rischio_ID,$A8,NW_Settimana,"&gt;="&amp;inizioFinestra4,NW_Settimana,"&lt;="&amp;settimanaCorrente))</f>
        <v/>
      </c>
      <c r="P8" s="131">
        <f>INDEX(nomiDriver,3)</f>
        <v/>
      </c>
      <c r="Q8" s="132">
        <f>IF(COUNTIFS(RR_Ciclo,cicloCorrente,RR_Stato,"Osservazione",RR_Event_Type,Q$5,RR_Driver,"*"&amp;INDEX(codiciDriver,3)&amp;"*")=0,"",COUNTIFS(RR_Ciclo,cicloCorrente,RR_Stato,"Osservazione",RR_Event_Type,Q$5,RR_Driver,"*"&amp;INDEX(codiciDriver,3)&amp;"*"))</f>
        <v/>
      </c>
      <c r="R8" s="132">
        <f>IF(COUNTIFS(RR_Ciclo,cicloCorrente,RR_Stato,"Osservazione",RR_Event_Type,R$5,RR_Driver,"*"&amp;INDEX(codiciDriver,3)&amp;"*")=0,"",COUNTIFS(RR_Ciclo,cicloCorrente,RR_Stato,"Osservazione",RR_Event_Type,R$5,RR_Driver,"*"&amp;INDEX(codiciDriver,3)&amp;"*"))</f>
        <v/>
      </c>
      <c r="S8" s="132">
        <f>IF(COUNTIFS(RR_Ciclo,cicloCorrente,RR_Stato,"Osservazione",RR_Event_Type,S$5,RR_Driver,"*"&amp;INDEX(codiciDriver,3)&amp;"*")=0,"",COUNTIFS(RR_Ciclo,cicloCorrente,RR_Stato,"Osservazione",RR_Event_Type,S$5,RR_Driver,"*"&amp;INDEX(codiciDriver,3)&amp;"*"))</f>
        <v/>
      </c>
      <c r="T8" s="132">
        <f>IF(COUNTIFS(RR_Ciclo,cicloCorrente,RR_Stato,"Osservazione",RR_Event_Type,T$5,RR_Driver,"*"&amp;INDEX(codiciDriver,3)&amp;"*")=0,"",COUNTIFS(RR_Ciclo,cicloCorrente,RR_Stato,"Osservazione",RR_Event_Type,T$5,RR_Driver,"*"&amp;INDEX(codiciDriver,3)&amp;"*"))</f>
        <v/>
      </c>
      <c r="U8" s="132">
        <f>IF(COUNTIFS(RR_Ciclo,cicloCorrente,RR_Stato,"Osservazione",RR_Event_Type,U$5,RR_Driver,"*"&amp;INDEX(codiciDriver,3)&amp;"*")=0,"",COUNTIFS(RR_Ciclo,cicloCorrente,RR_Stato,"Osservazione",RR_Event_Type,U$5,RR_Driver,"*"&amp;INDEX(codiciDriver,3)&amp;"*"))</f>
        <v/>
      </c>
      <c r="V8" s="132">
        <f>IF(COUNTIFS(RR_Ciclo,cicloCorrente,RR_Stato,"Osservazione",RR_Event_Type,V$5,RR_Driver,"*"&amp;INDEX(codiciDriver,3)&amp;"*")=0,"",COUNTIFS(RR_Ciclo,cicloCorrente,RR_Stato,"Osservazione",RR_Event_Type,V$5,RR_Driver,"*"&amp;INDEX(codiciDriver,3)&amp;"*"))</f>
        <v/>
      </c>
      <c r="W8" s="132">
        <f>IF(COUNTIFS(RR_Ciclo,cicloCorrente,RR_Stato,"Osservazione",RR_Event_Type,W$5,RR_Driver,"*"&amp;INDEX(codiciDriver,3)&amp;"*")=0,"",COUNTIFS(RR_Ciclo,cicloCorrente,RR_Stato,"Osservazione",RR_Event_Type,W$5,RR_Driver,"*"&amp;INDEX(codiciDriver,3)&amp;"*"))</f>
        <v/>
      </c>
      <c r="X8" s="132">
        <f>IF(COUNTIFS(RR_Ciclo,cicloCorrente,RR_Stato,"Osservazione",RR_Event_Type,X$5,RR_Driver,"*"&amp;INDEX(codiciDriver,3)&amp;"*")=0,"",COUNTIFS(RR_Ciclo,cicloCorrente,RR_Stato,"Osservazione",RR_Event_Type,X$5,RR_Driver,"*"&amp;INDEX(codiciDriver,3)&amp;"*"))</f>
        <v/>
      </c>
      <c r="Y8" s="132">
        <f>IF(COUNTIFS(RR_Ciclo,cicloCorrente,RR_Stato,"Osservazione",RR_Event_Type,Y$5,RR_Driver,"*"&amp;INDEX(codiciDriver,3)&amp;"*")=0,"",COUNTIFS(RR_Ciclo,cicloCorrente,RR_Stato,"Osservazione",RR_Event_Type,Y$5,RR_Driver,"*"&amp;INDEX(codiciDriver,3)&amp;"*"))</f>
        <v/>
      </c>
      <c r="Z8" s="133">
        <f>SUM(Q8:Y8)</f>
        <v/>
      </c>
      <c r="AF8">
        <f>IFERROR(MATCH(_xlfn.AGGREGATE(14,6,RR_Ordine_Osservazione,3),RR_Ordine_Osservazione,0)+5,"")</f>
        <v/>
      </c>
    </row>
    <row r="9" ht="45" customHeight="1">
      <c r="A9" s="129">
        <f>IF($AF9="","",INDEX(RiskRegister!$C:$C,$AF9)&amp;"")</f>
        <v/>
      </c>
      <c r="B9" s="85">
        <f>IF($AF9="","",INDEX(RiskRegister!$D:$D,$AF9)&amp;"")</f>
        <v/>
      </c>
      <c r="C9" s="83">
        <f>IF($AF9="","",INDEX(RiskRegister!$E:$E,$AF9)&amp;"")</f>
        <v/>
      </c>
      <c r="D9" s="85">
        <f>IF($AF9="","",INDEX(RiskRegister!$F:$F,$AF9)&amp;"")</f>
        <v/>
      </c>
      <c r="E9" s="83">
        <f>IF($AF9="","",IF(INDEX(RiskRegister!$G:$G,$AF9)="","",INDEX(RiskRegister!$G:$G,$AF9)))</f>
        <v/>
      </c>
      <c r="F9" s="83">
        <f>IF($AF9="","",IF(INDEX(RiskRegister!$K:$K,$AF9)="","",INDEX(RiskRegister!$K:$K,$AF9)))</f>
        <v/>
      </c>
      <c r="G9" s="83">
        <f>IF($AF9="","",IF(INDEX(RiskRegister!$I:$I,$AF9)="","",INDEX(RiskRegister!$I:$I,$AF9)))</f>
        <v/>
      </c>
      <c r="H9" s="83">
        <f>IF($AF9="","",IF(INDEX(RiskRegister!$H:$H,$AF9)="","",INDEX(RiskRegister!$H:$H,$AF9)))</f>
        <v/>
      </c>
      <c r="I9" s="86">
        <f>IF($AF9="","",IF(INDEX(RiskRegister!$J:$J,$AF9)="","",INDEX(RiskRegister!$J:$J,$AF9)))</f>
        <v/>
      </c>
      <c r="J9" s="85">
        <f>IF($AF9="","",INDEX(RiskRegister!$AA:$AA,$AF9)&amp;"")</f>
        <v/>
      </c>
      <c r="K9" s="83">
        <f>IF($AF9="","",IF(INDEX(RiskRegister!$AD:$AD,$AF9)="","",INDEX(RiskRegister!$AD:$AD,$AF9)))</f>
        <v/>
      </c>
      <c r="L9" s="85">
        <f>IF($AF9="","",INDEX(RiskRegister!$AE:$AE,$AF9)&amp;"")</f>
        <v/>
      </c>
      <c r="M9" s="85">
        <f>IF($AF9="","",INDEX(RiskRegister!$N:$N,$AF9)&amp;"")</f>
        <v/>
      </c>
      <c r="N9" s="83">
        <f>IF($AF9="","",INDEX(RiskRegister!$W:$W,$AF9)&amp;"")</f>
        <v/>
      </c>
      <c r="O9" s="130">
        <f>IF($A9="","",COUNTIFS(NW_Rischio_ID,$A9,NW_Settimana,"&gt;="&amp;inizioFinestra4,NW_Settimana,"&lt;="&amp;settimanaCorrente))</f>
        <v/>
      </c>
      <c r="P9" s="131">
        <f>INDEX(nomiDriver,4)</f>
        <v/>
      </c>
      <c r="Q9" s="132">
        <f>IF(COUNTIFS(RR_Ciclo,cicloCorrente,RR_Stato,"Osservazione",RR_Event_Type,Q$5,RR_Driver,"*"&amp;INDEX(codiciDriver,4)&amp;"*")=0,"",COUNTIFS(RR_Ciclo,cicloCorrente,RR_Stato,"Osservazione",RR_Event_Type,Q$5,RR_Driver,"*"&amp;INDEX(codiciDriver,4)&amp;"*"))</f>
        <v/>
      </c>
      <c r="R9" s="132">
        <f>IF(COUNTIFS(RR_Ciclo,cicloCorrente,RR_Stato,"Osservazione",RR_Event_Type,R$5,RR_Driver,"*"&amp;INDEX(codiciDriver,4)&amp;"*")=0,"",COUNTIFS(RR_Ciclo,cicloCorrente,RR_Stato,"Osservazione",RR_Event_Type,R$5,RR_Driver,"*"&amp;INDEX(codiciDriver,4)&amp;"*"))</f>
        <v/>
      </c>
      <c r="S9" s="132">
        <f>IF(COUNTIFS(RR_Ciclo,cicloCorrente,RR_Stato,"Osservazione",RR_Event_Type,S$5,RR_Driver,"*"&amp;INDEX(codiciDriver,4)&amp;"*")=0,"",COUNTIFS(RR_Ciclo,cicloCorrente,RR_Stato,"Osservazione",RR_Event_Type,S$5,RR_Driver,"*"&amp;INDEX(codiciDriver,4)&amp;"*"))</f>
        <v/>
      </c>
      <c r="T9" s="132">
        <f>IF(COUNTIFS(RR_Ciclo,cicloCorrente,RR_Stato,"Osservazione",RR_Event_Type,T$5,RR_Driver,"*"&amp;INDEX(codiciDriver,4)&amp;"*")=0,"",COUNTIFS(RR_Ciclo,cicloCorrente,RR_Stato,"Osservazione",RR_Event_Type,T$5,RR_Driver,"*"&amp;INDEX(codiciDriver,4)&amp;"*"))</f>
        <v/>
      </c>
      <c r="U9" s="132">
        <f>IF(COUNTIFS(RR_Ciclo,cicloCorrente,RR_Stato,"Osservazione",RR_Event_Type,U$5,RR_Driver,"*"&amp;INDEX(codiciDriver,4)&amp;"*")=0,"",COUNTIFS(RR_Ciclo,cicloCorrente,RR_Stato,"Osservazione",RR_Event_Type,U$5,RR_Driver,"*"&amp;INDEX(codiciDriver,4)&amp;"*"))</f>
        <v/>
      </c>
      <c r="V9" s="132">
        <f>IF(COUNTIFS(RR_Ciclo,cicloCorrente,RR_Stato,"Osservazione",RR_Event_Type,V$5,RR_Driver,"*"&amp;INDEX(codiciDriver,4)&amp;"*")=0,"",COUNTIFS(RR_Ciclo,cicloCorrente,RR_Stato,"Osservazione",RR_Event_Type,V$5,RR_Driver,"*"&amp;INDEX(codiciDriver,4)&amp;"*"))</f>
        <v/>
      </c>
      <c r="W9" s="132">
        <f>IF(COUNTIFS(RR_Ciclo,cicloCorrente,RR_Stato,"Osservazione",RR_Event_Type,W$5,RR_Driver,"*"&amp;INDEX(codiciDriver,4)&amp;"*")=0,"",COUNTIFS(RR_Ciclo,cicloCorrente,RR_Stato,"Osservazione",RR_Event_Type,W$5,RR_Driver,"*"&amp;INDEX(codiciDriver,4)&amp;"*"))</f>
        <v/>
      </c>
      <c r="X9" s="132">
        <f>IF(COUNTIFS(RR_Ciclo,cicloCorrente,RR_Stato,"Osservazione",RR_Event_Type,X$5,RR_Driver,"*"&amp;INDEX(codiciDriver,4)&amp;"*")=0,"",COUNTIFS(RR_Ciclo,cicloCorrente,RR_Stato,"Osservazione",RR_Event_Type,X$5,RR_Driver,"*"&amp;INDEX(codiciDriver,4)&amp;"*"))</f>
        <v/>
      </c>
      <c r="Y9" s="132">
        <f>IF(COUNTIFS(RR_Ciclo,cicloCorrente,RR_Stato,"Osservazione",RR_Event_Type,Y$5,RR_Driver,"*"&amp;INDEX(codiciDriver,4)&amp;"*")=0,"",COUNTIFS(RR_Ciclo,cicloCorrente,RR_Stato,"Osservazione",RR_Event_Type,Y$5,RR_Driver,"*"&amp;INDEX(codiciDriver,4)&amp;"*"))</f>
        <v/>
      </c>
      <c r="Z9" s="133">
        <f>SUM(Q9:Y9)</f>
        <v/>
      </c>
      <c r="AF9">
        <f>IFERROR(MATCH(_xlfn.AGGREGATE(14,6,RR_Ordine_Osservazione,4),RR_Ordine_Osservazione,0)+5,"")</f>
        <v/>
      </c>
    </row>
    <row r="10" ht="45" customHeight="1">
      <c r="A10" s="129">
        <f>IF($AF10="","",INDEX(RiskRegister!$C:$C,$AF10)&amp;"")</f>
        <v/>
      </c>
      <c r="B10" s="85">
        <f>IF($AF10="","",INDEX(RiskRegister!$D:$D,$AF10)&amp;"")</f>
        <v/>
      </c>
      <c r="C10" s="83">
        <f>IF($AF10="","",INDEX(RiskRegister!$E:$E,$AF10)&amp;"")</f>
        <v/>
      </c>
      <c r="D10" s="85">
        <f>IF($AF10="","",INDEX(RiskRegister!$F:$F,$AF10)&amp;"")</f>
        <v/>
      </c>
      <c r="E10" s="83">
        <f>IF($AF10="","",IF(INDEX(RiskRegister!$G:$G,$AF10)="","",INDEX(RiskRegister!$G:$G,$AF10)))</f>
        <v/>
      </c>
      <c r="F10" s="83">
        <f>IF($AF10="","",IF(INDEX(RiskRegister!$K:$K,$AF10)="","",INDEX(RiskRegister!$K:$K,$AF10)))</f>
        <v/>
      </c>
      <c r="G10" s="83">
        <f>IF($AF10="","",IF(INDEX(RiskRegister!$I:$I,$AF10)="","",INDEX(RiskRegister!$I:$I,$AF10)))</f>
        <v/>
      </c>
      <c r="H10" s="83">
        <f>IF($AF10="","",IF(INDEX(RiskRegister!$H:$H,$AF10)="","",INDEX(RiskRegister!$H:$H,$AF10)))</f>
        <v/>
      </c>
      <c r="I10" s="86">
        <f>IF($AF10="","",IF(INDEX(RiskRegister!$J:$J,$AF10)="","",INDEX(RiskRegister!$J:$J,$AF10)))</f>
        <v/>
      </c>
      <c r="J10" s="85">
        <f>IF($AF10="","",INDEX(RiskRegister!$AA:$AA,$AF10)&amp;"")</f>
        <v/>
      </c>
      <c r="K10" s="83">
        <f>IF($AF10="","",IF(INDEX(RiskRegister!$AD:$AD,$AF10)="","",INDEX(RiskRegister!$AD:$AD,$AF10)))</f>
        <v/>
      </c>
      <c r="L10" s="85">
        <f>IF($AF10="","",INDEX(RiskRegister!$AE:$AE,$AF10)&amp;"")</f>
        <v/>
      </c>
      <c r="M10" s="85">
        <f>IF($AF10="","",INDEX(RiskRegister!$N:$N,$AF10)&amp;"")</f>
        <v/>
      </c>
      <c r="N10" s="83">
        <f>IF($AF10="","",INDEX(RiskRegister!$W:$W,$AF10)&amp;"")</f>
        <v/>
      </c>
      <c r="O10" s="130">
        <f>IF($A10="","",COUNTIFS(NW_Rischio_ID,$A10,NW_Settimana,"&gt;="&amp;inizioFinestra4,NW_Settimana,"&lt;="&amp;settimanaCorrente))</f>
        <v/>
      </c>
      <c r="P10" s="131">
        <f>INDEX(nomiDriver,5)</f>
        <v/>
      </c>
      <c r="Q10" s="132">
        <f>IF(COUNTIFS(RR_Ciclo,cicloCorrente,RR_Stato,"Osservazione",RR_Event_Type,Q$5,RR_Driver,"*"&amp;INDEX(codiciDriver,5)&amp;"*")=0,"",COUNTIFS(RR_Ciclo,cicloCorrente,RR_Stato,"Osservazione",RR_Event_Type,Q$5,RR_Driver,"*"&amp;INDEX(codiciDriver,5)&amp;"*"))</f>
        <v/>
      </c>
      <c r="R10" s="132">
        <f>IF(COUNTIFS(RR_Ciclo,cicloCorrente,RR_Stato,"Osservazione",RR_Event_Type,R$5,RR_Driver,"*"&amp;INDEX(codiciDriver,5)&amp;"*")=0,"",COUNTIFS(RR_Ciclo,cicloCorrente,RR_Stato,"Osservazione",RR_Event_Type,R$5,RR_Driver,"*"&amp;INDEX(codiciDriver,5)&amp;"*"))</f>
        <v/>
      </c>
      <c r="S10" s="132">
        <f>IF(COUNTIFS(RR_Ciclo,cicloCorrente,RR_Stato,"Osservazione",RR_Event_Type,S$5,RR_Driver,"*"&amp;INDEX(codiciDriver,5)&amp;"*")=0,"",COUNTIFS(RR_Ciclo,cicloCorrente,RR_Stato,"Osservazione",RR_Event_Type,S$5,RR_Driver,"*"&amp;INDEX(codiciDriver,5)&amp;"*"))</f>
        <v/>
      </c>
      <c r="T10" s="132">
        <f>IF(COUNTIFS(RR_Ciclo,cicloCorrente,RR_Stato,"Osservazione",RR_Event_Type,T$5,RR_Driver,"*"&amp;INDEX(codiciDriver,5)&amp;"*")=0,"",COUNTIFS(RR_Ciclo,cicloCorrente,RR_Stato,"Osservazione",RR_Event_Type,T$5,RR_Driver,"*"&amp;INDEX(codiciDriver,5)&amp;"*"))</f>
        <v/>
      </c>
      <c r="U10" s="132">
        <f>IF(COUNTIFS(RR_Ciclo,cicloCorrente,RR_Stato,"Osservazione",RR_Event_Type,U$5,RR_Driver,"*"&amp;INDEX(codiciDriver,5)&amp;"*")=0,"",COUNTIFS(RR_Ciclo,cicloCorrente,RR_Stato,"Osservazione",RR_Event_Type,U$5,RR_Driver,"*"&amp;INDEX(codiciDriver,5)&amp;"*"))</f>
        <v/>
      </c>
      <c r="V10" s="132">
        <f>IF(COUNTIFS(RR_Ciclo,cicloCorrente,RR_Stato,"Osservazione",RR_Event_Type,V$5,RR_Driver,"*"&amp;INDEX(codiciDriver,5)&amp;"*")=0,"",COUNTIFS(RR_Ciclo,cicloCorrente,RR_Stato,"Osservazione",RR_Event_Type,V$5,RR_Driver,"*"&amp;INDEX(codiciDriver,5)&amp;"*"))</f>
        <v/>
      </c>
      <c r="W10" s="132">
        <f>IF(COUNTIFS(RR_Ciclo,cicloCorrente,RR_Stato,"Osservazione",RR_Event_Type,W$5,RR_Driver,"*"&amp;INDEX(codiciDriver,5)&amp;"*")=0,"",COUNTIFS(RR_Ciclo,cicloCorrente,RR_Stato,"Osservazione",RR_Event_Type,W$5,RR_Driver,"*"&amp;INDEX(codiciDriver,5)&amp;"*"))</f>
        <v/>
      </c>
      <c r="X10" s="132">
        <f>IF(COUNTIFS(RR_Ciclo,cicloCorrente,RR_Stato,"Osservazione",RR_Event_Type,X$5,RR_Driver,"*"&amp;INDEX(codiciDriver,5)&amp;"*")=0,"",COUNTIFS(RR_Ciclo,cicloCorrente,RR_Stato,"Osservazione",RR_Event_Type,X$5,RR_Driver,"*"&amp;INDEX(codiciDriver,5)&amp;"*"))</f>
        <v/>
      </c>
      <c r="Y10" s="132">
        <f>IF(COUNTIFS(RR_Ciclo,cicloCorrente,RR_Stato,"Osservazione",RR_Event_Type,Y$5,RR_Driver,"*"&amp;INDEX(codiciDriver,5)&amp;"*")=0,"",COUNTIFS(RR_Ciclo,cicloCorrente,RR_Stato,"Osservazione",RR_Event_Type,Y$5,RR_Driver,"*"&amp;INDEX(codiciDriver,5)&amp;"*"))</f>
        <v/>
      </c>
      <c r="Z10" s="133">
        <f>SUM(Q10:Y10)</f>
        <v/>
      </c>
      <c r="AF10">
        <f>IFERROR(MATCH(_xlfn.AGGREGATE(14,6,RR_Ordine_Osservazione,5),RR_Ordine_Osservazione,0)+5,"")</f>
        <v/>
      </c>
    </row>
    <row r="11" ht="45" customHeight="1">
      <c r="A11" s="129">
        <f>IF($AF11="","",INDEX(RiskRegister!$C:$C,$AF11)&amp;"")</f>
        <v/>
      </c>
      <c r="B11" s="85">
        <f>IF($AF11="","",INDEX(RiskRegister!$D:$D,$AF11)&amp;"")</f>
        <v/>
      </c>
      <c r="C11" s="83">
        <f>IF($AF11="","",INDEX(RiskRegister!$E:$E,$AF11)&amp;"")</f>
        <v/>
      </c>
      <c r="D11" s="85">
        <f>IF($AF11="","",INDEX(RiskRegister!$F:$F,$AF11)&amp;"")</f>
        <v/>
      </c>
      <c r="E11" s="83">
        <f>IF($AF11="","",IF(INDEX(RiskRegister!$G:$G,$AF11)="","",INDEX(RiskRegister!$G:$G,$AF11)))</f>
        <v/>
      </c>
      <c r="F11" s="83">
        <f>IF($AF11="","",IF(INDEX(RiskRegister!$K:$K,$AF11)="","",INDEX(RiskRegister!$K:$K,$AF11)))</f>
        <v/>
      </c>
      <c r="G11" s="83">
        <f>IF($AF11="","",IF(INDEX(RiskRegister!$I:$I,$AF11)="","",INDEX(RiskRegister!$I:$I,$AF11)))</f>
        <v/>
      </c>
      <c r="H11" s="83">
        <f>IF($AF11="","",IF(INDEX(RiskRegister!$H:$H,$AF11)="","",INDEX(RiskRegister!$H:$H,$AF11)))</f>
        <v/>
      </c>
      <c r="I11" s="86">
        <f>IF($AF11="","",IF(INDEX(RiskRegister!$J:$J,$AF11)="","",INDEX(RiskRegister!$J:$J,$AF11)))</f>
        <v/>
      </c>
      <c r="J11" s="85">
        <f>IF($AF11="","",INDEX(RiskRegister!$AA:$AA,$AF11)&amp;"")</f>
        <v/>
      </c>
      <c r="K11" s="83">
        <f>IF($AF11="","",IF(INDEX(RiskRegister!$AD:$AD,$AF11)="","",INDEX(RiskRegister!$AD:$AD,$AF11)))</f>
        <v/>
      </c>
      <c r="L11" s="85">
        <f>IF($AF11="","",INDEX(RiskRegister!$AE:$AE,$AF11)&amp;"")</f>
        <v/>
      </c>
      <c r="M11" s="85">
        <f>IF($AF11="","",INDEX(RiskRegister!$N:$N,$AF11)&amp;"")</f>
        <v/>
      </c>
      <c r="N11" s="83">
        <f>IF($AF11="","",INDEX(RiskRegister!$W:$W,$AF11)&amp;"")</f>
        <v/>
      </c>
      <c r="O11" s="130">
        <f>IF($A11="","",COUNTIFS(NW_Rischio_ID,$A11,NW_Settimana,"&gt;="&amp;inizioFinestra4,NW_Settimana,"&lt;="&amp;settimanaCorrente))</f>
        <v/>
      </c>
      <c r="P11" s="131">
        <f>INDEX(nomiDriver,6)</f>
        <v/>
      </c>
      <c r="Q11" s="132">
        <f>IF(COUNTIFS(RR_Ciclo,cicloCorrente,RR_Stato,"Osservazione",RR_Event_Type,Q$5,RR_Driver,"*"&amp;INDEX(codiciDriver,6)&amp;"*")=0,"",COUNTIFS(RR_Ciclo,cicloCorrente,RR_Stato,"Osservazione",RR_Event_Type,Q$5,RR_Driver,"*"&amp;INDEX(codiciDriver,6)&amp;"*"))</f>
        <v/>
      </c>
      <c r="R11" s="132">
        <f>IF(COUNTIFS(RR_Ciclo,cicloCorrente,RR_Stato,"Osservazione",RR_Event_Type,R$5,RR_Driver,"*"&amp;INDEX(codiciDriver,6)&amp;"*")=0,"",COUNTIFS(RR_Ciclo,cicloCorrente,RR_Stato,"Osservazione",RR_Event_Type,R$5,RR_Driver,"*"&amp;INDEX(codiciDriver,6)&amp;"*"))</f>
        <v/>
      </c>
      <c r="S11" s="132">
        <f>IF(COUNTIFS(RR_Ciclo,cicloCorrente,RR_Stato,"Osservazione",RR_Event_Type,S$5,RR_Driver,"*"&amp;INDEX(codiciDriver,6)&amp;"*")=0,"",COUNTIFS(RR_Ciclo,cicloCorrente,RR_Stato,"Osservazione",RR_Event_Type,S$5,RR_Driver,"*"&amp;INDEX(codiciDriver,6)&amp;"*"))</f>
        <v/>
      </c>
      <c r="T11" s="132">
        <f>IF(COUNTIFS(RR_Ciclo,cicloCorrente,RR_Stato,"Osservazione",RR_Event_Type,T$5,RR_Driver,"*"&amp;INDEX(codiciDriver,6)&amp;"*")=0,"",COUNTIFS(RR_Ciclo,cicloCorrente,RR_Stato,"Osservazione",RR_Event_Type,T$5,RR_Driver,"*"&amp;INDEX(codiciDriver,6)&amp;"*"))</f>
        <v/>
      </c>
      <c r="U11" s="132">
        <f>IF(COUNTIFS(RR_Ciclo,cicloCorrente,RR_Stato,"Osservazione",RR_Event_Type,U$5,RR_Driver,"*"&amp;INDEX(codiciDriver,6)&amp;"*")=0,"",COUNTIFS(RR_Ciclo,cicloCorrente,RR_Stato,"Osservazione",RR_Event_Type,U$5,RR_Driver,"*"&amp;INDEX(codiciDriver,6)&amp;"*"))</f>
        <v/>
      </c>
      <c r="V11" s="132">
        <f>IF(COUNTIFS(RR_Ciclo,cicloCorrente,RR_Stato,"Osservazione",RR_Event_Type,V$5,RR_Driver,"*"&amp;INDEX(codiciDriver,6)&amp;"*")=0,"",COUNTIFS(RR_Ciclo,cicloCorrente,RR_Stato,"Osservazione",RR_Event_Type,V$5,RR_Driver,"*"&amp;INDEX(codiciDriver,6)&amp;"*"))</f>
        <v/>
      </c>
      <c r="W11" s="132">
        <f>IF(COUNTIFS(RR_Ciclo,cicloCorrente,RR_Stato,"Osservazione",RR_Event_Type,W$5,RR_Driver,"*"&amp;INDEX(codiciDriver,6)&amp;"*")=0,"",COUNTIFS(RR_Ciclo,cicloCorrente,RR_Stato,"Osservazione",RR_Event_Type,W$5,RR_Driver,"*"&amp;INDEX(codiciDriver,6)&amp;"*"))</f>
        <v/>
      </c>
      <c r="X11" s="132">
        <f>IF(COUNTIFS(RR_Ciclo,cicloCorrente,RR_Stato,"Osservazione",RR_Event_Type,X$5,RR_Driver,"*"&amp;INDEX(codiciDriver,6)&amp;"*")=0,"",COUNTIFS(RR_Ciclo,cicloCorrente,RR_Stato,"Osservazione",RR_Event_Type,X$5,RR_Driver,"*"&amp;INDEX(codiciDriver,6)&amp;"*"))</f>
        <v/>
      </c>
      <c r="Y11" s="132">
        <f>IF(COUNTIFS(RR_Ciclo,cicloCorrente,RR_Stato,"Osservazione",RR_Event_Type,Y$5,RR_Driver,"*"&amp;INDEX(codiciDriver,6)&amp;"*")=0,"",COUNTIFS(RR_Ciclo,cicloCorrente,RR_Stato,"Osservazione",RR_Event_Type,Y$5,RR_Driver,"*"&amp;INDEX(codiciDriver,6)&amp;"*"))</f>
        <v/>
      </c>
      <c r="Z11" s="133">
        <f>SUM(Q11:Y11)</f>
        <v/>
      </c>
      <c r="AF11">
        <f>IFERROR(MATCH(_xlfn.AGGREGATE(14,6,RR_Ordine_Osservazione,6),RR_Ordine_Osservazione,0)+5,"")</f>
        <v/>
      </c>
    </row>
    <row r="12" ht="45" customHeight="1">
      <c r="A12" s="129">
        <f>IF($AF12="","",INDEX(RiskRegister!$C:$C,$AF12)&amp;"")</f>
        <v/>
      </c>
      <c r="B12" s="85">
        <f>IF($AF12="","",INDEX(RiskRegister!$D:$D,$AF12)&amp;"")</f>
        <v/>
      </c>
      <c r="C12" s="83">
        <f>IF($AF12="","",INDEX(RiskRegister!$E:$E,$AF12)&amp;"")</f>
        <v/>
      </c>
      <c r="D12" s="85">
        <f>IF($AF12="","",INDEX(RiskRegister!$F:$F,$AF12)&amp;"")</f>
        <v/>
      </c>
      <c r="E12" s="83">
        <f>IF($AF12="","",IF(INDEX(RiskRegister!$G:$G,$AF12)="","",INDEX(RiskRegister!$G:$G,$AF12)))</f>
        <v/>
      </c>
      <c r="F12" s="83">
        <f>IF($AF12="","",IF(INDEX(RiskRegister!$K:$K,$AF12)="","",INDEX(RiskRegister!$K:$K,$AF12)))</f>
        <v/>
      </c>
      <c r="G12" s="83">
        <f>IF($AF12="","",IF(INDEX(RiskRegister!$I:$I,$AF12)="","",INDEX(RiskRegister!$I:$I,$AF12)))</f>
        <v/>
      </c>
      <c r="H12" s="83">
        <f>IF($AF12="","",IF(INDEX(RiskRegister!$H:$H,$AF12)="","",INDEX(RiskRegister!$H:$H,$AF12)))</f>
        <v/>
      </c>
      <c r="I12" s="86">
        <f>IF($AF12="","",IF(INDEX(RiskRegister!$J:$J,$AF12)="","",INDEX(RiskRegister!$J:$J,$AF12)))</f>
        <v/>
      </c>
      <c r="J12" s="85">
        <f>IF($AF12="","",INDEX(RiskRegister!$AA:$AA,$AF12)&amp;"")</f>
        <v/>
      </c>
      <c r="K12" s="83">
        <f>IF($AF12="","",IF(INDEX(RiskRegister!$AD:$AD,$AF12)="","",INDEX(RiskRegister!$AD:$AD,$AF12)))</f>
        <v/>
      </c>
      <c r="L12" s="85">
        <f>IF($AF12="","",INDEX(RiskRegister!$AE:$AE,$AF12)&amp;"")</f>
        <v/>
      </c>
      <c r="M12" s="85">
        <f>IF($AF12="","",INDEX(RiskRegister!$N:$N,$AF12)&amp;"")</f>
        <v/>
      </c>
      <c r="N12" s="83">
        <f>IF($AF12="","",INDEX(RiskRegister!$W:$W,$AF12)&amp;"")</f>
        <v/>
      </c>
      <c r="O12" s="130">
        <f>IF($A12="","",COUNTIFS(NW_Rischio_ID,$A12,NW_Settimana,"&gt;="&amp;inizioFinestra4,NW_Settimana,"&lt;="&amp;settimanaCorrente))</f>
        <v/>
      </c>
      <c r="P12" s="131">
        <f>INDEX(nomiDriver,7)</f>
        <v/>
      </c>
      <c r="Q12" s="132">
        <f>IF(COUNTIFS(RR_Ciclo,cicloCorrente,RR_Stato,"Osservazione",RR_Event_Type,Q$5,RR_Driver,"*"&amp;INDEX(codiciDriver,7)&amp;"*")=0,"",COUNTIFS(RR_Ciclo,cicloCorrente,RR_Stato,"Osservazione",RR_Event_Type,Q$5,RR_Driver,"*"&amp;INDEX(codiciDriver,7)&amp;"*"))</f>
        <v/>
      </c>
      <c r="R12" s="132">
        <f>IF(COUNTIFS(RR_Ciclo,cicloCorrente,RR_Stato,"Osservazione",RR_Event_Type,R$5,RR_Driver,"*"&amp;INDEX(codiciDriver,7)&amp;"*")=0,"",COUNTIFS(RR_Ciclo,cicloCorrente,RR_Stato,"Osservazione",RR_Event_Type,R$5,RR_Driver,"*"&amp;INDEX(codiciDriver,7)&amp;"*"))</f>
        <v/>
      </c>
      <c r="S12" s="132">
        <f>IF(COUNTIFS(RR_Ciclo,cicloCorrente,RR_Stato,"Osservazione",RR_Event_Type,S$5,RR_Driver,"*"&amp;INDEX(codiciDriver,7)&amp;"*")=0,"",COUNTIFS(RR_Ciclo,cicloCorrente,RR_Stato,"Osservazione",RR_Event_Type,S$5,RR_Driver,"*"&amp;INDEX(codiciDriver,7)&amp;"*"))</f>
        <v/>
      </c>
      <c r="T12" s="132">
        <f>IF(COUNTIFS(RR_Ciclo,cicloCorrente,RR_Stato,"Osservazione",RR_Event_Type,T$5,RR_Driver,"*"&amp;INDEX(codiciDriver,7)&amp;"*")=0,"",COUNTIFS(RR_Ciclo,cicloCorrente,RR_Stato,"Osservazione",RR_Event_Type,T$5,RR_Driver,"*"&amp;INDEX(codiciDriver,7)&amp;"*"))</f>
        <v/>
      </c>
      <c r="U12" s="132">
        <f>IF(COUNTIFS(RR_Ciclo,cicloCorrente,RR_Stato,"Osservazione",RR_Event_Type,U$5,RR_Driver,"*"&amp;INDEX(codiciDriver,7)&amp;"*")=0,"",COUNTIFS(RR_Ciclo,cicloCorrente,RR_Stato,"Osservazione",RR_Event_Type,U$5,RR_Driver,"*"&amp;INDEX(codiciDriver,7)&amp;"*"))</f>
        <v/>
      </c>
      <c r="V12" s="132">
        <f>IF(COUNTIFS(RR_Ciclo,cicloCorrente,RR_Stato,"Osservazione",RR_Event_Type,V$5,RR_Driver,"*"&amp;INDEX(codiciDriver,7)&amp;"*")=0,"",COUNTIFS(RR_Ciclo,cicloCorrente,RR_Stato,"Osservazione",RR_Event_Type,V$5,RR_Driver,"*"&amp;INDEX(codiciDriver,7)&amp;"*"))</f>
        <v/>
      </c>
      <c r="W12" s="132">
        <f>IF(COUNTIFS(RR_Ciclo,cicloCorrente,RR_Stato,"Osservazione",RR_Event_Type,W$5,RR_Driver,"*"&amp;INDEX(codiciDriver,7)&amp;"*")=0,"",COUNTIFS(RR_Ciclo,cicloCorrente,RR_Stato,"Osservazione",RR_Event_Type,W$5,RR_Driver,"*"&amp;INDEX(codiciDriver,7)&amp;"*"))</f>
        <v/>
      </c>
      <c r="X12" s="132">
        <f>IF(COUNTIFS(RR_Ciclo,cicloCorrente,RR_Stato,"Osservazione",RR_Event_Type,X$5,RR_Driver,"*"&amp;INDEX(codiciDriver,7)&amp;"*")=0,"",COUNTIFS(RR_Ciclo,cicloCorrente,RR_Stato,"Osservazione",RR_Event_Type,X$5,RR_Driver,"*"&amp;INDEX(codiciDriver,7)&amp;"*"))</f>
        <v/>
      </c>
      <c r="Y12" s="132">
        <f>IF(COUNTIFS(RR_Ciclo,cicloCorrente,RR_Stato,"Osservazione",RR_Event_Type,Y$5,RR_Driver,"*"&amp;INDEX(codiciDriver,7)&amp;"*")=0,"",COUNTIFS(RR_Ciclo,cicloCorrente,RR_Stato,"Osservazione",RR_Event_Type,Y$5,RR_Driver,"*"&amp;INDEX(codiciDriver,7)&amp;"*"))</f>
        <v/>
      </c>
      <c r="Z12" s="133">
        <f>SUM(Q12:Y12)</f>
        <v/>
      </c>
      <c r="AF12">
        <f>IFERROR(MATCH(_xlfn.AGGREGATE(14,6,RR_Ordine_Osservazione,7),RR_Ordine_Osservazione,0)+5,"")</f>
        <v/>
      </c>
    </row>
    <row r="13" ht="45" customHeight="1">
      <c r="A13" s="129">
        <f>IF($AF13="","",INDEX(RiskRegister!$C:$C,$AF13)&amp;"")</f>
        <v/>
      </c>
      <c r="B13" s="85">
        <f>IF($AF13="","",INDEX(RiskRegister!$D:$D,$AF13)&amp;"")</f>
        <v/>
      </c>
      <c r="C13" s="83">
        <f>IF($AF13="","",INDEX(RiskRegister!$E:$E,$AF13)&amp;"")</f>
        <v/>
      </c>
      <c r="D13" s="85">
        <f>IF($AF13="","",INDEX(RiskRegister!$F:$F,$AF13)&amp;"")</f>
        <v/>
      </c>
      <c r="E13" s="83">
        <f>IF($AF13="","",IF(INDEX(RiskRegister!$G:$G,$AF13)="","",INDEX(RiskRegister!$G:$G,$AF13)))</f>
        <v/>
      </c>
      <c r="F13" s="83">
        <f>IF($AF13="","",IF(INDEX(RiskRegister!$K:$K,$AF13)="","",INDEX(RiskRegister!$K:$K,$AF13)))</f>
        <v/>
      </c>
      <c r="G13" s="83">
        <f>IF($AF13="","",IF(INDEX(RiskRegister!$I:$I,$AF13)="","",INDEX(RiskRegister!$I:$I,$AF13)))</f>
        <v/>
      </c>
      <c r="H13" s="83">
        <f>IF($AF13="","",IF(INDEX(RiskRegister!$H:$H,$AF13)="","",INDEX(RiskRegister!$H:$H,$AF13)))</f>
        <v/>
      </c>
      <c r="I13" s="86">
        <f>IF($AF13="","",IF(INDEX(RiskRegister!$J:$J,$AF13)="","",INDEX(RiskRegister!$J:$J,$AF13)))</f>
        <v/>
      </c>
      <c r="J13" s="85">
        <f>IF($AF13="","",INDEX(RiskRegister!$AA:$AA,$AF13)&amp;"")</f>
        <v/>
      </c>
      <c r="K13" s="83">
        <f>IF($AF13="","",IF(INDEX(RiskRegister!$AD:$AD,$AF13)="","",INDEX(RiskRegister!$AD:$AD,$AF13)))</f>
        <v/>
      </c>
      <c r="L13" s="85">
        <f>IF($AF13="","",INDEX(RiskRegister!$AE:$AE,$AF13)&amp;"")</f>
        <v/>
      </c>
      <c r="M13" s="85">
        <f>IF($AF13="","",INDEX(RiskRegister!$N:$N,$AF13)&amp;"")</f>
        <v/>
      </c>
      <c r="N13" s="83">
        <f>IF($AF13="","",INDEX(RiskRegister!$W:$W,$AF13)&amp;"")</f>
        <v/>
      </c>
      <c r="O13" s="130">
        <f>IF($A13="","",COUNTIFS(NW_Rischio_ID,$A13,NW_Settimana,"&gt;="&amp;inizioFinestra4,NW_Settimana,"&lt;="&amp;settimanaCorrente))</f>
        <v/>
      </c>
      <c r="P13" s="131">
        <f>INDEX(nomiDriver,8)</f>
        <v/>
      </c>
      <c r="Q13" s="132">
        <f>IF(COUNTIFS(RR_Ciclo,cicloCorrente,RR_Stato,"Osservazione",RR_Event_Type,Q$5,RR_Driver,"*"&amp;INDEX(codiciDriver,8)&amp;"*")=0,"",COUNTIFS(RR_Ciclo,cicloCorrente,RR_Stato,"Osservazione",RR_Event_Type,Q$5,RR_Driver,"*"&amp;INDEX(codiciDriver,8)&amp;"*"))</f>
        <v/>
      </c>
      <c r="R13" s="132">
        <f>IF(COUNTIFS(RR_Ciclo,cicloCorrente,RR_Stato,"Osservazione",RR_Event_Type,R$5,RR_Driver,"*"&amp;INDEX(codiciDriver,8)&amp;"*")=0,"",COUNTIFS(RR_Ciclo,cicloCorrente,RR_Stato,"Osservazione",RR_Event_Type,R$5,RR_Driver,"*"&amp;INDEX(codiciDriver,8)&amp;"*"))</f>
        <v/>
      </c>
      <c r="S13" s="132">
        <f>IF(COUNTIFS(RR_Ciclo,cicloCorrente,RR_Stato,"Osservazione",RR_Event_Type,S$5,RR_Driver,"*"&amp;INDEX(codiciDriver,8)&amp;"*")=0,"",COUNTIFS(RR_Ciclo,cicloCorrente,RR_Stato,"Osservazione",RR_Event_Type,S$5,RR_Driver,"*"&amp;INDEX(codiciDriver,8)&amp;"*"))</f>
        <v/>
      </c>
      <c r="T13" s="132">
        <f>IF(COUNTIFS(RR_Ciclo,cicloCorrente,RR_Stato,"Osservazione",RR_Event_Type,T$5,RR_Driver,"*"&amp;INDEX(codiciDriver,8)&amp;"*")=0,"",COUNTIFS(RR_Ciclo,cicloCorrente,RR_Stato,"Osservazione",RR_Event_Type,T$5,RR_Driver,"*"&amp;INDEX(codiciDriver,8)&amp;"*"))</f>
        <v/>
      </c>
      <c r="U13" s="132">
        <f>IF(COUNTIFS(RR_Ciclo,cicloCorrente,RR_Stato,"Osservazione",RR_Event_Type,U$5,RR_Driver,"*"&amp;INDEX(codiciDriver,8)&amp;"*")=0,"",COUNTIFS(RR_Ciclo,cicloCorrente,RR_Stato,"Osservazione",RR_Event_Type,U$5,RR_Driver,"*"&amp;INDEX(codiciDriver,8)&amp;"*"))</f>
        <v/>
      </c>
      <c r="V13" s="132">
        <f>IF(COUNTIFS(RR_Ciclo,cicloCorrente,RR_Stato,"Osservazione",RR_Event_Type,V$5,RR_Driver,"*"&amp;INDEX(codiciDriver,8)&amp;"*")=0,"",COUNTIFS(RR_Ciclo,cicloCorrente,RR_Stato,"Osservazione",RR_Event_Type,V$5,RR_Driver,"*"&amp;INDEX(codiciDriver,8)&amp;"*"))</f>
        <v/>
      </c>
      <c r="W13" s="132">
        <f>IF(COUNTIFS(RR_Ciclo,cicloCorrente,RR_Stato,"Osservazione",RR_Event_Type,W$5,RR_Driver,"*"&amp;INDEX(codiciDriver,8)&amp;"*")=0,"",COUNTIFS(RR_Ciclo,cicloCorrente,RR_Stato,"Osservazione",RR_Event_Type,W$5,RR_Driver,"*"&amp;INDEX(codiciDriver,8)&amp;"*"))</f>
        <v/>
      </c>
      <c r="X13" s="132">
        <f>IF(COUNTIFS(RR_Ciclo,cicloCorrente,RR_Stato,"Osservazione",RR_Event_Type,X$5,RR_Driver,"*"&amp;INDEX(codiciDriver,8)&amp;"*")=0,"",COUNTIFS(RR_Ciclo,cicloCorrente,RR_Stato,"Osservazione",RR_Event_Type,X$5,RR_Driver,"*"&amp;INDEX(codiciDriver,8)&amp;"*"))</f>
        <v/>
      </c>
      <c r="Y13" s="132">
        <f>IF(COUNTIFS(RR_Ciclo,cicloCorrente,RR_Stato,"Osservazione",RR_Event_Type,Y$5,RR_Driver,"*"&amp;INDEX(codiciDriver,8)&amp;"*")=0,"",COUNTIFS(RR_Ciclo,cicloCorrente,RR_Stato,"Osservazione",RR_Event_Type,Y$5,RR_Driver,"*"&amp;INDEX(codiciDriver,8)&amp;"*"))</f>
        <v/>
      </c>
      <c r="Z13" s="133">
        <f>SUM(Q13:Y13)</f>
        <v/>
      </c>
      <c r="AF13">
        <f>IFERROR(MATCH(_xlfn.AGGREGATE(14,6,RR_Ordine_Osservazione,8),RR_Ordine_Osservazione,0)+5,"")</f>
        <v/>
      </c>
    </row>
    <row r="14" ht="45" customHeight="1">
      <c r="A14" s="129">
        <f>IF($AF14="","",INDEX(RiskRegister!$C:$C,$AF14)&amp;"")</f>
        <v/>
      </c>
      <c r="B14" s="85">
        <f>IF($AF14="","",INDEX(RiskRegister!$D:$D,$AF14)&amp;"")</f>
        <v/>
      </c>
      <c r="C14" s="83">
        <f>IF($AF14="","",INDEX(RiskRegister!$E:$E,$AF14)&amp;"")</f>
        <v/>
      </c>
      <c r="D14" s="85">
        <f>IF($AF14="","",INDEX(RiskRegister!$F:$F,$AF14)&amp;"")</f>
        <v/>
      </c>
      <c r="E14" s="83">
        <f>IF($AF14="","",IF(INDEX(RiskRegister!$G:$G,$AF14)="","",INDEX(RiskRegister!$G:$G,$AF14)))</f>
        <v/>
      </c>
      <c r="F14" s="83">
        <f>IF($AF14="","",IF(INDEX(RiskRegister!$K:$K,$AF14)="","",INDEX(RiskRegister!$K:$K,$AF14)))</f>
        <v/>
      </c>
      <c r="G14" s="83">
        <f>IF($AF14="","",IF(INDEX(RiskRegister!$I:$I,$AF14)="","",INDEX(RiskRegister!$I:$I,$AF14)))</f>
        <v/>
      </c>
      <c r="H14" s="83">
        <f>IF($AF14="","",IF(INDEX(RiskRegister!$H:$H,$AF14)="","",INDEX(RiskRegister!$H:$H,$AF14)))</f>
        <v/>
      </c>
      <c r="I14" s="86">
        <f>IF($AF14="","",IF(INDEX(RiskRegister!$J:$J,$AF14)="","",INDEX(RiskRegister!$J:$J,$AF14)))</f>
        <v/>
      </c>
      <c r="J14" s="85">
        <f>IF($AF14="","",INDEX(RiskRegister!$AA:$AA,$AF14)&amp;"")</f>
        <v/>
      </c>
      <c r="K14" s="83">
        <f>IF($AF14="","",IF(INDEX(RiskRegister!$AD:$AD,$AF14)="","",INDEX(RiskRegister!$AD:$AD,$AF14)))</f>
        <v/>
      </c>
      <c r="L14" s="85">
        <f>IF($AF14="","",INDEX(RiskRegister!$AE:$AE,$AF14)&amp;"")</f>
        <v/>
      </c>
      <c r="M14" s="85">
        <f>IF($AF14="","",INDEX(RiskRegister!$N:$N,$AF14)&amp;"")</f>
        <v/>
      </c>
      <c r="N14" s="83">
        <f>IF($AF14="","",INDEX(RiskRegister!$W:$W,$AF14)&amp;"")</f>
        <v/>
      </c>
      <c r="O14" s="130">
        <f>IF($A14="","",COUNTIFS(NW_Rischio_ID,$A14,NW_Settimana,"&gt;="&amp;inizioFinestra4,NW_Settimana,"&lt;="&amp;settimanaCorrente))</f>
        <v/>
      </c>
      <c r="AF14">
        <f>IFERROR(MATCH(_xlfn.AGGREGATE(14,6,RR_Ordine_Osservazione,9),RR_Ordine_Osservazione,0)+5,"")</f>
        <v/>
      </c>
    </row>
    <row r="15" ht="45" customHeight="1">
      <c r="A15" s="129">
        <f>IF($AF15="","",INDEX(RiskRegister!$C:$C,$AF15)&amp;"")</f>
        <v/>
      </c>
      <c r="B15" s="85">
        <f>IF($AF15="","",INDEX(RiskRegister!$D:$D,$AF15)&amp;"")</f>
        <v/>
      </c>
      <c r="C15" s="83">
        <f>IF($AF15="","",INDEX(RiskRegister!$E:$E,$AF15)&amp;"")</f>
        <v/>
      </c>
      <c r="D15" s="85">
        <f>IF($AF15="","",INDEX(RiskRegister!$F:$F,$AF15)&amp;"")</f>
        <v/>
      </c>
      <c r="E15" s="83">
        <f>IF($AF15="","",IF(INDEX(RiskRegister!$G:$G,$AF15)="","",INDEX(RiskRegister!$G:$G,$AF15)))</f>
        <v/>
      </c>
      <c r="F15" s="83">
        <f>IF($AF15="","",IF(INDEX(RiskRegister!$K:$K,$AF15)="","",INDEX(RiskRegister!$K:$K,$AF15)))</f>
        <v/>
      </c>
      <c r="G15" s="83">
        <f>IF($AF15="","",IF(INDEX(RiskRegister!$I:$I,$AF15)="","",INDEX(RiskRegister!$I:$I,$AF15)))</f>
        <v/>
      </c>
      <c r="H15" s="83">
        <f>IF($AF15="","",IF(INDEX(RiskRegister!$H:$H,$AF15)="","",INDEX(RiskRegister!$H:$H,$AF15)))</f>
        <v/>
      </c>
      <c r="I15" s="86">
        <f>IF($AF15="","",IF(INDEX(RiskRegister!$J:$J,$AF15)="","",INDEX(RiskRegister!$J:$J,$AF15)))</f>
        <v/>
      </c>
      <c r="J15" s="85">
        <f>IF($AF15="","",INDEX(RiskRegister!$AA:$AA,$AF15)&amp;"")</f>
        <v/>
      </c>
      <c r="K15" s="83">
        <f>IF($AF15="","",IF(INDEX(RiskRegister!$AD:$AD,$AF15)="","",INDEX(RiskRegister!$AD:$AD,$AF15)))</f>
        <v/>
      </c>
      <c r="L15" s="85">
        <f>IF($AF15="","",INDEX(RiskRegister!$AE:$AE,$AF15)&amp;"")</f>
        <v/>
      </c>
      <c r="M15" s="85">
        <f>IF($AF15="","",INDEX(RiskRegister!$N:$N,$AF15)&amp;"")</f>
        <v/>
      </c>
      <c r="N15" s="83">
        <f>IF($AF15="","",INDEX(RiskRegister!$W:$W,$AF15)&amp;"")</f>
        <v/>
      </c>
      <c r="O15" s="130">
        <f>IF($A15="","",COUNTIFS(NW_Rischio_ID,$A15,NW_Settimana,"&gt;="&amp;inizioFinestra4,NW_Settimana,"&lt;="&amp;settimanaCorrente))</f>
        <v/>
      </c>
      <c r="AF15">
        <f>IFERROR(MATCH(_xlfn.AGGREGATE(14,6,RR_Ordine_Osservazione,10),RR_Ordine_Osservazione,0)+5,"")</f>
        <v/>
      </c>
    </row>
    <row r="16" ht="45" customHeight="1">
      <c r="A16" s="129">
        <f>IF($AF16="","",INDEX(RiskRegister!$C:$C,$AF16)&amp;"")</f>
        <v/>
      </c>
      <c r="B16" s="85">
        <f>IF($AF16="","",INDEX(RiskRegister!$D:$D,$AF16)&amp;"")</f>
        <v/>
      </c>
      <c r="C16" s="83">
        <f>IF($AF16="","",INDEX(RiskRegister!$E:$E,$AF16)&amp;"")</f>
        <v/>
      </c>
      <c r="D16" s="85">
        <f>IF($AF16="","",INDEX(RiskRegister!$F:$F,$AF16)&amp;"")</f>
        <v/>
      </c>
      <c r="E16" s="83">
        <f>IF($AF16="","",IF(INDEX(RiskRegister!$G:$G,$AF16)="","",INDEX(RiskRegister!$G:$G,$AF16)))</f>
        <v/>
      </c>
      <c r="F16" s="83">
        <f>IF($AF16="","",IF(INDEX(RiskRegister!$K:$K,$AF16)="","",INDEX(RiskRegister!$K:$K,$AF16)))</f>
        <v/>
      </c>
      <c r="G16" s="83">
        <f>IF($AF16="","",IF(INDEX(RiskRegister!$I:$I,$AF16)="","",INDEX(RiskRegister!$I:$I,$AF16)))</f>
        <v/>
      </c>
      <c r="H16" s="83">
        <f>IF($AF16="","",IF(INDEX(RiskRegister!$H:$H,$AF16)="","",INDEX(RiskRegister!$H:$H,$AF16)))</f>
        <v/>
      </c>
      <c r="I16" s="86">
        <f>IF($AF16="","",IF(INDEX(RiskRegister!$J:$J,$AF16)="","",INDEX(RiskRegister!$J:$J,$AF16)))</f>
        <v/>
      </c>
      <c r="J16" s="85">
        <f>IF($AF16="","",INDEX(RiskRegister!$AA:$AA,$AF16)&amp;"")</f>
        <v/>
      </c>
      <c r="K16" s="83">
        <f>IF($AF16="","",IF(INDEX(RiskRegister!$AD:$AD,$AF16)="","",INDEX(RiskRegister!$AD:$AD,$AF16)))</f>
        <v/>
      </c>
      <c r="L16" s="85">
        <f>IF($AF16="","",INDEX(RiskRegister!$AE:$AE,$AF16)&amp;"")</f>
        <v/>
      </c>
      <c r="M16" s="85">
        <f>IF($AF16="","",INDEX(RiskRegister!$N:$N,$AF16)&amp;"")</f>
        <v/>
      </c>
      <c r="N16" s="83">
        <f>IF($AF16="","",INDEX(RiskRegister!$W:$W,$AF16)&amp;"")</f>
        <v/>
      </c>
      <c r="O16" s="130">
        <f>IF($A16="","",COUNTIFS(NW_Rischio_ID,$A16,NW_Settimana,"&gt;="&amp;inizioFinestra4,NW_Settimana,"&lt;="&amp;settimanaCorrente))</f>
        <v/>
      </c>
      <c r="P16" s="29" t="inlineStr">
        <is>
          <t>Rischi del radar con lo stesso incrocio (anagrafica)</t>
        </is>
      </c>
      <c r="Q16" s="30" t="n"/>
      <c r="R16" s="30" t="n"/>
      <c r="S16" s="30" t="n"/>
      <c r="T16" s="30" t="n"/>
      <c r="U16" s="30" t="n"/>
      <c r="V16" s="30" t="n"/>
      <c r="W16" s="30" t="n"/>
      <c r="X16" s="30" t="n"/>
      <c r="Y16" s="30" t="n"/>
      <c r="Z16" s="30" t="n"/>
      <c r="AF16">
        <f>IFERROR(MATCH(_xlfn.AGGREGATE(14,6,RR_Ordine_Osservazione,11),RR_Ordine_Osservazione,0)+5,"")</f>
        <v/>
      </c>
    </row>
    <row r="17" ht="28" customHeight="1">
      <c r="A17" s="129">
        <f>IF($AF17="","",INDEX(RiskRegister!$C:$C,$AF17)&amp;"")</f>
        <v/>
      </c>
      <c r="B17" s="85">
        <f>IF($AF17="","",INDEX(RiskRegister!$D:$D,$AF17)&amp;"")</f>
        <v/>
      </c>
      <c r="C17" s="83">
        <f>IF($AF17="","",INDEX(RiskRegister!$E:$E,$AF17)&amp;"")</f>
        <v/>
      </c>
      <c r="D17" s="85">
        <f>IF($AF17="","",INDEX(RiskRegister!$F:$F,$AF17)&amp;"")</f>
        <v/>
      </c>
      <c r="E17" s="83">
        <f>IF($AF17="","",IF(INDEX(RiskRegister!$G:$G,$AF17)="","",INDEX(RiskRegister!$G:$G,$AF17)))</f>
        <v/>
      </c>
      <c r="F17" s="83">
        <f>IF($AF17="","",IF(INDEX(RiskRegister!$K:$K,$AF17)="","",INDEX(RiskRegister!$K:$K,$AF17)))</f>
        <v/>
      </c>
      <c r="G17" s="83">
        <f>IF($AF17="","",IF(INDEX(RiskRegister!$I:$I,$AF17)="","",INDEX(RiskRegister!$I:$I,$AF17)))</f>
        <v/>
      </c>
      <c r="H17" s="83">
        <f>IF($AF17="","",IF(INDEX(RiskRegister!$H:$H,$AF17)="","",INDEX(RiskRegister!$H:$H,$AF17)))</f>
        <v/>
      </c>
      <c r="I17" s="86">
        <f>IF($AF17="","",IF(INDEX(RiskRegister!$J:$J,$AF17)="","",INDEX(RiskRegister!$J:$J,$AF17)))</f>
        <v/>
      </c>
      <c r="J17" s="85">
        <f>IF($AF17="","",INDEX(RiskRegister!$AA:$AA,$AF17)&amp;"")</f>
        <v/>
      </c>
      <c r="K17" s="83">
        <f>IF($AF17="","",IF(INDEX(RiskRegister!$AD:$AD,$AF17)="","",INDEX(RiskRegister!$AD:$AD,$AF17)))</f>
        <v/>
      </c>
      <c r="L17" s="85">
        <f>IF($AF17="","",INDEX(RiskRegister!$AE:$AE,$AF17)&amp;"")</f>
        <v/>
      </c>
      <c r="M17" s="85">
        <f>IF($AF17="","",INDEX(RiskRegister!$N:$N,$AF17)&amp;"")</f>
        <v/>
      </c>
      <c r="N17" s="83">
        <f>IF($AF17="","",INDEX(RiskRegister!$W:$W,$AF17)&amp;"")</f>
        <v/>
      </c>
      <c r="O17" s="130">
        <f>IF($A17="","",COUNTIFS(NW_Rischio_ID,$A17,NW_Settimana,"&gt;="&amp;inizioFinestra4,NW_Settimana,"&lt;="&amp;settimanaCorrente))</f>
        <v/>
      </c>
      <c r="P17" s="82" t="inlineStr">
        <is>
          <t>Driver</t>
        </is>
      </c>
      <c r="Q17" s="82" t="inlineStr">
        <is>
          <t>9.1</t>
        </is>
      </c>
      <c r="R17" s="82" t="inlineStr">
        <is>
          <t>9.4</t>
        </is>
      </c>
      <c r="S17" s="82" t="inlineStr">
        <is>
          <t>9.5</t>
        </is>
      </c>
      <c r="T17" s="82" t="inlineStr">
        <is>
          <t>9.6</t>
        </is>
      </c>
      <c r="U17" s="82" t="inlineStr">
        <is>
          <t>9.7</t>
        </is>
      </c>
      <c r="V17" s="82" t="inlineStr">
        <is>
          <t>9.8</t>
        </is>
      </c>
      <c r="W17" s="82" t="inlineStr">
        <is>
          <t>9.9</t>
        </is>
      </c>
      <c r="X17" s="82" t="inlineStr">
        <is>
          <t>9.11</t>
        </is>
      </c>
      <c r="Y17" s="82" t="inlineStr">
        <is>
          <t>9.13</t>
        </is>
      </c>
      <c r="Z17" s="82" t="inlineStr">
        <is>
          <t>Totale</t>
        </is>
      </c>
      <c r="AF17">
        <f>IFERROR(MATCH(_xlfn.AGGREGATE(14,6,RR_Ordine_Osservazione,12),RR_Ordine_Osservazione,0)+5,"")</f>
        <v/>
      </c>
    </row>
    <row r="18" ht="45" customHeight="1">
      <c r="A18" s="129">
        <f>IF($AF18="","",INDEX(RiskRegister!$C:$C,$AF18)&amp;"")</f>
        <v/>
      </c>
      <c r="B18" s="85">
        <f>IF($AF18="","",INDEX(RiskRegister!$D:$D,$AF18)&amp;"")</f>
        <v/>
      </c>
      <c r="C18" s="83">
        <f>IF($AF18="","",INDEX(RiskRegister!$E:$E,$AF18)&amp;"")</f>
        <v/>
      </c>
      <c r="D18" s="85">
        <f>IF($AF18="","",INDEX(RiskRegister!$F:$F,$AF18)&amp;"")</f>
        <v/>
      </c>
      <c r="E18" s="83">
        <f>IF($AF18="","",IF(INDEX(RiskRegister!$G:$G,$AF18)="","",INDEX(RiskRegister!$G:$G,$AF18)))</f>
        <v/>
      </c>
      <c r="F18" s="83">
        <f>IF($AF18="","",IF(INDEX(RiskRegister!$K:$K,$AF18)="","",INDEX(RiskRegister!$K:$K,$AF18)))</f>
        <v/>
      </c>
      <c r="G18" s="83">
        <f>IF($AF18="","",IF(INDEX(RiskRegister!$I:$I,$AF18)="","",INDEX(RiskRegister!$I:$I,$AF18)))</f>
        <v/>
      </c>
      <c r="H18" s="83">
        <f>IF($AF18="","",IF(INDEX(RiskRegister!$H:$H,$AF18)="","",INDEX(RiskRegister!$H:$H,$AF18)))</f>
        <v/>
      </c>
      <c r="I18" s="86">
        <f>IF($AF18="","",IF(INDEX(RiskRegister!$J:$J,$AF18)="","",INDEX(RiskRegister!$J:$J,$AF18)))</f>
        <v/>
      </c>
      <c r="J18" s="85">
        <f>IF($AF18="","",INDEX(RiskRegister!$AA:$AA,$AF18)&amp;"")</f>
        <v/>
      </c>
      <c r="K18" s="83">
        <f>IF($AF18="","",IF(INDEX(RiskRegister!$AD:$AD,$AF18)="","",INDEX(RiskRegister!$AD:$AD,$AF18)))</f>
        <v/>
      </c>
      <c r="L18" s="85">
        <f>IF($AF18="","",INDEX(RiskRegister!$AE:$AE,$AF18)&amp;"")</f>
        <v/>
      </c>
      <c r="M18" s="85">
        <f>IF($AF18="","",INDEX(RiskRegister!$N:$N,$AF18)&amp;"")</f>
        <v/>
      </c>
      <c r="N18" s="83">
        <f>IF($AF18="","",INDEX(RiskRegister!$W:$W,$AF18)&amp;"")</f>
        <v/>
      </c>
      <c r="O18" s="130">
        <f>IF($A18="","",COUNTIFS(NW_Rischio_ID,$A18,NW_Settimana,"&gt;="&amp;inizioFinestra4,NW_Settimana,"&lt;="&amp;settimanaCorrente))</f>
        <v/>
      </c>
      <c r="P18" s="131">
        <f>INDEX(nomiDriver,1)</f>
        <v/>
      </c>
      <c r="Q18" s="132">
        <f>IF(COUNTIFS(ANA_Event_Type,Q$17,ANA_Driver,"*"&amp;INDEX(codiciDriver,1)&amp;"*")=0,"",COUNTIFS(ANA_Event_Type,Q$17,ANA_Driver,"*"&amp;INDEX(codiciDriver,1)&amp;"*"))</f>
        <v/>
      </c>
      <c r="R18" s="132">
        <f>IF(COUNTIFS(ANA_Event_Type,R$17,ANA_Driver,"*"&amp;INDEX(codiciDriver,1)&amp;"*")=0,"",COUNTIFS(ANA_Event_Type,R$17,ANA_Driver,"*"&amp;INDEX(codiciDriver,1)&amp;"*"))</f>
        <v/>
      </c>
      <c r="S18" s="132">
        <f>IF(COUNTIFS(ANA_Event_Type,S$17,ANA_Driver,"*"&amp;INDEX(codiciDriver,1)&amp;"*")=0,"",COUNTIFS(ANA_Event_Type,S$17,ANA_Driver,"*"&amp;INDEX(codiciDriver,1)&amp;"*"))</f>
        <v/>
      </c>
      <c r="T18" s="132">
        <f>IF(COUNTIFS(ANA_Event_Type,T$17,ANA_Driver,"*"&amp;INDEX(codiciDriver,1)&amp;"*")=0,"",COUNTIFS(ANA_Event_Type,T$17,ANA_Driver,"*"&amp;INDEX(codiciDriver,1)&amp;"*"))</f>
        <v/>
      </c>
      <c r="U18" s="132">
        <f>IF(COUNTIFS(ANA_Event_Type,U$17,ANA_Driver,"*"&amp;INDEX(codiciDriver,1)&amp;"*")=0,"",COUNTIFS(ANA_Event_Type,U$17,ANA_Driver,"*"&amp;INDEX(codiciDriver,1)&amp;"*"))</f>
        <v/>
      </c>
      <c r="V18" s="132">
        <f>IF(COUNTIFS(ANA_Event_Type,V$17,ANA_Driver,"*"&amp;INDEX(codiciDriver,1)&amp;"*")=0,"",COUNTIFS(ANA_Event_Type,V$17,ANA_Driver,"*"&amp;INDEX(codiciDriver,1)&amp;"*"))</f>
        <v/>
      </c>
      <c r="W18" s="132">
        <f>IF(COUNTIFS(ANA_Event_Type,W$17,ANA_Driver,"*"&amp;INDEX(codiciDriver,1)&amp;"*")=0,"",COUNTIFS(ANA_Event_Type,W$17,ANA_Driver,"*"&amp;INDEX(codiciDriver,1)&amp;"*"))</f>
        <v/>
      </c>
      <c r="X18" s="132">
        <f>IF(COUNTIFS(ANA_Event_Type,X$17,ANA_Driver,"*"&amp;INDEX(codiciDriver,1)&amp;"*")=0,"",COUNTIFS(ANA_Event_Type,X$17,ANA_Driver,"*"&amp;INDEX(codiciDriver,1)&amp;"*"))</f>
        <v/>
      </c>
      <c r="Y18" s="132">
        <f>IF(COUNTIFS(ANA_Event_Type,Y$17,ANA_Driver,"*"&amp;INDEX(codiciDriver,1)&amp;"*")=0,"",COUNTIFS(ANA_Event_Type,Y$17,ANA_Driver,"*"&amp;INDEX(codiciDriver,1)&amp;"*"))</f>
        <v/>
      </c>
      <c r="Z18" s="133">
        <f>SUM(Q18:Y18)</f>
        <v/>
      </c>
      <c r="AF18">
        <f>IFERROR(MATCH(_xlfn.AGGREGATE(14,6,RR_Ordine_Osservazione,13),RR_Ordine_Osservazione,0)+5,"")</f>
        <v/>
      </c>
    </row>
    <row r="19" ht="45" customHeight="1">
      <c r="A19" s="129">
        <f>IF($AF19="","",INDEX(RiskRegister!$C:$C,$AF19)&amp;"")</f>
        <v/>
      </c>
      <c r="B19" s="85">
        <f>IF($AF19="","",INDEX(RiskRegister!$D:$D,$AF19)&amp;"")</f>
        <v/>
      </c>
      <c r="C19" s="83">
        <f>IF($AF19="","",INDEX(RiskRegister!$E:$E,$AF19)&amp;"")</f>
        <v/>
      </c>
      <c r="D19" s="85">
        <f>IF($AF19="","",INDEX(RiskRegister!$F:$F,$AF19)&amp;"")</f>
        <v/>
      </c>
      <c r="E19" s="83">
        <f>IF($AF19="","",IF(INDEX(RiskRegister!$G:$G,$AF19)="","",INDEX(RiskRegister!$G:$G,$AF19)))</f>
        <v/>
      </c>
      <c r="F19" s="83">
        <f>IF($AF19="","",IF(INDEX(RiskRegister!$K:$K,$AF19)="","",INDEX(RiskRegister!$K:$K,$AF19)))</f>
        <v/>
      </c>
      <c r="G19" s="83">
        <f>IF($AF19="","",IF(INDEX(RiskRegister!$I:$I,$AF19)="","",INDEX(RiskRegister!$I:$I,$AF19)))</f>
        <v/>
      </c>
      <c r="H19" s="83">
        <f>IF($AF19="","",IF(INDEX(RiskRegister!$H:$H,$AF19)="","",INDEX(RiskRegister!$H:$H,$AF19)))</f>
        <v/>
      </c>
      <c r="I19" s="86">
        <f>IF($AF19="","",IF(INDEX(RiskRegister!$J:$J,$AF19)="","",INDEX(RiskRegister!$J:$J,$AF19)))</f>
        <v/>
      </c>
      <c r="J19" s="85">
        <f>IF($AF19="","",INDEX(RiskRegister!$AA:$AA,$AF19)&amp;"")</f>
        <v/>
      </c>
      <c r="K19" s="83">
        <f>IF($AF19="","",IF(INDEX(RiskRegister!$AD:$AD,$AF19)="","",INDEX(RiskRegister!$AD:$AD,$AF19)))</f>
        <v/>
      </c>
      <c r="L19" s="85">
        <f>IF($AF19="","",INDEX(RiskRegister!$AE:$AE,$AF19)&amp;"")</f>
        <v/>
      </c>
      <c r="M19" s="85">
        <f>IF($AF19="","",INDEX(RiskRegister!$N:$N,$AF19)&amp;"")</f>
        <v/>
      </c>
      <c r="N19" s="83">
        <f>IF($AF19="","",INDEX(RiskRegister!$W:$W,$AF19)&amp;"")</f>
        <v/>
      </c>
      <c r="O19" s="130">
        <f>IF($A19="","",COUNTIFS(NW_Rischio_ID,$A19,NW_Settimana,"&gt;="&amp;inizioFinestra4,NW_Settimana,"&lt;="&amp;settimanaCorrente))</f>
        <v/>
      </c>
      <c r="P19" s="131">
        <f>INDEX(nomiDriver,2)</f>
        <v/>
      </c>
      <c r="Q19" s="132">
        <f>IF(COUNTIFS(ANA_Event_Type,Q$17,ANA_Driver,"*"&amp;INDEX(codiciDriver,2)&amp;"*")=0,"",COUNTIFS(ANA_Event_Type,Q$17,ANA_Driver,"*"&amp;INDEX(codiciDriver,2)&amp;"*"))</f>
        <v/>
      </c>
      <c r="R19" s="132">
        <f>IF(COUNTIFS(ANA_Event_Type,R$17,ANA_Driver,"*"&amp;INDEX(codiciDriver,2)&amp;"*")=0,"",COUNTIFS(ANA_Event_Type,R$17,ANA_Driver,"*"&amp;INDEX(codiciDriver,2)&amp;"*"))</f>
        <v/>
      </c>
      <c r="S19" s="132">
        <f>IF(COUNTIFS(ANA_Event_Type,S$17,ANA_Driver,"*"&amp;INDEX(codiciDriver,2)&amp;"*")=0,"",COUNTIFS(ANA_Event_Type,S$17,ANA_Driver,"*"&amp;INDEX(codiciDriver,2)&amp;"*"))</f>
        <v/>
      </c>
      <c r="T19" s="132">
        <f>IF(COUNTIFS(ANA_Event_Type,T$17,ANA_Driver,"*"&amp;INDEX(codiciDriver,2)&amp;"*")=0,"",COUNTIFS(ANA_Event_Type,T$17,ANA_Driver,"*"&amp;INDEX(codiciDriver,2)&amp;"*"))</f>
        <v/>
      </c>
      <c r="U19" s="132">
        <f>IF(COUNTIFS(ANA_Event_Type,U$17,ANA_Driver,"*"&amp;INDEX(codiciDriver,2)&amp;"*")=0,"",COUNTIFS(ANA_Event_Type,U$17,ANA_Driver,"*"&amp;INDEX(codiciDriver,2)&amp;"*"))</f>
        <v/>
      </c>
      <c r="V19" s="132">
        <f>IF(COUNTIFS(ANA_Event_Type,V$17,ANA_Driver,"*"&amp;INDEX(codiciDriver,2)&amp;"*")=0,"",COUNTIFS(ANA_Event_Type,V$17,ANA_Driver,"*"&amp;INDEX(codiciDriver,2)&amp;"*"))</f>
        <v/>
      </c>
      <c r="W19" s="132">
        <f>IF(COUNTIFS(ANA_Event_Type,W$17,ANA_Driver,"*"&amp;INDEX(codiciDriver,2)&amp;"*")=0,"",COUNTIFS(ANA_Event_Type,W$17,ANA_Driver,"*"&amp;INDEX(codiciDriver,2)&amp;"*"))</f>
        <v/>
      </c>
      <c r="X19" s="132">
        <f>IF(COUNTIFS(ANA_Event_Type,X$17,ANA_Driver,"*"&amp;INDEX(codiciDriver,2)&amp;"*")=0,"",COUNTIFS(ANA_Event_Type,X$17,ANA_Driver,"*"&amp;INDEX(codiciDriver,2)&amp;"*"))</f>
        <v/>
      </c>
      <c r="Y19" s="132">
        <f>IF(COUNTIFS(ANA_Event_Type,Y$17,ANA_Driver,"*"&amp;INDEX(codiciDriver,2)&amp;"*")=0,"",COUNTIFS(ANA_Event_Type,Y$17,ANA_Driver,"*"&amp;INDEX(codiciDriver,2)&amp;"*"))</f>
        <v/>
      </c>
      <c r="Z19" s="133">
        <f>SUM(Q19:Y19)</f>
        <v/>
      </c>
      <c r="AF19">
        <f>IFERROR(MATCH(_xlfn.AGGREGATE(14,6,RR_Ordine_Osservazione,14),RR_Ordine_Osservazione,0)+5,"")</f>
        <v/>
      </c>
    </row>
    <row r="20" ht="45" customHeight="1">
      <c r="A20" s="129">
        <f>IF($AF20="","",INDEX(RiskRegister!$C:$C,$AF20)&amp;"")</f>
        <v/>
      </c>
      <c r="B20" s="85">
        <f>IF($AF20="","",INDEX(RiskRegister!$D:$D,$AF20)&amp;"")</f>
        <v/>
      </c>
      <c r="C20" s="83">
        <f>IF($AF20="","",INDEX(RiskRegister!$E:$E,$AF20)&amp;"")</f>
        <v/>
      </c>
      <c r="D20" s="85">
        <f>IF($AF20="","",INDEX(RiskRegister!$F:$F,$AF20)&amp;"")</f>
        <v/>
      </c>
      <c r="E20" s="83">
        <f>IF($AF20="","",IF(INDEX(RiskRegister!$G:$G,$AF20)="","",INDEX(RiskRegister!$G:$G,$AF20)))</f>
        <v/>
      </c>
      <c r="F20" s="83">
        <f>IF($AF20="","",IF(INDEX(RiskRegister!$K:$K,$AF20)="","",INDEX(RiskRegister!$K:$K,$AF20)))</f>
        <v/>
      </c>
      <c r="G20" s="83">
        <f>IF($AF20="","",IF(INDEX(RiskRegister!$I:$I,$AF20)="","",INDEX(RiskRegister!$I:$I,$AF20)))</f>
        <v/>
      </c>
      <c r="H20" s="83">
        <f>IF($AF20="","",IF(INDEX(RiskRegister!$H:$H,$AF20)="","",INDEX(RiskRegister!$H:$H,$AF20)))</f>
        <v/>
      </c>
      <c r="I20" s="86">
        <f>IF($AF20="","",IF(INDEX(RiskRegister!$J:$J,$AF20)="","",INDEX(RiskRegister!$J:$J,$AF20)))</f>
        <v/>
      </c>
      <c r="J20" s="85">
        <f>IF($AF20="","",INDEX(RiskRegister!$AA:$AA,$AF20)&amp;"")</f>
        <v/>
      </c>
      <c r="K20" s="83">
        <f>IF($AF20="","",IF(INDEX(RiskRegister!$AD:$AD,$AF20)="","",INDEX(RiskRegister!$AD:$AD,$AF20)))</f>
        <v/>
      </c>
      <c r="L20" s="85">
        <f>IF($AF20="","",INDEX(RiskRegister!$AE:$AE,$AF20)&amp;"")</f>
        <v/>
      </c>
      <c r="M20" s="85">
        <f>IF($AF20="","",INDEX(RiskRegister!$N:$N,$AF20)&amp;"")</f>
        <v/>
      </c>
      <c r="N20" s="83">
        <f>IF($AF20="","",INDEX(RiskRegister!$W:$W,$AF20)&amp;"")</f>
        <v/>
      </c>
      <c r="O20" s="130">
        <f>IF($A20="","",COUNTIFS(NW_Rischio_ID,$A20,NW_Settimana,"&gt;="&amp;inizioFinestra4,NW_Settimana,"&lt;="&amp;settimanaCorrente))</f>
        <v/>
      </c>
      <c r="P20" s="131">
        <f>INDEX(nomiDriver,3)</f>
        <v/>
      </c>
      <c r="Q20" s="132">
        <f>IF(COUNTIFS(ANA_Event_Type,Q$17,ANA_Driver,"*"&amp;INDEX(codiciDriver,3)&amp;"*")=0,"",COUNTIFS(ANA_Event_Type,Q$17,ANA_Driver,"*"&amp;INDEX(codiciDriver,3)&amp;"*"))</f>
        <v/>
      </c>
      <c r="R20" s="132">
        <f>IF(COUNTIFS(ANA_Event_Type,R$17,ANA_Driver,"*"&amp;INDEX(codiciDriver,3)&amp;"*")=0,"",COUNTIFS(ANA_Event_Type,R$17,ANA_Driver,"*"&amp;INDEX(codiciDriver,3)&amp;"*"))</f>
        <v/>
      </c>
      <c r="S20" s="132">
        <f>IF(COUNTIFS(ANA_Event_Type,S$17,ANA_Driver,"*"&amp;INDEX(codiciDriver,3)&amp;"*")=0,"",COUNTIFS(ANA_Event_Type,S$17,ANA_Driver,"*"&amp;INDEX(codiciDriver,3)&amp;"*"))</f>
        <v/>
      </c>
      <c r="T20" s="132">
        <f>IF(COUNTIFS(ANA_Event_Type,T$17,ANA_Driver,"*"&amp;INDEX(codiciDriver,3)&amp;"*")=0,"",COUNTIFS(ANA_Event_Type,T$17,ANA_Driver,"*"&amp;INDEX(codiciDriver,3)&amp;"*"))</f>
        <v/>
      </c>
      <c r="U20" s="132">
        <f>IF(COUNTIFS(ANA_Event_Type,U$17,ANA_Driver,"*"&amp;INDEX(codiciDriver,3)&amp;"*")=0,"",COUNTIFS(ANA_Event_Type,U$17,ANA_Driver,"*"&amp;INDEX(codiciDriver,3)&amp;"*"))</f>
        <v/>
      </c>
      <c r="V20" s="132">
        <f>IF(COUNTIFS(ANA_Event_Type,V$17,ANA_Driver,"*"&amp;INDEX(codiciDriver,3)&amp;"*")=0,"",COUNTIFS(ANA_Event_Type,V$17,ANA_Driver,"*"&amp;INDEX(codiciDriver,3)&amp;"*"))</f>
        <v/>
      </c>
      <c r="W20" s="132">
        <f>IF(COUNTIFS(ANA_Event_Type,W$17,ANA_Driver,"*"&amp;INDEX(codiciDriver,3)&amp;"*")=0,"",COUNTIFS(ANA_Event_Type,W$17,ANA_Driver,"*"&amp;INDEX(codiciDriver,3)&amp;"*"))</f>
        <v/>
      </c>
      <c r="X20" s="132">
        <f>IF(COUNTIFS(ANA_Event_Type,X$17,ANA_Driver,"*"&amp;INDEX(codiciDriver,3)&amp;"*")=0,"",COUNTIFS(ANA_Event_Type,X$17,ANA_Driver,"*"&amp;INDEX(codiciDriver,3)&amp;"*"))</f>
        <v/>
      </c>
      <c r="Y20" s="132">
        <f>IF(COUNTIFS(ANA_Event_Type,Y$17,ANA_Driver,"*"&amp;INDEX(codiciDriver,3)&amp;"*")=0,"",COUNTIFS(ANA_Event_Type,Y$17,ANA_Driver,"*"&amp;INDEX(codiciDriver,3)&amp;"*"))</f>
        <v/>
      </c>
      <c r="Z20" s="133">
        <f>SUM(Q20:Y20)</f>
        <v/>
      </c>
      <c r="AF20">
        <f>IFERROR(MATCH(_xlfn.AGGREGATE(14,6,RR_Ordine_Osservazione,15),RR_Ordine_Osservazione,0)+5,"")</f>
        <v/>
      </c>
    </row>
    <row r="21" ht="45" customHeight="1">
      <c r="A21" s="129">
        <f>IF($AF21="","",INDEX(RiskRegister!$C:$C,$AF21)&amp;"")</f>
        <v/>
      </c>
      <c r="B21" s="85">
        <f>IF($AF21="","",INDEX(RiskRegister!$D:$D,$AF21)&amp;"")</f>
        <v/>
      </c>
      <c r="C21" s="83">
        <f>IF($AF21="","",INDEX(RiskRegister!$E:$E,$AF21)&amp;"")</f>
        <v/>
      </c>
      <c r="D21" s="85">
        <f>IF($AF21="","",INDEX(RiskRegister!$F:$F,$AF21)&amp;"")</f>
        <v/>
      </c>
      <c r="E21" s="83">
        <f>IF($AF21="","",IF(INDEX(RiskRegister!$G:$G,$AF21)="","",INDEX(RiskRegister!$G:$G,$AF21)))</f>
        <v/>
      </c>
      <c r="F21" s="83">
        <f>IF($AF21="","",IF(INDEX(RiskRegister!$K:$K,$AF21)="","",INDEX(RiskRegister!$K:$K,$AF21)))</f>
        <v/>
      </c>
      <c r="G21" s="83">
        <f>IF($AF21="","",IF(INDEX(RiskRegister!$I:$I,$AF21)="","",INDEX(RiskRegister!$I:$I,$AF21)))</f>
        <v/>
      </c>
      <c r="H21" s="83">
        <f>IF($AF21="","",IF(INDEX(RiskRegister!$H:$H,$AF21)="","",INDEX(RiskRegister!$H:$H,$AF21)))</f>
        <v/>
      </c>
      <c r="I21" s="86">
        <f>IF($AF21="","",IF(INDEX(RiskRegister!$J:$J,$AF21)="","",INDEX(RiskRegister!$J:$J,$AF21)))</f>
        <v/>
      </c>
      <c r="J21" s="85">
        <f>IF($AF21="","",INDEX(RiskRegister!$AA:$AA,$AF21)&amp;"")</f>
        <v/>
      </c>
      <c r="K21" s="83">
        <f>IF($AF21="","",IF(INDEX(RiskRegister!$AD:$AD,$AF21)="","",INDEX(RiskRegister!$AD:$AD,$AF21)))</f>
        <v/>
      </c>
      <c r="L21" s="85">
        <f>IF($AF21="","",INDEX(RiskRegister!$AE:$AE,$AF21)&amp;"")</f>
        <v/>
      </c>
      <c r="M21" s="85">
        <f>IF($AF21="","",INDEX(RiskRegister!$N:$N,$AF21)&amp;"")</f>
        <v/>
      </c>
      <c r="N21" s="83">
        <f>IF($AF21="","",INDEX(RiskRegister!$W:$W,$AF21)&amp;"")</f>
        <v/>
      </c>
      <c r="O21" s="130">
        <f>IF($A21="","",COUNTIFS(NW_Rischio_ID,$A21,NW_Settimana,"&gt;="&amp;inizioFinestra4,NW_Settimana,"&lt;="&amp;settimanaCorrente))</f>
        <v/>
      </c>
      <c r="P21" s="131">
        <f>INDEX(nomiDriver,4)</f>
        <v/>
      </c>
      <c r="Q21" s="132">
        <f>IF(COUNTIFS(ANA_Event_Type,Q$17,ANA_Driver,"*"&amp;INDEX(codiciDriver,4)&amp;"*")=0,"",COUNTIFS(ANA_Event_Type,Q$17,ANA_Driver,"*"&amp;INDEX(codiciDriver,4)&amp;"*"))</f>
        <v/>
      </c>
      <c r="R21" s="132">
        <f>IF(COUNTIFS(ANA_Event_Type,R$17,ANA_Driver,"*"&amp;INDEX(codiciDriver,4)&amp;"*")=0,"",COUNTIFS(ANA_Event_Type,R$17,ANA_Driver,"*"&amp;INDEX(codiciDriver,4)&amp;"*"))</f>
        <v/>
      </c>
      <c r="S21" s="132">
        <f>IF(COUNTIFS(ANA_Event_Type,S$17,ANA_Driver,"*"&amp;INDEX(codiciDriver,4)&amp;"*")=0,"",COUNTIFS(ANA_Event_Type,S$17,ANA_Driver,"*"&amp;INDEX(codiciDriver,4)&amp;"*"))</f>
        <v/>
      </c>
      <c r="T21" s="132">
        <f>IF(COUNTIFS(ANA_Event_Type,T$17,ANA_Driver,"*"&amp;INDEX(codiciDriver,4)&amp;"*")=0,"",COUNTIFS(ANA_Event_Type,T$17,ANA_Driver,"*"&amp;INDEX(codiciDriver,4)&amp;"*"))</f>
        <v/>
      </c>
      <c r="U21" s="132">
        <f>IF(COUNTIFS(ANA_Event_Type,U$17,ANA_Driver,"*"&amp;INDEX(codiciDriver,4)&amp;"*")=0,"",COUNTIFS(ANA_Event_Type,U$17,ANA_Driver,"*"&amp;INDEX(codiciDriver,4)&amp;"*"))</f>
        <v/>
      </c>
      <c r="V21" s="132">
        <f>IF(COUNTIFS(ANA_Event_Type,V$17,ANA_Driver,"*"&amp;INDEX(codiciDriver,4)&amp;"*")=0,"",COUNTIFS(ANA_Event_Type,V$17,ANA_Driver,"*"&amp;INDEX(codiciDriver,4)&amp;"*"))</f>
        <v/>
      </c>
      <c r="W21" s="132">
        <f>IF(COUNTIFS(ANA_Event_Type,W$17,ANA_Driver,"*"&amp;INDEX(codiciDriver,4)&amp;"*")=0,"",COUNTIFS(ANA_Event_Type,W$17,ANA_Driver,"*"&amp;INDEX(codiciDriver,4)&amp;"*"))</f>
        <v/>
      </c>
      <c r="X21" s="132">
        <f>IF(COUNTIFS(ANA_Event_Type,X$17,ANA_Driver,"*"&amp;INDEX(codiciDriver,4)&amp;"*")=0,"",COUNTIFS(ANA_Event_Type,X$17,ANA_Driver,"*"&amp;INDEX(codiciDriver,4)&amp;"*"))</f>
        <v/>
      </c>
      <c r="Y21" s="132">
        <f>IF(COUNTIFS(ANA_Event_Type,Y$17,ANA_Driver,"*"&amp;INDEX(codiciDriver,4)&amp;"*")=0,"",COUNTIFS(ANA_Event_Type,Y$17,ANA_Driver,"*"&amp;INDEX(codiciDriver,4)&amp;"*"))</f>
        <v/>
      </c>
      <c r="Z21" s="133">
        <f>SUM(Q21:Y21)</f>
        <v/>
      </c>
      <c r="AF21">
        <f>IFERROR(MATCH(_xlfn.AGGREGATE(14,6,RR_Ordine_Osservazione,16),RR_Ordine_Osservazione,0)+5,"")</f>
        <v/>
      </c>
    </row>
    <row r="22" ht="45" customHeight="1">
      <c r="A22" s="129">
        <f>IF($AF22="","",INDEX(RiskRegister!$C:$C,$AF22)&amp;"")</f>
        <v/>
      </c>
      <c r="B22" s="85">
        <f>IF($AF22="","",INDEX(RiskRegister!$D:$D,$AF22)&amp;"")</f>
        <v/>
      </c>
      <c r="C22" s="83">
        <f>IF($AF22="","",INDEX(RiskRegister!$E:$E,$AF22)&amp;"")</f>
        <v/>
      </c>
      <c r="D22" s="85">
        <f>IF($AF22="","",INDEX(RiskRegister!$F:$F,$AF22)&amp;"")</f>
        <v/>
      </c>
      <c r="E22" s="83">
        <f>IF($AF22="","",IF(INDEX(RiskRegister!$G:$G,$AF22)="","",INDEX(RiskRegister!$G:$G,$AF22)))</f>
        <v/>
      </c>
      <c r="F22" s="83">
        <f>IF($AF22="","",IF(INDEX(RiskRegister!$K:$K,$AF22)="","",INDEX(RiskRegister!$K:$K,$AF22)))</f>
        <v/>
      </c>
      <c r="G22" s="83">
        <f>IF($AF22="","",IF(INDEX(RiskRegister!$I:$I,$AF22)="","",INDEX(RiskRegister!$I:$I,$AF22)))</f>
        <v/>
      </c>
      <c r="H22" s="83">
        <f>IF($AF22="","",IF(INDEX(RiskRegister!$H:$H,$AF22)="","",INDEX(RiskRegister!$H:$H,$AF22)))</f>
        <v/>
      </c>
      <c r="I22" s="86">
        <f>IF($AF22="","",IF(INDEX(RiskRegister!$J:$J,$AF22)="","",INDEX(RiskRegister!$J:$J,$AF22)))</f>
        <v/>
      </c>
      <c r="J22" s="85">
        <f>IF($AF22="","",INDEX(RiskRegister!$AA:$AA,$AF22)&amp;"")</f>
        <v/>
      </c>
      <c r="K22" s="83">
        <f>IF($AF22="","",IF(INDEX(RiskRegister!$AD:$AD,$AF22)="","",INDEX(RiskRegister!$AD:$AD,$AF22)))</f>
        <v/>
      </c>
      <c r="L22" s="85">
        <f>IF($AF22="","",INDEX(RiskRegister!$AE:$AE,$AF22)&amp;"")</f>
        <v/>
      </c>
      <c r="M22" s="85">
        <f>IF($AF22="","",INDEX(RiskRegister!$N:$N,$AF22)&amp;"")</f>
        <v/>
      </c>
      <c r="N22" s="83">
        <f>IF($AF22="","",INDEX(RiskRegister!$W:$W,$AF22)&amp;"")</f>
        <v/>
      </c>
      <c r="O22" s="130">
        <f>IF($A22="","",COUNTIFS(NW_Rischio_ID,$A22,NW_Settimana,"&gt;="&amp;inizioFinestra4,NW_Settimana,"&lt;="&amp;settimanaCorrente))</f>
        <v/>
      </c>
      <c r="P22" s="131">
        <f>INDEX(nomiDriver,5)</f>
        <v/>
      </c>
      <c r="Q22" s="132">
        <f>IF(COUNTIFS(ANA_Event_Type,Q$17,ANA_Driver,"*"&amp;INDEX(codiciDriver,5)&amp;"*")=0,"",COUNTIFS(ANA_Event_Type,Q$17,ANA_Driver,"*"&amp;INDEX(codiciDriver,5)&amp;"*"))</f>
        <v/>
      </c>
      <c r="R22" s="132">
        <f>IF(COUNTIFS(ANA_Event_Type,R$17,ANA_Driver,"*"&amp;INDEX(codiciDriver,5)&amp;"*")=0,"",COUNTIFS(ANA_Event_Type,R$17,ANA_Driver,"*"&amp;INDEX(codiciDriver,5)&amp;"*"))</f>
        <v/>
      </c>
      <c r="S22" s="132">
        <f>IF(COUNTIFS(ANA_Event_Type,S$17,ANA_Driver,"*"&amp;INDEX(codiciDriver,5)&amp;"*")=0,"",COUNTIFS(ANA_Event_Type,S$17,ANA_Driver,"*"&amp;INDEX(codiciDriver,5)&amp;"*"))</f>
        <v/>
      </c>
      <c r="T22" s="132">
        <f>IF(COUNTIFS(ANA_Event_Type,T$17,ANA_Driver,"*"&amp;INDEX(codiciDriver,5)&amp;"*")=0,"",COUNTIFS(ANA_Event_Type,T$17,ANA_Driver,"*"&amp;INDEX(codiciDriver,5)&amp;"*"))</f>
        <v/>
      </c>
      <c r="U22" s="132">
        <f>IF(COUNTIFS(ANA_Event_Type,U$17,ANA_Driver,"*"&amp;INDEX(codiciDriver,5)&amp;"*")=0,"",COUNTIFS(ANA_Event_Type,U$17,ANA_Driver,"*"&amp;INDEX(codiciDriver,5)&amp;"*"))</f>
        <v/>
      </c>
      <c r="V22" s="132">
        <f>IF(COUNTIFS(ANA_Event_Type,V$17,ANA_Driver,"*"&amp;INDEX(codiciDriver,5)&amp;"*")=0,"",COUNTIFS(ANA_Event_Type,V$17,ANA_Driver,"*"&amp;INDEX(codiciDriver,5)&amp;"*"))</f>
        <v/>
      </c>
      <c r="W22" s="132">
        <f>IF(COUNTIFS(ANA_Event_Type,W$17,ANA_Driver,"*"&amp;INDEX(codiciDriver,5)&amp;"*")=0,"",COUNTIFS(ANA_Event_Type,W$17,ANA_Driver,"*"&amp;INDEX(codiciDriver,5)&amp;"*"))</f>
        <v/>
      </c>
      <c r="X22" s="132">
        <f>IF(COUNTIFS(ANA_Event_Type,X$17,ANA_Driver,"*"&amp;INDEX(codiciDriver,5)&amp;"*")=0,"",COUNTIFS(ANA_Event_Type,X$17,ANA_Driver,"*"&amp;INDEX(codiciDriver,5)&amp;"*"))</f>
        <v/>
      </c>
      <c r="Y22" s="132">
        <f>IF(COUNTIFS(ANA_Event_Type,Y$17,ANA_Driver,"*"&amp;INDEX(codiciDriver,5)&amp;"*")=0,"",COUNTIFS(ANA_Event_Type,Y$17,ANA_Driver,"*"&amp;INDEX(codiciDriver,5)&amp;"*"))</f>
        <v/>
      </c>
      <c r="Z22" s="133">
        <f>SUM(Q22:Y22)</f>
        <v/>
      </c>
      <c r="AF22">
        <f>IFERROR(MATCH(_xlfn.AGGREGATE(14,6,RR_Ordine_Osservazione,17),RR_Ordine_Osservazione,0)+5,"")</f>
        <v/>
      </c>
    </row>
    <row r="23" ht="45" customHeight="1">
      <c r="A23" s="129">
        <f>IF($AF23="","",INDEX(RiskRegister!$C:$C,$AF23)&amp;"")</f>
        <v/>
      </c>
      <c r="B23" s="85">
        <f>IF($AF23="","",INDEX(RiskRegister!$D:$D,$AF23)&amp;"")</f>
        <v/>
      </c>
      <c r="C23" s="83">
        <f>IF($AF23="","",INDEX(RiskRegister!$E:$E,$AF23)&amp;"")</f>
        <v/>
      </c>
      <c r="D23" s="85">
        <f>IF($AF23="","",INDEX(RiskRegister!$F:$F,$AF23)&amp;"")</f>
        <v/>
      </c>
      <c r="E23" s="83">
        <f>IF($AF23="","",IF(INDEX(RiskRegister!$G:$G,$AF23)="","",INDEX(RiskRegister!$G:$G,$AF23)))</f>
        <v/>
      </c>
      <c r="F23" s="83">
        <f>IF($AF23="","",IF(INDEX(RiskRegister!$K:$K,$AF23)="","",INDEX(RiskRegister!$K:$K,$AF23)))</f>
        <v/>
      </c>
      <c r="G23" s="83">
        <f>IF($AF23="","",IF(INDEX(RiskRegister!$I:$I,$AF23)="","",INDEX(RiskRegister!$I:$I,$AF23)))</f>
        <v/>
      </c>
      <c r="H23" s="83">
        <f>IF($AF23="","",IF(INDEX(RiskRegister!$H:$H,$AF23)="","",INDEX(RiskRegister!$H:$H,$AF23)))</f>
        <v/>
      </c>
      <c r="I23" s="86">
        <f>IF($AF23="","",IF(INDEX(RiskRegister!$J:$J,$AF23)="","",INDEX(RiskRegister!$J:$J,$AF23)))</f>
        <v/>
      </c>
      <c r="J23" s="85">
        <f>IF($AF23="","",INDEX(RiskRegister!$AA:$AA,$AF23)&amp;"")</f>
        <v/>
      </c>
      <c r="K23" s="83">
        <f>IF($AF23="","",IF(INDEX(RiskRegister!$AD:$AD,$AF23)="","",INDEX(RiskRegister!$AD:$AD,$AF23)))</f>
        <v/>
      </c>
      <c r="L23" s="85">
        <f>IF($AF23="","",INDEX(RiskRegister!$AE:$AE,$AF23)&amp;"")</f>
        <v/>
      </c>
      <c r="M23" s="85">
        <f>IF($AF23="","",INDEX(RiskRegister!$N:$N,$AF23)&amp;"")</f>
        <v/>
      </c>
      <c r="N23" s="83">
        <f>IF($AF23="","",INDEX(RiskRegister!$W:$W,$AF23)&amp;"")</f>
        <v/>
      </c>
      <c r="O23" s="130">
        <f>IF($A23="","",COUNTIFS(NW_Rischio_ID,$A23,NW_Settimana,"&gt;="&amp;inizioFinestra4,NW_Settimana,"&lt;="&amp;settimanaCorrente))</f>
        <v/>
      </c>
      <c r="P23" s="131">
        <f>INDEX(nomiDriver,6)</f>
        <v/>
      </c>
      <c r="Q23" s="132">
        <f>IF(COUNTIFS(ANA_Event_Type,Q$17,ANA_Driver,"*"&amp;INDEX(codiciDriver,6)&amp;"*")=0,"",COUNTIFS(ANA_Event_Type,Q$17,ANA_Driver,"*"&amp;INDEX(codiciDriver,6)&amp;"*"))</f>
        <v/>
      </c>
      <c r="R23" s="132">
        <f>IF(COUNTIFS(ANA_Event_Type,R$17,ANA_Driver,"*"&amp;INDEX(codiciDriver,6)&amp;"*")=0,"",COUNTIFS(ANA_Event_Type,R$17,ANA_Driver,"*"&amp;INDEX(codiciDriver,6)&amp;"*"))</f>
        <v/>
      </c>
      <c r="S23" s="132">
        <f>IF(COUNTIFS(ANA_Event_Type,S$17,ANA_Driver,"*"&amp;INDEX(codiciDriver,6)&amp;"*")=0,"",COUNTIFS(ANA_Event_Type,S$17,ANA_Driver,"*"&amp;INDEX(codiciDriver,6)&amp;"*"))</f>
        <v/>
      </c>
      <c r="T23" s="132">
        <f>IF(COUNTIFS(ANA_Event_Type,T$17,ANA_Driver,"*"&amp;INDEX(codiciDriver,6)&amp;"*")=0,"",COUNTIFS(ANA_Event_Type,T$17,ANA_Driver,"*"&amp;INDEX(codiciDriver,6)&amp;"*"))</f>
        <v/>
      </c>
      <c r="U23" s="132">
        <f>IF(COUNTIFS(ANA_Event_Type,U$17,ANA_Driver,"*"&amp;INDEX(codiciDriver,6)&amp;"*")=0,"",COUNTIFS(ANA_Event_Type,U$17,ANA_Driver,"*"&amp;INDEX(codiciDriver,6)&amp;"*"))</f>
        <v/>
      </c>
      <c r="V23" s="132">
        <f>IF(COUNTIFS(ANA_Event_Type,V$17,ANA_Driver,"*"&amp;INDEX(codiciDriver,6)&amp;"*")=0,"",COUNTIFS(ANA_Event_Type,V$17,ANA_Driver,"*"&amp;INDEX(codiciDriver,6)&amp;"*"))</f>
        <v/>
      </c>
      <c r="W23" s="132">
        <f>IF(COUNTIFS(ANA_Event_Type,W$17,ANA_Driver,"*"&amp;INDEX(codiciDriver,6)&amp;"*")=0,"",COUNTIFS(ANA_Event_Type,W$17,ANA_Driver,"*"&amp;INDEX(codiciDriver,6)&amp;"*"))</f>
        <v/>
      </c>
      <c r="X23" s="132">
        <f>IF(COUNTIFS(ANA_Event_Type,X$17,ANA_Driver,"*"&amp;INDEX(codiciDriver,6)&amp;"*")=0,"",COUNTIFS(ANA_Event_Type,X$17,ANA_Driver,"*"&amp;INDEX(codiciDriver,6)&amp;"*"))</f>
        <v/>
      </c>
      <c r="Y23" s="132">
        <f>IF(COUNTIFS(ANA_Event_Type,Y$17,ANA_Driver,"*"&amp;INDEX(codiciDriver,6)&amp;"*")=0,"",COUNTIFS(ANA_Event_Type,Y$17,ANA_Driver,"*"&amp;INDEX(codiciDriver,6)&amp;"*"))</f>
        <v/>
      </c>
      <c r="Z23" s="133">
        <f>SUM(Q23:Y23)</f>
        <v/>
      </c>
      <c r="AF23">
        <f>IFERROR(MATCH(_xlfn.AGGREGATE(14,6,RR_Ordine_Osservazione,18),RR_Ordine_Osservazione,0)+5,"")</f>
        <v/>
      </c>
    </row>
    <row r="24" ht="45" customHeight="1">
      <c r="A24" s="129">
        <f>IF($AF24="","",INDEX(RiskRegister!$C:$C,$AF24)&amp;"")</f>
        <v/>
      </c>
      <c r="B24" s="85">
        <f>IF($AF24="","",INDEX(RiskRegister!$D:$D,$AF24)&amp;"")</f>
        <v/>
      </c>
      <c r="C24" s="83">
        <f>IF($AF24="","",INDEX(RiskRegister!$E:$E,$AF24)&amp;"")</f>
        <v/>
      </c>
      <c r="D24" s="85">
        <f>IF($AF24="","",INDEX(RiskRegister!$F:$F,$AF24)&amp;"")</f>
        <v/>
      </c>
      <c r="E24" s="83">
        <f>IF($AF24="","",IF(INDEX(RiskRegister!$G:$G,$AF24)="","",INDEX(RiskRegister!$G:$G,$AF24)))</f>
        <v/>
      </c>
      <c r="F24" s="83">
        <f>IF($AF24="","",IF(INDEX(RiskRegister!$K:$K,$AF24)="","",INDEX(RiskRegister!$K:$K,$AF24)))</f>
        <v/>
      </c>
      <c r="G24" s="83">
        <f>IF($AF24="","",IF(INDEX(RiskRegister!$I:$I,$AF24)="","",INDEX(RiskRegister!$I:$I,$AF24)))</f>
        <v/>
      </c>
      <c r="H24" s="83">
        <f>IF($AF24="","",IF(INDEX(RiskRegister!$H:$H,$AF24)="","",INDEX(RiskRegister!$H:$H,$AF24)))</f>
        <v/>
      </c>
      <c r="I24" s="86">
        <f>IF($AF24="","",IF(INDEX(RiskRegister!$J:$J,$AF24)="","",INDEX(RiskRegister!$J:$J,$AF24)))</f>
        <v/>
      </c>
      <c r="J24" s="85">
        <f>IF($AF24="","",INDEX(RiskRegister!$AA:$AA,$AF24)&amp;"")</f>
        <v/>
      </c>
      <c r="K24" s="83">
        <f>IF($AF24="","",IF(INDEX(RiskRegister!$AD:$AD,$AF24)="","",INDEX(RiskRegister!$AD:$AD,$AF24)))</f>
        <v/>
      </c>
      <c r="L24" s="85">
        <f>IF($AF24="","",INDEX(RiskRegister!$AE:$AE,$AF24)&amp;"")</f>
        <v/>
      </c>
      <c r="M24" s="85">
        <f>IF($AF24="","",INDEX(RiskRegister!$N:$N,$AF24)&amp;"")</f>
        <v/>
      </c>
      <c r="N24" s="83">
        <f>IF($AF24="","",INDEX(RiskRegister!$W:$W,$AF24)&amp;"")</f>
        <v/>
      </c>
      <c r="O24" s="130">
        <f>IF($A24="","",COUNTIFS(NW_Rischio_ID,$A24,NW_Settimana,"&gt;="&amp;inizioFinestra4,NW_Settimana,"&lt;="&amp;settimanaCorrente))</f>
        <v/>
      </c>
      <c r="P24" s="131">
        <f>INDEX(nomiDriver,7)</f>
        <v/>
      </c>
      <c r="Q24" s="132">
        <f>IF(COUNTIFS(ANA_Event_Type,Q$17,ANA_Driver,"*"&amp;INDEX(codiciDriver,7)&amp;"*")=0,"",COUNTIFS(ANA_Event_Type,Q$17,ANA_Driver,"*"&amp;INDEX(codiciDriver,7)&amp;"*"))</f>
        <v/>
      </c>
      <c r="R24" s="132">
        <f>IF(COUNTIFS(ANA_Event_Type,R$17,ANA_Driver,"*"&amp;INDEX(codiciDriver,7)&amp;"*")=0,"",COUNTIFS(ANA_Event_Type,R$17,ANA_Driver,"*"&amp;INDEX(codiciDriver,7)&amp;"*"))</f>
        <v/>
      </c>
      <c r="S24" s="132">
        <f>IF(COUNTIFS(ANA_Event_Type,S$17,ANA_Driver,"*"&amp;INDEX(codiciDriver,7)&amp;"*")=0,"",COUNTIFS(ANA_Event_Type,S$17,ANA_Driver,"*"&amp;INDEX(codiciDriver,7)&amp;"*"))</f>
        <v/>
      </c>
      <c r="T24" s="132">
        <f>IF(COUNTIFS(ANA_Event_Type,T$17,ANA_Driver,"*"&amp;INDEX(codiciDriver,7)&amp;"*")=0,"",COUNTIFS(ANA_Event_Type,T$17,ANA_Driver,"*"&amp;INDEX(codiciDriver,7)&amp;"*"))</f>
        <v/>
      </c>
      <c r="U24" s="132">
        <f>IF(COUNTIFS(ANA_Event_Type,U$17,ANA_Driver,"*"&amp;INDEX(codiciDriver,7)&amp;"*")=0,"",COUNTIFS(ANA_Event_Type,U$17,ANA_Driver,"*"&amp;INDEX(codiciDriver,7)&amp;"*"))</f>
        <v/>
      </c>
      <c r="V24" s="132">
        <f>IF(COUNTIFS(ANA_Event_Type,V$17,ANA_Driver,"*"&amp;INDEX(codiciDriver,7)&amp;"*")=0,"",COUNTIFS(ANA_Event_Type,V$17,ANA_Driver,"*"&amp;INDEX(codiciDriver,7)&amp;"*"))</f>
        <v/>
      </c>
      <c r="W24" s="132">
        <f>IF(COUNTIFS(ANA_Event_Type,W$17,ANA_Driver,"*"&amp;INDEX(codiciDriver,7)&amp;"*")=0,"",COUNTIFS(ANA_Event_Type,W$17,ANA_Driver,"*"&amp;INDEX(codiciDriver,7)&amp;"*"))</f>
        <v/>
      </c>
      <c r="X24" s="132">
        <f>IF(COUNTIFS(ANA_Event_Type,X$17,ANA_Driver,"*"&amp;INDEX(codiciDriver,7)&amp;"*")=0,"",COUNTIFS(ANA_Event_Type,X$17,ANA_Driver,"*"&amp;INDEX(codiciDriver,7)&amp;"*"))</f>
        <v/>
      </c>
      <c r="Y24" s="132">
        <f>IF(COUNTIFS(ANA_Event_Type,Y$17,ANA_Driver,"*"&amp;INDEX(codiciDriver,7)&amp;"*")=0,"",COUNTIFS(ANA_Event_Type,Y$17,ANA_Driver,"*"&amp;INDEX(codiciDriver,7)&amp;"*"))</f>
        <v/>
      </c>
      <c r="Z24" s="133">
        <f>SUM(Q24:Y24)</f>
        <v/>
      </c>
      <c r="AF24">
        <f>IFERROR(MATCH(_xlfn.AGGREGATE(14,6,RR_Ordine_Osservazione,19),RR_Ordine_Osservazione,0)+5,"")</f>
        <v/>
      </c>
    </row>
    <row r="25" ht="45" customHeight="1">
      <c r="A25" s="129">
        <f>IF($AF25="","",INDEX(RiskRegister!$C:$C,$AF25)&amp;"")</f>
        <v/>
      </c>
      <c r="B25" s="85">
        <f>IF($AF25="","",INDEX(RiskRegister!$D:$D,$AF25)&amp;"")</f>
        <v/>
      </c>
      <c r="C25" s="83">
        <f>IF($AF25="","",INDEX(RiskRegister!$E:$E,$AF25)&amp;"")</f>
        <v/>
      </c>
      <c r="D25" s="85">
        <f>IF($AF25="","",INDEX(RiskRegister!$F:$F,$AF25)&amp;"")</f>
        <v/>
      </c>
      <c r="E25" s="83">
        <f>IF($AF25="","",IF(INDEX(RiskRegister!$G:$G,$AF25)="","",INDEX(RiskRegister!$G:$G,$AF25)))</f>
        <v/>
      </c>
      <c r="F25" s="83">
        <f>IF($AF25="","",IF(INDEX(RiskRegister!$K:$K,$AF25)="","",INDEX(RiskRegister!$K:$K,$AF25)))</f>
        <v/>
      </c>
      <c r="G25" s="83">
        <f>IF($AF25="","",IF(INDEX(RiskRegister!$I:$I,$AF25)="","",INDEX(RiskRegister!$I:$I,$AF25)))</f>
        <v/>
      </c>
      <c r="H25" s="83">
        <f>IF($AF25="","",IF(INDEX(RiskRegister!$H:$H,$AF25)="","",INDEX(RiskRegister!$H:$H,$AF25)))</f>
        <v/>
      </c>
      <c r="I25" s="86">
        <f>IF($AF25="","",IF(INDEX(RiskRegister!$J:$J,$AF25)="","",INDEX(RiskRegister!$J:$J,$AF25)))</f>
        <v/>
      </c>
      <c r="J25" s="85">
        <f>IF($AF25="","",INDEX(RiskRegister!$AA:$AA,$AF25)&amp;"")</f>
        <v/>
      </c>
      <c r="K25" s="83">
        <f>IF($AF25="","",IF(INDEX(RiskRegister!$AD:$AD,$AF25)="","",INDEX(RiskRegister!$AD:$AD,$AF25)))</f>
        <v/>
      </c>
      <c r="L25" s="85">
        <f>IF($AF25="","",INDEX(RiskRegister!$AE:$AE,$AF25)&amp;"")</f>
        <v/>
      </c>
      <c r="M25" s="85">
        <f>IF($AF25="","",INDEX(RiskRegister!$N:$N,$AF25)&amp;"")</f>
        <v/>
      </c>
      <c r="N25" s="83">
        <f>IF($AF25="","",INDEX(RiskRegister!$W:$W,$AF25)&amp;"")</f>
        <v/>
      </c>
      <c r="O25" s="130">
        <f>IF($A25="","",COUNTIFS(NW_Rischio_ID,$A25,NW_Settimana,"&gt;="&amp;inizioFinestra4,NW_Settimana,"&lt;="&amp;settimanaCorrente))</f>
        <v/>
      </c>
      <c r="P25" s="131">
        <f>INDEX(nomiDriver,8)</f>
        <v/>
      </c>
      <c r="Q25" s="132">
        <f>IF(COUNTIFS(ANA_Event_Type,Q$17,ANA_Driver,"*"&amp;INDEX(codiciDriver,8)&amp;"*")=0,"",COUNTIFS(ANA_Event_Type,Q$17,ANA_Driver,"*"&amp;INDEX(codiciDriver,8)&amp;"*"))</f>
        <v/>
      </c>
      <c r="R25" s="132">
        <f>IF(COUNTIFS(ANA_Event_Type,R$17,ANA_Driver,"*"&amp;INDEX(codiciDriver,8)&amp;"*")=0,"",COUNTIFS(ANA_Event_Type,R$17,ANA_Driver,"*"&amp;INDEX(codiciDriver,8)&amp;"*"))</f>
        <v/>
      </c>
      <c r="S25" s="132">
        <f>IF(COUNTIFS(ANA_Event_Type,S$17,ANA_Driver,"*"&amp;INDEX(codiciDriver,8)&amp;"*")=0,"",COUNTIFS(ANA_Event_Type,S$17,ANA_Driver,"*"&amp;INDEX(codiciDriver,8)&amp;"*"))</f>
        <v/>
      </c>
      <c r="T25" s="132">
        <f>IF(COUNTIFS(ANA_Event_Type,T$17,ANA_Driver,"*"&amp;INDEX(codiciDriver,8)&amp;"*")=0,"",COUNTIFS(ANA_Event_Type,T$17,ANA_Driver,"*"&amp;INDEX(codiciDriver,8)&amp;"*"))</f>
        <v/>
      </c>
      <c r="U25" s="132">
        <f>IF(COUNTIFS(ANA_Event_Type,U$17,ANA_Driver,"*"&amp;INDEX(codiciDriver,8)&amp;"*")=0,"",COUNTIFS(ANA_Event_Type,U$17,ANA_Driver,"*"&amp;INDEX(codiciDriver,8)&amp;"*"))</f>
        <v/>
      </c>
      <c r="V25" s="132">
        <f>IF(COUNTIFS(ANA_Event_Type,V$17,ANA_Driver,"*"&amp;INDEX(codiciDriver,8)&amp;"*")=0,"",COUNTIFS(ANA_Event_Type,V$17,ANA_Driver,"*"&amp;INDEX(codiciDriver,8)&amp;"*"))</f>
        <v/>
      </c>
      <c r="W25" s="132">
        <f>IF(COUNTIFS(ANA_Event_Type,W$17,ANA_Driver,"*"&amp;INDEX(codiciDriver,8)&amp;"*")=0,"",COUNTIFS(ANA_Event_Type,W$17,ANA_Driver,"*"&amp;INDEX(codiciDriver,8)&amp;"*"))</f>
        <v/>
      </c>
      <c r="X25" s="132">
        <f>IF(COUNTIFS(ANA_Event_Type,X$17,ANA_Driver,"*"&amp;INDEX(codiciDriver,8)&amp;"*")=0,"",COUNTIFS(ANA_Event_Type,X$17,ANA_Driver,"*"&amp;INDEX(codiciDriver,8)&amp;"*"))</f>
        <v/>
      </c>
      <c r="Y25" s="132">
        <f>IF(COUNTIFS(ANA_Event_Type,Y$17,ANA_Driver,"*"&amp;INDEX(codiciDriver,8)&amp;"*")=0,"",COUNTIFS(ANA_Event_Type,Y$17,ANA_Driver,"*"&amp;INDEX(codiciDriver,8)&amp;"*"))</f>
        <v/>
      </c>
      <c r="Z25" s="133">
        <f>SUM(Q25:Y25)</f>
        <v/>
      </c>
      <c r="AF25">
        <f>IFERROR(MATCH(_xlfn.AGGREGATE(14,6,RR_Ordine_Osservazione,20),RR_Ordine_Osservazione,0)+5,"")</f>
        <v/>
      </c>
    </row>
    <row r="27">
      <c r="A27" s="29" t="inlineStr">
        <is>
          <t>Entrati e usciti dal radar nel ciclo corrente (colonna Movimento del RiskRegister)</t>
        </is>
      </c>
      <c r="B27" s="30" t="n"/>
      <c r="C27" s="30" t="n"/>
      <c r="D27" s="30" t="n"/>
      <c r="E27" s="30" t="n"/>
      <c r="F27" s="30" t="n"/>
      <c r="G27" s="30" t="n"/>
      <c r="H27" s="30" t="n"/>
      <c r="I27" s="30" t="n"/>
      <c r="J27" s="30" t="n"/>
      <c r="K27" s="30" t="n"/>
      <c r="L27" s="30" t="n"/>
      <c r="M27" s="30" t="n"/>
      <c r="N27" s="30" t="n"/>
      <c r="P27" s="56" t="inlineStr">
        <is>
          <t>Un rischio con piu' driver conta in ogni driver. Una casella piena sopra e vuota sotto e' un tema che il radar non gestisce: il registro lo osserva. Codici delle categorie: foglio Parametri (tassonomia interna).</t>
        </is>
      </c>
    </row>
    <row r="28" ht="28" customHeight="1">
      <c r="A28" s="82" t="inlineStr">
        <is>
          <t>ID</t>
        </is>
      </c>
      <c r="B28" s="82" t="inlineStr">
        <is>
          <t>Rischio</t>
        </is>
      </c>
      <c r="C28" s="82" t="inlineStr">
        <is>
          <t>Movimento</t>
        </is>
      </c>
      <c r="D28" s="82" t="inlineStr">
        <is>
          <t>Stato ora</t>
        </is>
      </c>
      <c r="E28" s="82" t="inlineStr">
        <is>
          <t>Imp.</t>
        </is>
      </c>
      <c r="F28" s="82" t="inlineStr">
        <is>
          <t>Prob.</t>
        </is>
      </c>
      <c r="G28" s="82" t="inlineStr">
        <is>
          <t>Pross.</t>
        </is>
      </c>
      <c r="H28" s="82" t="inlineStr">
        <is>
          <t>Vel.</t>
        </is>
      </c>
      <c r="I28" s="82" t="inlineStr">
        <is>
          <t>Score</t>
        </is>
      </c>
      <c r="J28" s="82" t="inlineStr">
        <is>
          <t>Motivo (regola, D-79)</t>
        </is>
      </c>
    </row>
    <row r="29" ht="30" customHeight="1">
      <c r="A29" s="134">
        <f>IF($AF29="","",INDEX(RiskRegister!$C:$C,$AF29)&amp;"")</f>
        <v/>
      </c>
      <c r="B29" s="135">
        <f>IF($AF29="","",INDEX(RiskRegister!$D:$D,$AF29)&amp;"")</f>
        <v/>
      </c>
      <c r="C29" s="136">
        <f>IF($AF29="","",INDEX(RiskRegister!$AB:$AB,$AF29)&amp;"")</f>
        <v/>
      </c>
      <c r="D29" s="136">
        <f>IF($AF29="","",INDEX(RiskRegister!$Z:$Z,$AF29)&amp;"")</f>
        <v/>
      </c>
      <c r="E29" s="136">
        <f>IF($AF29="","",IF(INDEX(RiskRegister!$G:$G,$AF29)="","",INDEX(RiskRegister!$G:$G,$AF29)))</f>
        <v/>
      </c>
      <c r="F29" s="136">
        <f>IF($AF29="","",IF(INDEX(RiskRegister!$K:$K,$AF29)="","",INDEX(RiskRegister!$K:$K,$AF29)))</f>
        <v/>
      </c>
      <c r="G29" s="136">
        <f>IF($AF29="","",IF(INDEX(RiskRegister!$I:$I,$AF29)="","",INDEX(RiskRegister!$I:$I,$AF29)))</f>
        <v/>
      </c>
      <c r="H29" s="136">
        <f>IF($AF29="","",IF(INDEX(RiskRegister!$H:$H,$AF29)="","",INDEX(RiskRegister!$H:$H,$AF29)))</f>
        <v/>
      </c>
      <c r="I29" s="137">
        <f>IF($AF29="","",IF(INDEX(RiskRegister!$J:$J,$AF29)="","",INDEX(RiskRegister!$J:$J,$AF29)))</f>
        <v/>
      </c>
      <c r="J29" s="135">
        <f>IF($AF29="","",INDEX(RiskRegister!$AA:$AA,$AF29)&amp;"")</f>
        <v/>
      </c>
      <c r="K29" s="138" t="n"/>
      <c r="L29" s="138" t="n"/>
      <c r="M29" s="138" t="n"/>
      <c r="N29" s="138" t="n"/>
      <c r="AF29">
        <f>IFERROR(_xlfn.AGGREGATE(15,6,ROW(RR_Ciclo)/((RR_Ciclo=cicloCorrente)*(RR_Movimento&lt;&gt;"")),1),"")</f>
        <v/>
      </c>
    </row>
    <row r="30" ht="30" customHeight="1">
      <c r="A30" s="134">
        <f>IF($AF30="","",INDEX(RiskRegister!$C:$C,$AF30)&amp;"")</f>
        <v/>
      </c>
      <c r="B30" s="135">
        <f>IF($AF30="","",INDEX(RiskRegister!$D:$D,$AF30)&amp;"")</f>
        <v/>
      </c>
      <c r="C30" s="136">
        <f>IF($AF30="","",INDEX(RiskRegister!$AB:$AB,$AF30)&amp;"")</f>
        <v/>
      </c>
      <c r="D30" s="136">
        <f>IF($AF30="","",INDEX(RiskRegister!$Z:$Z,$AF30)&amp;"")</f>
        <v/>
      </c>
      <c r="E30" s="136">
        <f>IF($AF30="","",IF(INDEX(RiskRegister!$G:$G,$AF30)="","",INDEX(RiskRegister!$G:$G,$AF30)))</f>
        <v/>
      </c>
      <c r="F30" s="136">
        <f>IF($AF30="","",IF(INDEX(RiskRegister!$K:$K,$AF30)="","",INDEX(RiskRegister!$K:$K,$AF30)))</f>
        <v/>
      </c>
      <c r="G30" s="136">
        <f>IF($AF30="","",IF(INDEX(RiskRegister!$I:$I,$AF30)="","",INDEX(RiskRegister!$I:$I,$AF30)))</f>
        <v/>
      </c>
      <c r="H30" s="136">
        <f>IF($AF30="","",IF(INDEX(RiskRegister!$H:$H,$AF30)="","",INDEX(RiskRegister!$H:$H,$AF30)))</f>
        <v/>
      </c>
      <c r="I30" s="137">
        <f>IF($AF30="","",IF(INDEX(RiskRegister!$J:$J,$AF30)="","",INDEX(RiskRegister!$J:$J,$AF30)))</f>
        <v/>
      </c>
      <c r="J30" s="135">
        <f>IF($AF30="","",INDEX(RiskRegister!$AA:$AA,$AF30)&amp;"")</f>
        <v/>
      </c>
      <c r="K30" s="138" t="n"/>
      <c r="L30" s="138" t="n"/>
      <c r="M30" s="138" t="n"/>
      <c r="N30" s="138" t="n"/>
      <c r="AF30">
        <f>IFERROR(_xlfn.AGGREGATE(15,6,ROW(RR_Ciclo)/((RR_Ciclo=cicloCorrente)*(RR_Movimento&lt;&gt;"")),2),"")</f>
        <v/>
      </c>
    </row>
    <row r="31" ht="30" customHeight="1">
      <c r="A31" s="134">
        <f>IF($AF31="","",INDEX(RiskRegister!$C:$C,$AF31)&amp;"")</f>
        <v/>
      </c>
      <c r="B31" s="135">
        <f>IF($AF31="","",INDEX(RiskRegister!$D:$D,$AF31)&amp;"")</f>
        <v/>
      </c>
      <c r="C31" s="136">
        <f>IF($AF31="","",INDEX(RiskRegister!$AB:$AB,$AF31)&amp;"")</f>
        <v/>
      </c>
      <c r="D31" s="136">
        <f>IF($AF31="","",INDEX(RiskRegister!$Z:$Z,$AF31)&amp;"")</f>
        <v/>
      </c>
      <c r="E31" s="136">
        <f>IF($AF31="","",IF(INDEX(RiskRegister!$G:$G,$AF31)="","",INDEX(RiskRegister!$G:$G,$AF31)))</f>
        <v/>
      </c>
      <c r="F31" s="136">
        <f>IF($AF31="","",IF(INDEX(RiskRegister!$K:$K,$AF31)="","",INDEX(RiskRegister!$K:$K,$AF31)))</f>
        <v/>
      </c>
      <c r="G31" s="136">
        <f>IF($AF31="","",IF(INDEX(RiskRegister!$I:$I,$AF31)="","",INDEX(RiskRegister!$I:$I,$AF31)))</f>
        <v/>
      </c>
      <c r="H31" s="136">
        <f>IF($AF31="","",IF(INDEX(RiskRegister!$H:$H,$AF31)="","",INDEX(RiskRegister!$H:$H,$AF31)))</f>
        <v/>
      </c>
      <c r="I31" s="137">
        <f>IF($AF31="","",IF(INDEX(RiskRegister!$J:$J,$AF31)="","",INDEX(RiskRegister!$J:$J,$AF31)))</f>
        <v/>
      </c>
      <c r="J31" s="135">
        <f>IF($AF31="","",INDEX(RiskRegister!$AA:$AA,$AF31)&amp;"")</f>
        <v/>
      </c>
      <c r="K31" s="138" t="n"/>
      <c r="L31" s="138" t="n"/>
      <c r="M31" s="138" t="n"/>
      <c r="N31" s="138" t="n"/>
      <c r="AF31">
        <f>IFERROR(_xlfn.AGGREGATE(15,6,ROW(RR_Ciclo)/((RR_Ciclo=cicloCorrente)*(RR_Movimento&lt;&gt;"")),3),"")</f>
        <v/>
      </c>
    </row>
    <row r="32" ht="30" customHeight="1">
      <c r="A32" s="134">
        <f>IF($AF32="","",INDEX(RiskRegister!$C:$C,$AF32)&amp;"")</f>
        <v/>
      </c>
      <c r="B32" s="135">
        <f>IF($AF32="","",INDEX(RiskRegister!$D:$D,$AF32)&amp;"")</f>
        <v/>
      </c>
      <c r="C32" s="136">
        <f>IF($AF32="","",INDEX(RiskRegister!$AB:$AB,$AF32)&amp;"")</f>
        <v/>
      </c>
      <c r="D32" s="136">
        <f>IF($AF32="","",INDEX(RiskRegister!$Z:$Z,$AF32)&amp;"")</f>
        <v/>
      </c>
      <c r="E32" s="136">
        <f>IF($AF32="","",IF(INDEX(RiskRegister!$G:$G,$AF32)="","",INDEX(RiskRegister!$G:$G,$AF32)))</f>
        <v/>
      </c>
      <c r="F32" s="136">
        <f>IF($AF32="","",IF(INDEX(RiskRegister!$K:$K,$AF32)="","",INDEX(RiskRegister!$K:$K,$AF32)))</f>
        <v/>
      </c>
      <c r="G32" s="136">
        <f>IF($AF32="","",IF(INDEX(RiskRegister!$I:$I,$AF32)="","",INDEX(RiskRegister!$I:$I,$AF32)))</f>
        <v/>
      </c>
      <c r="H32" s="136">
        <f>IF($AF32="","",IF(INDEX(RiskRegister!$H:$H,$AF32)="","",INDEX(RiskRegister!$H:$H,$AF32)))</f>
        <v/>
      </c>
      <c r="I32" s="137">
        <f>IF($AF32="","",IF(INDEX(RiskRegister!$J:$J,$AF32)="","",INDEX(RiskRegister!$J:$J,$AF32)))</f>
        <v/>
      </c>
      <c r="J32" s="135">
        <f>IF($AF32="","",INDEX(RiskRegister!$AA:$AA,$AF32)&amp;"")</f>
        <v/>
      </c>
      <c r="K32" s="138" t="n"/>
      <c r="L32" s="138" t="n"/>
      <c r="M32" s="138" t="n"/>
      <c r="N32" s="138" t="n"/>
      <c r="AF32">
        <f>IFERROR(_xlfn.AGGREGATE(15,6,ROW(RR_Ciclo)/((RR_Ciclo=cicloCorrente)*(RR_Movimento&lt;&gt;"")),4),"")</f>
        <v/>
      </c>
    </row>
    <row r="33" ht="30" customHeight="1">
      <c r="A33" s="134">
        <f>IF($AF33="","",INDEX(RiskRegister!$C:$C,$AF33)&amp;"")</f>
        <v/>
      </c>
      <c r="B33" s="135">
        <f>IF($AF33="","",INDEX(RiskRegister!$D:$D,$AF33)&amp;"")</f>
        <v/>
      </c>
      <c r="C33" s="136">
        <f>IF($AF33="","",INDEX(RiskRegister!$AB:$AB,$AF33)&amp;"")</f>
        <v/>
      </c>
      <c r="D33" s="136">
        <f>IF($AF33="","",INDEX(RiskRegister!$Z:$Z,$AF33)&amp;"")</f>
        <v/>
      </c>
      <c r="E33" s="136">
        <f>IF($AF33="","",IF(INDEX(RiskRegister!$G:$G,$AF33)="","",INDEX(RiskRegister!$G:$G,$AF33)))</f>
        <v/>
      </c>
      <c r="F33" s="136">
        <f>IF($AF33="","",IF(INDEX(RiskRegister!$K:$K,$AF33)="","",INDEX(RiskRegister!$K:$K,$AF33)))</f>
        <v/>
      </c>
      <c r="G33" s="136">
        <f>IF($AF33="","",IF(INDEX(RiskRegister!$I:$I,$AF33)="","",INDEX(RiskRegister!$I:$I,$AF33)))</f>
        <v/>
      </c>
      <c r="H33" s="136">
        <f>IF($AF33="","",IF(INDEX(RiskRegister!$H:$H,$AF33)="","",INDEX(RiskRegister!$H:$H,$AF33)))</f>
        <v/>
      </c>
      <c r="I33" s="137">
        <f>IF($AF33="","",IF(INDEX(RiskRegister!$J:$J,$AF33)="","",INDEX(RiskRegister!$J:$J,$AF33)))</f>
        <v/>
      </c>
      <c r="J33" s="135">
        <f>IF($AF33="","",INDEX(RiskRegister!$AA:$AA,$AF33)&amp;"")</f>
        <v/>
      </c>
      <c r="K33" s="138" t="n"/>
      <c r="L33" s="138" t="n"/>
      <c r="M33" s="138" t="n"/>
      <c r="N33" s="138" t="n"/>
      <c r="AF33">
        <f>IFERROR(_xlfn.AGGREGATE(15,6,ROW(RR_Ciclo)/((RR_Ciclo=cicloCorrente)*(RR_Movimento&lt;&gt;"")),5),"")</f>
        <v/>
      </c>
    </row>
    <row r="34" ht="30" customHeight="1">
      <c r="A34" s="134">
        <f>IF($AF34="","",INDEX(RiskRegister!$C:$C,$AF34)&amp;"")</f>
        <v/>
      </c>
      <c r="B34" s="135">
        <f>IF($AF34="","",INDEX(RiskRegister!$D:$D,$AF34)&amp;"")</f>
        <v/>
      </c>
      <c r="C34" s="136">
        <f>IF($AF34="","",INDEX(RiskRegister!$AB:$AB,$AF34)&amp;"")</f>
        <v/>
      </c>
      <c r="D34" s="136">
        <f>IF($AF34="","",INDEX(RiskRegister!$Z:$Z,$AF34)&amp;"")</f>
        <v/>
      </c>
      <c r="E34" s="136">
        <f>IF($AF34="","",IF(INDEX(RiskRegister!$G:$G,$AF34)="","",INDEX(RiskRegister!$G:$G,$AF34)))</f>
        <v/>
      </c>
      <c r="F34" s="136">
        <f>IF($AF34="","",IF(INDEX(RiskRegister!$K:$K,$AF34)="","",INDEX(RiskRegister!$K:$K,$AF34)))</f>
        <v/>
      </c>
      <c r="G34" s="136">
        <f>IF($AF34="","",IF(INDEX(RiskRegister!$I:$I,$AF34)="","",INDEX(RiskRegister!$I:$I,$AF34)))</f>
        <v/>
      </c>
      <c r="H34" s="136">
        <f>IF($AF34="","",IF(INDEX(RiskRegister!$H:$H,$AF34)="","",INDEX(RiskRegister!$H:$H,$AF34)))</f>
        <v/>
      </c>
      <c r="I34" s="137">
        <f>IF($AF34="","",IF(INDEX(RiskRegister!$J:$J,$AF34)="","",INDEX(RiskRegister!$J:$J,$AF34)))</f>
        <v/>
      </c>
      <c r="J34" s="135">
        <f>IF($AF34="","",INDEX(RiskRegister!$AA:$AA,$AF34)&amp;"")</f>
        <v/>
      </c>
      <c r="K34" s="138" t="n"/>
      <c r="L34" s="138" t="n"/>
      <c r="M34" s="138" t="n"/>
      <c r="N34" s="138" t="n"/>
      <c r="AF34">
        <f>IFERROR(_xlfn.AGGREGATE(15,6,ROW(RR_Ciclo)/((RR_Ciclo=cicloCorrente)*(RR_Movimento&lt;&gt;"")),6),"")</f>
        <v/>
      </c>
    </row>
    <row r="35" ht="30" customHeight="1">
      <c r="A35" s="134">
        <f>IF($AF35="","",INDEX(RiskRegister!$C:$C,$AF35)&amp;"")</f>
        <v/>
      </c>
      <c r="B35" s="135">
        <f>IF($AF35="","",INDEX(RiskRegister!$D:$D,$AF35)&amp;"")</f>
        <v/>
      </c>
      <c r="C35" s="136">
        <f>IF($AF35="","",INDEX(RiskRegister!$AB:$AB,$AF35)&amp;"")</f>
        <v/>
      </c>
      <c r="D35" s="136">
        <f>IF($AF35="","",INDEX(RiskRegister!$Z:$Z,$AF35)&amp;"")</f>
        <v/>
      </c>
      <c r="E35" s="136">
        <f>IF($AF35="","",IF(INDEX(RiskRegister!$G:$G,$AF35)="","",INDEX(RiskRegister!$G:$G,$AF35)))</f>
        <v/>
      </c>
      <c r="F35" s="136">
        <f>IF($AF35="","",IF(INDEX(RiskRegister!$K:$K,$AF35)="","",INDEX(RiskRegister!$K:$K,$AF35)))</f>
        <v/>
      </c>
      <c r="G35" s="136">
        <f>IF($AF35="","",IF(INDEX(RiskRegister!$I:$I,$AF35)="","",INDEX(RiskRegister!$I:$I,$AF35)))</f>
        <v/>
      </c>
      <c r="H35" s="136">
        <f>IF($AF35="","",IF(INDEX(RiskRegister!$H:$H,$AF35)="","",INDEX(RiskRegister!$H:$H,$AF35)))</f>
        <v/>
      </c>
      <c r="I35" s="137">
        <f>IF($AF35="","",IF(INDEX(RiskRegister!$J:$J,$AF35)="","",INDEX(RiskRegister!$J:$J,$AF35)))</f>
        <v/>
      </c>
      <c r="J35" s="135">
        <f>IF($AF35="","",INDEX(RiskRegister!$AA:$AA,$AF35)&amp;"")</f>
        <v/>
      </c>
      <c r="K35" s="138" t="n"/>
      <c r="L35" s="138" t="n"/>
      <c r="M35" s="138" t="n"/>
      <c r="N35" s="138" t="n"/>
      <c r="AF35">
        <f>IFERROR(_xlfn.AGGREGATE(15,6,ROW(RR_Ciclo)/((RR_Ciclo=cicloCorrente)*(RR_Movimento&lt;&gt;"")),7),"")</f>
        <v/>
      </c>
    </row>
    <row r="36" ht="30" customHeight="1">
      <c r="A36" s="134">
        <f>IF($AF36="","",INDEX(RiskRegister!$C:$C,$AF36)&amp;"")</f>
        <v/>
      </c>
      <c r="B36" s="135">
        <f>IF($AF36="","",INDEX(RiskRegister!$D:$D,$AF36)&amp;"")</f>
        <v/>
      </c>
      <c r="C36" s="136">
        <f>IF($AF36="","",INDEX(RiskRegister!$AB:$AB,$AF36)&amp;"")</f>
        <v/>
      </c>
      <c r="D36" s="136">
        <f>IF($AF36="","",INDEX(RiskRegister!$Z:$Z,$AF36)&amp;"")</f>
        <v/>
      </c>
      <c r="E36" s="136">
        <f>IF($AF36="","",IF(INDEX(RiskRegister!$G:$G,$AF36)="","",INDEX(RiskRegister!$G:$G,$AF36)))</f>
        <v/>
      </c>
      <c r="F36" s="136">
        <f>IF($AF36="","",IF(INDEX(RiskRegister!$K:$K,$AF36)="","",INDEX(RiskRegister!$K:$K,$AF36)))</f>
        <v/>
      </c>
      <c r="G36" s="136">
        <f>IF($AF36="","",IF(INDEX(RiskRegister!$I:$I,$AF36)="","",INDEX(RiskRegister!$I:$I,$AF36)))</f>
        <v/>
      </c>
      <c r="H36" s="136">
        <f>IF($AF36="","",IF(INDEX(RiskRegister!$H:$H,$AF36)="","",INDEX(RiskRegister!$H:$H,$AF36)))</f>
        <v/>
      </c>
      <c r="I36" s="137">
        <f>IF($AF36="","",IF(INDEX(RiskRegister!$J:$J,$AF36)="","",INDEX(RiskRegister!$J:$J,$AF36)))</f>
        <v/>
      </c>
      <c r="J36" s="135">
        <f>IF($AF36="","",INDEX(RiskRegister!$AA:$AA,$AF36)&amp;"")</f>
        <v/>
      </c>
      <c r="K36" s="138" t="n"/>
      <c r="L36" s="138" t="n"/>
      <c r="M36" s="138" t="n"/>
      <c r="N36" s="138" t="n"/>
      <c r="AF36">
        <f>IFERROR(_xlfn.AGGREGATE(15,6,ROW(RR_Ciclo)/((RR_Ciclo=cicloCorrente)*(RR_Movimento&lt;&gt;"")),8),"")</f>
        <v/>
      </c>
    </row>
    <row r="37" ht="30" customHeight="1">
      <c r="A37" s="134">
        <f>IF($AF37="","",INDEX(RiskRegister!$C:$C,$AF37)&amp;"")</f>
        <v/>
      </c>
      <c r="B37" s="135">
        <f>IF($AF37="","",INDEX(RiskRegister!$D:$D,$AF37)&amp;"")</f>
        <v/>
      </c>
      <c r="C37" s="136">
        <f>IF($AF37="","",INDEX(RiskRegister!$AB:$AB,$AF37)&amp;"")</f>
        <v/>
      </c>
      <c r="D37" s="136">
        <f>IF($AF37="","",INDEX(RiskRegister!$Z:$Z,$AF37)&amp;"")</f>
        <v/>
      </c>
      <c r="E37" s="136">
        <f>IF($AF37="","",IF(INDEX(RiskRegister!$G:$G,$AF37)="","",INDEX(RiskRegister!$G:$G,$AF37)))</f>
        <v/>
      </c>
      <c r="F37" s="136">
        <f>IF($AF37="","",IF(INDEX(RiskRegister!$K:$K,$AF37)="","",INDEX(RiskRegister!$K:$K,$AF37)))</f>
        <v/>
      </c>
      <c r="G37" s="136">
        <f>IF($AF37="","",IF(INDEX(RiskRegister!$I:$I,$AF37)="","",INDEX(RiskRegister!$I:$I,$AF37)))</f>
        <v/>
      </c>
      <c r="H37" s="136">
        <f>IF($AF37="","",IF(INDEX(RiskRegister!$H:$H,$AF37)="","",INDEX(RiskRegister!$H:$H,$AF37)))</f>
        <v/>
      </c>
      <c r="I37" s="137">
        <f>IF($AF37="","",IF(INDEX(RiskRegister!$J:$J,$AF37)="","",INDEX(RiskRegister!$J:$J,$AF37)))</f>
        <v/>
      </c>
      <c r="J37" s="135">
        <f>IF($AF37="","",INDEX(RiskRegister!$AA:$AA,$AF37)&amp;"")</f>
        <v/>
      </c>
      <c r="K37" s="138" t="n"/>
      <c r="L37" s="138" t="n"/>
      <c r="M37" s="138" t="n"/>
      <c r="N37" s="138" t="n"/>
      <c r="AF37">
        <f>IFERROR(_xlfn.AGGREGATE(15,6,ROW(RR_Ciclo)/((RR_Ciclo=cicloCorrente)*(RR_Movimento&lt;&gt;"")),9),"")</f>
        <v/>
      </c>
    </row>
    <row r="38" ht="30" customHeight="1">
      <c r="A38" s="134">
        <f>IF($AF38="","",INDEX(RiskRegister!$C:$C,$AF38)&amp;"")</f>
        <v/>
      </c>
      <c r="B38" s="135">
        <f>IF($AF38="","",INDEX(RiskRegister!$D:$D,$AF38)&amp;"")</f>
        <v/>
      </c>
      <c r="C38" s="136">
        <f>IF($AF38="","",INDEX(RiskRegister!$AB:$AB,$AF38)&amp;"")</f>
        <v/>
      </c>
      <c r="D38" s="136">
        <f>IF($AF38="","",INDEX(RiskRegister!$Z:$Z,$AF38)&amp;"")</f>
        <v/>
      </c>
      <c r="E38" s="136">
        <f>IF($AF38="","",IF(INDEX(RiskRegister!$G:$G,$AF38)="","",INDEX(RiskRegister!$G:$G,$AF38)))</f>
        <v/>
      </c>
      <c r="F38" s="136">
        <f>IF($AF38="","",IF(INDEX(RiskRegister!$K:$K,$AF38)="","",INDEX(RiskRegister!$K:$K,$AF38)))</f>
        <v/>
      </c>
      <c r="G38" s="136">
        <f>IF($AF38="","",IF(INDEX(RiskRegister!$I:$I,$AF38)="","",INDEX(RiskRegister!$I:$I,$AF38)))</f>
        <v/>
      </c>
      <c r="H38" s="136">
        <f>IF($AF38="","",IF(INDEX(RiskRegister!$H:$H,$AF38)="","",INDEX(RiskRegister!$H:$H,$AF38)))</f>
        <v/>
      </c>
      <c r="I38" s="137">
        <f>IF($AF38="","",IF(INDEX(RiskRegister!$J:$J,$AF38)="","",INDEX(RiskRegister!$J:$J,$AF38)))</f>
        <v/>
      </c>
      <c r="J38" s="135">
        <f>IF($AF38="","",INDEX(RiskRegister!$AA:$AA,$AF38)&amp;"")</f>
        <v/>
      </c>
      <c r="K38" s="138" t="n"/>
      <c r="L38" s="138" t="n"/>
      <c r="M38" s="138" t="n"/>
      <c r="N38" s="138" t="n"/>
      <c r="AF38">
        <f>IFERROR(_xlfn.AGGREGATE(15,6,ROW(RR_Ciclo)/((RR_Ciclo=cicloCorrente)*(RR_Movimento&lt;&gt;"")),10),"")</f>
        <v/>
      </c>
    </row>
    <row r="40" ht="26" customHeight="1">
      <c r="A40" s="56" t="inlineStr">
        <is>
          <t>Legenda — Registro unico (D-79): stessa scala e stesso score dei rischi del radar. Un rischio entra nel radar se Prossimita e Probabilita raggiungono le soglie di Parametri (righe 65-75) e c'e' posto, o per eccezione (AGIRE ORA, tema del supervisore, decisione del validatore); esce dopo due cicli sotto la regola. Orizz. = anni stimati da A1 prima che possa manifestarsi. Storia completa: foglio RiskRegister (colonne Stato, Motivo_Stato, Movimento).</t>
        </is>
      </c>
    </row>
  </sheetData>
  <mergeCells count="19">
    <mergeCell ref="A40:N40"/>
    <mergeCell ref="J29:N29"/>
    <mergeCell ref="P4:Z4"/>
    <mergeCell ref="J38:N38"/>
    <mergeCell ref="J28:N28"/>
    <mergeCell ref="J37:N37"/>
    <mergeCell ref="A1:N1"/>
    <mergeCell ref="J34:N34"/>
    <mergeCell ref="A2:O2"/>
    <mergeCell ref="J30:N30"/>
    <mergeCell ref="J36:N36"/>
    <mergeCell ref="J35:N35"/>
    <mergeCell ref="P27:Z29"/>
    <mergeCell ref="A27:N27"/>
    <mergeCell ref="J32:N32"/>
    <mergeCell ref="P16:Z16"/>
    <mergeCell ref="J31:N31"/>
    <mergeCell ref="A4:N4"/>
    <mergeCell ref="J33:N33"/>
  </mergeCells>
  <conditionalFormatting sqref="O6:O25">
    <cfRule type="expression" priority="1" dxfId="13">
      <formula>AND(ISNUMBER(O6),O6&gt;0)</formula>
    </cfRule>
  </conditionalFormatting>
  <conditionalFormatting sqref="E6:H25">
    <cfRule type="expression" priority="2" dxfId="21">
      <formula>E6=1</formula>
    </cfRule>
    <cfRule type="expression" priority="3" dxfId="22">
      <formula>E6=2</formula>
    </cfRule>
    <cfRule type="expression" priority="4" dxfId="23">
      <formula>E6=3</formula>
    </cfRule>
    <cfRule type="expression" priority="5" dxfId="24">
      <formula>E6=4</formula>
    </cfRule>
    <cfRule type="expression" priority="6" dxfId="25">
      <formula>E6=5</formula>
    </cfRule>
  </conditionalFormatting>
  <conditionalFormatting sqref="C29:C38">
    <cfRule type="expression" priority="7" dxfId="17">
      <formula>LEFT(C29,7)="Entrato"</formula>
    </cfRule>
    <cfRule type="expression" priority="8" dxfId="18">
      <formula>LEFT(C29,6)="Uscito"</formula>
    </cfRule>
  </conditionalFormatting>
  <conditionalFormatting sqref="Q6:Y13">
    <cfRule type="expression" priority="9" dxfId="39">
      <formula>AND(ISNUMBER(Q6),Q6&gt;=3)</formula>
    </cfRule>
    <cfRule type="expression" priority="10" dxfId="15">
      <formula>AND(ISNUMBER(Q6),Q6&gt;=2)</formula>
    </cfRule>
    <cfRule type="expression" priority="11" dxfId="40">
      <formula>AND(ISNUMBER(Q6),Q6&gt;=1)</formula>
    </cfRule>
  </conditionalFormatting>
  <conditionalFormatting sqref="Q18:Y25">
    <cfRule type="expression" priority="12" dxfId="39">
      <formula>AND(ISNUMBER(Q18),Q18&gt;=3)</formula>
    </cfRule>
    <cfRule type="expression" priority="13" dxfId="15">
      <formula>AND(ISNUMBER(Q18),Q18&gt;=2)</formula>
    </cfRule>
    <cfRule type="expression" priority="14" dxfId="40">
      <formula>AND(ISNUMBER(Q18),Q18&gt;=1)</formula>
    </cfRule>
  </conditionalFormatting>
  <pageMargins left="0.75" right="0.75" top="1" bottom="1" header="0.5" footer="0.5"/>
</worksheet>
</file>

<file path=xl/worksheets/sheet15.xml><?xml version="1.0" encoding="utf-8"?>
<worksheet xmlns="http://schemas.openxmlformats.org/spreadsheetml/2006/main">
  <sheetPr>
    <tabColor rgb="002E75B6"/>
    <outlinePr summaryBelow="1" summaryRight="1"/>
    <pageSetUpPr fitToPage="1"/>
  </sheetPr>
  <dimension ref="A1:Y417"/>
  <sheetViews>
    <sheetView showGridLines="0" workbookViewId="0">
      <selection activeCell="A1" sqref="A1"/>
    </sheetView>
  </sheetViews>
  <sheetFormatPr baseColWidth="8" defaultRowHeight="15"/>
  <cols>
    <col width="16" customWidth="1" min="1" max="1"/>
    <col width="4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46" customWidth="1" min="13" max="13"/>
    <col width="15" customWidth="1" min="14" max="14"/>
    <col width="25" customWidth="1" min="15" max="15"/>
    <col width="60" customWidth="1" min="16" max="16"/>
    <col hidden="1" width="12" customWidth="1" min="17" max="17"/>
    <col hidden="1" width="12" customWidth="1" min="18" max="18"/>
    <col hidden="1" width="10" customWidth="1" min="19" max="19"/>
    <col hidden="1" width="10" customWidth="1" min="20" max="20"/>
    <col hidden="1" width="10" customWidth="1" min="21" max="21"/>
    <col hidden="1" width="10" customWidth="1" min="22" max="22"/>
    <col width="36" customWidth="1" min="23" max="23"/>
    <col width="13" customWidth="1" min="24" max="24"/>
    <col width="15" customWidth="1" min="25" max="25"/>
  </cols>
  <sheetData>
    <row r="1" ht="28" customHeight="1">
      <c r="A1" s="1">
        <f>"Horizon Scan NFR — Validazione: una riga per rischio (nel radar o in osservazione), KRI, azione e notizia   ·   "&amp;etichettaCiclo</f>
        <v/>
      </c>
      <c r="B1" s="2" t="n"/>
      <c r="C1" s="2" t="n"/>
      <c r="D1" s="2" t="n"/>
      <c r="E1" s="2" t="n"/>
      <c r="F1" s="2" t="n"/>
      <c r="G1" s="2" t="n"/>
      <c r="H1" s="2" t="n"/>
      <c r="I1" s="2" t="n"/>
      <c r="J1" s="2" t="n"/>
      <c r="K1" s="2" t="n"/>
      <c r="L1" s="2" t="n"/>
      <c r="M1" s="2" t="n"/>
      <c r="N1" s="2" t="n"/>
      <c r="O1" s="2" t="n"/>
    </row>
    <row r="2" ht="180.5" customHeight="1">
      <c r="A2" s="123" t="inlineStr">
        <is>
          <r>
            <rPr>
              <rFont val="Calibri"/>
              <b val="1"/>
              <color rgb="007F6000"/>
              <sz val="10"/>
            </rPr>
            <t>VALIDATORE — dopo ogni ciclo trimestrale (obbligatorio: il ciclo dopo non parte finche' non e' validato) e, se si vuole, dopo ogni settimana per le notizie. Qui ci sono solo i periodi ancora da validare (riga 3). Per cambiare valori di un ciclo GIA' VALIDATO: python esegui_ciclo_locale.py riapri (D-76), poi qui come sempre e valida, quante volte serve; in riapertura il grigio e' il valore validato, non c'e' il limite di un punto e Respingi = Sì toglie un KRI o annulla un'azione.</t>
          </r>
          <r>
            <rPr>
              <rFont val="Calibri"/>
              <color rgb="00262626"/>
              <sz val="10"/>
            </rPr>
            <t xml:space="preserve">
Come si valida: una riga per rischio (nel radar o in osservazione), KRI, azione e notizia. Le celle GIALLE contengono gia' i valori proposti dagli agenti (accanto, in grigio, la proposta): se sei d'accordo non toccarle, la riga vale come accettata. Se non sei d'accordo scrivi il valore giusto nella cella gialla (anche piu' di uno nella stessa riga) e il perche' in Motivazione, almeno 10 caratteri: la cella cambiata diventa arancio, la Motivazione resta rossa finche' manca. Per togliere un KRI, un'azione o una notizia: Respingi = Sì, con la motivazione (un rischio non si respinge: si rettifica, o si toglie con il comando dismetti). Segnalazioni dei controlli (ultima colonna dei rischi): cio' che lo script e A5 (se usato) hanno trovato su quel rischio, anche sui suoi KRI e azioni; ⚑ davanti al nome = almeno una segnalazione DA MOTIVARE: la Motivazione e' obbligatoria anche se non cambi nulla. Score composito e Margine di Mosca si ricalcolano mentre scrivi, con i valori gialli e le azioni non respinte: rosso AGIRE ORA, giallo entro l'anno, verde con margine; tra parentesi il valore con le sole proposte, se diverso.
Poi salvare e CHIUDERE il file e lanciare  python esegui_ciclo_locale.py valida --periodo &lt;ciclo o lunedi'&gt; --validatore "&lt;funzione&gt;". Il comando controlla tutte le righe prima di applicarne una (se una non va, non applica niente e le elenca con il numero di riga); poi le righe del periodo escono da questo foglio e il dettaglio campo per campo (proposta, valore deciso, motivazione, chi e quando) resta nel foglio Storico_Validazioni. Le colonne grigie si leggono soltanto; non inserire ne' cancellare righe (se succede: python esegui_ciclo_locale.py griglia ricostruisce il foglio e conserva cio' che hai gia' scritto).
Criteri — Rischio: il punteggio corrisponde al descrittore della rubrica, dati razionale e fonti (foglio Metodologia); un valore cambiato e' intero 1-5, al massimo un punto dal ciclo precedente (non in riapertura), motivato con un'evidenza (la Velocity puo' restare vuota = non valutata, o entrare con qualunque valore); anni di adeguamento da 0 a 30 o vuoti. KRI: respingere se la fonte dati non e' identificabile o se non misura il rischio; cambiare le soglie (entrambe; allerta &gt;= attenzione, crescente = peggio; vuote = da definire) o un valore rilevato errato. Azione: respingere se duplicata o non pertinente al rischio; cambiare Owner (una funzione: il nome di una persona non si accetta) o Orizzonte (3, 6 o 12 mesi). Notizia: cambiare Rischio o Segnale; respingere se non pertinente o gia' contata. Stato del rischio (D-79): la colonna Stato dice dove lo mette la regola e perche'; Decisione sullo stato = Automatico (vale la regola), Radar (resta o entra nel radar) o Osservazione (resta fuori), con la Motivazione; lo stato si ricalcola con valida.
Prima di decidere leggere i rilievi di A5 e dei controlli (colonna Rilievi del RiskRegister; rilievi del ciclo in Sintesi_Cicli; file Esito_controlli del ciclo). La proposta dell'agente non si cancella mai: le rettifiche motivate servono a migliorare gli agenti.</t>
          </r>
        </is>
      </c>
    </row>
    <row r="3" ht="22" customHeight="1">
      <c r="A3" s="139" t="inlineStr">
        <is>
          <t>Niente da validare: tutte le proposte degli agenti sono state decise (dettaglio nel foglio Storico_Validazioni).</t>
        </is>
      </c>
      <c r="B3" s="47" t="n"/>
      <c r="C3" s="47" t="n"/>
      <c r="D3" s="47" t="n"/>
      <c r="E3" s="47" t="n"/>
      <c r="F3" s="47" t="n"/>
      <c r="G3" s="47" t="n"/>
      <c r="H3" s="47" t="n"/>
      <c r="I3" s="47" t="n"/>
      <c r="J3" s="47" t="n"/>
      <c r="K3" s="47" t="n"/>
      <c r="L3" s="47" t="n"/>
      <c r="M3" s="47" t="n"/>
      <c r="N3" s="47" t="n"/>
      <c r="O3" s="47" t="n"/>
    </row>
    <row r="5">
      <c r="A5" s="29" t="inlineStr">
        <is>
          <t>RISCHI — nessuna riga da validare</t>
        </is>
      </c>
      <c r="B5" s="30" t="n"/>
      <c r="C5" s="30" t="n"/>
      <c r="D5" s="30" t="n"/>
      <c r="E5" s="30" t="n"/>
      <c r="F5" s="30" t="n"/>
      <c r="G5" s="30" t="n"/>
      <c r="H5" s="30" t="n"/>
      <c r="I5" s="30" t="n"/>
      <c r="J5" s="30" t="n"/>
      <c r="K5" s="30" t="n"/>
      <c r="L5" s="30" t="n"/>
      <c r="M5" s="30" t="n"/>
      <c r="N5" s="30" t="n"/>
      <c r="O5" s="30" t="n"/>
      <c r="P5" s="140" t="n"/>
    </row>
    <row r="6" ht="30" customHeight="1">
      <c r="A6" s="141" t="inlineStr">
        <is>
          <t>ID</t>
        </is>
      </c>
      <c r="B6" s="141" t="inlineStr">
        <is>
          <t>Rischio</t>
        </is>
      </c>
      <c r="C6" s="142" t="inlineStr">
        <is>
          <t>Imp. proposto</t>
        </is>
      </c>
      <c r="D6" s="143" t="inlineStr">
        <is>
          <t>Imp.</t>
        </is>
      </c>
      <c r="E6" s="142" t="inlineStr">
        <is>
          <t>Prob. proposto</t>
        </is>
      </c>
      <c r="F6" s="143" t="inlineStr">
        <is>
          <t>Prob.</t>
        </is>
      </c>
      <c r="G6" s="142" t="inlineStr">
        <is>
          <t>Pross. proposto</t>
        </is>
      </c>
      <c r="H6" s="143" t="inlineStr">
        <is>
          <t>Pross.</t>
        </is>
      </c>
      <c r="I6" s="142" t="inlineStr">
        <is>
          <t>Vel. proposto</t>
        </is>
      </c>
      <c r="J6" s="143" t="inlineStr">
        <is>
          <t>Vel.</t>
        </is>
      </c>
      <c r="K6" s="142" t="inlineStr">
        <is>
          <t>Anni adeg. proposto</t>
        </is>
      </c>
      <c r="L6" s="143" t="inlineStr">
        <is>
          <t>Anni adeg.</t>
        </is>
      </c>
      <c r="M6" s="143" t="inlineStr">
        <is>
          <t>Motivazione (se cambi un valore)</t>
        </is>
      </c>
      <c r="N6" s="144" t="inlineStr">
        <is>
          <t>Score composito (calcolato)</t>
        </is>
      </c>
      <c r="O6" s="144" t="inlineStr">
        <is>
          <t>Margine di Mosca Z−(X+Y), anni (calcolato)</t>
        </is>
      </c>
      <c r="P6" s="141" t="inlineStr">
        <is>
          <t>Segnalazioni dei controlli (script e A5, se usato): ⚑ DA MOTIVARE = Motivazione obbligatoria</t>
        </is>
      </c>
      <c r="W6" s="141" t="inlineStr">
        <is>
          <t>Stato nel registro unico (calcolato con la regola, D-79)</t>
        </is>
      </c>
      <c r="X6" s="142" t="inlineStr">
        <is>
          <t>Decisione in vigore</t>
        </is>
      </c>
      <c r="Y6" s="143" t="inlineStr">
        <is>
          <t>Decisione sullo stato (Automatico = la regola)</t>
        </is>
      </c>
    </row>
    <row r="7" hidden="1" ht="30" customHeight="1">
      <c r="A7" s="145" t="n"/>
      <c r="B7" s="35" t="n"/>
      <c r="C7" s="146" t="n"/>
      <c r="D7" s="147" t="n"/>
      <c r="E7" s="146" t="n"/>
      <c r="F7" s="147" t="n"/>
      <c r="G7" s="146" t="n"/>
      <c r="H7" s="147" t="n"/>
      <c r="I7" s="146" t="n"/>
      <c r="J7" s="147" t="n"/>
      <c r="K7" s="146" t="n"/>
      <c r="L7" s="147" t="n"/>
      <c r="M7" s="148" t="n"/>
      <c r="N7" s="149">
        <f>IF(NOT(ISNUMBER($U7)),"",FIXED($U7,2)&amp;IF(AND(ISNUMBER($V7),$V7&lt;&gt;$U7),"  (era "&amp;FIXED($V7,2)&amp;")",""))</f>
        <v/>
      </c>
      <c r="O7" s="150">
        <f>IF(NOT(ISNUMBER($S7)),"",IF($S7&lt;0,"AGIRE ORA",IF($S7&lt;1,"Entro l'anno","Margine"))&amp;" · "&amp;FIXED($S7,2)&amp;IF(AND(ISNUMBER($T7),ROUND($T7,2)&lt;&gt;ROUND($S7,2)),"  (era "&amp;FIXED($T7,2)&amp;")",""))</f>
        <v/>
      </c>
      <c r="P7" s="151" t="n"/>
      <c r="S7">
        <f>IFERROR(IF(NOT(ISNUMBER($H7)),"",INDEX(anniProssimita,$H7)-(moscaX+MAX(IF(COUNTIFS($R$113:$R$212,$A7,$Q$113:$Q$212,$Q7,$S$113:$S$212,"&gt;0")=0,moscaYDefault,_xlfn.MAXIFS($S$113:$S$212,$R$113:$R$212,$A7,$Q$113:$Q$212,$Q7)/12),IF(ISNUMBER($L7),$L7,IFERROR(N(INDEX(ANA_Anni_Adeguamento,MATCH($A7,ANA_ID,0))),0))))),"")</f>
        <v/>
      </c>
      <c r="T7">
        <f>IFERROR(IF(NOT(ISNUMBER($G7)),"",INDEX(anniProssimita,$G7)-(moscaX+MAX(IF(COUNTIFS($R$113:$R$212,$A7,$Q$113:$Q$212,$Q7,$T$113:$T$212,"&gt;0")=0,moscaYDefault,_xlfn.MAXIFS($T$113:$T$212,$R$113:$R$212,$A7,$Q$113:$Q$212,$Q7)/12),IF(ISNUMBER($K7),$K7,IFERROR(N(INDEX(ANA_Anni_Adeguamento,MATCH($A7,ANA_ID,0))),0))))),"")</f>
        <v/>
      </c>
      <c r="U7">
        <f>IFERROR(IF(COUNT($D7,$F7,$H7)&lt;3,"",ROUND((pesoImpatto*$D7+pesoProbabilita*$F7+pesoProssimita*$H7+IF(ISNUMBER($J7),pesoVelocity*$J7,0))/(pesoImpatto+pesoProbabilita+pesoProssimita+IF(ISNUMBER($J7),pesoVelocity,0)),2)),"")</f>
        <v/>
      </c>
      <c r="V7">
        <f>IFERROR(IF(COUNT($C7,$E7,$G7)&lt;3,"",ROUND((pesoImpatto*$C7+pesoProbabilita*$E7+pesoProssimita*$G7+IF(ISNUMBER($I7),pesoVelocity*$I7,0))/(pesoImpatto+pesoProbabilita+pesoProssimita+IF(ISNUMBER($I7),pesoVelocity,0)),2)),"")</f>
        <v/>
      </c>
      <c r="W7" s="151" t="n"/>
      <c r="X7" s="146" t="n"/>
      <c r="Y7" s="147" t="n"/>
    </row>
    <row r="8" hidden="1" ht="30" customHeight="1">
      <c r="A8" s="145" t="n"/>
      <c r="B8" s="35" t="n"/>
      <c r="C8" s="146" t="n"/>
      <c r="D8" s="147" t="n"/>
      <c r="E8" s="146" t="n"/>
      <c r="F8" s="147" t="n"/>
      <c r="G8" s="146" t="n"/>
      <c r="H8" s="147" t="n"/>
      <c r="I8" s="146" t="n"/>
      <c r="J8" s="147" t="n"/>
      <c r="K8" s="146" t="n"/>
      <c r="L8" s="147" t="n"/>
      <c r="M8" s="148" t="n"/>
      <c r="N8" s="149">
        <f>IF(NOT(ISNUMBER($U8)),"",FIXED($U8,2)&amp;IF(AND(ISNUMBER($V8),$V8&lt;&gt;$U8),"  (era "&amp;FIXED($V8,2)&amp;")",""))</f>
        <v/>
      </c>
      <c r="O8" s="150">
        <f>IF(NOT(ISNUMBER($S8)),"",IF($S8&lt;0,"AGIRE ORA",IF($S8&lt;1,"Entro l'anno","Margine"))&amp;" · "&amp;FIXED($S8,2)&amp;IF(AND(ISNUMBER($T8),ROUND($T8,2)&lt;&gt;ROUND($S8,2)),"  (era "&amp;FIXED($T8,2)&amp;")",""))</f>
        <v/>
      </c>
      <c r="P8" s="151" t="n"/>
      <c r="S8">
        <f>IFERROR(IF(NOT(ISNUMBER($H8)),"",INDEX(anniProssimita,$H8)-(moscaX+MAX(IF(COUNTIFS($R$113:$R$212,$A8,$Q$113:$Q$212,$Q8,$S$113:$S$212,"&gt;0")=0,moscaYDefault,_xlfn.MAXIFS($S$113:$S$212,$R$113:$R$212,$A8,$Q$113:$Q$212,$Q8)/12),IF(ISNUMBER($L8),$L8,IFERROR(N(INDEX(ANA_Anni_Adeguamento,MATCH($A8,ANA_ID,0))),0))))),"")</f>
        <v/>
      </c>
      <c r="T8">
        <f>IFERROR(IF(NOT(ISNUMBER($G8)),"",INDEX(anniProssimita,$G8)-(moscaX+MAX(IF(COUNTIFS($R$113:$R$212,$A8,$Q$113:$Q$212,$Q8,$T$113:$T$212,"&gt;0")=0,moscaYDefault,_xlfn.MAXIFS($T$113:$T$212,$R$113:$R$212,$A8,$Q$113:$Q$212,$Q8)/12),IF(ISNUMBER($K8),$K8,IFERROR(N(INDEX(ANA_Anni_Adeguamento,MATCH($A8,ANA_ID,0))),0))))),"")</f>
        <v/>
      </c>
      <c r="U8">
        <f>IFERROR(IF(COUNT($D8,$F8,$H8)&lt;3,"",ROUND((pesoImpatto*$D8+pesoProbabilita*$F8+pesoProssimita*$H8+IF(ISNUMBER($J8),pesoVelocity*$J8,0))/(pesoImpatto+pesoProbabilita+pesoProssimita+IF(ISNUMBER($J8),pesoVelocity,0)),2)),"")</f>
        <v/>
      </c>
      <c r="V8">
        <f>IFERROR(IF(COUNT($C8,$E8,$G8)&lt;3,"",ROUND((pesoImpatto*$C8+pesoProbabilita*$E8+pesoProssimita*$G8+IF(ISNUMBER($I8),pesoVelocity*$I8,0))/(pesoImpatto+pesoProbabilita+pesoProssimita+IF(ISNUMBER($I8),pesoVelocity,0)),2)),"")</f>
        <v/>
      </c>
      <c r="W8" s="151" t="n"/>
      <c r="X8" s="146" t="n"/>
      <c r="Y8" s="147" t="n"/>
    </row>
    <row r="9" hidden="1" ht="30" customHeight="1">
      <c r="A9" s="145" t="n"/>
      <c r="B9" s="35" t="n"/>
      <c r="C9" s="146" t="n"/>
      <c r="D9" s="147" t="n"/>
      <c r="E9" s="146" t="n"/>
      <c r="F9" s="147" t="n"/>
      <c r="G9" s="146" t="n"/>
      <c r="H9" s="147" t="n"/>
      <c r="I9" s="146" t="n"/>
      <c r="J9" s="147" t="n"/>
      <c r="K9" s="146" t="n"/>
      <c r="L9" s="147" t="n"/>
      <c r="M9" s="148" t="n"/>
      <c r="N9" s="149">
        <f>IF(NOT(ISNUMBER($U9)),"",FIXED($U9,2)&amp;IF(AND(ISNUMBER($V9),$V9&lt;&gt;$U9),"  (era "&amp;FIXED($V9,2)&amp;")",""))</f>
        <v/>
      </c>
      <c r="O9" s="150">
        <f>IF(NOT(ISNUMBER($S9)),"",IF($S9&lt;0,"AGIRE ORA",IF($S9&lt;1,"Entro l'anno","Margine"))&amp;" · "&amp;FIXED($S9,2)&amp;IF(AND(ISNUMBER($T9),ROUND($T9,2)&lt;&gt;ROUND($S9,2)),"  (era "&amp;FIXED($T9,2)&amp;")",""))</f>
        <v/>
      </c>
      <c r="P9" s="151" t="n"/>
      <c r="S9">
        <f>IFERROR(IF(NOT(ISNUMBER($H9)),"",INDEX(anniProssimita,$H9)-(moscaX+MAX(IF(COUNTIFS($R$113:$R$212,$A9,$Q$113:$Q$212,$Q9,$S$113:$S$212,"&gt;0")=0,moscaYDefault,_xlfn.MAXIFS($S$113:$S$212,$R$113:$R$212,$A9,$Q$113:$Q$212,$Q9)/12),IF(ISNUMBER($L9),$L9,IFERROR(N(INDEX(ANA_Anni_Adeguamento,MATCH($A9,ANA_ID,0))),0))))),"")</f>
        <v/>
      </c>
      <c r="T9">
        <f>IFERROR(IF(NOT(ISNUMBER($G9)),"",INDEX(anniProssimita,$G9)-(moscaX+MAX(IF(COUNTIFS($R$113:$R$212,$A9,$Q$113:$Q$212,$Q9,$T$113:$T$212,"&gt;0")=0,moscaYDefault,_xlfn.MAXIFS($T$113:$T$212,$R$113:$R$212,$A9,$Q$113:$Q$212,$Q9)/12),IF(ISNUMBER($K9),$K9,IFERROR(N(INDEX(ANA_Anni_Adeguamento,MATCH($A9,ANA_ID,0))),0))))),"")</f>
        <v/>
      </c>
      <c r="U9">
        <f>IFERROR(IF(COUNT($D9,$F9,$H9)&lt;3,"",ROUND((pesoImpatto*$D9+pesoProbabilita*$F9+pesoProssimita*$H9+IF(ISNUMBER($J9),pesoVelocity*$J9,0))/(pesoImpatto+pesoProbabilita+pesoProssimita+IF(ISNUMBER($J9),pesoVelocity,0)),2)),"")</f>
        <v/>
      </c>
      <c r="V9">
        <f>IFERROR(IF(COUNT($C9,$E9,$G9)&lt;3,"",ROUND((pesoImpatto*$C9+pesoProbabilita*$E9+pesoProssimita*$G9+IF(ISNUMBER($I9),pesoVelocity*$I9,0))/(pesoImpatto+pesoProbabilita+pesoProssimita+IF(ISNUMBER($I9),pesoVelocity,0)),2)),"")</f>
        <v/>
      </c>
      <c r="W9" s="151" t="n"/>
      <c r="X9" s="146" t="n"/>
      <c r="Y9" s="147" t="n"/>
    </row>
    <row r="10" hidden="1" ht="30" customHeight="1">
      <c r="A10" s="145" t="n"/>
      <c r="B10" s="35" t="n"/>
      <c r="C10" s="146" t="n"/>
      <c r="D10" s="147" t="n"/>
      <c r="E10" s="146" t="n"/>
      <c r="F10" s="147" t="n"/>
      <c r="G10" s="146" t="n"/>
      <c r="H10" s="147" t="n"/>
      <c r="I10" s="146" t="n"/>
      <c r="J10" s="147" t="n"/>
      <c r="K10" s="146" t="n"/>
      <c r="L10" s="147" t="n"/>
      <c r="M10" s="148" t="n"/>
      <c r="N10" s="149">
        <f>IF(NOT(ISNUMBER($U10)),"",FIXED($U10,2)&amp;IF(AND(ISNUMBER($V10),$V10&lt;&gt;$U10),"  (era "&amp;FIXED($V10,2)&amp;")",""))</f>
        <v/>
      </c>
      <c r="O10" s="150">
        <f>IF(NOT(ISNUMBER($S10)),"",IF($S10&lt;0,"AGIRE ORA",IF($S10&lt;1,"Entro l'anno","Margine"))&amp;" · "&amp;FIXED($S10,2)&amp;IF(AND(ISNUMBER($T10),ROUND($T10,2)&lt;&gt;ROUND($S10,2)),"  (era "&amp;FIXED($T10,2)&amp;")",""))</f>
        <v/>
      </c>
      <c r="P10" s="151" t="n"/>
      <c r="S10">
        <f>IFERROR(IF(NOT(ISNUMBER($H10)),"",INDEX(anniProssimita,$H10)-(moscaX+MAX(IF(COUNTIFS($R$113:$R$212,$A10,$Q$113:$Q$212,$Q10,$S$113:$S$212,"&gt;0")=0,moscaYDefault,_xlfn.MAXIFS($S$113:$S$212,$R$113:$R$212,$A10,$Q$113:$Q$212,$Q10)/12),IF(ISNUMBER($L10),$L10,IFERROR(N(INDEX(ANA_Anni_Adeguamento,MATCH($A10,ANA_ID,0))),0))))),"")</f>
        <v/>
      </c>
      <c r="T10">
        <f>IFERROR(IF(NOT(ISNUMBER($G10)),"",INDEX(anniProssimita,$G10)-(moscaX+MAX(IF(COUNTIFS($R$113:$R$212,$A10,$Q$113:$Q$212,$Q10,$T$113:$T$212,"&gt;0")=0,moscaYDefault,_xlfn.MAXIFS($T$113:$T$212,$R$113:$R$212,$A10,$Q$113:$Q$212,$Q10)/12),IF(ISNUMBER($K10),$K10,IFERROR(N(INDEX(ANA_Anni_Adeguamento,MATCH($A10,ANA_ID,0))),0))))),"")</f>
        <v/>
      </c>
      <c r="U10">
        <f>IFERROR(IF(COUNT($D10,$F10,$H10)&lt;3,"",ROUND((pesoImpatto*$D10+pesoProbabilita*$F10+pesoProssimita*$H10+IF(ISNUMBER($J10),pesoVelocity*$J10,0))/(pesoImpatto+pesoProbabilita+pesoProssimita+IF(ISNUMBER($J10),pesoVelocity,0)),2)),"")</f>
        <v/>
      </c>
      <c r="V10">
        <f>IFERROR(IF(COUNT($C10,$E10,$G10)&lt;3,"",ROUND((pesoImpatto*$C10+pesoProbabilita*$E10+pesoProssimita*$G10+IF(ISNUMBER($I10),pesoVelocity*$I10,0))/(pesoImpatto+pesoProbabilita+pesoProssimita+IF(ISNUMBER($I10),pesoVelocity,0)),2)),"")</f>
        <v/>
      </c>
      <c r="W10" s="151" t="n"/>
      <c r="X10" s="146" t="n"/>
      <c r="Y10" s="147" t="n"/>
    </row>
    <row r="11" hidden="1" ht="30" customHeight="1">
      <c r="A11" s="145" t="n"/>
      <c r="B11" s="35" t="n"/>
      <c r="C11" s="146" t="n"/>
      <c r="D11" s="147" t="n"/>
      <c r="E11" s="146" t="n"/>
      <c r="F11" s="147" t="n"/>
      <c r="G11" s="146" t="n"/>
      <c r="H11" s="147" t="n"/>
      <c r="I11" s="146" t="n"/>
      <c r="J11" s="147" t="n"/>
      <c r="K11" s="146" t="n"/>
      <c r="L11" s="147" t="n"/>
      <c r="M11" s="148" t="n"/>
      <c r="N11" s="149">
        <f>IF(NOT(ISNUMBER($U11)),"",FIXED($U11,2)&amp;IF(AND(ISNUMBER($V11),$V11&lt;&gt;$U11),"  (era "&amp;FIXED($V11,2)&amp;")",""))</f>
        <v/>
      </c>
      <c r="O11" s="150">
        <f>IF(NOT(ISNUMBER($S11)),"",IF($S11&lt;0,"AGIRE ORA",IF($S11&lt;1,"Entro l'anno","Margine"))&amp;" · "&amp;FIXED($S11,2)&amp;IF(AND(ISNUMBER($T11),ROUND($T11,2)&lt;&gt;ROUND($S11,2)),"  (era "&amp;FIXED($T11,2)&amp;")",""))</f>
        <v/>
      </c>
      <c r="P11" s="151" t="n"/>
      <c r="S11">
        <f>IFERROR(IF(NOT(ISNUMBER($H11)),"",INDEX(anniProssimita,$H11)-(moscaX+MAX(IF(COUNTIFS($R$113:$R$212,$A11,$Q$113:$Q$212,$Q11,$S$113:$S$212,"&gt;0")=0,moscaYDefault,_xlfn.MAXIFS($S$113:$S$212,$R$113:$R$212,$A11,$Q$113:$Q$212,$Q11)/12),IF(ISNUMBER($L11),$L11,IFERROR(N(INDEX(ANA_Anni_Adeguamento,MATCH($A11,ANA_ID,0))),0))))),"")</f>
        <v/>
      </c>
      <c r="T11">
        <f>IFERROR(IF(NOT(ISNUMBER($G11)),"",INDEX(anniProssimita,$G11)-(moscaX+MAX(IF(COUNTIFS($R$113:$R$212,$A11,$Q$113:$Q$212,$Q11,$T$113:$T$212,"&gt;0")=0,moscaYDefault,_xlfn.MAXIFS($T$113:$T$212,$R$113:$R$212,$A11,$Q$113:$Q$212,$Q11)/12),IF(ISNUMBER($K11),$K11,IFERROR(N(INDEX(ANA_Anni_Adeguamento,MATCH($A11,ANA_ID,0))),0))))),"")</f>
        <v/>
      </c>
      <c r="U11">
        <f>IFERROR(IF(COUNT($D11,$F11,$H11)&lt;3,"",ROUND((pesoImpatto*$D11+pesoProbabilita*$F11+pesoProssimita*$H11+IF(ISNUMBER($J11),pesoVelocity*$J11,0))/(pesoImpatto+pesoProbabilita+pesoProssimita+IF(ISNUMBER($J11),pesoVelocity,0)),2)),"")</f>
        <v/>
      </c>
      <c r="V11">
        <f>IFERROR(IF(COUNT($C11,$E11,$G11)&lt;3,"",ROUND((pesoImpatto*$C11+pesoProbabilita*$E11+pesoProssimita*$G11+IF(ISNUMBER($I11),pesoVelocity*$I11,0))/(pesoImpatto+pesoProbabilita+pesoProssimita+IF(ISNUMBER($I11),pesoVelocity,0)),2)),"")</f>
        <v/>
      </c>
      <c r="W11" s="151" t="n"/>
      <c r="X11" s="146" t="n"/>
      <c r="Y11" s="147" t="n"/>
    </row>
    <row r="12" hidden="1" ht="30" customHeight="1">
      <c r="A12" s="145" t="n"/>
      <c r="B12" s="35" t="n"/>
      <c r="C12" s="146" t="n"/>
      <c r="D12" s="147" t="n"/>
      <c r="E12" s="146" t="n"/>
      <c r="F12" s="147" t="n"/>
      <c r="G12" s="146" t="n"/>
      <c r="H12" s="147" t="n"/>
      <c r="I12" s="146" t="n"/>
      <c r="J12" s="147" t="n"/>
      <c r="K12" s="146" t="n"/>
      <c r="L12" s="147" t="n"/>
      <c r="M12" s="148" t="n"/>
      <c r="N12" s="149">
        <f>IF(NOT(ISNUMBER($U12)),"",FIXED($U12,2)&amp;IF(AND(ISNUMBER($V12),$V12&lt;&gt;$U12),"  (era "&amp;FIXED($V12,2)&amp;")",""))</f>
        <v/>
      </c>
      <c r="O12" s="150">
        <f>IF(NOT(ISNUMBER($S12)),"",IF($S12&lt;0,"AGIRE ORA",IF($S12&lt;1,"Entro l'anno","Margine"))&amp;" · "&amp;FIXED($S12,2)&amp;IF(AND(ISNUMBER($T12),ROUND($T12,2)&lt;&gt;ROUND($S12,2)),"  (era "&amp;FIXED($T12,2)&amp;")",""))</f>
        <v/>
      </c>
      <c r="P12" s="151" t="n"/>
      <c r="S12">
        <f>IFERROR(IF(NOT(ISNUMBER($H12)),"",INDEX(anniProssimita,$H12)-(moscaX+MAX(IF(COUNTIFS($R$113:$R$212,$A12,$Q$113:$Q$212,$Q12,$S$113:$S$212,"&gt;0")=0,moscaYDefault,_xlfn.MAXIFS($S$113:$S$212,$R$113:$R$212,$A12,$Q$113:$Q$212,$Q12)/12),IF(ISNUMBER($L12),$L12,IFERROR(N(INDEX(ANA_Anni_Adeguamento,MATCH($A12,ANA_ID,0))),0))))),"")</f>
        <v/>
      </c>
      <c r="T12">
        <f>IFERROR(IF(NOT(ISNUMBER($G12)),"",INDEX(anniProssimita,$G12)-(moscaX+MAX(IF(COUNTIFS($R$113:$R$212,$A12,$Q$113:$Q$212,$Q12,$T$113:$T$212,"&gt;0")=0,moscaYDefault,_xlfn.MAXIFS($T$113:$T$212,$R$113:$R$212,$A12,$Q$113:$Q$212,$Q12)/12),IF(ISNUMBER($K12),$K12,IFERROR(N(INDEX(ANA_Anni_Adeguamento,MATCH($A12,ANA_ID,0))),0))))),"")</f>
        <v/>
      </c>
      <c r="U12">
        <f>IFERROR(IF(COUNT($D12,$F12,$H12)&lt;3,"",ROUND((pesoImpatto*$D12+pesoProbabilita*$F12+pesoProssimita*$H12+IF(ISNUMBER($J12),pesoVelocity*$J12,0))/(pesoImpatto+pesoProbabilita+pesoProssimita+IF(ISNUMBER($J12),pesoVelocity,0)),2)),"")</f>
        <v/>
      </c>
      <c r="V12">
        <f>IFERROR(IF(COUNT($C12,$E12,$G12)&lt;3,"",ROUND((pesoImpatto*$C12+pesoProbabilita*$E12+pesoProssimita*$G12+IF(ISNUMBER($I12),pesoVelocity*$I12,0))/(pesoImpatto+pesoProbabilita+pesoProssimita+IF(ISNUMBER($I12),pesoVelocity,0)),2)),"")</f>
        <v/>
      </c>
      <c r="W12" s="151" t="n"/>
      <c r="X12" s="146" t="n"/>
      <c r="Y12" s="147" t="n"/>
    </row>
    <row r="13" hidden="1" ht="30" customHeight="1">
      <c r="A13" s="145" t="n"/>
      <c r="B13" s="35" t="n"/>
      <c r="C13" s="146" t="n"/>
      <c r="D13" s="147" t="n"/>
      <c r="E13" s="146" t="n"/>
      <c r="F13" s="147" t="n"/>
      <c r="G13" s="146" t="n"/>
      <c r="H13" s="147" t="n"/>
      <c r="I13" s="146" t="n"/>
      <c r="J13" s="147" t="n"/>
      <c r="K13" s="146" t="n"/>
      <c r="L13" s="147" t="n"/>
      <c r="M13" s="148" t="n"/>
      <c r="N13" s="149">
        <f>IF(NOT(ISNUMBER($U13)),"",FIXED($U13,2)&amp;IF(AND(ISNUMBER($V13),$V13&lt;&gt;$U13),"  (era "&amp;FIXED($V13,2)&amp;")",""))</f>
        <v/>
      </c>
      <c r="O13" s="150">
        <f>IF(NOT(ISNUMBER($S13)),"",IF($S13&lt;0,"AGIRE ORA",IF($S13&lt;1,"Entro l'anno","Margine"))&amp;" · "&amp;FIXED($S13,2)&amp;IF(AND(ISNUMBER($T13),ROUND($T13,2)&lt;&gt;ROUND($S13,2)),"  (era "&amp;FIXED($T13,2)&amp;")",""))</f>
        <v/>
      </c>
      <c r="P13" s="151" t="n"/>
      <c r="S13">
        <f>IFERROR(IF(NOT(ISNUMBER($H13)),"",INDEX(anniProssimita,$H13)-(moscaX+MAX(IF(COUNTIFS($R$113:$R$212,$A13,$Q$113:$Q$212,$Q13,$S$113:$S$212,"&gt;0")=0,moscaYDefault,_xlfn.MAXIFS($S$113:$S$212,$R$113:$R$212,$A13,$Q$113:$Q$212,$Q13)/12),IF(ISNUMBER($L13),$L13,IFERROR(N(INDEX(ANA_Anni_Adeguamento,MATCH($A13,ANA_ID,0))),0))))),"")</f>
        <v/>
      </c>
      <c r="T13">
        <f>IFERROR(IF(NOT(ISNUMBER($G13)),"",INDEX(anniProssimita,$G13)-(moscaX+MAX(IF(COUNTIFS($R$113:$R$212,$A13,$Q$113:$Q$212,$Q13,$T$113:$T$212,"&gt;0")=0,moscaYDefault,_xlfn.MAXIFS($T$113:$T$212,$R$113:$R$212,$A13,$Q$113:$Q$212,$Q13)/12),IF(ISNUMBER($K13),$K13,IFERROR(N(INDEX(ANA_Anni_Adeguamento,MATCH($A13,ANA_ID,0))),0))))),"")</f>
        <v/>
      </c>
      <c r="U13">
        <f>IFERROR(IF(COUNT($D13,$F13,$H13)&lt;3,"",ROUND((pesoImpatto*$D13+pesoProbabilita*$F13+pesoProssimita*$H13+IF(ISNUMBER($J13),pesoVelocity*$J13,0))/(pesoImpatto+pesoProbabilita+pesoProssimita+IF(ISNUMBER($J13),pesoVelocity,0)),2)),"")</f>
        <v/>
      </c>
      <c r="V13">
        <f>IFERROR(IF(COUNT($C13,$E13,$G13)&lt;3,"",ROUND((pesoImpatto*$C13+pesoProbabilita*$E13+pesoProssimita*$G13+IF(ISNUMBER($I13),pesoVelocity*$I13,0))/(pesoImpatto+pesoProbabilita+pesoProssimita+IF(ISNUMBER($I13),pesoVelocity,0)),2)),"")</f>
        <v/>
      </c>
      <c r="W13" s="151" t="n"/>
      <c r="X13" s="146" t="n"/>
      <c r="Y13" s="147" t="n"/>
    </row>
    <row r="14" hidden="1" ht="30" customHeight="1">
      <c r="A14" s="145" t="n"/>
      <c r="B14" s="35" t="n"/>
      <c r="C14" s="146" t="n"/>
      <c r="D14" s="147" t="n"/>
      <c r="E14" s="146" t="n"/>
      <c r="F14" s="147" t="n"/>
      <c r="G14" s="146" t="n"/>
      <c r="H14" s="147" t="n"/>
      <c r="I14" s="146" t="n"/>
      <c r="J14" s="147" t="n"/>
      <c r="K14" s="146" t="n"/>
      <c r="L14" s="147" t="n"/>
      <c r="M14" s="148" t="n"/>
      <c r="N14" s="149">
        <f>IF(NOT(ISNUMBER($U14)),"",FIXED($U14,2)&amp;IF(AND(ISNUMBER($V14),$V14&lt;&gt;$U14),"  (era "&amp;FIXED($V14,2)&amp;")",""))</f>
        <v/>
      </c>
      <c r="O14" s="150">
        <f>IF(NOT(ISNUMBER($S14)),"",IF($S14&lt;0,"AGIRE ORA",IF($S14&lt;1,"Entro l'anno","Margine"))&amp;" · "&amp;FIXED($S14,2)&amp;IF(AND(ISNUMBER($T14),ROUND($T14,2)&lt;&gt;ROUND($S14,2)),"  (era "&amp;FIXED($T14,2)&amp;")",""))</f>
        <v/>
      </c>
      <c r="P14" s="151" t="n"/>
      <c r="S14">
        <f>IFERROR(IF(NOT(ISNUMBER($H14)),"",INDEX(anniProssimita,$H14)-(moscaX+MAX(IF(COUNTIFS($R$113:$R$212,$A14,$Q$113:$Q$212,$Q14,$S$113:$S$212,"&gt;0")=0,moscaYDefault,_xlfn.MAXIFS($S$113:$S$212,$R$113:$R$212,$A14,$Q$113:$Q$212,$Q14)/12),IF(ISNUMBER($L14),$L14,IFERROR(N(INDEX(ANA_Anni_Adeguamento,MATCH($A14,ANA_ID,0))),0))))),"")</f>
        <v/>
      </c>
      <c r="T14">
        <f>IFERROR(IF(NOT(ISNUMBER($G14)),"",INDEX(anniProssimita,$G14)-(moscaX+MAX(IF(COUNTIFS($R$113:$R$212,$A14,$Q$113:$Q$212,$Q14,$T$113:$T$212,"&gt;0")=0,moscaYDefault,_xlfn.MAXIFS($T$113:$T$212,$R$113:$R$212,$A14,$Q$113:$Q$212,$Q14)/12),IF(ISNUMBER($K14),$K14,IFERROR(N(INDEX(ANA_Anni_Adeguamento,MATCH($A14,ANA_ID,0))),0))))),"")</f>
        <v/>
      </c>
      <c r="U14">
        <f>IFERROR(IF(COUNT($D14,$F14,$H14)&lt;3,"",ROUND((pesoImpatto*$D14+pesoProbabilita*$F14+pesoProssimita*$H14+IF(ISNUMBER($J14),pesoVelocity*$J14,0))/(pesoImpatto+pesoProbabilita+pesoProssimita+IF(ISNUMBER($J14),pesoVelocity,0)),2)),"")</f>
        <v/>
      </c>
      <c r="V14">
        <f>IFERROR(IF(COUNT($C14,$E14,$G14)&lt;3,"",ROUND((pesoImpatto*$C14+pesoProbabilita*$E14+pesoProssimita*$G14+IF(ISNUMBER($I14),pesoVelocity*$I14,0))/(pesoImpatto+pesoProbabilita+pesoProssimita+IF(ISNUMBER($I14),pesoVelocity,0)),2)),"")</f>
        <v/>
      </c>
      <c r="W14" s="151" t="n"/>
      <c r="X14" s="146" t="n"/>
      <c r="Y14" s="147" t="n"/>
    </row>
    <row r="15" hidden="1" ht="30" customHeight="1">
      <c r="A15" s="145" t="n"/>
      <c r="B15" s="35" t="n"/>
      <c r="C15" s="146" t="n"/>
      <c r="D15" s="147" t="n"/>
      <c r="E15" s="146" t="n"/>
      <c r="F15" s="147" t="n"/>
      <c r="G15" s="146" t="n"/>
      <c r="H15" s="147" t="n"/>
      <c r="I15" s="146" t="n"/>
      <c r="J15" s="147" t="n"/>
      <c r="K15" s="146" t="n"/>
      <c r="L15" s="147" t="n"/>
      <c r="M15" s="148" t="n"/>
      <c r="N15" s="149">
        <f>IF(NOT(ISNUMBER($U15)),"",FIXED($U15,2)&amp;IF(AND(ISNUMBER($V15),$V15&lt;&gt;$U15),"  (era "&amp;FIXED($V15,2)&amp;")",""))</f>
        <v/>
      </c>
      <c r="O15" s="150">
        <f>IF(NOT(ISNUMBER($S15)),"",IF($S15&lt;0,"AGIRE ORA",IF($S15&lt;1,"Entro l'anno","Margine"))&amp;" · "&amp;FIXED($S15,2)&amp;IF(AND(ISNUMBER($T15),ROUND($T15,2)&lt;&gt;ROUND($S15,2)),"  (era "&amp;FIXED($T15,2)&amp;")",""))</f>
        <v/>
      </c>
      <c r="P15" s="151" t="n"/>
      <c r="S15">
        <f>IFERROR(IF(NOT(ISNUMBER($H15)),"",INDEX(anniProssimita,$H15)-(moscaX+MAX(IF(COUNTIFS($R$113:$R$212,$A15,$Q$113:$Q$212,$Q15,$S$113:$S$212,"&gt;0")=0,moscaYDefault,_xlfn.MAXIFS($S$113:$S$212,$R$113:$R$212,$A15,$Q$113:$Q$212,$Q15)/12),IF(ISNUMBER($L15),$L15,IFERROR(N(INDEX(ANA_Anni_Adeguamento,MATCH($A15,ANA_ID,0))),0))))),"")</f>
        <v/>
      </c>
      <c r="T15">
        <f>IFERROR(IF(NOT(ISNUMBER($G15)),"",INDEX(anniProssimita,$G15)-(moscaX+MAX(IF(COUNTIFS($R$113:$R$212,$A15,$Q$113:$Q$212,$Q15,$T$113:$T$212,"&gt;0")=0,moscaYDefault,_xlfn.MAXIFS($T$113:$T$212,$R$113:$R$212,$A15,$Q$113:$Q$212,$Q15)/12),IF(ISNUMBER($K15),$K15,IFERROR(N(INDEX(ANA_Anni_Adeguamento,MATCH($A15,ANA_ID,0))),0))))),"")</f>
        <v/>
      </c>
      <c r="U15">
        <f>IFERROR(IF(COUNT($D15,$F15,$H15)&lt;3,"",ROUND((pesoImpatto*$D15+pesoProbabilita*$F15+pesoProssimita*$H15+IF(ISNUMBER($J15),pesoVelocity*$J15,0))/(pesoImpatto+pesoProbabilita+pesoProssimita+IF(ISNUMBER($J15),pesoVelocity,0)),2)),"")</f>
        <v/>
      </c>
      <c r="V15">
        <f>IFERROR(IF(COUNT($C15,$E15,$G15)&lt;3,"",ROUND((pesoImpatto*$C15+pesoProbabilita*$E15+pesoProssimita*$G15+IF(ISNUMBER($I15),pesoVelocity*$I15,0))/(pesoImpatto+pesoProbabilita+pesoProssimita+IF(ISNUMBER($I15),pesoVelocity,0)),2)),"")</f>
        <v/>
      </c>
      <c r="W15" s="151" t="n"/>
      <c r="X15" s="146" t="n"/>
      <c r="Y15" s="147" t="n"/>
    </row>
    <row r="16" hidden="1" ht="30" customHeight="1">
      <c r="A16" s="145" t="n"/>
      <c r="B16" s="35" t="n"/>
      <c r="C16" s="146" t="n"/>
      <c r="D16" s="147" t="n"/>
      <c r="E16" s="146" t="n"/>
      <c r="F16" s="147" t="n"/>
      <c r="G16" s="146" t="n"/>
      <c r="H16" s="147" t="n"/>
      <c r="I16" s="146" t="n"/>
      <c r="J16" s="147" t="n"/>
      <c r="K16" s="146" t="n"/>
      <c r="L16" s="147" t="n"/>
      <c r="M16" s="148" t="n"/>
      <c r="N16" s="149">
        <f>IF(NOT(ISNUMBER($U16)),"",FIXED($U16,2)&amp;IF(AND(ISNUMBER($V16),$V16&lt;&gt;$U16),"  (era "&amp;FIXED($V16,2)&amp;")",""))</f>
        <v/>
      </c>
      <c r="O16" s="150">
        <f>IF(NOT(ISNUMBER($S16)),"",IF($S16&lt;0,"AGIRE ORA",IF($S16&lt;1,"Entro l'anno","Margine"))&amp;" · "&amp;FIXED($S16,2)&amp;IF(AND(ISNUMBER($T16),ROUND($T16,2)&lt;&gt;ROUND($S16,2)),"  (era "&amp;FIXED($T16,2)&amp;")",""))</f>
        <v/>
      </c>
      <c r="P16" s="151" t="n"/>
      <c r="S16">
        <f>IFERROR(IF(NOT(ISNUMBER($H16)),"",INDEX(anniProssimita,$H16)-(moscaX+MAX(IF(COUNTIFS($R$113:$R$212,$A16,$Q$113:$Q$212,$Q16,$S$113:$S$212,"&gt;0")=0,moscaYDefault,_xlfn.MAXIFS($S$113:$S$212,$R$113:$R$212,$A16,$Q$113:$Q$212,$Q16)/12),IF(ISNUMBER($L16),$L16,IFERROR(N(INDEX(ANA_Anni_Adeguamento,MATCH($A16,ANA_ID,0))),0))))),"")</f>
        <v/>
      </c>
      <c r="T16">
        <f>IFERROR(IF(NOT(ISNUMBER($G16)),"",INDEX(anniProssimita,$G16)-(moscaX+MAX(IF(COUNTIFS($R$113:$R$212,$A16,$Q$113:$Q$212,$Q16,$T$113:$T$212,"&gt;0")=0,moscaYDefault,_xlfn.MAXIFS($T$113:$T$212,$R$113:$R$212,$A16,$Q$113:$Q$212,$Q16)/12),IF(ISNUMBER($K16),$K16,IFERROR(N(INDEX(ANA_Anni_Adeguamento,MATCH($A16,ANA_ID,0))),0))))),"")</f>
        <v/>
      </c>
      <c r="U16">
        <f>IFERROR(IF(COUNT($D16,$F16,$H16)&lt;3,"",ROUND((pesoImpatto*$D16+pesoProbabilita*$F16+pesoProssimita*$H16+IF(ISNUMBER($J16),pesoVelocity*$J16,0))/(pesoImpatto+pesoProbabilita+pesoProssimita+IF(ISNUMBER($J16),pesoVelocity,0)),2)),"")</f>
        <v/>
      </c>
      <c r="V16">
        <f>IFERROR(IF(COUNT($C16,$E16,$G16)&lt;3,"",ROUND((pesoImpatto*$C16+pesoProbabilita*$E16+pesoProssimita*$G16+IF(ISNUMBER($I16),pesoVelocity*$I16,0))/(pesoImpatto+pesoProbabilita+pesoProssimita+IF(ISNUMBER($I16),pesoVelocity,0)),2)),"")</f>
        <v/>
      </c>
      <c r="W16" s="151" t="n"/>
      <c r="X16" s="146" t="n"/>
      <c r="Y16" s="147" t="n"/>
    </row>
    <row r="17" hidden="1" ht="30" customHeight="1">
      <c r="A17" s="145" t="n"/>
      <c r="B17" s="35" t="n"/>
      <c r="C17" s="146" t="n"/>
      <c r="D17" s="147" t="n"/>
      <c r="E17" s="146" t="n"/>
      <c r="F17" s="147" t="n"/>
      <c r="G17" s="146" t="n"/>
      <c r="H17" s="147" t="n"/>
      <c r="I17" s="146" t="n"/>
      <c r="J17" s="147" t="n"/>
      <c r="K17" s="146" t="n"/>
      <c r="L17" s="147" t="n"/>
      <c r="M17" s="148" t="n"/>
      <c r="N17" s="149">
        <f>IF(NOT(ISNUMBER($U17)),"",FIXED($U17,2)&amp;IF(AND(ISNUMBER($V17),$V17&lt;&gt;$U17),"  (era "&amp;FIXED($V17,2)&amp;")",""))</f>
        <v/>
      </c>
      <c r="O17" s="150">
        <f>IF(NOT(ISNUMBER($S17)),"",IF($S17&lt;0,"AGIRE ORA",IF($S17&lt;1,"Entro l'anno","Margine"))&amp;" · "&amp;FIXED($S17,2)&amp;IF(AND(ISNUMBER($T17),ROUND($T17,2)&lt;&gt;ROUND($S17,2)),"  (era "&amp;FIXED($T17,2)&amp;")",""))</f>
        <v/>
      </c>
      <c r="P17" s="151" t="n"/>
      <c r="S17">
        <f>IFERROR(IF(NOT(ISNUMBER($H17)),"",INDEX(anniProssimita,$H17)-(moscaX+MAX(IF(COUNTIFS($R$113:$R$212,$A17,$Q$113:$Q$212,$Q17,$S$113:$S$212,"&gt;0")=0,moscaYDefault,_xlfn.MAXIFS($S$113:$S$212,$R$113:$R$212,$A17,$Q$113:$Q$212,$Q17)/12),IF(ISNUMBER($L17),$L17,IFERROR(N(INDEX(ANA_Anni_Adeguamento,MATCH($A17,ANA_ID,0))),0))))),"")</f>
        <v/>
      </c>
      <c r="T17">
        <f>IFERROR(IF(NOT(ISNUMBER($G17)),"",INDEX(anniProssimita,$G17)-(moscaX+MAX(IF(COUNTIFS($R$113:$R$212,$A17,$Q$113:$Q$212,$Q17,$T$113:$T$212,"&gt;0")=0,moscaYDefault,_xlfn.MAXIFS($T$113:$T$212,$R$113:$R$212,$A17,$Q$113:$Q$212,$Q17)/12),IF(ISNUMBER($K17),$K17,IFERROR(N(INDEX(ANA_Anni_Adeguamento,MATCH($A17,ANA_ID,0))),0))))),"")</f>
        <v/>
      </c>
      <c r="U17">
        <f>IFERROR(IF(COUNT($D17,$F17,$H17)&lt;3,"",ROUND((pesoImpatto*$D17+pesoProbabilita*$F17+pesoProssimita*$H17+IF(ISNUMBER($J17),pesoVelocity*$J17,0))/(pesoImpatto+pesoProbabilita+pesoProssimita+IF(ISNUMBER($J17),pesoVelocity,0)),2)),"")</f>
        <v/>
      </c>
      <c r="V17">
        <f>IFERROR(IF(COUNT($C17,$E17,$G17)&lt;3,"",ROUND((pesoImpatto*$C17+pesoProbabilita*$E17+pesoProssimita*$G17+IF(ISNUMBER($I17),pesoVelocity*$I17,0))/(pesoImpatto+pesoProbabilita+pesoProssimita+IF(ISNUMBER($I17),pesoVelocity,0)),2)),"")</f>
        <v/>
      </c>
      <c r="W17" s="151" t="n"/>
      <c r="X17" s="146" t="n"/>
      <c r="Y17" s="147" t="n"/>
    </row>
    <row r="18" hidden="1" ht="30" customHeight="1">
      <c r="A18" s="145" t="n"/>
      <c r="B18" s="35" t="n"/>
      <c r="C18" s="146" t="n"/>
      <c r="D18" s="147" t="n"/>
      <c r="E18" s="146" t="n"/>
      <c r="F18" s="147" t="n"/>
      <c r="G18" s="146" t="n"/>
      <c r="H18" s="147" t="n"/>
      <c r="I18" s="146" t="n"/>
      <c r="J18" s="147" t="n"/>
      <c r="K18" s="146" t="n"/>
      <c r="L18" s="147" t="n"/>
      <c r="M18" s="148" t="n"/>
      <c r="N18" s="149">
        <f>IF(NOT(ISNUMBER($U18)),"",FIXED($U18,2)&amp;IF(AND(ISNUMBER($V18),$V18&lt;&gt;$U18),"  (era "&amp;FIXED($V18,2)&amp;")",""))</f>
        <v/>
      </c>
      <c r="O18" s="150">
        <f>IF(NOT(ISNUMBER($S18)),"",IF($S18&lt;0,"AGIRE ORA",IF($S18&lt;1,"Entro l'anno","Margine"))&amp;" · "&amp;FIXED($S18,2)&amp;IF(AND(ISNUMBER($T18),ROUND($T18,2)&lt;&gt;ROUND($S18,2)),"  (era "&amp;FIXED($T18,2)&amp;")",""))</f>
        <v/>
      </c>
      <c r="P18" s="151" t="n"/>
      <c r="S18">
        <f>IFERROR(IF(NOT(ISNUMBER($H18)),"",INDEX(anniProssimita,$H18)-(moscaX+MAX(IF(COUNTIFS($R$113:$R$212,$A18,$Q$113:$Q$212,$Q18,$S$113:$S$212,"&gt;0")=0,moscaYDefault,_xlfn.MAXIFS($S$113:$S$212,$R$113:$R$212,$A18,$Q$113:$Q$212,$Q18)/12),IF(ISNUMBER($L18),$L18,IFERROR(N(INDEX(ANA_Anni_Adeguamento,MATCH($A18,ANA_ID,0))),0))))),"")</f>
        <v/>
      </c>
      <c r="T18">
        <f>IFERROR(IF(NOT(ISNUMBER($G18)),"",INDEX(anniProssimita,$G18)-(moscaX+MAX(IF(COUNTIFS($R$113:$R$212,$A18,$Q$113:$Q$212,$Q18,$T$113:$T$212,"&gt;0")=0,moscaYDefault,_xlfn.MAXIFS($T$113:$T$212,$R$113:$R$212,$A18,$Q$113:$Q$212,$Q18)/12),IF(ISNUMBER($K18),$K18,IFERROR(N(INDEX(ANA_Anni_Adeguamento,MATCH($A18,ANA_ID,0))),0))))),"")</f>
        <v/>
      </c>
      <c r="U18">
        <f>IFERROR(IF(COUNT($D18,$F18,$H18)&lt;3,"",ROUND((pesoImpatto*$D18+pesoProbabilita*$F18+pesoProssimita*$H18+IF(ISNUMBER($J18),pesoVelocity*$J18,0))/(pesoImpatto+pesoProbabilita+pesoProssimita+IF(ISNUMBER($J18),pesoVelocity,0)),2)),"")</f>
        <v/>
      </c>
      <c r="V18">
        <f>IFERROR(IF(COUNT($C18,$E18,$G18)&lt;3,"",ROUND((pesoImpatto*$C18+pesoProbabilita*$E18+pesoProssimita*$G18+IF(ISNUMBER($I18),pesoVelocity*$I18,0))/(pesoImpatto+pesoProbabilita+pesoProssimita+IF(ISNUMBER($I18),pesoVelocity,0)),2)),"")</f>
        <v/>
      </c>
      <c r="W18" s="151" t="n"/>
      <c r="X18" s="146" t="n"/>
      <c r="Y18" s="147" t="n"/>
    </row>
    <row r="19" hidden="1" ht="30" customHeight="1">
      <c r="A19" s="145" t="n"/>
      <c r="B19" s="35" t="n"/>
      <c r="C19" s="146" t="n"/>
      <c r="D19" s="147" t="n"/>
      <c r="E19" s="146" t="n"/>
      <c r="F19" s="147" t="n"/>
      <c r="G19" s="146" t="n"/>
      <c r="H19" s="147" t="n"/>
      <c r="I19" s="146" t="n"/>
      <c r="J19" s="147" t="n"/>
      <c r="K19" s="146" t="n"/>
      <c r="L19" s="147" t="n"/>
      <c r="M19" s="148" t="n"/>
      <c r="N19" s="149">
        <f>IF(NOT(ISNUMBER($U19)),"",FIXED($U19,2)&amp;IF(AND(ISNUMBER($V19),$V19&lt;&gt;$U19),"  (era "&amp;FIXED($V19,2)&amp;")",""))</f>
        <v/>
      </c>
      <c r="O19" s="150">
        <f>IF(NOT(ISNUMBER($S19)),"",IF($S19&lt;0,"AGIRE ORA",IF($S19&lt;1,"Entro l'anno","Margine"))&amp;" · "&amp;FIXED($S19,2)&amp;IF(AND(ISNUMBER($T19),ROUND($T19,2)&lt;&gt;ROUND($S19,2)),"  (era "&amp;FIXED($T19,2)&amp;")",""))</f>
        <v/>
      </c>
      <c r="P19" s="151" t="n"/>
      <c r="S19">
        <f>IFERROR(IF(NOT(ISNUMBER($H19)),"",INDEX(anniProssimita,$H19)-(moscaX+MAX(IF(COUNTIFS($R$113:$R$212,$A19,$Q$113:$Q$212,$Q19,$S$113:$S$212,"&gt;0")=0,moscaYDefault,_xlfn.MAXIFS($S$113:$S$212,$R$113:$R$212,$A19,$Q$113:$Q$212,$Q19)/12),IF(ISNUMBER($L19),$L19,IFERROR(N(INDEX(ANA_Anni_Adeguamento,MATCH($A19,ANA_ID,0))),0))))),"")</f>
        <v/>
      </c>
      <c r="T19">
        <f>IFERROR(IF(NOT(ISNUMBER($G19)),"",INDEX(anniProssimita,$G19)-(moscaX+MAX(IF(COUNTIFS($R$113:$R$212,$A19,$Q$113:$Q$212,$Q19,$T$113:$T$212,"&gt;0")=0,moscaYDefault,_xlfn.MAXIFS($T$113:$T$212,$R$113:$R$212,$A19,$Q$113:$Q$212,$Q19)/12),IF(ISNUMBER($K19),$K19,IFERROR(N(INDEX(ANA_Anni_Adeguamento,MATCH($A19,ANA_ID,0))),0))))),"")</f>
        <v/>
      </c>
      <c r="U19">
        <f>IFERROR(IF(COUNT($D19,$F19,$H19)&lt;3,"",ROUND((pesoImpatto*$D19+pesoProbabilita*$F19+pesoProssimita*$H19+IF(ISNUMBER($J19),pesoVelocity*$J19,0))/(pesoImpatto+pesoProbabilita+pesoProssimita+IF(ISNUMBER($J19),pesoVelocity,0)),2)),"")</f>
        <v/>
      </c>
      <c r="V19">
        <f>IFERROR(IF(COUNT($C19,$E19,$G19)&lt;3,"",ROUND((pesoImpatto*$C19+pesoProbabilita*$E19+pesoProssimita*$G19+IF(ISNUMBER($I19),pesoVelocity*$I19,0))/(pesoImpatto+pesoProbabilita+pesoProssimita+IF(ISNUMBER($I19),pesoVelocity,0)),2)),"")</f>
        <v/>
      </c>
      <c r="W19" s="151" t="n"/>
      <c r="X19" s="146" t="n"/>
      <c r="Y19" s="147" t="n"/>
    </row>
    <row r="20" hidden="1" ht="30" customHeight="1">
      <c r="A20" s="145" t="n"/>
      <c r="B20" s="35" t="n"/>
      <c r="C20" s="146" t="n"/>
      <c r="D20" s="147" t="n"/>
      <c r="E20" s="146" t="n"/>
      <c r="F20" s="147" t="n"/>
      <c r="G20" s="146" t="n"/>
      <c r="H20" s="147" t="n"/>
      <c r="I20" s="146" t="n"/>
      <c r="J20" s="147" t="n"/>
      <c r="K20" s="146" t="n"/>
      <c r="L20" s="147" t="n"/>
      <c r="M20" s="148" t="n"/>
      <c r="N20" s="149">
        <f>IF(NOT(ISNUMBER($U20)),"",FIXED($U20,2)&amp;IF(AND(ISNUMBER($V20),$V20&lt;&gt;$U20),"  (era "&amp;FIXED($V20,2)&amp;")",""))</f>
        <v/>
      </c>
      <c r="O20" s="150">
        <f>IF(NOT(ISNUMBER($S20)),"",IF($S20&lt;0,"AGIRE ORA",IF($S20&lt;1,"Entro l'anno","Margine"))&amp;" · "&amp;FIXED($S20,2)&amp;IF(AND(ISNUMBER($T20),ROUND($T20,2)&lt;&gt;ROUND($S20,2)),"  (era "&amp;FIXED($T20,2)&amp;")",""))</f>
        <v/>
      </c>
      <c r="P20" s="151" t="n"/>
      <c r="S20">
        <f>IFERROR(IF(NOT(ISNUMBER($H20)),"",INDEX(anniProssimita,$H20)-(moscaX+MAX(IF(COUNTIFS($R$113:$R$212,$A20,$Q$113:$Q$212,$Q20,$S$113:$S$212,"&gt;0")=0,moscaYDefault,_xlfn.MAXIFS($S$113:$S$212,$R$113:$R$212,$A20,$Q$113:$Q$212,$Q20)/12),IF(ISNUMBER($L20),$L20,IFERROR(N(INDEX(ANA_Anni_Adeguamento,MATCH($A20,ANA_ID,0))),0))))),"")</f>
        <v/>
      </c>
      <c r="T20">
        <f>IFERROR(IF(NOT(ISNUMBER($G20)),"",INDEX(anniProssimita,$G20)-(moscaX+MAX(IF(COUNTIFS($R$113:$R$212,$A20,$Q$113:$Q$212,$Q20,$T$113:$T$212,"&gt;0")=0,moscaYDefault,_xlfn.MAXIFS($T$113:$T$212,$R$113:$R$212,$A20,$Q$113:$Q$212,$Q20)/12),IF(ISNUMBER($K20),$K20,IFERROR(N(INDEX(ANA_Anni_Adeguamento,MATCH($A20,ANA_ID,0))),0))))),"")</f>
        <v/>
      </c>
      <c r="U20">
        <f>IFERROR(IF(COUNT($D20,$F20,$H20)&lt;3,"",ROUND((pesoImpatto*$D20+pesoProbabilita*$F20+pesoProssimita*$H20+IF(ISNUMBER($J20),pesoVelocity*$J20,0))/(pesoImpatto+pesoProbabilita+pesoProssimita+IF(ISNUMBER($J20),pesoVelocity,0)),2)),"")</f>
        <v/>
      </c>
      <c r="V20">
        <f>IFERROR(IF(COUNT($C20,$E20,$G20)&lt;3,"",ROUND((pesoImpatto*$C20+pesoProbabilita*$E20+pesoProssimita*$G20+IF(ISNUMBER($I20),pesoVelocity*$I20,0))/(pesoImpatto+pesoProbabilita+pesoProssimita+IF(ISNUMBER($I20),pesoVelocity,0)),2)),"")</f>
        <v/>
      </c>
      <c r="W20" s="151" t="n"/>
      <c r="X20" s="146" t="n"/>
      <c r="Y20" s="147" t="n"/>
    </row>
    <row r="21" hidden="1" ht="30" customHeight="1">
      <c r="A21" s="145" t="n"/>
      <c r="B21" s="35" t="n"/>
      <c r="C21" s="146" t="n"/>
      <c r="D21" s="147" t="n"/>
      <c r="E21" s="146" t="n"/>
      <c r="F21" s="147" t="n"/>
      <c r="G21" s="146" t="n"/>
      <c r="H21" s="147" t="n"/>
      <c r="I21" s="146" t="n"/>
      <c r="J21" s="147" t="n"/>
      <c r="K21" s="146" t="n"/>
      <c r="L21" s="147" t="n"/>
      <c r="M21" s="148" t="n"/>
      <c r="N21" s="149">
        <f>IF(NOT(ISNUMBER($U21)),"",FIXED($U21,2)&amp;IF(AND(ISNUMBER($V21),$V21&lt;&gt;$U21),"  (era "&amp;FIXED($V21,2)&amp;")",""))</f>
        <v/>
      </c>
      <c r="O21" s="150">
        <f>IF(NOT(ISNUMBER($S21)),"",IF($S21&lt;0,"AGIRE ORA",IF($S21&lt;1,"Entro l'anno","Margine"))&amp;" · "&amp;FIXED($S21,2)&amp;IF(AND(ISNUMBER($T21),ROUND($T21,2)&lt;&gt;ROUND($S21,2)),"  (era "&amp;FIXED($T21,2)&amp;")",""))</f>
        <v/>
      </c>
      <c r="P21" s="151" t="n"/>
      <c r="S21">
        <f>IFERROR(IF(NOT(ISNUMBER($H21)),"",INDEX(anniProssimita,$H21)-(moscaX+MAX(IF(COUNTIFS($R$113:$R$212,$A21,$Q$113:$Q$212,$Q21,$S$113:$S$212,"&gt;0")=0,moscaYDefault,_xlfn.MAXIFS($S$113:$S$212,$R$113:$R$212,$A21,$Q$113:$Q$212,$Q21)/12),IF(ISNUMBER($L21),$L21,IFERROR(N(INDEX(ANA_Anni_Adeguamento,MATCH($A21,ANA_ID,0))),0))))),"")</f>
        <v/>
      </c>
      <c r="T21">
        <f>IFERROR(IF(NOT(ISNUMBER($G21)),"",INDEX(anniProssimita,$G21)-(moscaX+MAX(IF(COUNTIFS($R$113:$R$212,$A21,$Q$113:$Q$212,$Q21,$T$113:$T$212,"&gt;0")=0,moscaYDefault,_xlfn.MAXIFS($T$113:$T$212,$R$113:$R$212,$A21,$Q$113:$Q$212,$Q21)/12),IF(ISNUMBER($K21),$K21,IFERROR(N(INDEX(ANA_Anni_Adeguamento,MATCH($A21,ANA_ID,0))),0))))),"")</f>
        <v/>
      </c>
      <c r="U21">
        <f>IFERROR(IF(COUNT($D21,$F21,$H21)&lt;3,"",ROUND((pesoImpatto*$D21+pesoProbabilita*$F21+pesoProssimita*$H21+IF(ISNUMBER($J21),pesoVelocity*$J21,0))/(pesoImpatto+pesoProbabilita+pesoProssimita+IF(ISNUMBER($J21),pesoVelocity,0)),2)),"")</f>
        <v/>
      </c>
      <c r="V21">
        <f>IFERROR(IF(COUNT($C21,$E21,$G21)&lt;3,"",ROUND((pesoImpatto*$C21+pesoProbabilita*$E21+pesoProssimita*$G21+IF(ISNUMBER($I21),pesoVelocity*$I21,0))/(pesoImpatto+pesoProbabilita+pesoProssimita+IF(ISNUMBER($I21),pesoVelocity,0)),2)),"")</f>
        <v/>
      </c>
      <c r="W21" s="151" t="n"/>
      <c r="X21" s="146" t="n"/>
      <c r="Y21" s="147" t="n"/>
    </row>
    <row r="22" hidden="1" ht="30" customHeight="1">
      <c r="A22" s="145" t="n"/>
      <c r="B22" s="35" t="n"/>
      <c r="C22" s="146" t="n"/>
      <c r="D22" s="147" t="n"/>
      <c r="E22" s="146" t="n"/>
      <c r="F22" s="147" t="n"/>
      <c r="G22" s="146" t="n"/>
      <c r="H22" s="147" t="n"/>
      <c r="I22" s="146" t="n"/>
      <c r="J22" s="147" t="n"/>
      <c r="K22" s="146" t="n"/>
      <c r="L22" s="147" t="n"/>
      <c r="M22" s="148" t="n"/>
      <c r="N22" s="149">
        <f>IF(NOT(ISNUMBER($U22)),"",FIXED($U22,2)&amp;IF(AND(ISNUMBER($V22),$V22&lt;&gt;$U22),"  (era "&amp;FIXED($V22,2)&amp;")",""))</f>
        <v/>
      </c>
      <c r="O22" s="150">
        <f>IF(NOT(ISNUMBER($S22)),"",IF($S22&lt;0,"AGIRE ORA",IF($S22&lt;1,"Entro l'anno","Margine"))&amp;" · "&amp;FIXED($S22,2)&amp;IF(AND(ISNUMBER($T22),ROUND($T22,2)&lt;&gt;ROUND($S22,2)),"  (era "&amp;FIXED($T22,2)&amp;")",""))</f>
        <v/>
      </c>
      <c r="P22" s="151" t="n"/>
      <c r="S22">
        <f>IFERROR(IF(NOT(ISNUMBER($H22)),"",INDEX(anniProssimita,$H22)-(moscaX+MAX(IF(COUNTIFS($R$113:$R$212,$A22,$Q$113:$Q$212,$Q22,$S$113:$S$212,"&gt;0")=0,moscaYDefault,_xlfn.MAXIFS($S$113:$S$212,$R$113:$R$212,$A22,$Q$113:$Q$212,$Q22)/12),IF(ISNUMBER($L22),$L22,IFERROR(N(INDEX(ANA_Anni_Adeguamento,MATCH($A22,ANA_ID,0))),0))))),"")</f>
        <v/>
      </c>
      <c r="T22">
        <f>IFERROR(IF(NOT(ISNUMBER($G22)),"",INDEX(anniProssimita,$G22)-(moscaX+MAX(IF(COUNTIFS($R$113:$R$212,$A22,$Q$113:$Q$212,$Q22,$T$113:$T$212,"&gt;0")=0,moscaYDefault,_xlfn.MAXIFS($T$113:$T$212,$R$113:$R$212,$A22,$Q$113:$Q$212,$Q22)/12),IF(ISNUMBER($K22),$K22,IFERROR(N(INDEX(ANA_Anni_Adeguamento,MATCH($A22,ANA_ID,0))),0))))),"")</f>
        <v/>
      </c>
      <c r="U22">
        <f>IFERROR(IF(COUNT($D22,$F22,$H22)&lt;3,"",ROUND((pesoImpatto*$D22+pesoProbabilita*$F22+pesoProssimita*$H22+IF(ISNUMBER($J22),pesoVelocity*$J22,0))/(pesoImpatto+pesoProbabilita+pesoProssimita+IF(ISNUMBER($J22),pesoVelocity,0)),2)),"")</f>
        <v/>
      </c>
      <c r="V22">
        <f>IFERROR(IF(COUNT($C22,$E22,$G22)&lt;3,"",ROUND((pesoImpatto*$C22+pesoProbabilita*$E22+pesoProssimita*$G22+IF(ISNUMBER($I22),pesoVelocity*$I22,0))/(pesoImpatto+pesoProbabilita+pesoProssimita+IF(ISNUMBER($I22),pesoVelocity,0)),2)),"")</f>
        <v/>
      </c>
      <c r="W22" s="151" t="n"/>
      <c r="X22" s="146" t="n"/>
      <c r="Y22" s="147" t="n"/>
    </row>
    <row r="23" hidden="1" ht="30" customHeight="1">
      <c r="A23" s="145" t="n"/>
      <c r="B23" s="35" t="n"/>
      <c r="C23" s="146" t="n"/>
      <c r="D23" s="147" t="n"/>
      <c r="E23" s="146" t="n"/>
      <c r="F23" s="147" t="n"/>
      <c r="G23" s="146" t="n"/>
      <c r="H23" s="147" t="n"/>
      <c r="I23" s="146" t="n"/>
      <c r="J23" s="147" t="n"/>
      <c r="K23" s="146" t="n"/>
      <c r="L23" s="147" t="n"/>
      <c r="M23" s="148" t="n"/>
      <c r="N23" s="149">
        <f>IF(NOT(ISNUMBER($U23)),"",FIXED($U23,2)&amp;IF(AND(ISNUMBER($V23),$V23&lt;&gt;$U23),"  (era "&amp;FIXED($V23,2)&amp;")",""))</f>
        <v/>
      </c>
      <c r="O23" s="150">
        <f>IF(NOT(ISNUMBER($S23)),"",IF($S23&lt;0,"AGIRE ORA",IF($S23&lt;1,"Entro l'anno","Margine"))&amp;" · "&amp;FIXED($S23,2)&amp;IF(AND(ISNUMBER($T23),ROUND($T23,2)&lt;&gt;ROUND($S23,2)),"  (era "&amp;FIXED($T23,2)&amp;")",""))</f>
        <v/>
      </c>
      <c r="P23" s="151" t="n"/>
      <c r="S23">
        <f>IFERROR(IF(NOT(ISNUMBER($H23)),"",INDEX(anniProssimita,$H23)-(moscaX+MAX(IF(COUNTIFS($R$113:$R$212,$A23,$Q$113:$Q$212,$Q23,$S$113:$S$212,"&gt;0")=0,moscaYDefault,_xlfn.MAXIFS($S$113:$S$212,$R$113:$R$212,$A23,$Q$113:$Q$212,$Q23)/12),IF(ISNUMBER($L23),$L23,IFERROR(N(INDEX(ANA_Anni_Adeguamento,MATCH($A23,ANA_ID,0))),0))))),"")</f>
        <v/>
      </c>
      <c r="T23">
        <f>IFERROR(IF(NOT(ISNUMBER($G23)),"",INDEX(anniProssimita,$G23)-(moscaX+MAX(IF(COUNTIFS($R$113:$R$212,$A23,$Q$113:$Q$212,$Q23,$T$113:$T$212,"&gt;0")=0,moscaYDefault,_xlfn.MAXIFS($T$113:$T$212,$R$113:$R$212,$A23,$Q$113:$Q$212,$Q23)/12),IF(ISNUMBER($K23),$K23,IFERROR(N(INDEX(ANA_Anni_Adeguamento,MATCH($A23,ANA_ID,0))),0))))),"")</f>
        <v/>
      </c>
      <c r="U23">
        <f>IFERROR(IF(COUNT($D23,$F23,$H23)&lt;3,"",ROUND((pesoImpatto*$D23+pesoProbabilita*$F23+pesoProssimita*$H23+IF(ISNUMBER($J23),pesoVelocity*$J23,0))/(pesoImpatto+pesoProbabilita+pesoProssimita+IF(ISNUMBER($J23),pesoVelocity,0)),2)),"")</f>
        <v/>
      </c>
      <c r="V23">
        <f>IFERROR(IF(COUNT($C23,$E23,$G23)&lt;3,"",ROUND((pesoImpatto*$C23+pesoProbabilita*$E23+pesoProssimita*$G23+IF(ISNUMBER($I23),pesoVelocity*$I23,0))/(pesoImpatto+pesoProbabilita+pesoProssimita+IF(ISNUMBER($I23),pesoVelocity,0)),2)),"")</f>
        <v/>
      </c>
      <c r="W23" s="151" t="n"/>
      <c r="X23" s="146" t="n"/>
      <c r="Y23" s="147" t="n"/>
    </row>
    <row r="24" hidden="1" ht="30" customHeight="1">
      <c r="A24" s="145" t="n"/>
      <c r="B24" s="35" t="n"/>
      <c r="C24" s="146" t="n"/>
      <c r="D24" s="147" t="n"/>
      <c r="E24" s="146" t="n"/>
      <c r="F24" s="147" t="n"/>
      <c r="G24" s="146" t="n"/>
      <c r="H24" s="147" t="n"/>
      <c r="I24" s="146" t="n"/>
      <c r="J24" s="147" t="n"/>
      <c r="K24" s="146" t="n"/>
      <c r="L24" s="147" t="n"/>
      <c r="M24" s="148" t="n"/>
      <c r="N24" s="149">
        <f>IF(NOT(ISNUMBER($U24)),"",FIXED($U24,2)&amp;IF(AND(ISNUMBER($V24),$V24&lt;&gt;$U24),"  (era "&amp;FIXED($V24,2)&amp;")",""))</f>
        <v/>
      </c>
      <c r="O24" s="150">
        <f>IF(NOT(ISNUMBER($S24)),"",IF($S24&lt;0,"AGIRE ORA",IF($S24&lt;1,"Entro l'anno","Margine"))&amp;" · "&amp;FIXED($S24,2)&amp;IF(AND(ISNUMBER($T24),ROUND($T24,2)&lt;&gt;ROUND($S24,2)),"  (era "&amp;FIXED($T24,2)&amp;")",""))</f>
        <v/>
      </c>
      <c r="P24" s="151" t="n"/>
      <c r="S24">
        <f>IFERROR(IF(NOT(ISNUMBER($H24)),"",INDEX(anniProssimita,$H24)-(moscaX+MAX(IF(COUNTIFS($R$113:$R$212,$A24,$Q$113:$Q$212,$Q24,$S$113:$S$212,"&gt;0")=0,moscaYDefault,_xlfn.MAXIFS($S$113:$S$212,$R$113:$R$212,$A24,$Q$113:$Q$212,$Q24)/12),IF(ISNUMBER($L24),$L24,IFERROR(N(INDEX(ANA_Anni_Adeguamento,MATCH($A24,ANA_ID,0))),0))))),"")</f>
        <v/>
      </c>
      <c r="T24">
        <f>IFERROR(IF(NOT(ISNUMBER($G24)),"",INDEX(anniProssimita,$G24)-(moscaX+MAX(IF(COUNTIFS($R$113:$R$212,$A24,$Q$113:$Q$212,$Q24,$T$113:$T$212,"&gt;0")=0,moscaYDefault,_xlfn.MAXIFS($T$113:$T$212,$R$113:$R$212,$A24,$Q$113:$Q$212,$Q24)/12),IF(ISNUMBER($K24),$K24,IFERROR(N(INDEX(ANA_Anni_Adeguamento,MATCH($A24,ANA_ID,0))),0))))),"")</f>
        <v/>
      </c>
      <c r="U24">
        <f>IFERROR(IF(COUNT($D24,$F24,$H24)&lt;3,"",ROUND((pesoImpatto*$D24+pesoProbabilita*$F24+pesoProssimita*$H24+IF(ISNUMBER($J24),pesoVelocity*$J24,0))/(pesoImpatto+pesoProbabilita+pesoProssimita+IF(ISNUMBER($J24),pesoVelocity,0)),2)),"")</f>
        <v/>
      </c>
      <c r="V24">
        <f>IFERROR(IF(COUNT($C24,$E24,$G24)&lt;3,"",ROUND((pesoImpatto*$C24+pesoProbabilita*$E24+pesoProssimita*$G24+IF(ISNUMBER($I24),pesoVelocity*$I24,0))/(pesoImpatto+pesoProbabilita+pesoProssimita+IF(ISNUMBER($I24),pesoVelocity,0)),2)),"")</f>
        <v/>
      </c>
      <c r="W24" s="151" t="n"/>
      <c r="X24" s="146" t="n"/>
      <c r="Y24" s="147" t="n"/>
    </row>
    <row r="25" hidden="1" ht="30" customHeight="1">
      <c r="A25" s="145" t="n"/>
      <c r="B25" s="35" t="n"/>
      <c r="C25" s="146" t="n"/>
      <c r="D25" s="147" t="n"/>
      <c r="E25" s="146" t="n"/>
      <c r="F25" s="147" t="n"/>
      <c r="G25" s="146" t="n"/>
      <c r="H25" s="147" t="n"/>
      <c r="I25" s="146" t="n"/>
      <c r="J25" s="147" t="n"/>
      <c r="K25" s="146" t="n"/>
      <c r="L25" s="147" t="n"/>
      <c r="M25" s="148" t="n"/>
      <c r="N25" s="149">
        <f>IF(NOT(ISNUMBER($U25)),"",FIXED($U25,2)&amp;IF(AND(ISNUMBER($V25),$V25&lt;&gt;$U25),"  (era "&amp;FIXED($V25,2)&amp;")",""))</f>
        <v/>
      </c>
      <c r="O25" s="150">
        <f>IF(NOT(ISNUMBER($S25)),"",IF($S25&lt;0,"AGIRE ORA",IF($S25&lt;1,"Entro l'anno","Margine"))&amp;" · "&amp;FIXED($S25,2)&amp;IF(AND(ISNUMBER($T25),ROUND($T25,2)&lt;&gt;ROUND($S25,2)),"  (era "&amp;FIXED($T25,2)&amp;")",""))</f>
        <v/>
      </c>
      <c r="P25" s="151" t="n"/>
      <c r="S25">
        <f>IFERROR(IF(NOT(ISNUMBER($H25)),"",INDEX(anniProssimita,$H25)-(moscaX+MAX(IF(COUNTIFS($R$113:$R$212,$A25,$Q$113:$Q$212,$Q25,$S$113:$S$212,"&gt;0")=0,moscaYDefault,_xlfn.MAXIFS($S$113:$S$212,$R$113:$R$212,$A25,$Q$113:$Q$212,$Q25)/12),IF(ISNUMBER($L25),$L25,IFERROR(N(INDEX(ANA_Anni_Adeguamento,MATCH($A25,ANA_ID,0))),0))))),"")</f>
        <v/>
      </c>
      <c r="T25">
        <f>IFERROR(IF(NOT(ISNUMBER($G25)),"",INDEX(anniProssimita,$G25)-(moscaX+MAX(IF(COUNTIFS($R$113:$R$212,$A25,$Q$113:$Q$212,$Q25,$T$113:$T$212,"&gt;0")=0,moscaYDefault,_xlfn.MAXIFS($T$113:$T$212,$R$113:$R$212,$A25,$Q$113:$Q$212,$Q25)/12),IF(ISNUMBER($K25),$K25,IFERROR(N(INDEX(ANA_Anni_Adeguamento,MATCH($A25,ANA_ID,0))),0))))),"")</f>
        <v/>
      </c>
      <c r="U25">
        <f>IFERROR(IF(COUNT($D25,$F25,$H25)&lt;3,"",ROUND((pesoImpatto*$D25+pesoProbabilita*$F25+pesoProssimita*$H25+IF(ISNUMBER($J25),pesoVelocity*$J25,0))/(pesoImpatto+pesoProbabilita+pesoProssimita+IF(ISNUMBER($J25),pesoVelocity,0)),2)),"")</f>
        <v/>
      </c>
      <c r="V25">
        <f>IFERROR(IF(COUNT($C25,$E25,$G25)&lt;3,"",ROUND((pesoImpatto*$C25+pesoProbabilita*$E25+pesoProssimita*$G25+IF(ISNUMBER($I25),pesoVelocity*$I25,0))/(pesoImpatto+pesoProbabilita+pesoProssimita+IF(ISNUMBER($I25),pesoVelocity,0)),2)),"")</f>
        <v/>
      </c>
      <c r="W25" s="151" t="n"/>
      <c r="X25" s="146" t="n"/>
      <c r="Y25" s="147" t="n"/>
    </row>
    <row r="26" hidden="1" ht="30" customHeight="1">
      <c r="A26" s="145" t="n"/>
      <c r="B26" s="35" t="n"/>
      <c r="C26" s="146" t="n"/>
      <c r="D26" s="147" t="n"/>
      <c r="E26" s="146" t="n"/>
      <c r="F26" s="147" t="n"/>
      <c r="G26" s="146" t="n"/>
      <c r="H26" s="147" t="n"/>
      <c r="I26" s="146" t="n"/>
      <c r="J26" s="147" t="n"/>
      <c r="K26" s="146" t="n"/>
      <c r="L26" s="147" t="n"/>
      <c r="M26" s="148" t="n"/>
      <c r="N26" s="149">
        <f>IF(NOT(ISNUMBER($U26)),"",FIXED($U26,2)&amp;IF(AND(ISNUMBER($V26),$V26&lt;&gt;$U26),"  (era "&amp;FIXED($V26,2)&amp;")",""))</f>
        <v/>
      </c>
      <c r="O26" s="150">
        <f>IF(NOT(ISNUMBER($S26)),"",IF($S26&lt;0,"AGIRE ORA",IF($S26&lt;1,"Entro l'anno","Margine"))&amp;" · "&amp;FIXED($S26,2)&amp;IF(AND(ISNUMBER($T26),ROUND($T26,2)&lt;&gt;ROUND($S26,2)),"  (era "&amp;FIXED($T26,2)&amp;")",""))</f>
        <v/>
      </c>
      <c r="P26" s="151" t="n"/>
      <c r="S26">
        <f>IFERROR(IF(NOT(ISNUMBER($H26)),"",INDEX(anniProssimita,$H26)-(moscaX+MAX(IF(COUNTIFS($R$113:$R$212,$A26,$Q$113:$Q$212,$Q26,$S$113:$S$212,"&gt;0")=0,moscaYDefault,_xlfn.MAXIFS($S$113:$S$212,$R$113:$R$212,$A26,$Q$113:$Q$212,$Q26)/12),IF(ISNUMBER($L26),$L26,IFERROR(N(INDEX(ANA_Anni_Adeguamento,MATCH($A26,ANA_ID,0))),0))))),"")</f>
        <v/>
      </c>
      <c r="T26">
        <f>IFERROR(IF(NOT(ISNUMBER($G26)),"",INDEX(anniProssimita,$G26)-(moscaX+MAX(IF(COUNTIFS($R$113:$R$212,$A26,$Q$113:$Q$212,$Q26,$T$113:$T$212,"&gt;0")=0,moscaYDefault,_xlfn.MAXIFS($T$113:$T$212,$R$113:$R$212,$A26,$Q$113:$Q$212,$Q26)/12),IF(ISNUMBER($K26),$K26,IFERROR(N(INDEX(ANA_Anni_Adeguamento,MATCH($A26,ANA_ID,0))),0))))),"")</f>
        <v/>
      </c>
      <c r="U26">
        <f>IFERROR(IF(COUNT($D26,$F26,$H26)&lt;3,"",ROUND((pesoImpatto*$D26+pesoProbabilita*$F26+pesoProssimita*$H26+IF(ISNUMBER($J26),pesoVelocity*$J26,0))/(pesoImpatto+pesoProbabilita+pesoProssimita+IF(ISNUMBER($J26),pesoVelocity,0)),2)),"")</f>
        <v/>
      </c>
      <c r="V26">
        <f>IFERROR(IF(COUNT($C26,$E26,$G26)&lt;3,"",ROUND((pesoImpatto*$C26+pesoProbabilita*$E26+pesoProssimita*$G26+IF(ISNUMBER($I26),pesoVelocity*$I26,0))/(pesoImpatto+pesoProbabilita+pesoProssimita+IF(ISNUMBER($I26),pesoVelocity,0)),2)),"")</f>
        <v/>
      </c>
      <c r="W26" s="151" t="n"/>
      <c r="X26" s="146" t="n"/>
      <c r="Y26" s="147" t="n"/>
    </row>
    <row r="28">
      <c r="A28" s="29" t="inlineStr">
        <is>
          <t>KRI — nessuna riga da validare</t>
        </is>
      </c>
      <c r="B28" s="30" t="n"/>
      <c r="C28" s="30" t="n"/>
      <c r="D28" s="30" t="n"/>
      <c r="E28" s="30" t="n"/>
      <c r="F28" s="30" t="n"/>
      <c r="G28" s="30" t="n"/>
      <c r="H28" s="30" t="n"/>
      <c r="I28" s="30" t="n"/>
      <c r="J28" s="30" t="n"/>
      <c r="K28" s="30" t="n"/>
      <c r="L28" s="30" t="n"/>
      <c r="M28" s="30" t="n"/>
      <c r="N28" s="30" t="n"/>
      <c r="O28" s="30" t="n"/>
    </row>
    <row r="29" ht="30" customHeight="1">
      <c r="A29" s="141" t="inlineStr">
        <is>
          <t>KRI</t>
        </is>
      </c>
      <c r="B29" s="141" t="inlineStr">
        <is>
          <t>Indicatore</t>
        </is>
      </c>
      <c r="C29" s="141" t="inlineStr">
        <is>
          <t>Tipo</t>
        </is>
      </c>
      <c r="D29" s="142" t="inlineStr">
        <is>
          <t>Valore proposto</t>
        </is>
      </c>
      <c r="E29" s="143" t="inlineStr">
        <is>
          <t>Valore</t>
        </is>
      </c>
      <c r="F29" s="142" t="inlineStr">
        <is>
          <t>Soglia att. proposto</t>
        </is>
      </c>
      <c r="G29" s="143" t="inlineStr">
        <is>
          <t>Soglia att.</t>
        </is>
      </c>
      <c r="H29" s="142" t="inlineStr">
        <is>
          <t>Soglia all. proposto</t>
        </is>
      </c>
      <c r="I29" s="143" t="inlineStr">
        <is>
          <t>Soglia all.</t>
        </is>
      </c>
      <c r="J29" s="143" t="inlineStr">
        <is>
          <t>Respingi</t>
        </is>
      </c>
      <c r="M29" s="143" t="inlineStr">
        <is>
          <t>Motivazione (se cambi un valore o respingi)</t>
        </is>
      </c>
    </row>
    <row r="30" hidden="1" ht="30" customHeight="1">
      <c r="A30" s="145" t="n"/>
      <c r="B30" s="35" t="n"/>
      <c r="C30" s="152" t="n"/>
      <c r="D30" s="146" t="n"/>
      <c r="E30" s="147" t="n"/>
      <c r="F30" s="146" t="n"/>
      <c r="G30" s="147" t="n"/>
      <c r="H30" s="146" t="n"/>
      <c r="I30" s="147" t="n"/>
      <c r="J30" s="153" t="n"/>
      <c r="K30" s="36" t="n"/>
      <c r="L30" s="36" t="n"/>
      <c r="M30" s="148" t="n"/>
      <c r="N30" s="36" t="n"/>
      <c r="O30" s="36" t="n"/>
    </row>
    <row r="31" hidden="1" ht="30" customHeight="1">
      <c r="A31" s="145" t="n"/>
      <c r="B31" s="35" t="n"/>
      <c r="C31" s="152" t="n"/>
      <c r="D31" s="146" t="n"/>
      <c r="E31" s="147" t="n"/>
      <c r="F31" s="146" t="n"/>
      <c r="G31" s="147" t="n"/>
      <c r="H31" s="146" t="n"/>
      <c r="I31" s="147" t="n"/>
      <c r="J31" s="153" t="n"/>
      <c r="K31" s="36" t="n"/>
      <c r="L31" s="36" t="n"/>
      <c r="M31" s="148" t="n"/>
      <c r="N31" s="36" t="n"/>
      <c r="O31" s="36" t="n"/>
    </row>
    <row r="32" hidden="1" ht="30" customHeight="1">
      <c r="A32" s="145" t="n"/>
      <c r="B32" s="35" t="n"/>
      <c r="C32" s="152" t="n"/>
      <c r="D32" s="146" t="n"/>
      <c r="E32" s="147" t="n"/>
      <c r="F32" s="146" t="n"/>
      <c r="G32" s="147" t="n"/>
      <c r="H32" s="146" t="n"/>
      <c r="I32" s="147" t="n"/>
      <c r="J32" s="153" t="n"/>
      <c r="K32" s="36" t="n"/>
      <c r="L32" s="36" t="n"/>
      <c r="M32" s="148" t="n"/>
      <c r="N32" s="36" t="n"/>
      <c r="O32" s="36" t="n"/>
    </row>
    <row r="33" hidden="1" ht="30" customHeight="1">
      <c r="A33" s="145" t="n"/>
      <c r="B33" s="35" t="n"/>
      <c r="C33" s="152" t="n"/>
      <c r="D33" s="146" t="n"/>
      <c r="E33" s="147" t="n"/>
      <c r="F33" s="146" t="n"/>
      <c r="G33" s="147" t="n"/>
      <c r="H33" s="146" t="n"/>
      <c r="I33" s="147" t="n"/>
      <c r="J33" s="153" t="n"/>
      <c r="K33" s="36" t="n"/>
      <c r="L33" s="36" t="n"/>
      <c r="M33" s="148" t="n"/>
      <c r="N33" s="36" t="n"/>
      <c r="O33" s="36" t="n"/>
    </row>
    <row r="34" hidden="1" ht="30" customHeight="1">
      <c r="A34" s="145" t="n"/>
      <c r="B34" s="35" t="n"/>
      <c r="C34" s="152" t="n"/>
      <c r="D34" s="146" t="n"/>
      <c r="E34" s="147" t="n"/>
      <c r="F34" s="146" t="n"/>
      <c r="G34" s="147" t="n"/>
      <c r="H34" s="146" t="n"/>
      <c r="I34" s="147" t="n"/>
      <c r="J34" s="153" t="n"/>
      <c r="K34" s="36" t="n"/>
      <c r="L34" s="36" t="n"/>
      <c r="M34" s="148" t="n"/>
      <c r="N34" s="36" t="n"/>
      <c r="O34" s="36" t="n"/>
    </row>
    <row r="35" hidden="1" ht="30" customHeight="1">
      <c r="A35" s="145" t="n"/>
      <c r="B35" s="35" t="n"/>
      <c r="C35" s="152" t="n"/>
      <c r="D35" s="146" t="n"/>
      <c r="E35" s="147" t="n"/>
      <c r="F35" s="146" t="n"/>
      <c r="G35" s="147" t="n"/>
      <c r="H35" s="146" t="n"/>
      <c r="I35" s="147" t="n"/>
      <c r="J35" s="153" t="n"/>
      <c r="K35" s="36" t="n"/>
      <c r="L35" s="36" t="n"/>
      <c r="M35" s="148" t="n"/>
      <c r="N35" s="36" t="n"/>
      <c r="O35" s="36" t="n"/>
    </row>
    <row r="36" hidden="1" ht="30" customHeight="1">
      <c r="A36" s="145" t="n"/>
      <c r="B36" s="35" t="n"/>
      <c r="C36" s="152" t="n"/>
      <c r="D36" s="146" t="n"/>
      <c r="E36" s="147" t="n"/>
      <c r="F36" s="146" t="n"/>
      <c r="G36" s="147" t="n"/>
      <c r="H36" s="146" t="n"/>
      <c r="I36" s="147" t="n"/>
      <c r="J36" s="153" t="n"/>
      <c r="K36" s="36" t="n"/>
      <c r="L36" s="36" t="n"/>
      <c r="M36" s="148" t="n"/>
      <c r="N36" s="36" t="n"/>
      <c r="O36" s="36" t="n"/>
    </row>
    <row r="37" hidden="1" ht="30" customHeight="1">
      <c r="A37" s="145" t="n"/>
      <c r="B37" s="35" t="n"/>
      <c r="C37" s="152" t="n"/>
      <c r="D37" s="146" t="n"/>
      <c r="E37" s="147" t="n"/>
      <c r="F37" s="146" t="n"/>
      <c r="G37" s="147" t="n"/>
      <c r="H37" s="146" t="n"/>
      <c r="I37" s="147" t="n"/>
      <c r="J37" s="153" t="n"/>
      <c r="K37" s="36" t="n"/>
      <c r="L37" s="36" t="n"/>
      <c r="M37" s="148" t="n"/>
      <c r="N37" s="36" t="n"/>
      <c r="O37" s="36" t="n"/>
    </row>
    <row r="38" hidden="1" ht="30" customHeight="1">
      <c r="A38" s="145" t="n"/>
      <c r="B38" s="35" t="n"/>
      <c r="C38" s="152" t="n"/>
      <c r="D38" s="146" t="n"/>
      <c r="E38" s="147" t="n"/>
      <c r="F38" s="146" t="n"/>
      <c r="G38" s="147" t="n"/>
      <c r="H38" s="146" t="n"/>
      <c r="I38" s="147" t="n"/>
      <c r="J38" s="153" t="n"/>
      <c r="K38" s="36" t="n"/>
      <c r="L38" s="36" t="n"/>
      <c r="M38" s="148" t="n"/>
      <c r="N38" s="36" t="n"/>
      <c r="O38" s="36" t="n"/>
    </row>
    <row r="39" hidden="1" ht="30" customHeight="1">
      <c r="A39" s="145" t="n"/>
      <c r="B39" s="35" t="n"/>
      <c r="C39" s="152" t="n"/>
      <c r="D39" s="146" t="n"/>
      <c r="E39" s="147" t="n"/>
      <c r="F39" s="146" t="n"/>
      <c r="G39" s="147" t="n"/>
      <c r="H39" s="146" t="n"/>
      <c r="I39" s="147" t="n"/>
      <c r="J39" s="153" t="n"/>
      <c r="K39" s="36" t="n"/>
      <c r="L39" s="36" t="n"/>
      <c r="M39" s="148" t="n"/>
      <c r="N39" s="36" t="n"/>
      <c r="O39" s="36" t="n"/>
    </row>
    <row r="40" hidden="1" ht="30" customHeight="1">
      <c r="A40" s="145" t="n"/>
      <c r="B40" s="35" t="n"/>
      <c r="C40" s="152" t="n"/>
      <c r="D40" s="146" t="n"/>
      <c r="E40" s="147" t="n"/>
      <c r="F40" s="146" t="n"/>
      <c r="G40" s="147" t="n"/>
      <c r="H40" s="146" t="n"/>
      <c r="I40" s="147" t="n"/>
      <c r="J40" s="153" t="n"/>
      <c r="K40" s="36" t="n"/>
      <c r="L40" s="36" t="n"/>
      <c r="M40" s="148" t="n"/>
      <c r="N40" s="36" t="n"/>
      <c r="O40" s="36" t="n"/>
    </row>
    <row r="41" hidden="1" ht="30" customHeight="1">
      <c r="A41" s="145" t="n"/>
      <c r="B41" s="35" t="n"/>
      <c r="C41" s="152" t="n"/>
      <c r="D41" s="146" t="n"/>
      <c r="E41" s="147" t="n"/>
      <c r="F41" s="146" t="n"/>
      <c r="G41" s="147" t="n"/>
      <c r="H41" s="146" t="n"/>
      <c r="I41" s="147" t="n"/>
      <c r="J41" s="153" t="n"/>
      <c r="K41" s="36" t="n"/>
      <c r="L41" s="36" t="n"/>
      <c r="M41" s="148" t="n"/>
      <c r="N41" s="36" t="n"/>
      <c r="O41" s="36" t="n"/>
    </row>
    <row r="42" hidden="1" ht="30" customHeight="1">
      <c r="A42" s="145" t="n"/>
      <c r="B42" s="35" t="n"/>
      <c r="C42" s="152" t="n"/>
      <c r="D42" s="146" t="n"/>
      <c r="E42" s="147" t="n"/>
      <c r="F42" s="146" t="n"/>
      <c r="G42" s="147" t="n"/>
      <c r="H42" s="146" t="n"/>
      <c r="I42" s="147" t="n"/>
      <c r="J42" s="153" t="n"/>
      <c r="K42" s="36" t="n"/>
      <c r="L42" s="36" t="n"/>
      <c r="M42" s="148" t="n"/>
      <c r="N42" s="36" t="n"/>
      <c r="O42" s="36" t="n"/>
    </row>
    <row r="43" hidden="1" ht="30" customHeight="1">
      <c r="A43" s="145" t="n"/>
      <c r="B43" s="35" t="n"/>
      <c r="C43" s="152" t="n"/>
      <c r="D43" s="146" t="n"/>
      <c r="E43" s="147" t="n"/>
      <c r="F43" s="146" t="n"/>
      <c r="G43" s="147" t="n"/>
      <c r="H43" s="146" t="n"/>
      <c r="I43" s="147" t="n"/>
      <c r="J43" s="153" t="n"/>
      <c r="K43" s="36" t="n"/>
      <c r="L43" s="36" t="n"/>
      <c r="M43" s="148" t="n"/>
      <c r="N43" s="36" t="n"/>
      <c r="O43" s="36" t="n"/>
    </row>
    <row r="44" hidden="1" ht="30" customHeight="1">
      <c r="A44" s="145" t="n"/>
      <c r="B44" s="35" t="n"/>
      <c r="C44" s="152" t="n"/>
      <c r="D44" s="146" t="n"/>
      <c r="E44" s="147" t="n"/>
      <c r="F44" s="146" t="n"/>
      <c r="G44" s="147" t="n"/>
      <c r="H44" s="146" t="n"/>
      <c r="I44" s="147" t="n"/>
      <c r="J44" s="153" t="n"/>
      <c r="K44" s="36" t="n"/>
      <c r="L44" s="36" t="n"/>
      <c r="M44" s="148" t="n"/>
      <c r="N44" s="36" t="n"/>
      <c r="O44" s="36" t="n"/>
    </row>
    <row r="45" hidden="1" ht="30" customHeight="1">
      <c r="A45" s="145" t="n"/>
      <c r="B45" s="35" t="n"/>
      <c r="C45" s="152" t="n"/>
      <c r="D45" s="146" t="n"/>
      <c r="E45" s="147" t="n"/>
      <c r="F45" s="146" t="n"/>
      <c r="G45" s="147" t="n"/>
      <c r="H45" s="146" t="n"/>
      <c r="I45" s="147" t="n"/>
      <c r="J45" s="153" t="n"/>
      <c r="K45" s="36" t="n"/>
      <c r="L45" s="36" t="n"/>
      <c r="M45" s="148" t="n"/>
      <c r="N45" s="36" t="n"/>
      <c r="O45" s="36" t="n"/>
    </row>
    <row r="46" hidden="1" ht="30" customHeight="1">
      <c r="A46" s="145" t="n"/>
      <c r="B46" s="35" t="n"/>
      <c r="C46" s="152" t="n"/>
      <c r="D46" s="146" t="n"/>
      <c r="E46" s="147" t="n"/>
      <c r="F46" s="146" t="n"/>
      <c r="G46" s="147" t="n"/>
      <c r="H46" s="146" t="n"/>
      <c r="I46" s="147" t="n"/>
      <c r="J46" s="153" t="n"/>
      <c r="K46" s="36" t="n"/>
      <c r="L46" s="36" t="n"/>
      <c r="M46" s="148" t="n"/>
      <c r="N46" s="36" t="n"/>
      <c r="O46" s="36" t="n"/>
    </row>
    <row r="47" hidden="1" ht="30" customHeight="1">
      <c r="A47" s="145" t="n"/>
      <c r="B47" s="35" t="n"/>
      <c r="C47" s="152" t="n"/>
      <c r="D47" s="146" t="n"/>
      <c r="E47" s="147" t="n"/>
      <c r="F47" s="146" t="n"/>
      <c r="G47" s="147" t="n"/>
      <c r="H47" s="146" t="n"/>
      <c r="I47" s="147" t="n"/>
      <c r="J47" s="153" t="n"/>
      <c r="K47" s="36" t="n"/>
      <c r="L47" s="36" t="n"/>
      <c r="M47" s="148" t="n"/>
      <c r="N47" s="36" t="n"/>
      <c r="O47" s="36" t="n"/>
    </row>
    <row r="48" hidden="1" ht="30" customHeight="1">
      <c r="A48" s="145" t="n"/>
      <c r="B48" s="35" t="n"/>
      <c r="C48" s="152" t="n"/>
      <c r="D48" s="146" t="n"/>
      <c r="E48" s="147" t="n"/>
      <c r="F48" s="146" t="n"/>
      <c r="G48" s="147" t="n"/>
      <c r="H48" s="146" t="n"/>
      <c r="I48" s="147" t="n"/>
      <c r="J48" s="153" t="n"/>
      <c r="K48" s="36" t="n"/>
      <c r="L48" s="36" t="n"/>
      <c r="M48" s="148" t="n"/>
      <c r="N48" s="36" t="n"/>
      <c r="O48" s="36" t="n"/>
    </row>
    <row r="49" hidden="1" ht="30" customHeight="1">
      <c r="A49" s="145" t="n"/>
      <c r="B49" s="35" t="n"/>
      <c r="C49" s="152" t="n"/>
      <c r="D49" s="146" t="n"/>
      <c r="E49" s="147" t="n"/>
      <c r="F49" s="146" t="n"/>
      <c r="G49" s="147" t="n"/>
      <c r="H49" s="146" t="n"/>
      <c r="I49" s="147" t="n"/>
      <c r="J49" s="153" t="n"/>
      <c r="K49" s="36" t="n"/>
      <c r="L49" s="36" t="n"/>
      <c r="M49" s="148" t="n"/>
      <c r="N49" s="36" t="n"/>
      <c r="O49" s="36" t="n"/>
    </row>
    <row r="50" hidden="1" ht="30" customHeight="1">
      <c r="A50" s="145" t="n"/>
      <c r="B50" s="35" t="n"/>
      <c r="C50" s="152" t="n"/>
      <c r="D50" s="146" t="n"/>
      <c r="E50" s="147" t="n"/>
      <c r="F50" s="146" t="n"/>
      <c r="G50" s="147" t="n"/>
      <c r="H50" s="146" t="n"/>
      <c r="I50" s="147" t="n"/>
      <c r="J50" s="153" t="n"/>
      <c r="K50" s="36" t="n"/>
      <c r="L50" s="36" t="n"/>
      <c r="M50" s="148" t="n"/>
      <c r="N50" s="36" t="n"/>
      <c r="O50" s="36" t="n"/>
    </row>
    <row r="51" hidden="1" ht="30" customHeight="1">
      <c r="A51" s="145" t="n"/>
      <c r="B51" s="35" t="n"/>
      <c r="C51" s="152" t="n"/>
      <c r="D51" s="146" t="n"/>
      <c r="E51" s="147" t="n"/>
      <c r="F51" s="146" t="n"/>
      <c r="G51" s="147" t="n"/>
      <c r="H51" s="146" t="n"/>
      <c r="I51" s="147" t="n"/>
      <c r="J51" s="153" t="n"/>
      <c r="K51" s="36" t="n"/>
      <c r="L51" s="36" t="n"/>
      <c r="M51" s="148" t="n"/>
      <c r="N51" s="36" t="n"/>
      <c r="O51" s="36" t="n"/>
    </row>
    <row r="52" hidden="1" ht="30" customHeight="1">
      <c r="A52" s="145" t="n"/>
      <c r="B52" s="35" t="n"/>
      <c r="C52" s="152" t="n"/>
      <c r="D52" s="146" t="n"/>
      <c r="E52" s="147" t="n"/>
      <c r="F52" s="146" t="n"/>
      <c r="G52" s="147" t="n"/>
      <c r="H52" s="146" t="n"/>
      <c r="I52" s="147" t="n"/>
      <c r="J52" s="153" t="n"/>
      <c r="K52" s="36" t="n"/>
      <c r="L52" s="36" t="n"/>
      <c r="M52" s="148" t="n"/>
      <c r="N52" s="36" t="n"/>
      <c r="O52" s="36" t="n"/>
    </row>
    <row r="53" hidden="1" ht="30" customHeight="1">
      <c r="A53" s="145" t="n"/>
      <c r="B53" s="35" t="n"/>
      <c r="C53" s="152" t="n"/>
      <c r="D53" s="146" t="n"/>
      <c r="E53" s="147" t="n"/>
      <c r="F53" s="146" t="n"/>
      <c r="G53" s="147" t="n"/>
      <c r="H53" s="146" t="n"/>
      <c r="I53" s="147" t="n"/>
      <c r="J53" s="153" t="n"/>
      <c r="K53" s="36" t="n"/>
      <c r="L53" s="36" t="n"/>
      <c r="M53" s="148" t="n"/>
      <c r="N53" s="36" t="n"/>
      <c r="O53" s="36" t="n"/>
    </row>
    <row r="54" hidden="1" ht="30" customHeight="1">
      <c r="A54" s="145" t="n"/>
      <c r="B54" s="35" t="n"/>
      <c r="C54" s="152" t="n"/>
      <c r="D54" s="146" t="n"/>
      <c r="E54" s="147" t="n"/>
      <c r="F54" s="146" t="n"/>
      <c r="G54" s="147" t="n"/>
      <c r="H54" s="146" t="n"/>
      <c r="I54" s="147" t="n"/>
      <c r="J54" s="153" t="n"/>
      <c r="K54" s="36" t="n"/>
      <c r="L54" s="36" t="n"/>
      <c r="M54" s="148" t="n"/>
      <c r="N54" s="36" t="n"/>
      <c r="O54" s="36" t="n"/>
    </row>
    <row r="55" hidden="1" ht="30" customHeight="1">
      <c r="A55" s="145" t="n"/>
      <c r="B55" s="35" t="n"/>
      <c r="C55" s="152" t="n"/>
      <c r="D55" s="146" t="n"/>
      <c r="E55" s="147" t="n"/>
      <c r="F55" s="146" t="n"/>
      <c r="G55" s="147" t="n"/>
      <c r="H55" s="146" t="n"/>
      <c r="I55" s="147" t="n"/>
      <c r="J55" s="153" t="n"/>
      <c r="K55" s="36" t="n"/>
      <c r="L55" s="36" t="n"/>
      <c r="M55" s="148" t="n"/>
      <c r="N55" s="36" t="n"/>
      <c r="O55" s="36" t="n"/>
    </row>
    <row r="56" hidden="1" ht="30" customHeight="1">
      <c r="A56" s="145" t="n"/>
      <c r="B56" s="35" t="n"/>
      <c r="C56" s="152" t="n"/>
      <c r="D56" s="146" t="n"/>
      <c r="E56" s="147" t="n"/>
      <c r="F56" s="146" t="n"/>
      <c r="G56" s="147" t="n"/>
      <c r="H56" s="146" t="n"/>
      <c r="I56" s="147" t="n"/>
      <c r="J56" s="153" t="n"/>
      <c r="K56" s="36" t="n"/>
      <c r="L56" s="36" t="n"/>
      <c r="M56" s="148" t="n"/>
      <c r="N56" s="36" t="n"/>
      <c r="O56" s="36" t="n"/>
    </row>
    <row r="57" hidden="1" ht="30" customHeight="1">
      <c r="A57" s="145" t="n"/>
      <c r="B57" s="35" t="n"/>
      <c r="C57" s="152" t="n"/>
      <c r="D57" s="146" t="n"/>
      <c r="E57" s="147" t="n"/>
      <c r="F57" s="146" t="n"/>
      <c r="G57" s="147" t="n"/>
      <c r="H57" s="146" t="n"/>
      <c r="I57" s="147" t="n"/>
      <c r="J57" s="153" t="n"/>
      <c r="K57" s="36" t="n"/>
      <c r="L57" s="36" t="n"/>
      <c r="M57" s="148" t="n"/>
      <c r="N57" s="36" t="n"/>
      <c r="O57" s="36" t="n"/>
    </row>
    <row r="58" hidden="1" ht="30" customHeight="1">
      <c r="A58" s="145" t="n"/>
      <c r="B58" s="35" t="n"/>
      <c r="C58" s="152" t="n"/>
      <c r="D58" s="146" t="n"/>
      <c r="E58" s="147" t="n"/>
      <c r="F58" s="146" t="n"/>
      <c r="G58" s="147" t="n"/>
      <c r="H58" s="146" t="n"/>
      <c r="I58" s="147" t="n"/>
      <c r="J58" s="153" t="n"/>
      <c r="K58" s="36" t="n"/>
      <c r="L58" s="36" t="n"/>
      <c r="M58" s="148" t="n"/>
      <c r="N58" s="36" t="n"/>
      <c r="O58" s="36" t="n"/>
    </row>
    <row r="59" hidden="1" ht="30" customHeight="1">
      <c r="A59" s="145" t="n"/>
      <c r="B59" s="35" t="n"/>
      <c r="C59" s="152" t="n"/>
      <c r="D59" s="146" t="n"/>
      <c r="E59" s="147" t="n"/>
      <c r="F59" s="146" t="n"/>
      <c r="G59" s="147" t="n"/>
      <c r="H59" s="146" t="n"/>
      <c r="I59" s="147" t="n"/>
      <c r="J59" s="153" t="n"/>
      <c r="K59" s="36" t="n"/>
      <c r="L59" s="36" t="n"/>
      <c r="M59" s="148" t="n"/>
      <c r="N59" s="36" t="n"/>
      <c r="O59" s="36" t="n"/>
    </row>
    <row r="60" hidden="1" ht="30" customHeight="1">
      <c r="A60" s="145" t="n"/>
      <c r="B60" s="35" t="n"/>
      <c r="C60" s="152" t="n"/>
      <c r="D60" s="146" t="n"/>
      <c r="E60" s="147" t="n"/>
      <c r="F60" s="146" t="n"/>
      <c r="G60" s="147" t="n"/>
      <c r="H60" s="146" t="n"/>
      <c r="I60" s="147" t="n"/>
      <c r="J60" s="153" t="n"/>
      <c r="K60" s="36" t="n"/>
      <c r="L60" s="36" t="n"/>
      <c r="M60" s="148" t="n"/>
      <c r="N60" s="36" t="n"/>
      <c r="O60" s="36" t="n"/>
    </row>
    <row r="61" hidden="1" ht="30" customHeight="1">
      <c r="A61" s="145" t="n"/>
      <c r="B61" s="35" t="n"/>
      <c r="C61" s="152" t="n"/>
      <c r="D61" s="146" t="n"/>
      <c r="E61" s="147" t="n"/>
      <c r="F61" s="146" t="n"/>
      <c r="G61" s="147" t="n"/>
      <c r="H61" s="146" t="n"/>
      <c r="I61" s="147" t="n"/>
      <c r="J61" s="153" t="n"/>
      <c r="K61" s="36" t="n"/>
      <c r="L61" s="36" t="n"/>
      <c r="M61" s="148" t="n"/>
      <c r="N61" s="36" t="n"/>
      <c r="O61" s="36" t="n"/>
    </row>
    <row r="62" hidden="1" ht="30" customHeight="1">
      <c r="A62" s="145" t="n"/>
      <c r="B62" s="35" t="n"/>
      <c r="C62" s="152" t="n"/>
      <c r="D62" s="146" t="n"/>
      <c r="E62" s="147" t="n"/>
      <c r="F62" s="146" t="n"/>
      <c r="G62" s="147" t="n"/>
      <c r="H62" s="146" t="n"/>
      <c r="I62" s="147" t="n"/>
      <c r="J62" s="153" t="n"/>
      <c r="K62" s="36" t="n"/>
      <c r="L62" s="36" t="n"/>
      <c r="M62" s="148" t="n"/>
      <c r="N62" s="36" t="n"/>
      <c r="O62" s="36" t="n"/>
    </row>
    <row r="63" hidden="1" ht="30" customHeight="1">
      <c r="A63" s="145" t="n"/>
      <c r="B63" s="35" t="n"/>
      <c r="C63" s="152" t="n"/>
      <c r="D63" s="146" t="n"/>
      <c r="E63" s="147" t="n"/>
      <c r="F63" s="146" t="n"/>
      <c r="G63" s="147" t="n"/>
      <c r="H63" s="146" t="n"/>
      <c r="I63" s="147" t="n"/>
      <c r="J63" s="153" t="n"/>
      <c r="K63" s="36" t="n"/>
      <c r="L63" s="36" t="n"/>
      <c r="M63" s="148" t="n"/>
      <c r="N63" s="36" t="n"/>
      <c r="O63" s="36" t="n"/>
    </row>
    <row r="64" hidden="1" ht="30" customHeight="1">
      <c r="A64" s="145" t="n"/>
      <c r="B64" s="35" t="n"/>
      <c r="C64" s="152" t="n"/>
      <c r="D64" s="146" t="n"/>
      <c r="E64" s="147" t="n"/>
      <c r="F64" s="146" t="n"/>
      <c r="G64" s="147" t="n"/>
      <c r="H64" s="146" t="n"/>
      <c r="I64" s="147" t="n"/>
      <c r="J64" s="153" t="n"/>
      <c r="K64" s="36" t="n"/>
      <c r="L64" s="36" t="n"/>
      <c r="M64" s="148" t="n"/>
      <c r="N64" s="36" t="n"/>
      <c r="O64" s="36" t="n"/>
    </row>
    <row r="65" hidden="1" ht="30" customHeight="1">
      <c r="A65" s="145" t="n"/>
      <c r="B65" s="35" t="n"/>
      <c r="C65" s="152" t="n"/>
      <c r="D65" s="146" t="n"/>
      <c r="E65" s="147" t="n"/>
      <c r="F65" s="146" t="n"/>
      <c r="G65" s="147" t="n"/>
      <c r="H65" s="146" t="n"/>
      <c r="I65" s="147" t="n"/>
      <c r="J65" s="153" t="n"/>
      <c r="K65" s="36" t="n"/>
      <c r="L65" s="36" t="n"/>
      <c r="M65" s="148" t="n"/>
      <c r="N65" s="36" t="n"/>
      <c r="O65" s="36" t="n"/>
    </row>
    <row r="66" hidden="1" ht="30" customHeight="1">
      <c r="A66" s="145" t="n"/>
      <c r="B66" s="35" t="n"/>
      <c r="C66" s="152" t="n"/>
      <c r="D66" s="146" t="n"/>
      <c r="E66" s="147" t="n"/>
      <c r="F66" s="146" t="n"/>
      <c r="G66" s="147" t="n"/>
      <c r="H66" s="146" t="n"/>
      <c r="I66" s="147" t="n"/>
      <c r="J66" s="153" t="n"/>
      <c r="K66" s="36" t="n"/>
      <c r="L66" s="36" t="n"/>
      <c r="M66" s="148" t="n"/>
      <c r="N66" s="36" t="n"/>
      <c r="O66" s="36" t="n"/>
    </row>
    <row r="67" hidden="1" ht="30" customHeight="1">
      <c r="A67" s="145" t="n"/>
      <c r="B67" s="35" t="n"/>
      <c r="C67" s="152" t="n"/>
      <c r="D67" s="146" t="n"/>
      <c r="E67" s="147" t="n"/>
      <c r="F67" s="146" t="n"/>
      <c r="G67" s="147" t="n"/>
      <c r="H67" s="146" t="n"/>
      <c r="I67" s="147" t="n"/>
      <c r="J67" s="153" t="n"/>
      <c r="K67" s="36" t="n"/>
      <c r="L67" s="36" t="n"/>
      <c r="M67" s="148" t="n"/>
      <c r="N67" s="36" t="n"/>
      <c r="O67" s="36" t="n"/>
    </row>
    <row r="68" hidden="1" ht="30" customHeight="1">
      <c r="A68" s="145" t="n"/>
      <c r="B68" s="35" t="n"/>
      <c r="C68" s="152" t="n"/>
      <c r="D68" s="146" t="n"/>
      <c r="E68" s="147" t="n"/>
      <c r="F68" s="146" t="n"/>
      <c r="G68" s="147" t="n"/>
      <c r="H68" s="146" t="n"/>
      <c r="I68" s="147" t="n"/>
      <c r="J68" s="153" t="n"/>
      <c r="K68" s="36" t="n"/>
      <c r="L68" s="36" t="n"/>
      <c r="M68" s="148" t="n"/>
      <c r="N68" s="36" t="n"/>
      <c r="O68" s="36" t="n"/>
    </row>
    <row r="69" hidden="1" ht="30" customHeight="1">
      <c r="A69" s="145" t="n"/>
      <c r="B69" s="35" t="n"/>
      <c r="C69" s="152" t="n"/>
      <c r="D69" s="146" t="n"/>
      <c r="E69" s="147" t="n"/>
      <c r="F69" s="146" t="n"/>
      <c r="G69" s="147" t="n"/>
      <c r="H69" s="146" t="n"/>
      <c r="I69" s="147" t="n"/>
      <c r="J69" s="153" t="n"/>
      <c r="K69" s="36" t="n"/>
      <c r="L69" s="36" t="n"/>
      <c r="M69" s="148" t="n"/>
      <c r="N69" s="36" t="n"/>
      <c r="O69" s="36" t="n"/>
    </row>
    <row r="70" hidden="1" ht="30" customHeight="1">
      <c r="A70" s="145" t="n"/>
      <c r="B70" s="35" t="n"/>
      <c r="C70" s="152" t="n"/>
      <c r="D70" s="146" t="n"/>
      <c r="E70" s="147" t="n"/>
      <c r="F70" s="146" t="n"/>
      <c r="G70" s="147" t="n"/>
      <c r="H70" s="146" t="n"/>
      <c r="I70" s="147" t="n"/>
      <c r="J70" s="153" t="n"/>
      <c r="K70" s="36" t="n"/>
      <c r="L70" s="36" t="n"/>
      <c r="M70" s="148" t="n"/>
      <c r="N70" s="36" t="n"/>
      <c r="O70" s="36" t="n"/>
    </row>
    <row r="71" hidden="1" ht="30" customHeight="1">
      <c r="A71" s="145" t="n"/>
      <c r="B71" s="35" t="n"/>
      <c r="C71" s="152" t="n"/>
      <c r="D71" s="146" t="n"/>
      <c r="E71" s="147" t="n"/>
      <c r="F71" s="146" t="n"/>
      <c r="G71" s="147" t="n"/>
      <c r="H71" s="146" t="n"/>
      <c r="I71" s="147" t="n"/>
      <c r="J71" s="153" t="n"/>
      <c r="K71" s="36" t="n"/>
      <c r="L71" s="36" t="n"/>
      <c r="M71" s="148" t="n"/>
      <c r="N71" s="36" t="n"/>
      <c r="O71" s="36" t="n"/>
    </row>
    <row r="72" hidden="1" ht="30" customHeight="1">
      <c r="A72" s="145" t="n"/>
      <c r="B72" s="35" t="n"/>
      <c r="C72" s="152" t="n"/>
      <c r="D72" s="146" t="n"/>
      <c r="E72" s="147" t="n"/>
      <c r="F72" s="146" t="n"/>
      <c r="G72" s="147" t="n"/>
      <c r="H72" s="146" t="n"/>
      <c r="I72" s="147" t="n"/>
      <c r="J72" s="153" t="n"/>
      <c r="K72" s="36" t="n"/>
      <c r="L72" s="36" t="n"/>
      <c r="M72" s="148" t="n"/>
      <c r="N72" s="36" t="n"/>
      <c r="O72" s="36" t="n"/>
    </row>
    <row r="73" hidden="1" ht="30" customHeight="1">
      <c r="A73" s="145" t="n"/>
      <c r="B73" s="35" t="n"/>
      <c r="C73" s="152" t="n"/>
      <c r="D73" s="146" t="n"/>
      <c r="E73" s="147" t="n"/>
      <c r="F73" s="146" t="n"/>
      <c r="G73" s="147" t="n"/>
      <c r="H73" s="146" t="n"/>
      <c r="I73" s="147" t="n"/>
      <c r="J73" s="153" t="n"/>
      <c r="K73" s="36" t="n"/>
      <c r="L73" s="36" t="n"/>
      <c r="M73" s="148" t="n"/>
      <c r="N73" s="36" t="n"/>
      <c r="O73" s="36" t="n"/>
    </row>
    <row r="74" hidden="1" ht="30" customHeight="1">
      <c r="A74" s="145" t="n"/>
      <c r="B74" s="35" t="n"/>
      <c r="C74" s="152" t="n"/>
      <c r="D74" s="146" t="n"/>
      <c r="E74" s="147" t="n"/>
      <c r="F74" s="146" t="n"/>
      <c r="G74" s="147" t="n"/>
      <c r="H74" s="146" t="n"/>
      <c r="I74" s="147" t="n"/>
      <c r="J74" s="153" t="n"/>
      <c r="K74" s="36" t="n"/>
      <c r="L74" s="36" t="n"/>
      <c r="M74" s="148" t="n"/>
      <c r="N74" s="36" t="n"/>
      <c r="O74" s="36" t="n"/>
    </row>
    <row r="75" hidden="1" ht="30" customHeight="1">
      <c r="A75" s="145" t="n"/>
      <c r="B75" s="35" t="n"/>
      <c r="C75" s="152" t="n"/>
      <c r="D75" s="146" t="n"/>
      <c r="E75" s="147" t="n"/>
      <c r="F75" s="146" t="n"/>
      <c r="G75" s="147" t="n"/>
      <c r="H75" s="146" t="n"/>
      <c r="I75" s="147" t="n"/>
      <c r="J75" s="153" t="n"/>
      <c r="K75" s="36" t="n"/>
      <c r="L75" s="36" t="n"/>
      <c r="M75" s="148" t="n"/>
      <c r="N75" s="36" t="n"/>
      <c r="O75" s="36" t="n"/>
    </row>
    <row r="76" hidden="1" ht="30" customHeight="1">
      <c r="A76" s="145" t="n"/>
      <c r="B76" s="35" t="n"/>
      <c r="C76" s="152" t="n"/>
      <c r="D76" s="146" t="n"/>
      <c r="E76" s="147" t="n"/>
      <c r="F76" s="146" t="n"/>
      <c r="G76" s="147" t="n"/>
      <c r="H76" s="146" t="n"/>
      <c r="I76" s="147" t="n"/>
      <c r="J76" s="153" t="n"/>
      <c r="K76" s="36" t="n"/>
      <c r="L76" s="36" t="n"/>
      <c r="M76" s="148" t="n"/>
      <c r="N76" s="36" t="n"/>
      <c r="O76" s="36" t="n"/>
    </row>
    <row r="77" hidden="1" ht="30" customHeight="1">
      <c r="A77" s="145" t="n"/>
      <c r="B77" s="35" t="n"/>
      <c r="C77" s="152" t="n"/>
      <c r="D77" s="146" t="n"/>
      <c r="E77" s="147" t="n"/>
      <c r="F77" s="146" t="n"/>
      <c r="G77" s="147" t="n"/>
      <c r="H77" s="146" t="n"/>
      <c r="I77" s="147" t="n"/>
      <c r="J77" s="153" t="n"/>
      <c r="K77" s="36" t="n"/>
      <c r="L77" s="36" t="n"/>
      <c r="M77" s="148" t="n"/>
      <c r="N77" s="36" t="n"/>
      <c r="O77" s="36" t="n"/>
    </row>
    <row r="78" hidden="1" ht="30" customHeight="1">
      <c r="A78" s="145" t="n"/>
      <c r="B78" s="35" t="n"/>
      <c r="C78" s="152" t="n"/>
      <c r="D78" s="146" t="n"/>
      <c r="E78" s="147" t="n"/>
      <c r="F78" s="146" t="n"/>
      <c r="G78" s="147" t="n"/>
      <c r="H78" s="146" t="n"/>
      <c r="I78" s="147" t="n"/>
      <c r="J78" s="153" t="n"/>
      <c r="K78" s="36" t="n"/>
      <c r="L78" s="36" t="n"/>
      <c r="M78" s="148" t="n"/>
      <c r="N78" s="36" t="n"/>
      <c r="O78" s="36" t="n"/>
    </row>
    <row r="79" hidden="1" ht="30" customHeight="1">
      <c r="A79" s="145" t="n"/>
      <c r="B79" s="35" t="n"/>
      <c r="C79" s="152" t="n"/>
      <c r="D79" s="146" t="n"/>
      <c r="E79" s="147" t="n"/>
      <c r="F79" s="146" t="n"/>
      <c r="G79" s="147" t="n"/>
      <c r="H79" s="146" t="n"/>
      <c r="I79" s="147" t="n"/>
      <c r="J79" s="153" t="n"/>
      <c r="K79" s="36" t="n"/>
      <c r="L79" s="36" t="n"/>
      <c r="M79" s="148" t="n"/>
      <c r="N79" s="36" t="n"/>
      <c r="O79" s="36" t="n"/>
    </row>
    <row r="80" hidden="1" ht="30" customHeight="1">
      <c r="A80" s="145" t="n"/>
      <c r="B80" s="35" t="n"/>
      <c r="C80" s="152" t="n"/>
      <c r="D80" s="146" t="n"/>
      <c r="E80" s="147" t="n"/>
      <c r="F80" s="146" t="n"/>
      <c r="G80" s="147" t="n"/>
      <c r="H80" s="146" t="n"/>
      <c r="I80" s="147" t="n"/>
      <c r="J80" s="153" t="n"/>
      <c r="K80" s="36" t="n"/>
      <c r="L80" s="36" t="n"/>
      <c r="M80" s="148" t="n"/>
      <c r="N80" s="36" t="n"/>
      <c r="O80" s="36" t="n"/>
    </row>
    <row r="81" hidden="1" ht="30" customHeight="1">
      <c r="A81" s="145" t="n"/>
      <c r="B81" s="35" t="n"/>
      <c r="C81" s="152" t="n"/>
      <c r="D81" s="146" t="n"/>
      <c r="E81" s="147" t="n"/>
      <c r="F81" s="146" t="n"/>
      <c r="G81" s="147" t="n"/>
      <c r="H81" s="146" t="n"/>
      <c r="I81" s="147" t="n"/>
      <c r="J81" s="153" t="n"/>
      <c r="K81" s="36" t="n"/>
      <c r="L81" s="36" t="n"/>
      <c r="M81" s="148" t="n"/>
      <c r="N81" s="36" t="n"/>
      <c r="O81" s="36" t="n"/>
    </row>
    <row r="82" hidden="1" ht="30" customHeight="1">
      <c r="A82" s="145" t="n"/>
      <c r="B82" s="35" t="n"/>
      <c r="C82" s="152" t="n"/>
      <c r="D82" s="146" t="n"/>
      <c r="E82" s="147" t="n"/>
      <c r="F82" s="146" t="n"/>
      <c r="G82" s="147" t="n"/>
      <c r="H82" s="146" t="n"/>
      <c r="I82" s="147" t="n"/>
      <c r="J82" s="153" t="n"/>
      <c r="K82" s="36" t="n"/>
      <c r="L82" s="36" t="n"/>
      <c r="M82" s="148" t="n"/>
      <c r="N82" s="36" t="n"/>
      <c r="O82" s="36" t="n"/>
    </row>
    <row r="83" hidden="1" ht="30" customHeight="1">
      <c r="A83" s="145" t="n"/>
      <c r="B83" s="35" t="n"/>
      <c r="C83" s="152" t="n"/>
      <c r="D83" s="146" t="n"/>
      <c r="E83" s="147" t="n"/>
      <c r="F83" s="146" t="n"/>
      <c r="G83" s="147" t="n"/>
      <c r="H83" s="146" t="n"/>
      <c r="I83" s="147" t="n"/>
      <c r="J83" s="153" t="n"/>
      <c r="K83" s="36" t="n"/>
      <c r="L83" s="36" t="n"/>
      <c r="M83" s="148" t="n"/>
      <c r="N83" s="36" t="n"/>
      <c r="O83" s="36" t="n"/>
    </row>
    <row r="84" hidden="1" ht="30" customHeight="1">
      <c r="A84" s="145" t="n"/>
      <c r="B84" s="35" t="n"/>
      <c r="C84" s="152" t="n"/>
      <c r="D84" s="146" t="n"/>
      <c r="E84" s="147" t="n"/>
      <c r="F84" s="146" t="n"/>
      <c r="G84" s="147" t="n"/>
      <c r="H84" s="146" t="n"/>
      <c r="I84" s="147" t="n"/>
      <c r="J84" s="153" t="n"/>
      <c r="K84" s="36" t="n"/>
      <c r="L84" s="36" t="n"/>
      <c r="M84" s="148" t="n"/>
      <c r="N84" s="36" t="n"/>
      <c r="O84" s="36" t="n"/>
    </row>
    <row r="85" hidden="1" ht="30" customHeight="1">
      <c r="A85" s="145" t="n"/>
      <c r="B85" s="35" t="n"/>
      <c r="C85" s="152" t="n"/>
      <c r="D85" s="146" t="n"/>
      <c r="E85" s="147" t="n"/>
      <c r="F85" s="146" t="n"/>
      <c r="G85" s="147" t="n"/>
      <c r="H85" s="146" t="n"/>
      <c r="I85" s="147" t="n"/>
      <c r="J85" s="153" t="n"/>
      <c r="K85" s="36" t="n"/>
      <c r="L85" s="36" t="n"/>
      <c r="M85" s="148" t="n"/>
      <c r="N85" s="36" t="n"/>
      <c r="O85" s="36" t="n"/>
    </row>
    <row r="86" hidden="1" ht="30" customHeight="1">
      <c r="A86" s="145" t="n"/>
      <c r="B86" s="35" t="n"/>
      <c r="C86" s="152" t="n"/>
      <c r="D86" s="146" t="n"/>
      <c r="E86" s="147" t="n"/>
      <c r="F86" s="146" t="n"/>
      <c r="G86" s="147" t="n"/>
      <c r="H86" s="146" t="n"/>
      <c r="I86" s="147" t="n"/>
      <c r="J86" s="153" t="n"/>
      <c r="K86" s="36" t="n"/>
      <c r="L86" s="36" t="n"/>
      <c r="M86" s="148" t="n"/>
      <c r="N86" s="36" t="n"/>
      <c r="O86" s="36" t="n"/>
    </row>
    <row r="87" hidden="1" ht="30" customHeight="1">
      <c r="A87" s="145" t="n"/>
      <c r="B87" s="35" t="n"/>
      <c r="C87" s="152" t="n"/>
      <c r="D87" s="146" t="n"/>
      <c r="E87" s="147" t="n"/>
      <c r="F87" s="146" t="n"/>
      <c r="G87" s="147" t="n"/>
      <c r="H87" s="146" t="n"/>
      <c r="I87" s="147" t="n"/>
      <c r="J87" s="153" t="n"/>
      <c r="K87" s="36" t="n"/>
      <c r="L87" s="36" t="n"/>
      <c r="M87" s="148" t="n"/>
      <c r="N87" s="36" t="n"/>
      <c r="O87" s="36" t="n"/>
    </row>
    <row r="88" hidden="1" ht="30" customHeight="1">
      <c r="A88" s="145" t="n"/>
      <c r="B88" s="35" t="n"/>
      <c r="C88" s="152" t="n"/>
      <c r="D88" s="146" t="n"/>
      <c r="E88" s="147" t="n"/>
      <c r="F88" s="146" t="n"/>
      <c r="G88" s="147" t="n"/>
      <c r="H88" s="146" t="n"/>
      <c r="I88" s="147" t="n"/>
      <c r="J88" s="153" t="n"/>
      <c r="K88" s="36" t="n"/>
      <c r="L88" s="36" t="n"/>
      <c r="M88" s="148" t="n"/>
      <c r="N88" s="36" t="n"/>
      <c r="O88" s="36" t="n"/>
    </row>
    <row r="89" hidden="1" ht="30" customHeight="1">
      <c r="A89" s="145" t="n"/>
      <c r="B89" s="35" t="n"/>
      <c r="C89" s="152" t="n"/>
      <c r="D89" s="146" t="n"/>
      <c r="E89" s="147" t="n"/>
      <c r="F89" s="146" t="n"/>
      <c r="G89" s="147" t="n"/>
      <c r="H89" s="146" t="n"/>
      <c r="I89" s="147" t="n"/>
      <c r="J89" s="153" t="n"/>
      <c r="K89" s="36" t="n"/>
      <c r="L89" s="36" t="n"/>
      <c r="M89" s="148" t="n"/>
      <c r="N89" s="36" t="n"/>
      <c r="O89" s="36" t="n"/>
    </row>
    <row r="90" hidden="1" ht="30" customHeight="1">
      <c r="A90" s="145" t="n"/>
      <c r="B90" s="35" t="n"/>
      <c r="C90" s="152" t="n"/>
      <c r="D90" s="146" t="n"/>
      <c r="E90" s="147" t="n"/>
      <c r="F90" s="146" t="n"/>
      <c r="G90" s="147" t="n"/>
      <c r="H90" s="146" t="n"/>
      <c r="I90" s="147" t="n"/>
      <c r="J90" s="153" t="n"/>
      <c r="K90" s="36" t="n"/>
      <c r="L90" s="36" t="n"/>
      <c r="M90" s="148" t="n"/>
      <c r="N90" s="36" t="n"/>
      <c r="O90" s="36" t="n"/>
    </row>
    <row r="91" hidden="1" ht="30" customHeight="1">
      <c r="A91" s="145" t="n"/>
      <c r="B91" s="35" t="n"/>
      <c r="C91" s="152" t="n"/>
      <c r="D91" s="146" t="n"/>
      <c r="E91" s="147" t="n"/>
      <c r="F91" s="146" t="n"/>
      <c r="G91" s="147" t="n"/>
      <c r="H91" s="146" t="n"/>
      <c r="I91" s="147" t="n"/>
      <c r="J91" s="153" t="n"/>
      <c r="K91" s="36" t="n"/>
      <c r="L91" s="36" t="n"/>
      <c r="M91" s="148" t="n"/>
      <c r="N91" s="36" t="n"/>
      <c r="O91" s="36" t="n"/>
    </row>
    <row r="92" hidden="1" ht="30" customHeight="1">
      <c r="A92" s="145" t="n"/>
      <c r="B92" s="35" t="n"/>
      <c r="C92" s="152" t="n"/>
      <c r="D92" s="146" t="n"/>
      <c r="E92" s="147" t="n"/>
      <c r="F92" s="146" t="n"/>
      <c r="G92" s="147" t="n"/>
      <c r="H92" s="146" t="n"/>
      <c r="I92" s="147" t="n"/>
      <c r="J92" s="153" t="n"/>
      <c r="K92" s="36" t="n"/>
      <c r="L92" s="36" t="n"/>
      <c r="M92" s="148" t="n"/>
      <c r="N92" s="36" t="n"/>
      <c r="O92" s="36" t="n"/>
    </row>
    <row r="93" hidden="1" ht="30" customHeight="1">
      <c r="A93" s="145" t="n"/>
      <c r="B93" s="35" t="n"/>
      <c r="C93" s="152" t="n"/>
      <c r="D93" s="146" t="n"/>
      <c r="E93" s="147" t="n"/>
      <c r="F93" s="146" t="n"/>
      <c r="G93" s="147" t="n"/>
      <c r="H93" s="146" t="n"/>
      <c r="I93" s="147" t="n"/>
      <c r="J93" s="153" t="n"/>
      <c r="K93" s="36" t="n"/>
      <c r="L93" s="36" t="n"/>
      <c r="M93" s="148" t="n"/>
      <c r="N93" s="36" t="n"/>
      <c r="O93" s="36" t="n"/>
    </row>
    <row r="94" hidden="1" ht="30" customHeight="1">
      <c r="A94" s="145" t="n"/>
      <c r="B94" s="35" t="n"/>
      <c r="C94" s="152" t="n"/>
      <c r="D94" s="146" t="n"/>
      <c r="E94" s="147" t="n"/>
      <c r="F94" s="146" t="n"/>
      <c r="G94" s="147" t="n"/>
      <c r="H94" s="146" t="n"/>
      <c r="I94" s="147" t="n"/>
      <c r="J94" s="153" t="n"/>
      <c r="K94" s="36" t="n"/>
      <c r="L94" s="36" t="n"/>
      <c r="M94" s="148" t="n"/>
      <c r="N94" s="36" t="n"/>
      <c r="O94" s="36" t="n"/>
    </row>
    <row r="95" hidden="1" ht="30" customHeight="1">
      <c r="A95" s="145" t="n"/>
      <c r="B95" s="35" t="n"/>
      <c r="C95" s="152" t="n"/>
      <c r="D95" s="146" t="n"/>
      <c r="E95" s="147" t="n"/>
      <c r="F95" s="146" t="n"/>
      <c r="G95" s="147" t="n"/>
      <c r="H95" s="146" t="n"/>
      <c r="I95" s="147" t="n"/>
      <c r="J95" s="153" t="n"/>
      <c r="K95" s="36" t="n"/>
      <c r="L95" s="36" t="n"/>
      <c r="M95" s="148" t="n"/>
      <c r="N95" s="36" t="n"/>
      <c r="O95" s="36" t="n"/>
    </row>
    <row r="96" hidden="1" ht="30" customHeight="1">
      <c r="A96" s="145" t="n"/>
      <c r="B96" s="35" t="n"/>
      <c r="C96" s="152" t="n"/>
      <c r="D96" s="146" t="n"/>
      <c r="E96" s="147" t="n"/>
      <c r="F96" s="146" t="n"/>
      <c r="G96" s="147" t="n"/>
      <c r="H96" s="146" t="n"/>
      <c r="I96" s="147" t="n"/>
      <c r="J96" s="153" t="n"/>
      <c r="K96" s="36" t="n"/>
      <c r="L96" s="36" t="n"/>
      <c r="M96" s="148" t="n"/>
      <c r="N96" s="36" t="n"/>
      <c r="O96" s="36" t="n"/>
    </row>
    <row r="97" hidden="1" ht="30" customHeight="1">
      <c r="A97" s="145" t="n"/>
      <c r="B97" s="35" t="n"/>
      <c r="C97" s="152" t="n"/>
      <c r="D97" s="146" t="n"/>
      <c r="E97" s="147" t="n"/>
      <c r="F97" s="146" t="n"/>
      <c r="G97" s="147" t="n"/>
      <c r="H97" s="146" t="n"/>
      <c r="I97" s="147" t="n"/>
      <c r="J97" s="153" t="n"/>
      <c r="K97" s="36" t="n"/>
      <c r="L97" s="36" t="n"/>
      <c r="M97" s="148" t="n"/>
      <c r="N97" s="36" t="n"/>
      <c r="O97" s="36" t="n"/>
    </row>
    <row r="98" hidden="1" ht="30" customHeight="1">
      <c r="A98" s="145" t="n"/>
      <c r="B98" s="35" t="n"/>
      <c r="C98" s="152" t="n"/>
      <c r="D98" s="146" t="n"/>
      <c r="E98" s="147" t="n"/>
      <c r="F98" s="146" t="n"/>
      <c r="G98" s="147" t="n"/>
      <c r="H98" s="146" t="n"/>
      <c r="I98" s="147" t="n"/>
      <c r="J98" s="153" t="n"/>
      <c r="K98" s="36" t="n"/>
      <c r="L98" s="36" t="n"/>
      <c r="M98" s="148" t="n"/>
      <c r="N98" s="36" t="n"/>
      <c r="O98" s="36" t="n"/>
    </row>
    <row r="99" hidden="1" ht="30" customHeight="1">
      <c r="A99" s="145" t="n"/>
      <c r="B99" s="35" t="n"/>
      <c r="C99" s="152" t="n"/>
      <c r="D99" s="146" t="n"/>
      <c r="E99" s="147" t="n"/>
      <c r="F99" s="146" t="n"/>
      <c r="G99" s="147" t="n"/>
      <c r="H99" s="146" t="n"/>
      <c r="I99" s="147" t="n"/>
      <c r="J99" s="153" t="n"/>
      <c r="K99" s="36" t="n"/>
      <c r="L99" s="36" t="n"/>
      <c r="M99" s="148" t="n"/>
      <c r="N99" s="36" t="n"/>
      <c r="O99" s="36" t="n"/>
    </row>
    <row r="100" hidden="1" ht="30" customHeight="1">
      <c r="A100" s="145" t="n"/>
      <c r="B100" s="35" t="n"/>
      <c r="C100" s="152" t="n"/>
      <c r="D100" s="146" t="n"/>
      <c r="E100" s="147" t="n"/>
      <c r="F100" s="146" t="n"/>
      <c r="G100" s="147" t="n"/>
      <c r="H100" s="146" t="n"/>
      <c r="I100" s="147" t="n"/>
      <c r="J100" s="153" t="n"/>
      <c r="K100" s="36" t="n"/>
      <c r="L100" s="36" t="n"/>
      <c r="M100" s="148" t="n"/>
      <c r="N100" s="36" t="n"/>
      <c r="O100" s="36" t="n"/>
    </row>
    <row r="101" hidden="1" ht="30" customHeight="1">
      <c r="A101" s="145" t="n"/>
      <c r="B101" s="35" t="n"/>
      <c r="C101" s="152" t="n"/>
      <c r="D101" s="146" t="n"/>
      <c r="E101" s="147" t="n"/>
      <c r="F101" s="146" t="n"/>
      <c r="G101" s="147" t="n"/>
      <c r="H101" s="146" t="n"/>
      <c r="I101" s="147" t="n"/>
      <c r="J101" s="153" t="n"/>
      <c r="K101" s="36" t="n"/>
      <c r="L101" s="36" t="n"/>
      <c r="M101" s="148" t="n"/>
      <c r="N101" s="36" t="n"/>
      <c r="O101" s="36" t="n"/>
    </row>
    <row r="102" hidden="1" ht="30" customHeight="1">
      <c r="A102" s="145" t="n"/>
      <c r="B102" s="35" t="n"/>
      <c r="C102" s="152" t="n"/>
      <c r="D102" s="146" t="n"/>
      <c r="E102" s="147" t="n"/>
      <c r="F102" s="146" t="n"/>
      <c r="G102" s="147" t="n"/>
      <c r="H102" s="146" t="n"/>
      <c r="I102" s="147" t="n"/>
      <c r="J102" s="153" t="n"/>
      <c r="K102" s="36" t="n"/>
      <c r="L102" s="36" t="n"/>
      <c r="M102" s="148" t="n"/>
      <c r="N102" s="36" t="n"/>
      <c r="O102" s="36" t="n"/>
    </row>
    <row r="103" hidden="1" ht="30" customHeight="1">
      <c r="A103" s="145" t="n"/>
      <c r="B103" s="35" t="n"/>
      <c r="C103" s="152" t="n"/>
      <c r="D103" s="146" t="n"/>
      <c r="E103" s="147" t="n"/>
      <c r="F103" s="146" t="n"/>
      <c r="G103" s="147" t="n"/>
      <c r="H103" s="146" t="n"/>
      <c r="I103" s="147" t="n"/>
      <c r="J103" s="153" t="n"/>
      <c r="K103" s="36" t="n"/>
      <c r="L103" s="36" t="n"/>
      <c r="M103" s="148" t="n"/>
      <c r="N103" s="36" t="n"/>
      <c r="O103" s="36" t="n"/>
    </row>
    <row r="104" hidden="1" ht="30" customHeight="1">
      <c r="A104" s="145" t="n"/>
      <c r="B104" s="35" t="n"/>
      <c r="C104" s="152" t="n"/>
      <c r="D104" s="146" t="n"/>
      <c r="E104" s="147" t="n"/>
      <c r="F104" s="146" t="n"/>
      <c r="G104" s="147" t="n"/>
      <c r="H104" s="146" t="n"/>
      <c r="I104" s="147" t="n"/>
      <c r="J104" s="153" t="n"/>
      <c r="K104" s="36" t="n"/>
      <c r="L104" s="36" t="n"/>
      <c r="M104" s="148" t="n"/>
      <c r="N104" s="36" t="n"/>
      <c r="O104" s="36" t="n"/>
    </row>
    <row r="105" hidden="1" ht="30" customHeight="1">
      <c r="A105" s="145" t="n"/>
      <c r="B105" s="35" t="n"/>
      <c r="C105" s="152" t="n"/>
      <c r="D105" s="146" t="n"/>
      <c r="E105" s="147" t="n"/>
      <c r="F105" s="146" t="n"/>
      <c r="G105" s="147" t="n"/>
      <c r="H105" s="146" t="n"/>
      <c r="I105" s="147" t="n"/>
      <c r="J105" s="153" t="n"/>
      <c r="K105" s="36" t="n"/>
      <c r="L105" s="36" t="n"/>
      <c r="M105" s="148" t="n"/>
      <c r="N105" s="36" t="n"/>
      <c r="O105" s="36" t="n"/>
    </row>
    <row r="106" hidden="1" ht="30" customHeight="1">
      <c r="A106" s="145" t="n"/>
      <c r="B106" s="35" t="n"/>
      <c r="C106" s="152" t="n"/>
      <c r="D106" s="146" t="n"/>
      <c r="E106" s="147" t="n"/>
      <c r="F106" s="146" t="n"/>
      <c r="G106" s="147" t="n"/>
      <c r="H106" s="146" t="n"/>
      <c r="I106" s="147" t="n"/>
      <c r="J106" s="153" t="n"/>
      <c r="K106" s="36" t="n"/>
      <c r="L106" s="36" t="n"/>
      <c r="M106" s="148" t="n"/>
      <c r="N106" s="36" t="n"/>
      <c r="O106" s="36" t="n"/>
    </row>
    <row r="107" hidden="1" ht="30" customHeight="1">
      <c r="A107" s="145" t="n"/>
      <c r="B107" s="35" t="n"/>
      <c r="C107" s="152" t="n"/>
      <c r="D107" s="146" t="n"/>
      <c r="E107" s="147" t="n"/>
      <c r="F107" s="146" t="n"/>
      <c r="G107" s="147" t="n"/>
      <c r="H107" s="146" t="n"/>
      <c r="I107" s="147" t="n"/>
      <c r="J107" s="153" t="n"/>
      <c r="K107" s="36" t="n"/>
      <c r="L107" s="36" t="n"/>
      <c r="M107" s="148" t="n"/>
      <c r="N107" s="36" t="n"/>
      <c r="O107" s="36" t="n"/>
    </row>
    <row r="108" hidden="1" ht="30" customHeight="1">
      <c r="A108" s="145" t="n"/>
      <c r="B108" s="35" t="n"/>
      <c r="C108" s="152" t="n"/>
      <c r="D108" s="146" t="n"/>
      <c r="E108" s="147" t="n"/>
      <c r="F108" s="146" t="n"/>
      <c r="G108" s="147" t="n"/>
      <c r="H108" s="146" t="n"/>
      <c r="I108" s="147" t="n"/>
      <c r="J108" s="153" t="n"/>
      <c r="K108" s="36" t="n"/>
      <c r="L108" s="36" t="n"/>
      <c r="M108" s="148" t="n"/>
      <c r="N108" s="36" t="n"/>
      <c r="O108" s="36" t="n"/>
    </row>
    <row r="109" hidden="1" ht="30" customHeight="1">
      <c r="A109" s="145" t="n"/>
      <c r="B109" s="35" t="n"/>
      <c r="C109" s="152" t="n"/>
      <c r="D109" s="146" t="n"/>
      <c r="E109" s="147" t="n"/>
      <c r="F109" s="146" t="n"/>
      <c r="G109" s="147" t="n"/>
      <c r="H109" s="146" t="n"/>
      <c r="I109" s="147" t="n"/>
      <c r="J109" s="153" t="n"/>
      <c r="K109" s="36" t="n"/>
      <c r="L109" s="36" t="n"/>
      <c r="M109" s="148" t="n"/>
      <c r="N109" s="36" t="n"/>
      <c r="O109" s="36" t="n"/>
    </row>
    <row r="111">
      <c r="A111" s="29" t="inlineStr">
        <is>
          <t>AZIONI — nessuna riga da validare</t>
        </is>
      </c>
      <c r="B111" s="30" t="n"/>
      <c r="C111" s="30" t="n"/>
      <c r="D111" s="30" t="n"/>
      <c r="E111" s="30" t="n"/>
      <c r="F111" s="30" t="n"/>
      <c r="G111" s="30" t="n"/>
      <c r="H111" s="30" t="n"/>
      <c r="I111" s="30" t="n"/>
      <c r="J111" s="30" t="n"/>
      <c r="K111" s="30" t="n"/>
      <c r="L111" s="30" t="n"/>
      <c r="M111" s="30" t="n"/>
      <c r="N111" s="30" t="n"/>
      <c r="O111" s="30" t="n"/>
    </row>
    <row r="112" ht="30" customHeight="1">
      <c r="A112" s="141" t="inlineStr">
        <is>
          <t>Azione</t>
        </is>
      </c>
      <c r="B112" s="141" t="inlineStr">
        <is>
          <t>Descrizione</t>
        </is>
      </c>
      <c r="C112" s="142" t="inlineStr">
        <is>
          <t>Owner proposto</t>
        </is>
      </c>
      <c r="E112" s="143" t="inlineStr">
        <is>
          <t>Owner (una funzione)</t>
        </is>
      </c>
      <c r="G112" s="142" t="inlineStr">
        <is>
          <t>Orizzonte proposto</t>
        </is>
      </c>
      <c r="H112" s="143" t="inlineStr">
        <is>
          <t>Orizzonte</t>
        </is>
      </c>
      <c r="I112" s="143" t="inlineStr">
        <is>
          <t>Respingi</t>
        </is>
      </c>
      <c r="M112" s="143" t="inlineStr">
        <is>
          <t>Motivazione (se cambi un valore o respingi)</t>
        </is>
      </c>
    </row>
    <row r="113" hidden="1" ht="30" customHeight="1">
      <c r="A113" s="154" t="n"/>
      <c r="B113" s="35" t="n"/>
      <c r="C113" s="146" t="n"/>
      <c r="D113" s="138" t="n"/>
      <c r="E113" s="147" t="n"/>
      <c r="F113" s="138" t="n"/>
      <c r="G113" s="146" t="n"/>
      <c r="H113" s="147" t="n"/>
      <c r="I113" s="153" t="n"/>
      <c r="J113" s="36" t="n"/>
      <c r="K113" s="36" t="n"/>
      <c r="L113" s="36" t="n"/>
      <c r="M113" s="148" t="n"/>
      <c r="N113" s="36" t="n"/>
      <c r="O113" s="36" t="n"/>
      <c r="S113">
        <f>IF($A113="","",IF(OR($I113="Sì",$I113="Si"),0,IFERROR(VALUE(LEFT($H113,FIND(" ",$H113)-1)),0)))</f>
        <v/>
      </c>
      <c r="T113">
        <f>IF($A113="","",IFERROR(VALUE(LEFT($G113,FIND(" ",$G113)-1)),0))</f>
        <v/>
      </c>
    </row>
    <row r="114" hidden="1" ht="30" customHeight="1">
      <c r="A114" s="154" t="n"/>
      <c r="B114" s="35" t="n"/>
      <c r="C114" s="146" t="n"/>
      <c r="D114" s="138" t="n"/>
      <c r="E114" s="147" t="n"/>
      <c r="F114" s="138" t="n"/>
      <c r="G114" s="146" t="n"/>
      <c r="H114" s="147" t="n"/>
      <c r="I114" s="153" t="n"/>
      <c r="J114" s="36" t="n"/>
      <c r="K114" s="36" t="n"/>
      <c r="L114" s="36" t="n"/>
      <c r="M114" s="148" t="n"/>
      <c r="N114" s="36" t="n"/>
      <c r="O114" s="36" t="n"/>
      <c r="S114">
        <f>IF($A114="","",IF(OR($I114="Sì",$I114="Si"),0,IFERROR(VALUE(LEFT($H114,FIND(" ",$H114)-1)),0)))</f>
        <v/>
      </c>
      <c r="T114">
        <f>IF($A114="","",IFERROR(VALUE(LEFT($G114,FIND(" ",$G114)-1)),0))</f>
        <v/>
      </c>
    </row>
    <row r="115" hidden="1" ht="30" customHeight="1">
      <c r="A115" s="154" t="n"/>
      <c r="B115" s="35" t="n"/>
      <c r="C115" s="146" t="n"/>
      <c r="D115" s="138" t="n"/>
      <c r="E115" s="147" t="n"/>
      <c r="F115" s="138" t="n"/>
      <c r="G115" s="146" t="n"/>
      <c r="H115" s="147" t="n"/>
      <c r="I115" s="153" t="n"/>
      <c r="J115" s="36" t="n"/>
      <c r="K115" s="36" t="n"/>
      <c r="L115" s="36" t="n"/>
      <c r="M115" s="148" t="n"/>
      <c r="N115" s="36" t="n"/>
      <c r="O115" s="36" t="n"/>
      <c r="S115">
        <f>IF($A115="","",IF(OR($I115="Sì",$I115="Si"),0,IFERROR(VALUE(LEFT($H115,FIND(" ",$H115)-1)),0)))</f>
        <v/>
      </c>
      <c r="T115">
        <f>IF($A115="","",IFERROR(VALUE(LEFT($G115,FIND(" ",$G115)-1)),0))</f>
        <v/>
      </c>
    </row>
    <row r="116" hidden="1" ht="30" customHeight="1">
      <c r="A116" s="154" t="n"/>
      <c r="B116" s="35" t="n"/>
      <c r="C116" s="146" t="n"/>
      <c r="D116" s="138" t="n"/>
      <c r="E116" s="147" t="n"/>
      <c r="F116" s="138" t="n"/>
      <c r="G116" s="146" t="n"/>
      <c r="H116" s="147" t="n"/>
      <c r="I116" s="153" t="n"/>
      <c r="J116" s="36" t="n"/>
      <c r="K116" s="36" t="n"/>
      <c r="L116" s="36" t="n"/>
      <c r="M116" s="148" t="n"/>
      <c r="N116" s="36" t="n"/>
      <c r="O116" s="36" t="n"/>
      <c r="S116">
        <f>IF($A116="","",IF(OR($I116="Sì",$I116="Si"),0,IFERROR(VALUE(LEFT($H116,FIND(" ",$H116)-1)),0)))</f>
        <v/>
      </c>
      <c r="T116">
        <f>IF($A116="","",IFERROR(VALUE(LEFT($G116,FIND(" ",$G116)-1)),0))</f>
        <v/>
      </c>
    </row>
    <row r="117" hidden="1" ht="30" customHeight="1">
      <c r="A117" s="154" t="n"/>
      <c r="B117" s="35" t="n"/>
      <c r="C117" s="146" t="n"/>
      <c r="D117" s="138" t="n"/>
      <c r="E117" s="147" t="n"/>
      <c r="F117" s="138" t="n"/>
      <c r="G117" s="146" t="n"/>
      <c r="H117" s="147" t="n"/>
      <c r="I117" s="153" t="n"/>
      <c r="J117" s="36" t="n"/>
      <c r="K117" s="36" t="n"/>
      <c r="L117" s="36" t="n"/>
      <c r="M117" s="148" t="n"/>
      <c r="N117" s="36" t="n"/>
      <c r="O117" s="36" t="n"/>
      <c r="S117">
        <f>IF($A117="","",IF(OR($I117="Sì",$I117="Si"),0,IFERROR(VALUE(LEFT($H117,FIND(" ",$H117)-1)),0)))</f>
        <v/>
      </c>
      <c r="T117">
        <f>IF($A117="","",IFERROR(VALUE(LEFT($G117,FIND(" ",$G117)-1)),0))</f>
        <v/>
      </c>
    </row>
    <row r="118" hidden="1" ht="30" customHeight="1">
      <c r="A118" s="154" t="n"/>
      <c r="B118" s="35" t="n"/>
      <c r="C118" s="146" t="n"/>
      <c r="D118" s="138" t="n"/>
      <c r="E118" s="147" t="n"/>
      <c r="F118" s="138" t="n"/>
      <c r="G118" s="146" t="n"/>
      <c r="H118" s="147" t="n"/>
      <c r="I118" s="153" t="n"/>
      <c r="J118" s="36" t="n"/>
      <c r="K118" s="36" t="n"/>
      <c r="L118" s="36" t="n"/>
      <c r="M118" s="148" t="n"/>
      <c r="N118" s="36" t="n"/>
      <c r="O118" s="36" t="n"/>
      <c r="S118">
        <f>IF($A118="","",IF(OR($I118="Sì",$I118="Si"),0,IFERROR(VALUE(LEFT($H118,FIND(" ",$H118)-1)),0)))</f>
        <v/>
      </c>
      <c r="T118">
        <f>IF($A118="","",IFERROR(VALUE(LEFT($G118,FIND(" ",$G118)-1)),0))</f>
        <v/>
      </c>
    </row>
    <row r="119" hidden="1" ht="30" customHeight="1">
      <c r="A119" s="154" t="n"/>
      <c r="B119" s="35" t="n"/>
      <c r="C119" s="146" t="n"/>
      <c r="D119" s="138" t="n"/>
      <c r="E119" s="147" t="n"/>
      <c r="F119" s="138" t="n"/>
      <c r="G119" s="146" t="n"/>
      <c r="H119" s="147" t="n"/>
      <c r="I119" s="153" t="n"/>
      <c r="J119" s="36" t="n"/>
      <c r="K119" s="36" t="n"/>
      <c r="L119" s="36" t="n"/>
      <c r="M119" s="148" t="n"/>
      <c r="N119" s="36" t="n"/>
      <c r="O119" s="36" t="n"/>
      <c r="S119">
        <f>IF($A119="","",IF(OR($I119="Sì",$I119="Si"),0,IFERROR(VALUE(LEFT($H119,FIND(" ",$H119)-1)),0)))</f>
        <v/>
      </c>
      <c r="T119">
        <f>IF($A119="","",IFERROR(VALUE(LEFT($G119,FIND(" ",$G119)-1)),0))</f>
        <v/>
      </c>
    </row>
    <row r="120" hidden="1" ht="30" customHeight="1">
      <c r="A120" s="154" t="n"/>
      <c r="B120" s="35" t="n"/>
      <c r="C120" s="146" t="n"/>
      <c r="D120" s="138" t="n"/>
      <c r="E120" s="147" t="n"/>
      <c r="F120" s="138" t="n"/>
      <c r="G120" s="146" t="n"/>
      <c r="H120" s="147" t="n"/>
      <c r="I120" s="153" t="n"/>
      <c r="J120" s="36" t="n"/>
      <c r="K120" s="36" t="n"/>
      <c r="L120" s="36" t="n"/>
      <c r="M120" s="148" t="n"/>
      <c r="N120" s="36" t="n"/>
      <c r="O120" s="36" t="n"/>
      <c r="S120">
        <f>IF($A120="","",IF(OR($I120="Sì",$I120="Si"),0,IFERROR(VALUE(LEFT($H120,FIND(" ",$H120)-1)),0)))</f>
        <v/>
      </c>
      <c r="T120">
        <f>IF($A120="","",IFERROR(VALUE(LEFT($G120,FIND(" ",$G120)-1)),0))</f>
        <v/>
      </c>
    </row>
    <row r="121" hidden="1" ht="30" customHeight="1">
      <c r="A121" s="154" t="n"/>
      <c r="B121" s="35" t="n"/>
      <c r="C121" s="146" t="n"/>
      <c r="D121" s="138" t="n"/>
      <c r="E121" s="147" t="n"/>
      <c r="F121" s="138" t="n"/>
      <c r="G121" s="146" t="n"/>
      <c r="H121" s="147" t="n"/>
      <c r="I121" s="153" t="n"/>
      <c r="J121" s="36" t="n"/>
      <c r="K121" s="36" t="n"/>
      <c r="L121" s="36" t="n"/>
      <c r="M121" s="148" t="n"/>
      <c r="N121" s="36" t="n"/>
      <c r="O121" s="36" t="n"/>
      <c r="S121">
        <f>IF($A121="","",IF(OR($I121="Sì",$I121="Si"),0,IFERROR(VALUE(LEFT($H121,FIND(" ",$H121)-1)),0)))</f>
        <v/>
      </c>
      <c r="T121">
        <f>IF($A121="","",IFERROR(VALUE(LEFT($G121,FIND(" ",$G121)-1)),0))</f>
        <v/>
      </c>
    </row>
    <row r="122" hidden="1" ht="30" customHeight="1">
      <c r="A122" s="154" t="n"/>
      <c r="B122" s="35" t="n"/>
      <c r="C122" s="146" t="n"/>
      <c r="D122" s="138" t="n"/>
      <c r="E122" s="147" t="n"/>
      <c r="F122" s="138" t="n"/>
      <c r="G122" s="146" t="n"/>
      <c r="H122" s="147" t="n"/>
      <c r="I122" s="153" t="n"/>
      <c r="J122" s="36" t="n"/>
      <c r="K122" s="36" t="n"/>
      <c r="L122" s="36" t="n"/>
      <c r="M122" s="148" t="n"/>
      <c r="N122" s="36" t="n"/>
      <c r="O122" s="36" t="n"/>
      <c r="S122">
        <f>IF($A122="","",IF(OR($I122="Sì",$I122="Si"),0,IFERROR(VALUE(LEFT($H122,FIND(" ",$H122)-1)),0)))</f>
        <v/>
      </c>
      <c r="T122">
        <f>IF($A122="","",IFERROR(VALUE(LEFT($G122,FIND(" ",$G122)-1)),0))</f>
        <v/>
      </c>
    </row>
    <row r="123" hidden="1" ht="30" customHeight="1">
      <c r="A123" s="154" t="n"/>
      <c r="B123" s="35" t="n"/>
      <c r="C123" s="146" t="n"/>
      <c r="D123" s="138" t="n"/>
      <c r="E123" s="147" t="n"/>
      <c r="F123" s="138" t="n"/>
      <c r="G123" s="146" t="n"/>
      <c r="H123" s="147" t="n"/>
      <c r="I123" s="153" t="n"/>
      <c r="J123" s="36" t="n"/>
      <c r="K123" s="36" t="n"/>
      <c r="L123" s="36" t="n"/>
      <c r="M123" s="148" t="n"/>
      <c r="N123" s="36" t="n"/>
      <c r="O123" s="36" t="n"/>
      <c r="S123">
        <f>IF($A123="","",IF(OR($I123="Sì",$I123="Si"),0,IFERROR(VALUE(LEFT($H123,FIND(" ",$H123)-1)),0)))</f>
        <v/>
      </c>
      <c r="T123">
        <f>IF($A123="","",IFERROR(VALUE(LEFT($G123,FIND(" ",$G123)-1)),0))</f>
        <v/>
      </c>
    </row>
    <row r="124" hidden="1" ht="30" customHeight="1">
      <c r="A124" s="154" t="n"/>
      <c r="B124" s="35" t="n"/>
      <c r="C124" s="146" t="n"/>
      <c r="D124" s="138" t="n"/>
      <c r="E124" s="147" t="n"/>
      <c r="F124" s="138" t="n"/>
      <c r="G124" s="146" t="n"/>
      <c r="H124" s="147" t="n"/>
      <c r="I124" s="153" t="n"/>
      <c r="J124" s="36" t="n"/>
      <c r="K124" s="36" t="n"/>
      <c r="L124" s="36" t="n"/>
      <c r="M124" s="148" t="n"/>
      <c r="N124" s="36" t="n"/>
      <c r="O124" s="36" t="n"/>
      <c r="S124">
        <f>IF($A124="","",IF(OR($I124="Sì",$I124="Si"),0,IFERROR(VALUE(LEFT($H124,FIND(" ",$H124)-1)),0)))</f>
        <v/>
      </c>
      <c r="T124">
        <f>IF($A124="","",IFERROR(VALUE(LEFT($G124,FIND(" ",$G124)-1)),0))</f>
        <v/>
      </c>
    </row>
    <row r="125" hidden="1" ht="30" customHeight="1">
      <c r="A125" s="154" t="n"/>
      <c r="B125" s="35" t="n"/>
      <c r="C125" s="146" t="n"/>
      <c r="D125" s="138" t="n"/>
      <c r="E125" s="147" t="n"/>
      <c r="F125" s="138" t="n"/>
      <c r="G125" s="146" t="n"/>
      <c r="H125" s="147" t="n"/>
      <c r="I125" s="153" t="n"/>
      <c r="J125" s="36" t="n"/>
      <c r="K125" s="36" t="n"/>
      <c r="L125" s="36" t="n"/>
      <c r="M125" s="148" t="n"/>
      <c r="N125" s="36" t="n"/>
      <c r="O125" s="36" t="n"/>
      <c r="S125">
        <f>IF($A125="","",IF(OR($I125="Sì",$I125="Si"),0,IFERROR(VALUE(LEFT($H125,FIND(" ",$H125)-1)),0)))</f>
        <v/>
      </c>
      <c r="T125">
        <f>IF($A125="","",IFERROR(VALUE(LEFT($G125,FIND(" ",$G125)-1)),0))</f>
        <v/>
      </c>
    </row>
    <row r="126" hidden="1" ht="30" customHeight="1">
      <c r="A126" s="154" t="n"/>
      <c r="B126" s="35" t="n"/>
      <c r="C126" s="146" t="n"/>
      <c r="D126" s="138" t="n"/>
      <c r="E126" s="147" t="n"/>
      <c r="F126" s="138" t="n"/>
      <c r="G126" s="146" t="n"/>
      <c r="H126" s="147" t="n"/>
      <c r="I126" s="153" t="n"/>
      <c r="J126" s="36" t="n"/>
      <c r="K126" s="36" t="n"/>
      <c r="L126" s="36" t="n"/>
      <c r="M126" s="148" t="n"/>
      <c r="N126" s="36" t="n"/>
      <c r="O126" s="36" t="n"/>
      <c r="S126">
        <f>IF($A126="","",IF(OR($I126="Sì",$I126="Si"),0,IFERROR(VALUE(LEFT($H126,FIND(" ",$H126)-1)),0)))</f>
        <v/>
      </c>
      <c r="T126">
        <f>IF($A126="","",IFERROR(VALUE(LEFT($G126,FIND(" ",$G126)-1)),0))</f>
        <v/>
      </c>
    </row>
    <row r="127" hidden="1" ht="30" customHeight="1">
      <c r="A127" s="154" t="n"/>
      <c r="B127" s="35" t="n"/>
      <c r="C127" s="146" t="n"/>
      <c r="D127" s="138" t="n"/>
      <c r="E127" s="147" t="n"/>
      <c r="F127" s="138" t="n"/>
      <c r="G127" s="146" t="n"/>
      <c r="H127" s="147" t="n"/>
      <c r="I127" s="153" t="n"/>
      <c r="J127" s="36" t="n"/>
      <c r="K127" s="36" t="n"/>
      <c r="L127" s="36" t="n"/>
      <c r="M127" s="148" t="n"/>
      <c r="N127" s="36" t="n"/>
      <c r="O127" s="36" t="n"/>
      <c r="S127">
        <f>IF($A127="","",IF(OR($I127="Sì",$I127="Si"),0,IFERROR(VALUE(LEFT($H127,FIND(" ",$H127)-1)),0)))</f>
        <v/>
      </c>
      <c r="T127">
        <f>IF($A127="","",IFERROR(VALUE(LEFT($G127,FIND(" ",$G127)-1)),0))</f>
        <v/>
      </c>
    </row>
    <row r="128" hidden="1" ht="30" customHeight="1">
      <c r="A128" s="154" t="n"/>
      <c r="B128" s="35" t="n"/>
      <c r="C128" s="146" t="n"/>
      <c r="D128" s="138" t="n"/>
      <c r="E128" s="147" t="n"/>
      <c r="F128" s="138" t="n"/>
      <c r="G128" s="146" t="n"/>
      <c r="H128" s="147" t="n"/>
      <c r="I128" s="153" t="n"/>
      <c r="J128" s="36" t="n"/>
      <c r="K128" s="36" t="n"/>
      <c r="L128" s="36" t="n"/>
      <c r="M128" s="148" t="n"/>
      <c r="N128" s="36" t="n"/>
      <c r="O128" s="36" t="n"/>
      <c r="S128">
        <f>IF($A128="","",IF(OR($I128="Sì",$I128="Si"),0,IFERROR(VALUE(LEFT($H128,FIND(" ",$H128)-1)),0)))</f>
        <v/>
      </c>
      <c r="T128">
        <f>IF($A128="","",IFERROR(VALUE(LEFT($G128,FIND(" ",$G128)-1)),0))</f>
        <v/>
      </c>
    </row>
    <row r="129" hidden="1" ht="30" customHeight="1">
      <c r="A129" s="154" t="n"/>
      <c r="B129" s="35" t="n"/>
      <c r="C129" s="146" t="n"/>
      <c r="D129" s="138" t="n"/>
      <c r="E129" s="147" t="n"/>
      <c r="F129" s="138" t="n"/>
      <c r="G129" s="146" t="n"/>
      <c r="H129" s="147" t="n"/>
      <c r="I129" s="153" t="n"/>
      <c r="J129" s="36" t="n"/>
      <c r="K129" s="36" t="n"/>
      <c r="L129" s="36" t="n"/>
      <c r="M129" s="148" t="n"/>
      <c r="N129" s="36" t="n"/>
      <c r="O129" s="36" t="n"/>
      <c r="S129">
        <f>IF($A129="","",IF(OR($I129="Sì",$I129="Si"),0,IFERROR(VALUE(LEFT($H129,FIND(" ",$H129)-1)),0)))</f>
        <v/>
      </c>
      <c r="T129">
        <f>IF($A129="","",IFERROR(VALUE(LEFT($G129,FIND(" ",$G129)-1)),0))</f>
        <v/>
      </c>
    </row>
    <row r="130" hidden="1" ht="30" customHeight="1">
      <c r="A130" s="154" t="n"/>
      <c r="B130" s="35" t="n"/>
      <c r="C130" s="146" t="n"/>
      <c r="D130" s="138" t="n"/>
      <c r="E130" s="147" t="n"/>
      <c r="F130" s="138" t="n"/>
      <c r="G130" s="146" t="n"/>
      <c r="H130" s="147" t="n"/>
      <c r="I130" s="153" t="n"/>
      <c r="J130" s="36" t="n"/>
      <c r="K130" s="36" t="n"/>
      <c r="L130" s="36" t="n"/>
      <c r="M130" s="148" t="n"/>
      <c r="N130" s="36" t="n"/>
      <c r="O130" s="36" t="n"/>
      <c r="S130">
        <f>IF($A130="","",IF(OR($I130="Sì",$I130="Si"),0,IFERROR(VALUE(LEFT($H130,FIND(" ",$H130)-1)),0)))</f>
        <v/>
      </c>
      <c r="T130">
        <f>IF($A130="","",IFERROR(VALUE(LEFT($G130,FIND(" ",$G130)-1)),0))</f>
        <v/>
      </c>
    </row>
    <row r="131" hidden="1" ht="30" customHeight="1">
      <c r="A131" s="154" t="n"/>
      <c r="B131" s="35" t="n"/>
      <c r="C131" s="146" t="n"/>
      <c r="D131" s="138" t="n"/>
      <c r="E131" s="147" t="n"/>
      <c r="F131" s="138" t="n"/>
      <c r="G131" s="146" t="n"/>
      <c r="H131" s="147" t="n"/>
      <c r="I131" s="153" t="n"/>
      <c r="J131" s="36" t="n"/>
      <c r="K131" s="36" t="n"/>
      <c r="L131" s="36" t="n"/>
      <c r="M131" s="148" t="n"/>
      <c r="N131" s="36" t="n"/>
      <c r="O131" s="36" t="n"/>
      <c r="S131">
        <f>IF($A131="","",IF(OR($I131="Sì",$I131="Si"),0,IFERROR(VALUE(LEFT($H131,FIND(" ",$H131)-1)),0)))</f>
        <v/>
      </c>
      <c r="T131">
        <f>IF($A131="","",IFERROR(VALUE(LEFT($G131,FIND(" ",$G131)-1)),0))</f>
        <v/>
      </c>
    </row>
    <row r="132" hidden="1" ht="30" customHeight="1">
      <c r="A132" s="154" t="n"/>
      <c r="B132" s="35" t="n"/>
      <c r="C132" s="146" t="n"/>
      <c r="D132" s="138" t="n"/>
      <c r="E132" s="147" t="n"/>
      <c r="F132" s="138" t="n"/>
      <c r="G132" s="146" t="n"/>
      <c r="H132" s="147" t="n"/>
      <c r="I132" s="153" t="n"/>
      <c r="J132" s="36" t="n"/>
      <c r="K132" s="36" t="n"/>
      <c r="L132" s="36" t="n"/>
      <c r="M132" s="148" t="n"/>
      <c r="N132" s="36" t="n"/>
      <c r="O132" s="36" t="n"/>
      <c r="S132">
        <f>IF($A132="","",IF(OR($I132="Sì",$I132="Si"),0,IFERROR(VALUE(LEFT($H132,FIND(" ",$H132)-1)),0)))</f>
        <v/>
      </c>
      <c r="T132">
        <f>IF($A132="","",IFERROR(VALUE(LEFT($G132,FIND(" ",$G132)-1)),0))</f>
        <v/>
      </c>
    </row>
    <row r="133" hidden="1" ht="30" customHeight="1">
      <c r="A133" s="154" t="n"/>
      <c r="B133" s="35" t="n"/>
      <c r="C133" s="146" t="n"/>
      <c r="D133" s="138" t="n"/>
      <c r="E133" s="147" t="n"/>
      <c r="F133" s="138" t="n"/>
      <c r="G133" s="146" t="n"/>
      <c r="H133" s="147" t="n"/>
      <c r="I133" s="153" t="n"/>
      <c r="J133" s="36" t="n"/>
      <c r="K133" s="36" t="n"/>
      <c r="L133" s="36" t="n"/>
      <c r="M133" s="148" t="n"/>
      <c r="N133" s="36" t="n"/>
      <c r="O133" s="36" t="n"/>
      <c r="S133">
        <f>IF($A133="","",IF(OR($I133="Sì",$I133="Si"),0,IFERROR(VALUE(LEFT($H133,FIND(" ",$H133)-1)),0)))</f>
        <v/>
      </c>
      <c r="T133">
        <f>IF($A133="","",IFERROR(VALUE(LEFT($G133,FIND(" ",$G133)-1)),0))</f>
        <v/>
      </c>
    </row>
    <row r="134" hidden="1" ht="30" customHeight="1">
      <c r="A134" s="154" t="n"/>
      <c r="B134" s="35" t="n"/>
      <c r="C134" s="146" t="n"/>
      <c r="D134" s="138" t="n"/>
      <c r="E134" s="147" t="n"/>
      <c r="F134" s="138" t="n"/>
      <c r="G134" s="146" t="n"/>
      <c r="H134" s="147" t="n"/>
      <c r="I134" s="153" t="n"/>
      <c r="J134" s="36" t="n"/>
      <c r="K134" s="36" t="n"/>
      <c r="L134" s="36" t="n"/>
      <c r="M134" s="148" t="n"/>
      <c r="N134" s="36" t="n"/>
      <c r="O134" s="36" t="n"/>
      <c r="S134">
        <f>IF($A134="","",IF(OR($I134="Sì",$I134="Si"),0,IFERROR(VALUE(LEFT($H134,FIND(" ",$H134)-1)),0)))</f>
        <v/>
      </c>
      <c r="T134">
        <f>IF($A134="","",IFERROR(VALUE(LEFT($G134,FIND(" ",$G134)-1)),0))</f>
        <v/>
      </c>
    </row>
    <row r="135" hidden="1" ht="30" customHeight="1">
      <c r="A135" s="154" t="n"/>
      <c r="B135" s="35" t="n"/>
      <c r="C135" s="146" t="n"/>
      <c r="D135" s="138" t="n"/>
      <c r="E135" s="147" t="n"/>
      <c r="F135" s="138" t="n"/>
      <c r="G135" s="146" t="n"/>
      <c r="H135" s="147" t="n"/>
      <c r="I135" s="153" t="n"/>
      <c r="J135" s="36" t="n"/>
      <c r="K135" s="36" t="n"/>
      <c r="L135" s="36" t="n"/>
      <c r="M135" s="148" t="n"/>
      <c r="N135" s="36" t="n"/>
      <c r="O135" s="36" t="n"/>
      <c r="S135">
        <f>IF($A135="","",IF(OR($I135="Sì",$I135="Si"),0,IFERROR(VALUE(LEFT($H135,FIND(" ",$H135)-1)),0)))</f>
        <v/>
      </c>
      <c r="T135">
        <f>IF($A135="","",IFERROR(VALUE(LEFT($G135,FIND(" ",$G135)-1)),0))</f>
        <v/>
      </c>
    </row>
    <row r="136" hidden="1" ht="30" customHeight="1">
      <c r="A136" s="154" t="n"/>
      <c r="B136" s="35" t="n"/>
      <c r="C136" s="146" t="n"/>
      <c r="D136" s="138" t="n"/>
      <c r="E136" s="147" t="n"/>
      <c r="F136" s="138" t="n"/>
      <c r="G136" s="146" t="n"/>
      <c r="H136" s="147" t="n"/>
      <c r="I136" s="153" t="n"/>
      <c r="J136" s="36" t="n"/>
      <c r="K136" s="36" t="n"/>
      <c r="L136" s="36" t="n"/>
      <c r="M136" s="148" t="n"/>
      <c r="N136" s="36" t="n"/>
      <c r="O136" s="36" t="n"/>
      <c r="S136">
        <f>IF($A136="","",IF(OR($I136="Sì",$I136="Si"),0,IFERROR(VALUE(LEFT($H136,FIND(" ",$H136)-1)),0)))</f>
        <v/>
      </c>
      <c r="T136">
        <f>IF($A136="","",IFERROR(VALUE(LEFT($G136,FIND(" ",$G136)-1)),0))</f>
        <v/>
      </c>
    </row>
    <row r="137" hidden="1" ht="30" customHeight="1">
      <c r="A137" s="154" t="n"/>
      <c r="B137" s="35" t="n"/>
      <c r="C137" s="146" t="n"/>
      <c r="D137" s="138" t="n"/>
      <c r="E137" s="147" t="n"/>
      <c r="F137" s="138" t="n"/>
      <c r="G137" s="146" t="n"/>
      <c r="H137" s="147" t="n"/>
      <c r="I137" s="153" t="n"/>
      <c r="J137" s="36" t="n"/>
      <c r="K137" s="36" t="n"/>
      <c r="L137" s="36" t="n"/>
      <c r="M137" s="148" t="n"/>
      <c r="N137" s="36" t="n"/>
      <c r="O137" s="36" t="n"/>
      <c r="S137">
        <f>IF($A137="","",IF(OR($I137="Sì",$I137="Si"),0,IFERROR(VALUE(LEFT($H137,FIND(" ",$H137)-1)),0)))</f>
        <v/>
      </c>
      <c r="T137">
        <f>IF($A137="","",IFERROR(VALUE(LEFT($G137,FIND(" ",$G137)-1)),0))</f>
        <v/>
      </c>
    </row>
    <row r="138" hidden="1" ht="30" customHeight="1">
      <c r="A138" s="154" t="n"/>
      <c r="B138" s="35" t="n"/>
      <c r="C138" s="146" t="n"/>
      <c r="D138" s="138" t="n"/>
      <c r="E138" s="147" t="n"/>
      <c r="F138" s="138" t="n"/>
      <c r="G138" s="146" t="n"/>
      <c r="H138" s="147" t="n"/>
      <c r="I138" s="153" t="n"/>
      <c r="J138" s="36" t="n"/>
      <c r="K138" s="36" t="n"/>
      <c r="L138" s="36" t="n"/>
      <c r="M138" s="148" t="n"/>
      <c r="N138" s="36" t="n"/>
      <c r="O138" s="36" t="n"/>
      <c r="S138">
        <f>IF($A138="","",IF(OR($I138="Sì",$I138="Si"),0,IFERROR(VALUE(LEFT($H138,FIND(" ",$H138)-1)),0)))</f>
        <v/>
      </c>
      <c r="T138">
        <f>IF($A138="","",IFERROR(VALUE(LEFT($G138,FIND(" ",$G138)-1)),0))</f>
        <v/>
      </c>
    </row>
    <row r="139" hidden="1" ht="30" customHeight="1">
      <c r="A139" s="154" t="n"/>
      <c r="B139" s="35" t="n"/>
      <c r="C139" s="146" t="n"/>
      <c r="D139" s="138" t="n"/>
      <c r="E139" s="147" t="n"/>
      <c r="F139" s="138" t="n"/>
      <c r="G139" s="146" t="n"/>
      <c r="H139" s="147" t="n"/>
      <c r="I139" s="153" t="n"/>
      <c r="J139" s="36" t="n"/>
      <c r="K139" s="36" t="n"/>
      <c r="L139" s="36" t="n"/>
      <c r="M139" s="148" t="n"/>
      <c r="N139" s="36" t="n"/>
      <c r="O139" s="36" t="n"/>
      <c r="S139">
        <f>IF($A139="","",IF(OR($I139="Sì",$I139="Si"),0,IFERROR(VALUE(LEFT($H139,FIND(" ",$H139)-1)),0)))</f>
        <v/>
      </c>
      <c r="T139">
        <f>IF($A139="","",IFERROR(VALUE(LEFT($G139,FIND(" ",$G139)-1)),0))</f>
        <v/>
      </c>
    </row>
    <row r="140" hidden="1" ht="30" customHeight="1">
      <c r="A140" s="154" t="n"/>
      <c r="B140" s="35" t="n"/>
      <c r="C140" s="146" t="n"/>
      <c r="D140" s="138" t="n"/>
      <c r="E140" s="147" t="n"/>
      <c r="F140" s="138" t="n"/>
      <c r="G140" s="146" t="n"/>
      <c r="H140" s="147" t="n"/>
      <c r="I140" s="153" t="n"/>
      <c r="J140" s="36" t="n"/>
      <c r="K140" s="36" t="n"/>
      <c r="L140" s="36" t="n"/>
      <c r="M140" s="148" t="n"/>
      <c r="N140" s="36" t="n"/>
      <c r="O140" s="36" t="n"/>
      <c r="S140">
        <f>IF($A140="","",IF(OR($I140="Sì",$I140="Si"),0,IFERROR(VALUE(LEFT($H140,FIND(" ",$H140)-1)),0)))</f>
        <v/>
      </c>
      <c r="T140">
        <f>IF($A140="","",IFERROR(VALUE(LEFT($G140,FIND(" ",$G140)-1)),0))</f>
        <v/>
      </c>
    </row>
    <row r="141" hidden="1" ht="30" customHeight="1">
      <c r="A141" s="154" t="n"/>
      <c r="B141" s="35" t="n"/>
      <c r="C141" s="146" t="n"/>
      <c r="D141" s="138" t="n"/>
      <c r="E141" s="147" t="n"/>
      <c r="F141" s="138" t="n"/>
      <c r="G141" s="146" t="n"/>
      <c r="H141" s="147" t="n"/>
      <c r="I141" s="153" t="n"/>
      <c r="J141" s="36" t="n"/>
      <c r="K141" s="36" t="n"/>
      <c r="L141" s="36" t="n"/>
      <c r="M141" s="148" t="n"/>
      <c r="N141" s="36" t="n"/>
      <c r="O141" s="36" t="n"/>
      <c r="S141">
        <f>IF($A141="","",IF(OR($I141="Sì",$I141="Si"),0,IFERROR(VALUE(LEFT($H141,FIND(" ",$H141)-1)),0)))</f>
        <v/>
      </c>
      <c r="T141">
        <f>IF($A141="","",IFERROR(VALUE(LEFT($G141,FIND(" ",$G141)-1)),0))</f>
        <v/>
      </c>
    </row>
    <row r="142" hidden="1" ht="30" customHeight="1">
      <c r="A142" s="154" t="n"/>
      <c r="B142" s="35" t="n"/>
      <c r="C142" s="146" t="n"/>
      <c r="D142" s="138" t="n"/>
      <c r="E142" s="147" t="n"/>
      <c r="F142" s="138" t="n"/>
      <c r="G142" s="146" t="n"/>
      <c r="H142" s="147" t="n"/>
      <c r="I142" s="153" t="n"/>
      <c r="J142" s="36" t="n"/>
      <c r="K142" s="36" t="n"/>
      <c r="L142" s="36" t="n"/>
      <c r="M142" s="148" t="n"/>
      <c r="N142" s="36" t="n"/>
      <c r="O142" s="36" t="n"/>
      <c r="S142">
        <f>IF($A142="","",IF(OR($I142="Sì",$I142="Si"),0,IFERROR(VALUE(LEFT($H142,FIND(" ",$H142)-1)),0)))</f>
        <v/>
      </c>
      <c r="T142">
        <f>IF($A142="","",IFERROR(VALUE(LEFT($G142,FIND(" ",$G142)-1)),0))</f>
        <v/>
      </c>
    </row>
    <row r="143" hidden="1" ht="30" customHeight="1">
      <c r="A143" s="154" t="n"/>
      <c r="B143" s="35" t="n"/>
      <c r="C143" s="146" t="n"/>
      <c r="D143" s="138" t="n"/>
      <c r="E143" s="147" t="n"/>
      <c r="F143" s="138" t="n"/>
      <c r="G143" s="146" t="n"/>
      <c r="H143" s="147" t="n"/>
      <c r="I143" s="153" t="n"/>
      <c r="J143" s="36" t="n"/>
      <c r="K143" s="36" t="n"/>
      <c r="L143" s="36" t="n"/>
      <c r="M143" s="148" t="n"/>
      <c r="N143" s="36" t="n"/>
      <c r="O143" s="36" t="n"/>
      <c r="S143">
        <f>IF($A143="","",IF(OR($I143="Sì",$I143="Si"),0,IFERROR(VALUE(LEFT($H143,FIND(" ",$H143)-1)),0)))</f>
        <v/>
      </c>
      <c r="T143">
        <f>IF($A143="","",IFERROR(VALUE(LEFT($G143,FIND(" ",$G143)-1)),0))</f>
        <v/>
      </c>
    </row>
    <row r="144" hidden="1" ht="30" customHeight="1">
      <c r="A144" s="154" t="n"/>
      <c r="B144" s="35" t="n"/>
      <c r="C144" s="146" t="n"/>
      <c r="D144" s="138" t="n"/>
      <c r="E144" s="147" t="n"/>
      <c r="F144" s="138" t="n"/>
      <c r="G144" s="146" t="n"/>
      <c r="H144" s="147" t="n"/>
      <c r="I144" s="153" t="n"/>
      <c r="J144" s="36" t="n"/>
      <c r="K144" s="36" t="n"/>
      <c r="L144" s="36" t="n"/>
      <c r="M144" s="148" t="n"/>
      <c r="N144" s="36" t="n"/>
      <c r="O144" s="36" t="n"/>
      <c r="S144">
        <f>IF($A144="","",IF(OR($I144="Sì",$I144="Si"),0,IFERROR(VALUE(LEFT($H144,FIND(" ",$H144)-1)),0)))</f>
        <v/>
      </c>
      <c r="T144">
        <f>IF($A144="","",IFERROR(VALUE(LEFT($G144,FIND(" ",$G144)-1)),0))</f>
        <v/>
      </c>
    </row>
    <row r="145" hidden="1" ht="30" customHeight="1">
      <c r="A145" s="154" t="n"/>
      <c r="B145" s="35" t="n"/>
      <c r="C145" s="146" t="n"/>
      <c r="D145" s="138" t="n"/>
      <c r="E145" s="147" t="n"/>
      <c r="F145" s="138" t="n"/>
      <c r="G145" s="146" t="n"/>
      <c r="H145" s="147" t="n"/>
      <c r="I145" s="153" t="n"/>
      <c r="J145" s="36" t="n"/>
      <c r="K145" s="36" t="n"/>
      <c r="L145" s="36" t="n"/>
      <c r="M145" s="148" t="n"/>
      <c r="N145" s="36" t="n"/>
      <c r="O145" s="36" t="n"/>
      <c r="S145">
        <f>IF($A145="","",IF(OR($I145="Sì",$I145="Si"),0,IFERROR(VALUE(LEFT($H145,FIND(" ",$H145)-1)),0)))</f>
        <v/>
      </c>
      <c r="T145">
        <f>IF($A145="","",IFERROR(VALUE(LEFT($G145,FIND(" ",$G145)-1)),0))</f>
        <v/>
      </c>
    </row>
    <row r="146" hidden="1" ht="30" customHeight="1">
      <c r="A146" s="154" t="n"/>
      <c r="B146" s="35" t="n"/>
      <c r="C146" s="146" t="n"/>
      <c r="D146" s="138" t="n"/>
      <c r="E146" s="147" t="n"/>
      <c r="F146" s="138" t="n"/>
      <c r="G146" s="146" t="n"/>
      <c r="H146" s="147" t="n"/>
      <c r="I146" s="153" t="n"/>
      <c r="J146" s="36" t="n"/>
      <c r="K146" s="36" t="n"/>
      <c r="L146" s="36" t="n"/>
      <c r="M146" s="148" t="n"/>
      <c r="N146" s="36" t="n"/>
      <c r="O146" s="36" t="n"/>
      <c r="S146">
        <f>IF($A146="","",IF(OR($I146="Sì",$I146="Si"),0,IFERROR(VALUE(LEFT($H146,FIND(" ",$H146)-1)),0)))</f>
        <v/>
      </c>
      <c r="T146">
        <f>IF($A146="","",IFERROR(VALUE(LEFT($G146,FIND(" ",$G146)-1)),0))</f>
        <v/>
      </c>
    </row>
    <row r="147" hidden="1" ht="30" customHeight="1">
      <c r="A147" s="154" t="n"/>
      <c r="B147" s="35" t="n"/>
      <c r="C147" s="146" t="n"/>
      <c r="D147" s="138" t="n"/>
      <c r="E147" s="147" t="n"/>
      <c r="F147" s="138" t="n"/>
      <c r="G147" s="146" t="n"/>
      <c r="H147" s="147" t="n"/>
      <c r="I147" s="153" t="n"/>
      <c r="J147" s="36" t="n"/>
      <c r="K147" s="36" t="n"/>
      <c r="L147" s="36" t="n"/>
      <c r="M147" s="148" t="n"/>
      <c r="N147" s="36" t="n"/>
      <c r="O147" s="36" t="n"/>
      <c r="S147">
        <f>IF($A147="","",IF(OR($I147="Sì",$I147="Si"),0,IFERROR(VALUE(LEFT($H147,FIND(" ",$H147)-1)),0)))</f>
        <v/>
      </c>
      <c r="T147">
        <f>IF($A147="","",IFERROR(VALUE(LEFT($G147,FIND(" ",$G147)-1)),0))</f>
        <v/>
      </c>
    </row>
    <row r="148" hidden="1" ht="30" customHeight="1">
      <c r="A148" s="154" t="n"/>
      <c r="B148" s="35" t="n"/>
      <c r="C148" s="146" t="n"/>
      <c r="D148" s="138" t="n"/>
      <c r="E148" s="147" t="n"/>
      <c r="F148" s="138" t="n"/>
      <c r="G148" s="146" t="n"/>
      <c r="H148" s="147" t="n"/>
      <c r="I148" s="153" t="n"/>
      <c r="J148" s="36" t="n"/>
      <c r="K148" s="36" t="n"/>
      <c r="L148" s="36" t="n"/>
      <c r="M148" s="148" t="n"/>
      <c r="N148" s="36" t="n"/>
      <c r="O148" s="36" t="n"/>
      <c r="S148">
        <f>IF($A148="","",IF(OR($I148="Sì",$I148="Si"),0,IFERROR(VALUE(LEFT($H148,FIND(" ",$H148)-1)),0)))</f>
        <v/>
      </c>
      <c r="T148">
        <f>IF($A148="","",IFERROR(VALUE(LEFT($G148,FIND(" ",$G148)-1)),0))</f>
        <v/>
      </c>
    </row>
    <row r="149" hidden="1" ht="30" customHeight="1">
      <c r="A149" s="154" t="n"/>
      <c r="B149" s="35" t="n"/>
      <c r="C149" s="146" t="n"/>
      <c r="D149" s="138" t="n"/>
      <c r="E149" s="147" t="n"/>
      <c r="F149" s="138" t="n"/>
      <c r="G149" s="146" t="n"/>
      <c r="H149" s="147" t="n"/>
      <c r="I149" s="153" t="n"/>
      <c r="J149" s="36" t="n"/>
      <c r="K149" s="36" t="n"/>
      <c r="L149" s="36" t="n"/>
      <c r="M149" s="148" t="n"/>
      <c r="N149" s="36" t="n"/>
      <c r="O149" s="36" t="n"/>
      <c r="S149">
        <f>IF($A149="","",IF(OR($I149="Sì",$I149="Si"),0,IFERROR(VALUE(LEFT($H149,FIND(" ",$H149)-1)),0)))</f>
        <v/>
      </c>
      <c r="T149">
        <f>IF($A149="","",IFERROR(VALUE(LEFT($G149,FIND(" ",$G149)-1)),0))</f>
        <v/>
      </c>
    </row>
    <row r="150" hidden="1" ht="30" customHeight="1">
      <c r="A150" s="154" t="n"/>
      <c r="B150" s="35" t="n"/>
      <c r="C150" s="146" t="n"/>
      <c r="D150" s="138" t="n"/>
      <c r="E150" s="147" t="n"/>
      <c r="F150" s="138" t="n"/>
      <c r="G150" s="146" t="n"/>
      <c r="H150" s="147" t="n"/>
      <c r="I150" s="153" t="n"/>
      <c r="J150" s="36" t="n"/>
      <c r="K150" s="36" t="n"/>
      <c r="L150" s="36" t="n"/>
      <c r="M150" s="148" t="n"/>
      <c r="N150" s="36" t="n"/>
      <c r="O150" s="36" t="n"/>
      <c r="S150">
        <f>IF($A150="","",IF(OR($I150="Sì",$I150="Si"),0,IFERROR(VALUE(LEFT($H150,FIND(" ",$H150)-1)),0)))</f>
        <v/>
      </c>
      <c r="T150">
        <f>IF($A150="","",IFERROR(VALUE(LEFT($G150,FIND(" ",$G150)-1)),0))</f>
        <v/>
      </c>
    </row>
    <row r="151" hidden="1" ht="30" customHeight="1">
      <c r="A151" s="154" t="n"/>
      <c r="B151" s="35" t="n"/>
      <c r="C151" s="146" t="n"/>
      <c r="D151" s="138" t="n"/>
      <c r="E151" s="147" t="n"/>
      <c r="F151" s="138" t="n"/>
      <c r="G151" s="146" t="n"/>
      <c r="H151" s="147" t="n"/>
      <c r="I151" s="153" t="n"/>
      <c r="J151" s="36" t="n"/>
      <c r="K151" s="36" t="n"/>
      <c r="L151" s="36" t="n"/>
      <c r="M151" s="148" t="n"/>
      <c r="N151" s="36" t="n"/>
      <c r="O151" s="36" t="n"/>
      <c r="S151">
        <f>IF($A151="","",IF(OR($I151="Sì",$I151="Si"),0,IFERROR(VALUE(LEFT($H151,FIND(" ",$H151)-1)),0)))</f>
        <v/>
      </c>
      <c r="T151">
        <f>IF($A151="","",IFERROR(VALUE(LEFT($G151,FIND(" ",$G151)-1)),0))</f>
        <v/>
      </c>
    </row>
    <row r="152" hidden="1" ht="30" customHeight="1">
      <c r="A152" s="154" t="n"/>
      <c r="B152" s="35" t="n"/>
      <c r="C152" s="146" t="n"/>
      <c r="D152" s="138" t="n"/>
      <c r="E152" s="147" t="n"/>
      <c r="F152" s="138" t="n"/>
      <c r="G152" s="146" t="n"/>
      <c r="H152" s="147" t="n"/>
      <c r="I152" s="153" t="n"/>
      <c r="J152" s="36" t="n"/>
      <c r="K152" s="36" t="n"/>
      <c r="L152" s="36" t="n"/>
      <c r="M152" s="148" t="n"/>
      <c r="N152" s="36" t="n"/>
      <c r="O152" s="36" t="n"/>
      <c r="S152">
        <f>IF($A152="","",IF(OR($I152="Sì",$I152="Si"),0,IFERROR(VALUE(LEFT($H152,FIND(" ",$H152)-1)),0)))</f>
        <v/>
      </c>
      <c r="T152">
        <f>IF($A152="","",IFERROR(VALUE(LEFT($G152,FIND(" ",$G152)-1)),0))</f>
        <v/>
      </c>
    </row>
    <row r="153" hidden="1" ht="30" customHeight="1">
      <c r="A153" s="154" t="n"/>
      <c r="B153" s="35" t="n"/>
      <c r="C153" s="146" t="n"/>
      <c r="D153" s="138" t="n"/>
      <c r="E153" s="147" t="n"/>
      <c r="F153" s="138" t="n"/>
      <c r="G153" s="146" t="n"/>
      <c r="H153" s="147" t="n"/>
      <c r="I153" s="153" t="n"/>
      <c r="J153" s="36" t="n"/>
      <c r="K153" s="36" t="n"/>
      <c r="L153" s="36" t="n"/>
      <c r="M153" s="148" t="n"/>
      <c r="N153" s="36" t="n"/>
      <c r="O153" s="36" t="n"/>
      <c r="S153">
        <f>IF($A153="","",IF(OR($I153="Sì",$I153="Si"),0,IFERROR(VALUE(LEFT($H153,FIND(" ",$H153)-1)),0)))</f>
        <v/>
      </c>
      <c r="T153">
        <f>IF($A153="","",IFERROR(VALUE(LEFT($G153,FIND(" ",$G153)-1)),0))</f>
        <v/>
      </c>
    </row>
    <row r="154" hidden="1" ht="30" customHeight="1">
      <c r="A154" s="154" t="n"/>
      <c r="B154" s="35" t="n"/>
      <c r="C154" s="146" t="n"/>
      <c r="D154" s="138" t="n"/>
      <c r="E154" s="147" t="n"/>
      <c r="F154" s="138" t="n"/>
      <c r="G154" s="146" t="n"/>
      <c r="H154" s="147" t="n"/>
      <c r="I154" s="153" t="n"/>
      <c r="J154" s="36" t="n"/>
      <c r="K154" s="36" t="n"/>
      <c r="L154" s="36" t="n"/>
      <c r="M154" s="148" t="n"/>
      <c r="N154" s="36" t="n"/>
      <c r="O154" s="36" t="n"/>
      <c r="S154">
        <f>IF($A154="","",IF(OR($I154="Sì",$I154="Si"),0,IFERROR(VALUE(LEFT($H154,FIND(" ",$H154)-1)),0)))</f>
        <v/>
      </c>
      <c r="T154">
        <f>IF($A154="","",IFERROR(VALUE(LEFT($G154,FIND(" ",$G154)-1)),0))</f>
        <v/>
      </c>
    </row>
    <row r="155" hidden="1" ht="30" customHeight="1">
      <c r="A155" s="154" t="n"/>
      <c r="B155" s="35" t="n"/>
      <c r="C155" s="146" t="n"/>
      <c r="D155" s="138" t="n"/>
      <c r="E155" s="147" t="n"/>
      <c r="F155" s="138" t="n"/>
      <c r="G155" s="146" t="n"/>
      <c r="H155" s="147" t="n"/>
      <c r="I155" s="153" t="n"/>
      <c r="J155" s="36" t="n"/>
      <c r="K155" s="36" t="n"/>
      <c r="L155" s="36" t="n"/>
      <c r="M155" s="148" t="n"/>
      <c r="N155" s="36" t="n"/>
      <c r="O155" s="36" t="n"/>
      <c r="S155">
        <f>IF($A155="","",IF(OR($I155="Sì",$I155="Si"),0,IFERROR(VALUE(LEFT($H155,FIND(" ",$H155)-1)),0)))</f>
        <v/>
      </c>
      <c r="T155">
        <f>IF($A155="","",IFERROR(VALUE(LEFT($G155,FIND(" ",$G155)-1)),0))</f>
        <v/>
      </c>
    </row>
    <row r="156" hidden="1" ht="30" customHeight="1">
      <c r="A156" s="154" t="n"/>
      <c r="B156" s="35" t="n"/>
      <c r="C156" s="146" t="n"/>
      <c r="D156" s="138" t="n"/>
      <c r="E156" s="147" t="n"/>
      <c r="F156" s="138" t="n"/>
      <c r="G156" s="146" t="n"/>
      <c r="H156" s="147" t="n"/>
      <c r="I156" s="153" t="n"/>
      <c r="J156" s="36" t="n"/>
      <c r="K156" s="36" t="n"/>
      <c r="L156" s="36" t="n"/>
      <c r="M156" s="148" t="n"/>
      <c r="N156" s="36" t="n"/>
      <c r="O156" s="36" t="n"/>
      <c r="S156">
        <f>IF($A156="","",IF(OR($I156="Sì",$I156="Si"),0,IFERROR(VALUE(LEFT($H156,FIND(" ",$H156)-1)),0)))</f>
        <v/>
      </c>
      <c r="T156">
        <f>IF($A156="","",IFERROR(VALUE(LEFT($G156,FIND(" ",$G156)-1)),0))</f>
        <v/>
      </c>
    </row>
    <row r="157" hidden="1" ht="30" customHeight="1">
      <c r="A157" s="154" t="n"/>
      <c r="B157" s="35" t="n"/>
      <c r="C157" s="146" t="n"/>
      <c r="D157" s="138" t="n"/>
      <c r="E157" s="147" t="n"/>
      <c r="F157" s="138" t="n"/>
      <c r="G157" s="146" t="n"/>
      <c r="H157" s="147" t="n"/>
      <c r="I157" s="153" t="n"/>
      <c r="J157" s="36" t="n"/>
      <c r="K157" s="36" t="n"/>
      <c r="L157" s="36" t="n"/>
      <c r="M157" s="148" t="n"/>
      <c r="N157" s="36" t="n"/>
      <c r="O157" s="36" t="n"/>
      <c r="S157">
        <f>IF($A157="","",IF(OR($I157="Sì",$I157="Si"),0,IFERROR(VALUE(LEFT($H157,FIND(" ",$H157)-1)),0)))</f>
        <v/>
      </c>
      <c r="T157">
        <f>IF($A157="","",IFERROR(VALUE(LEFT($G157,FIND(" ",$G157)-1)),0))</f>
        <v/>
      </c>
    </row>
    <row r="158" hidden="1" ht="30" customHeight="1">
      <c r="A158" s="154" t="n"/>
      <c r="B158" s="35" t="n"/>
      <c r="C158" s="146" t="n"/>
      <c r="D158" s="138" t="n"/>
      <c r="E158" s="147" t="n"/>
      <c r="F158" s="138" t="n"/>
      <c r="G158" s="146" t="n"/>
      <c r="H158" s="147" t="n"/>
      <c r="I158" s="153" t="n"/>
      <c r="J158" s="36" t="n"/>
      <c r="K158" s="36" t="n"/>
      <c r="L158" s="36" t="n"/>
      <c r="M158" s="148" t="n"/>
      <c r="N158" s="36" t="n"/>
      <c r="O158" s="36" t="n"/>
      <c r="S158">
        <f>IF($A158="","",IF(OR($I158="Sì",$I158="Si"),0,IFERROR(VALUE(LEFT($H158,FIND(" ",$H158)-1)),0)))</f>
        <v/>
      </c>
      <c r="T158">
        <f>IF($A158="","",IFERROR(VALUE(LEFT($G158,FIND(" ",$G158)-1)),0))</f>
        <v/>
      </c>
    </row>
    <row r="159" hidden="1" ht="30" customHeight="1">
      <c r="A159" s="154" t="n"/>
      <c r="B159" s="35" t="n"/>
      <c r="C159" s="146" t="n"/>
      <c r="D159" s="138" t="n"/>
      <c r="E159" s="147" t="n"/>
      <c r="F159" s="138" t="n"/>
      <c r="G159" s="146" t="n"/>
      <c r="H159" s="147" t="n"/>
      <c r="I159" s="153" t="n"/>
      <c r="J159" s="36" t="n"/>
      <c r="K159" s="36" t="n"/>
      <c r="L159" s="36" t="n"/>
      <c r="M159" s="148" t="n"/>
      <c r="N159" s="36" t="n"/>
      <c r="O159" s="36" t="n"/>
      <c r="S159">
        <f>IF($A159="","",IF(OR($I159="Sì",$I159="Si"),0,IFERROR(VALUE(LEFT($H159,FIND(" ",$H159)-1)),0)))</f>
        <v/>
      </c>
      <c r="T159">
        <f>IF($A159="","",IFERROR(VALUE(LEFT($G159,FIND(" ",$G159)-1)),0))</f>
        <v/>
      </c>
    </row>
    <row r="160" hidden="1" ht="30" customHeight="1">
      <c r="A160" s="154" t="n"/>
      <c r="B160" s="35" t="n"/>
      <c r="C160" s="146" t="n"/>
      <c r="D160" s="138" t="n"/>
      <c r="E160" s="147" t="n"/>
      <c r="F160" s="138" t="n"/>
      <c r="G160" s="146" t="n"/>
      <c r="H160" s="147" t="n"/>
      <c r="I160" s="153" t="n"/>
      <c r="J160" s="36" t="n"/>
      <c r="K160" s="36" t="n"/>
      <c r="L160" s="36" t="n"/>
      <c r="M160" s="148" t="n"/>
      <c r="N160" s="36" t="n"/>
      <c r="O160" s="36" t="n"/>
      <c r="S160">
        <f>IF($A160="","",IF(OR($I160="Sì",$I160="Si"),0,IFERROR(VALUE(LEFT($H160,FIND(" ",$H160)-1)),0)))</f>
        <v/>
      </c>
      <c r="T160">
        <f>IF($A160="","",IFERROR(VALUE(LEFT($G160,FIND(" ",$G160)-1)),0))</f>
        <v/>
      </c>
    </row>
    <row r="161" hidden="1" ht="30" customHeight="1">
      <c r="A161" s="154" t="n"/>
      <c r="B161" s="35" t="n"/>
      <c r="C161" s="146" t="n"/>
      <c r="D161" s="138" t="n"/>
      <c r="E161" s="147" t="n"/>
      <c r="F161" s="138" t="n"/>
      <c r="G161" s="146" t="n"/>
      <c r="H161" s="147" t="n"/>
      <c r="I161" s="153" t="n"/>
      <c r="J161" s="36" t="n"/>
      <c r="K161" s="36" t="n"/>
      <c r="L161" s="36" t="n"/>
      <c r="M161" s="148" t="n"/>
      <c r="N161" s="36" t="n"/>
      <c r="O161" s="36" t="n"/>
      <c r="S161">
        <f>IF($A161="","",IF(OR($I161="Sì",$I161="Si"),0,IFERROR(VALUE(LEFT($H161,FIND(" ",$H161)-1)),0)))</f>
        <v/>
      </c>
      <c r="T161">
        <f>IF($A161="","",IFERROR(VALUE(LEFT($G161,FIND(" ",$G161)-1)),0))</f>
        <v/>
      </c>
    </row>
    <row r="162" hidden="1" ht="30" customHeight="1">
      <c r="A162" s="154" t="n"/>
      <c r="B162" s="35" t="n"/>
      <c r="C162" s="146" t="n"/>
      <c r="D162" s="138" t="n"/>
      <c r="E162" s="147" t="n"/>
      <c r="F162" s="138" t="n"/>
      <c r="G162" s="146" t="n"/>
      <c r="H162" s="147" t="n"/>
      <c r="I162" s="153" t="n"/>
      <c r="J162" s="36" t="n"/>
      <c r="K162" s="36" t="n"/>
      <c r="L162" s="36" t="n"/>
      <c r="M162" s="148" t="n"/>
      <c r="N162" s="36" t="n"/>
      <c r="O162" s="36" t="n"/>
      <c r="S162">
        <f>IF($A162="","",IF(OR($I162="Sì",$I162="Si"),0,IFERROR(VALUE(LEFT($H162,FIND(" ",$H162)-1)),0)))</f>
        <v/>
      </c>
      <c r="T162">
        <f>IF($A162="","",IFERROR(VALUE(LEFT($G162,FIND(" ",$G162)-1)),0))</f>
        <v/>
      </c>
    </row>
    <row r="163" hidden="1" ht="30" customHeight="1">
      <c r="A163" s="154" t="n"/>
      <c r="B163" s="35" t="n"/>
      <c r="C163" s="146" t="n"/>
      <c r="D163" s="138" t="n"/>
      <c r="E163" s="147" t="n"/>
      <c r="F163" s="138" t="n"/>
      <c r="G163" s="146" t="n"/>
      <c r="H163" s="147" t="n"/>
      <c r="I163" s="153" t="n"/>
      <c r="J163" s="36" t="n"/>
      <c r="K163" s="36" t="n"/>
      <c r="L163" s="36" t="n"/>
      <c r="M163" s="148" t="n"/>
      <c r="N163" s="36" t="n"/>
      <c r="O163" s="36" t="n"/>
      <c r="S163">
        <f>IF($A163="","",IF(OR($I163="Sì",$I163="Si"),0,IFERROR(VALUE(LEFT($H163,FIND(" ",$H163)-1)),0)))</f>
        <v/>
      </c>
      <c r="T163">
        <f>IF($A163="","",IFERROR(VALUE(LEFT($G163,FIND(" ",$G163)-1)),0))</f>
        <v/>
      </c>
    </row>
    <row r="164" hidden="1" ht="30" customHeight="1">
      <c r="A164" s="154" t="n"/>
      <c r="B164" s="35" t="n"/>
      <c r="C164" s="146" t="n"/>
      <c r="D164" s="138" t="n"/>
      <c r="E164" s="147" t="n"/>
      <c r="F164" s="138" t="n"/>
      <c r="G164" s="146" t="n"/>
      <c r="H164" s="147" t="n"/>
      <c r="I164" s="153" t="n"/>
      <c r="J164" s="36" t="n"/>
      <c r="K164" s="36" t="n"/>
      <c r="L164" s="36" t="n"/>
      <c r="M164" s="148" t="n"/>
      <c r="N164" s="36" t="n"/>
      <c r="O164" s="36" t="n"/>
      <c r="S164">
        <f>IF($A164="","",IF(OR($I164="Sì",$I164="Si"),0,IFERROR(VALUE(LEFT($H164,FIND(" ",$H164)-1)),0)))</f>
        <v/>
      </c>
      <c r="T164">
        <f>IF($A164="","",IFERROR(VALUE(LEFT($G164,FIND(" ",$G164)-1)),0))</f>
        <v/>
      </c>
    </row>
    <row r="165" hidden="1" ht="30" customHeight="1">
      <c r="A165" s="154" t="n"/>
      <c r="B165" s="35" t="n"/>
      <c r="C165" s="146" t="n"/>
      <c r="D165" s="138" t="n"/>
      <c r="E165" s="147" t="n"/>
      <c r="F165" s="138" t="n"/>
      <c r="G165" s="146" t="n"/>
      <c r="H165" s="147" t="n"/>
      <c r="I165" s="153" t="n"/>
      <c r="J165" s="36" t="n"/>
      <c r="K165" s="36" t="n"/>
      <c r="L165" s="36" t="n"/>
      <c r="M165" s="148" t="n"/>
      <c r="N165" s="36" t="n"/>
      <c r="O165" s="36" t="n"/>
      <c r="S165">
        <f>IF($A165="","",IF(OR($I165="Sì",$I165="Si"),0,IFERROR(VALUE(LEFT($H165,FIND(" ",$H165)-1)),0)))</f>
        <v/>
      </c>
      <c r="T165">
        <f>IF($A165="","",IFERROR(VALUE(LEFT($G165,FIND(" ",$G165)-1)),0))</f>
        <v/>
      </c>
    </row>
    <row r="166" hidden="1" ht="30" customHeight="1">
      <c r="A166" s="154" t="n"/>
      <c r="B166" s="35" t="n"/>
      <c r="C166" s="146" t="n"/>
      <c r="D166" s="138" t="n"/>
      <c r="E166" s="147" t="n"/>
      <c r="F166" s="138" t="n"/>
      <c r="G166" s="146" t="n"/>
      <c r="H166" s="147" t="n"/>
      <c r="I166" s="153" t="n"/>
      <c r="J166" s="36" t="n"/>
      <c r="K166" s="36" t="n"/>
      <c r="L166" s="36" t="n"/>
      <c r="M166" s="148" t="n"/>
      <c r="N166" s="36" t="n"/>
      <c r="O166" s="36" t="n"/>
      <c r="S166">
        <f>IF($A166="","",IF(OR($I166="Sì",$I166="Si"),0,IFERROR(VALUE(LEFT($H166,FIND(" ",$H166)-1)),0)))</f>
        <v/>
      </c>
      <c r="T166">
        <f>IF($A166="","",IFERROR(VALUE(LEFT($G166,FIND(" ",$G166)-1)),0))</f>
        <v/>
      </c>
    </row>
    <row r="167" hidden="1" ht="30" customHeight="1">
      <c r="A167" s="154" t="n"/>
      <c r="B167" s="35" t="n"/>
      <c r="C167" s="146" t="n"/>
      <c r="D167" s="138" t="n"/>
      <c r="E167" s="147" t="n"/>
      <c r="F167" s="138" t="n"/>
      <c r="G167" s="146" t="n"/>
      <c r="H167" s="147" t="n"/>
      <c r="I167" s="153" t="n"/>
      <c r="J167" s="36" t="n"/>
      <c r="K167" s="36" t="n"/>
      <c r="L167" s="36" t="n"/>
      <c r="M167" s="148" t="n"/>
      <c r="N167" s="36" t="n"/>
      <c r="O167" s="36" t="n"/>
      <c r="S167">
        <f>IF($A167="","",IF(OR($I167="Sì",$I167="Si"),0,IFERROR(VALUE(LEFT($H167,FIND(" ",$H167)-1)),0)))</f>
        <v/>
      </c>
      <c r="T167">
        <f>IF($A167="","",IFERROR(VALUE(LEFT($G167,FIND(" ",$G167)-1)),0))</f>
        <v/>
      </c>
    </row>
    <row r="168" hidden="1" ht="30" customHeight="1">
      <c r="A168" s="154" t="n"/>
      <c r="B168" s="35" t="n"/>
      <c r="C168" s="146" t="n"/>
      <c r="D168" s="138" t="n"/>
      <c r="E168" s="147" t="n"/>
      <c r="F168" s="138" t="n"/>
      <c r="G168" s="146" t="n"/>
      <c r="H168" s="147" t="n"/>
      <c r="I168" s="153" t="n"/>
      <c r="J168" s="36" t="n"/>
      <c r="K168" s="36" t="n"/>
      <c r="L168" s="36" t="n"/>
      <c r="M168" s="148" t="n"/>
      <c r="N168" s="36" t="n"/>
      <c r="O168" s="36" t="n"/>
      <c r="S168">
        <f>IF($A168="","",IF(OR($I168="Sì",$I168="Si"),0,IFERROR(VALUE(LEFT($H168,FIND(" ",$H168)-1)),0)))</f>
        <v/>
      </c>
      <c r="T168">
        <f>IF($A168="","",IFERROR(VALUE(LEFT($G168,FIND(" ",$G168)-1)),0))</f>
        <v/>
      </c>
    </row>
    <row r="169" hidden="1" ht="30" customHeight="1">
      <c r="A169" s="154" t="n"/>
      <c r="B169" s="35" t="n"/>
      <c r="C169" s="146" t="n"/>
      <c r="D169" s="138" t="n"/>
      <c r="E169" s="147" t="n"/>
      <c r="F169" s="138" t="n"/>
      <c r="G169" s="146" t="n"/>
      <c r="H169" s="147" t="n"/>
      <c r="I169" s="153" t="n"/>
      <c r="J169" s="36" t="n"/>
      <c r="K169" s="36" t="n"/>
      <c r="L169" s="36" t="n"/>
      <c r="M169" s="148" t="n"/>
      <c r="N169" s="36" t="n"/>
      <c r="O169" s="36" t="n"/>
      <c r="S169">
        <f>IF($A169="","",IF(OR($I169="Sì",$I169="Si"),0,IFERROR(VALUE(LEFT($H169,FIND(" ",$H169)-1)),0)))</f>
        <v/>
      </c>
      <c r="T169">
        <f>IF($A169="","",IFERROR(VALUE(LEFT($G169,FIND(" ",$G169)-1)),0))</f>
        <v/>
      </c>
    </row>
    <row r="170" hidden="1" ht="30" customHeight="1">
      <c r="A170" s="154" t="n"/>
      <c r="B170" s="35" t="n"/>
      <c r="C170" s="146" t="n"/>
      <c r="D170" s="138" t="n"/>
      <c r="E170" s="147" t="n"/>
      <c r="F170" s="138" t="n"/>
      <c r="G170" s="146" t="n"/>
      <c r="H170" s="147" t="n"/>
      <c r="I170" s="153" t="n"/>
      <c r="J170" s="36" t="n"/>
      <c r="K170" s="36" t="n"/>
      <c r="L170" s="36" t="n"/>
      <c r="M170" s="148" t="n"/>
      <c r="N170" s="36" t="n"/>
      <c r="O170" s="36" t="n"/>
      <c r="S170">
        <f>IF($A170="","",IF(OR($I170="Sì",$I170="Si"),0,IFERROR(VALUE(LEFT($H170,FIND(" ",$H170)-1)),0)))</f>
        <v/>
      </c>
      <c r="T170">
        <f>IF($A170="","",IFERROR(VALUE(LEFT($G170,FIND(" ",$G170)-1)),0))</f>
        <v/>
      </c>
    </row>
    <row r="171" hidden="1" ht="30" customHeight="1">
      <c r="A171" s="154" t="n"/>
      <c r="B171" s="35" t="n"/>
      <c r="C171" s="146" t="n"/>
      <c r="D171" s="138" t="n"/>
      <c r="E171" s="147" t="n"/>
      <c r="F171" s="138" t="n"/>
      <c r="G171" s="146" t="n"/>
      <c r="H171" s="147" t="n"/>
      <c r="I171" s="153" t="n"/>
      <c r="J171" s="36" t="n"/>
      <c r="K171" s="36" t="n"/>
      <c r="L171" s="36" t="n"/>
      <c r="M171" s="148" t="n"/>
      <c r="N171" s="36" t="n"/>
      <c r="O171" s="36" t="n"/>
      <c r="S171">
        <f>IF($A171="","",IF(OR($I171="Sì",$I171="Si"),0,IFERROR(VALUE(LEFT($H171,FIND(" ",$H171)-1)),0)))</f>
        <v/>
      </c>
      <c r="T171">
        <f>IF($A171="","",IFERROR(VALUE(LEFT($G171,FIND(" ",$G171)-1)),0))</f>
        <v/>
      </c>
    </row>
    <row r="172" hidden="1" ht="30" customHeight="1">
      <c r="A172" s="154" t="n"/>
      <c r="B172" s="35" t="n"/>
      <c r="C172" s="146" t="n"/>
      <c r="D172" s="138" t="n"/>
      <c r="E172" s="147" t="n"/>
      <c r="F172" s="138" t="n"/>
      <c r="G172" s="146" t="n"/>
      <c r="H172" s="147" t="n"/>
      <c r="I172" s="153" t="n"/>
      <c r="J172" s="36" t="n"/>
      <c r="K172" s="36" t="n"/>
      <c r="L172" s="36" t="n"/>
      <c r="M172" s="148" t="n"/>
      <c r="N172" s="36" t="n"/>
      <c r="O172" s="36" t="n"/>
      <c r="S172">
        <f>IF($A172="","",IF(OR($I172="Sì",$I172="Si"),0,IFERROR(VALUE(LEFT($H172,FIND(" ",$H172)-1)),0)))</f>
        <v/>
      </c>
      <c r="T172">
        <f>IF($A172="","",IFERROR(VALUE(LEFT($G172,FIND(" ",$G172)-1)),0))</f>
        <v/>
      </c>
    </row>
    <row r="173" hidden="1" ht="30" customHeight="1">
      <c r="A173" s="154" t="n"/>
      <c r="B173" s="35" t="n"/>
      <c r="C173" s="146" t="n"/>
      <c r="D173" s="138" t="n"/>
      <c r="E173" s="147" t="n"/>
      <c r="F173" s="138" t="n"/>
      <c r="G173" s="146" t="n"/>
      <c r="H173" s="147" t="n"/>
      <c r="I173" s="153" t="n"/>
      <c r="J173" s="36" t="n"/>
      <c r="K173" s="36" t="n"/>
      <c r="L173" s="36" t="n"/>
      <c r="M173" s="148" t="n"/>
      <c r="N173" s="36" t="n"/>
      <c r="O173" s="36" t="n"/>
      <c r="S173">
        <f>IF($A173="","",IF(OR($I173="Sì",$I173="Si"),0,IFERROR(VALUE(LEFT($H173,FIND(" ",$H173)-1)),0)))</f>
        <v/>
      </c>
      <c r="T173">
        <f>IF($A173="","",IFERROR(VALUE(LEFT($G173,FIND(" ",$G173)-1)),0))</f>
        <v/>
      </c>
    </row>
    <row r="174" hidden="1" ht="30" customHeight="1">
      <c r="A174" s="154" t="n"/>
      <c r="B174" s="35" t="n"/>
      <c r="C174" s="146" t="n"/>
      <c r="D174" s="138" t="n"/>
      <c r="E174" s="147" t="n"/>
      <c r="F174" s="138" t="n"/>
      <c r="G174" s="146" t="n"/>
      <c r="H174" s="147" t="n"/>
      <c r="I174" s="153" t="n"/>
      <c r="J174" s="36" t="n"/>
      <c r="K174" s="36" t="n"/>
      <c r="L174" s="36" t="n"/>
      <c r="M174" s="148" t="n"/>
      <c r="N174" s="36" t="n"/>
      <c r="O174" s="36" t="n"/>
      <c r="S174">
        <f>IF($A174="","",IF(OR($I174="Sì",$I174="Si"),0,IFERROR(VALUE(LEFT($H174,FIND(" ",$H174)-1)),0)))</f>
        <v/>
      </c>
      <c r="T174">
        <f>IF($A174="","",IFERROR(VALUE(LEFT($G174,FIND(" ",$G174)-1)),0))</f>
        <v/>
      </c>
    </row>
    <row r="175" hidden="1" ht="30" customHeight="1">
      <c r="A175" s="154" t="n"/>
      <c r="B175" s="35" t="n"/>
      <c r="C175" s="146" t="n"/>
      <c r="D175" s="138" t="n"/>
      <c r="E175" s="147" t="n"/>
      <c r="F175" s="138" t="n"/>
      <c r="G175" s="146" t="n"/>
      <c r="H175" s="147" t="n"/>
      <c r="I175" s="153" t="n"/>
      <c r="J175" s="36" t="n"/>
      <c r="K175" s="36" t="n"/>
      <c r="L175" s="36" t="n"/>
      <c r="M175" s="148" t="n"/>
      <c r="N175" s="36" t="n"/>
      <c r="O175" s="36" t="n"/>
      <c r="S175">
        <f>IF($A175="","",IF(OR($I175="Sì",$I175="Si"),0,IFERROR(VALUE(LEFT($H175,FIND(" ",$H175)-1)),0)))</f>
        <v/>
      </c>
      <c r="T175">
        <f>IF($A175="","",IFERROR(VALUE(LEFT($G175,FIND(" ",$G175)-1)),0))</f>
        <v/>
      </c>
    </row>
    <row r="176" hidden="1" ht="30" customHeight="1">
      <c r="A176" s="154" t="n"/>
      <c r="B176" s="35" t="n"/>
      <c r="C176" s="146" t="n"/>
      <c r="D176" s="138" t="n"/>
      <c r="E176" s="147" t="n"/>
      <c r="F176" s="138" t="n"/>
      <c r="G176" s="146" t="n"/>
      <c r="H176" s="147" t="n"/>
      <c r="I176" s="153" t="n"/>
      <c r="J176" s="36" t="n"/>
      <c r="K176" s="36" t="n"/>
      <c r="L176" s="36" t="n"/>
      <c r="M176" s="148" t="n"/>
      <c r="N176" s="36" t="n"/>
      <c r="O176" s="36" t="n"/>
      <c r="S176">
        <f>IF($A176="","",IF(OR($I176="Sì",$I176="Si"),0,IFERROR(VALUE(LEFT($H176,FIND(" ",$H176)-1)),0)))</f>
        <v/>
      </c>
      <c r="T176">
        <f>IF($A176="","",IFERROR(VALUE(LEFT($G176,FIND(" ",$G176)-1)),0))</f>
        <v/>
      </c>
    </row>
    <row r="177" hidden="1" ht="30" customHeight="1">
      <c r="A177" s="154" t="n"/>
      <c r="B177" s="35" t="n"/>
      <c r="C177" s="146" t="n"/>
      <c r="D177" s="138" t="n"/>
      <c r="E177" s="147" t="n"/>
      <c r="F177" s="138" t="n"/>
      <c r="G177" s="146" t="n"/>
      <c r="H177" s="147" t="n"/>
      <c r="I177" s="153" t="n"/>
      <c r="J177" s="36" t="n"/>
      <c r="K177" s="36" t="n"/>
      <c r="L177" s="36" t="n"/>
      <c r="M177" s="148" t="n"/>
      <c r="N177" s="36" t="n"/>
      <c r="O177" s="36" t="n"/>
      <c r="S177">
        <f>IF($A177="","",IF(OR($I177="Sì",$I177="Si"),0,IFERROR(VALUE(LEFT($H177,FIND(" ",$H177)-1)),0)))</f>
        <v/>
      </c>
      <c r="T177">
        <f>IF($A177="","",IFERROR(VALUE(LEFT($G177,FIND(" ",$G177)-1)),0))</f>
        <v/>
      </c>
    </row>
    <row r="178" hidden="1" ht="30" customHeight="1">
      <c r="A178" s="154" t="n"/>
      <c r="B178" s="35" t="n"/>
      <c r="C178" s="146" t="n"/>
      <c r="D178" s="138" t="n"/>
      <c r="E178" s="147" t="n"/>
      <c r="F178" s="138" t="n"/>
      <c r="G178" s="146" t="n"/>
      <c r="H178" s="147" t="n"/>
      <c r="I178" s="153" t="n"/>
      <c r="J178" s="36" t="n"/>
      <c r="K178" s="36" t="n"/>
      <c r="L178" s="36" t="n"/>
      <c r="M178" s="148" t="n"/>
      <c r="N178" s="36" t="n"/>
      <c r="O178" s="36" t="n"/>
      <c r="S178">
        <f>IF($A178="","",IF(OR($I178="Sì",$I178="Si"),0,IFERROR(VALUE(LEFT($H178,FIND(" ",$H178)-1)),0)))</f>
        <v/>
      </c>
      <c r="T178">
        <f>IF($A178="","",IFERROR(VALUE(LEFT($G178,FIND(" ",$G178)-1)),0))</f>
        <v/>
      </c>
    </row>
    <row r="179" hidden="1" ht="30" customHeight="1">
      <c r="A179" s="154" t="n"/>
      <c r="B179" s="35" t="n"/>
      <c r="C179" s="146" t="n"/>
      <c r="D179" s="138" t="n"/>
      <c r="E179" s="147" t="n"/>
      <c r="F179" s="138" t="n"/>
      <c r="G179" s="146" t="n"/>
      <c r="H179" s="147" t="n"/>
      <c r="I179" s="153" t="n"/>
      <c r="J179" s="36" t="n"/>
      <c r="K179" s="36" t="n"/>
      <c r="L179" s="36" t="n"/>
      <c r="M179" s="148" t="n"/>
      <c r="N179" s="36" t="n"/>
      <c r="O179" s="36" t="n"/>
      <c r="S179">
        <f>IF($A179="","",IF(OR($I179="Sì",$I179="Si"),0,IFERROR(VALUE(LEFT($H179,FIND(" ",$H179)-1)),0)))</f>
        <v/>
      </c>
      <c r="T179">
        <f>IF($A179="","",IFERROR(VALUE(LEFT($G179,FIND(" ",$G179)-1)),0))</f>
        <v/>
      </c>
    </row>
    <row r="180" hidden="1" ht="30" customHeight="1">
      <c r="A180" s="154" t="n"/>
      <c r="B180" s="35" t="n"/>
      <c r="C180" s="146" t="n"/>
      <c r="D180" s="138" t="n"/>
      <c r="E180" s="147" t="n"/>
      <c r="F180" s="138" t="n"/>
      <c r="G180" s="146" t="n"/>
      <c r="H180" s="147" t="n"/>
      <c r="I180" s="153" t="n"/>
      <c r="J180" s="36" t="n"/>
      <c r="K180" s="36" t="n"/>
      <c r="L180" s="36" t="n"/>
      <c r="M180" s="148" t="n"/>
      <c r="N180" s="36" t="n"/>
      <c r="O180" s="36" t="n"/>
      <c r="S180">
        <f>IF($A180="","",IF(OR($I180="Sì",$I180="Si"),0,IFERROR(VALUE(LEFT($H180,FIND(" ",$H180)-1)),0)))</f>
        <v/>
      </c>
      <c r="T180">
        <f>IF($A180="","",IFERROR(VALUE(LEFT($G180,FIND(" ",$G180)-1)),0))</f>
        <v/>
      </c>
    </row>
    <row r="181" hidden="1" ht="30" customHeight="1">
      <c r="A181" s="154" t="n"/>
      <c r="B181" s="35" t="n"/>
      <c r="C181" s="146" t="n"/>
      <c r="D181" s="138" t="n"/>
      <c r="E181" s="147" t="n"/>
      <c r="F181" s="138" t="n"/>
      <c r="G181" s="146" t="n"/>
      <c r="H181" s="147" t="n"/>
      <c r="I181" s="153" t="n"/>
      <c r="J181" s="36" t="n"/>
      <c r="K181" s="36" t="n"/>
      <c r="L181" s="36" t="n"/>
      <c r="M181" s="148" t="n"/>
      <c r="N181" s="36" t="n"/>
      <c r="O181" s="36" t="n"/>
      <c r="S181">
        <f>IF($A181="","",IF(OR($I181="Sì",$I181="Si"),0,IFERROR(VALUE(LEFT($H181,FIND(" ",$H181)-1)),0)))</f>
        <v/>
      </c>
      <c r="T181">
        <f>IF($A181="","",IFERROR(VALUE(LEFT($G181,FIND(" ",$G181)-1)),0))</f>
        <v/>
      </c>
    </row>
    <row r="182" hidden="1" ht="30" customHeight="1">
      <c r="A182" s="154" t="n"/>
      <c r="B182" s="35" t="n"/>
      <c r="C182" s="146" t="n"/>
      <c r="D182" s="138" t="n"/>
      <c r="E182" s="147" t="n"/>
      <c r="F182" s="138" t="n"/>
      <c r="G182" s="146" t="n"/>
      <c r="H182" s="147" t="n"/>
      <c r="I182" s="153" t="n"/>
      <c r="J182" s="36" t="n"/>
      <c r="K182" s="36" t="n"/>
      <c r="L182" s="36" t="n"/>
      <c r="M182" s="148" t="n"/>
      <c r="N182" s="36" t="n"/>
      <c r="O182" s="36" t="n"/>
      <c r="S182">
        <f>IF($A182="","",IF(OR($I182="Sì",$I182="Si"),0,IFERROR(VALUE(LEFT($H182,FIND(" ",$H182)-1)),0)))</f>
        <v/>
      </c>
      <c r="T182">
        <f>IF($A182="","",IFERROR(VALUE(LEFT($G182,FIND(" ",$G182)-1)),0))</f>
        <v/>
      </c>
    </row>
    <row r="183" hidden="1" ht="30" customHeight="1">
      <c r="A183" s="154" t="n"/>
      <c r="B183" s="35" t="n"/>
      <c r="C183" s="146" t="n"/>
      <c r="D183" s="138" t="n"/>
      <c r="E183" s="147" t="n"/>
      <c r="F183" s="138" t="n"/>
      <c r="G183" s="146" t="n"/>
      <c r="H183" s="147" t="n"/>
      <c r="I183" s="153" t="n"/>
      <c r="J183" s="36" t="n"/>
      <c r="K183" s="36" t="n"/>
      <c r="L183" s="36" t="n"/>
      <c r="M183" s="148" t="n"/>
      <c r="N183" s="36" t="n"/>
      <c r="O183" s="36" t="n"/>
      <c r="S183">
        <f>IF($A183="","",IF(OR($I183="Sì",$I183="Si"),0,IFERROR(VALUE(LEFT($H183,FIND(" ",$H183)-1)),0)))</f>
        <v/>
      </c>
      <c r="T183">
        <f>IF($A183="","",IFERROR(VALUE(LEFT($G183,FIND(" ",$G183)-1)),0))</f>
        <v/>
      </c>
    </row>
    <row r="184" hidden="1" ht="30" customHeight="1">
      <c r="A184" s="154" t="n"/>
      <c r="B184" s="35" t="n"/>
      <c r="C184" s="146" t="n"/>
      <c r="D184" s="138" t="n"/>
      <c r="E184" s="147" t="n"/>
      <c r="F184" s="138" t="n"/>
      <c r="G184" s="146" t="n"/>
      <c r="H184" s="147" t="n"/>
      <c r="I184" s="153" t="n"/>
      <c r="J184" s="36" t="n"/>
      <c r="K184" s="36" t="n"/>
      <c r="L184" s="36" t="n"/>
      <c r="M184" s="148" t="n"/>
      <c r="N184" s="36" t="n"/>
      <c r="O184" s="36" t="n"/>
      <c r="S184">
        <f>IF($A184="","",IF(OR($I184="Sì",$I184="Si"),0,IFERROR(VALUE(LEFT($H184,FIND(" ",$H184)-1)),0)))</f>
        <v/>
      </c>
      <c r="T184">
        <f>IF($A184="","",IFERROR(VALUE(LEFT($G184,FIND(" ",$G184)-1)),0))</f>
        <v/>
      </c>
    </row>
    <row r="185" hidden="1" ht="30" customHeight="1">
      <c r="A185" s="154" t="n"/>
      <c r="B185" s="35" t="n"/>
      <c r="C185" s="146" t="n"/>
      <c r="D185" s="138" t="n"/>
      <c r="E185" s="147" t="n"/>
      <c r="F185" s="138" t="n"/>
      <c r="G185" s="146" t="n"/>
      <c r="H185" s="147" t="n"/>
      <c r="I185" s="153" t="n"/>
      <c r="J185" s="36" t="n"/>
      <c r="K185" s="36" t="n"/>
      <c r="L185" s="36" t="n"/>
      <c r="M185" s="148" t="n"/>
      <c r="N185" s="36" t="n"/>
      <c r="O185" s="36" t="n"/>
      <c r="S185">
        <f>IF($A185="","",IF(OR($I185="Sì",$I185="Si"),0,IFERROR(VALUE(LEFT($H185,FIND(" ",$H185)-1)),0)))</f>
        <v/>
      </c>
      <c r="T185">
        <f>IF($A185="","",IFERROR(VALUE(LEFT($G185,FIND(" ",$G185)-1)),0))</f>
        <v/>
      </c>
    </row>
    <row r="186" hidden="1" ht="30" customHeight="1">
      <c r="A186" s="154" t="n"/>
      <c r="B186" s="35" t="n"/>
      <c r="C186" s="146" t="n"/>
      <c r="D186" s="138" t="n"/>
      <c r="E186" s="147" t="n"/>
      <c r="F186" s="138" t="n"/>
      <c r="G186" s="146" t="n"/>
      <c r="H186" s="147" t="n"/>
      <c r="I186" s="153" t="n"/>
      <c r="J186" s="36" t="n"/>
      <c r="K186" s="36" t="n"/>
      <c r="L186" s="36" t="n"/>
      <c r="M186" s="148" t="n"/>
      <c r="N186" s="36" t="n"/>
      <c r="O186" s="36" t="n"/>
      <c r="S186">
        <f>IF($A186="","",IF(OR($I186="Sì",$I186="Si"),0,IFERROR(VALUE(LEFT($H186,FIND(" ",$H186)-1)),0)))</f>
        <v/>
      </c>
      <c r="T186">
        <f>IF($A186="","",IFERROR(VALUE(LEFT($G186,FIND(" ",$G186)-1)),0))</f>
        <v/>
      </c>
    </row>
    <row r="187" hidden="1" ht="30" customHeight="1">
      <c r="A187" s="154" t="n"/>
      <c r="B187" s="35" t="n"/>
      <c r="C187" s="146" t="n"/>
      <c r="D187" s="138" t="n"/>
      <c r="E187" s="147" t="n"/>
      <c r="F187" s="138" t="n"/>
      <c r="G187" s="146" t="n"/>
      <c r="H187" s="147" t="n"/>
      <c r="I187" s="153" t="n"/>
      <c r="J187" s="36" t="n"/>
      <c r="K187" s="36" t="n"/>
      <c r="L187" s="36" t="n"/>
      <c r="M187" s="148" t="n"/>
      <c r="N187" s="36" t="n"/>
      <c r="O187" s="36" t="n"/>
      <c r="S187">
        <f>IF($A187="","",IF(OR($I187="Sì",$I187="Si"),0,IFERROR(VALUE(LEFT($H187,FIND(" ",$H187)-1)),0)))</f>
        <v/>
      </c>
      <c r="T187">
        <f>IF($A187="","",IFERROR(VALUE(LEFT($G187,FIND(" ",$G187)-1)),0))</f>
        <v/>
      </c>
    </row>
    <row r="188" hidden="1" ht="30" customHeight="1">
      <c r="A188" s="154" t="n"/>
      <c r="B188" s="35" t="n"/>
      <c r="C188" s="146" t="n"/>
      <c r="D188" s="138" t="n"/>
      <c r="E188" s="147" t="n"/>
      <c r="F188" s="138" t="n"/>
      <c r="G188" s="146" t="n"/>
      <c r="H188" s="147" t="n"/>
      <c r="I188" s="153" t="n"/>
      <c r="J188" s="36" t="n"/>
      <c r="K188" s="36" t="n"/>
      <c r="L188" s="36" t="n"/>
      <c r="M188" s="148" t="n"/>
      <c r="N188" s="36" t="n"/>
      <c r="O188" s="36" t="n"/>
      <c r="S188">
        <f>IF($A188="","",IF(OR($I188="Sì",$I188="Si"),0,IFERROR(VALUE(LEFT($H188,FIND(" ",$H188)-1)),0)))</f>
        <v/>
      </c>
      <c r="T188">
        <f>IF($A188="","",IFERROR(VALUE(LEFT($G188,FIND(" ",$G188)-1)),0))</f>
        <v/>
      </c>
    </row>
    <row r="189" hidden="1" ht="30" customHeight="1">
      <c r="A189" s="154" t="n"/>
      <c r="B189" s="35" t="n"/>
      <c r="C189" s="146" t="n"/>
      <c r="D189" s="138" t="n"/>
      <c r="E189" s="147" t="n"/>
      <c r="F189" s="138" t="n"/>
      <c r="G189" s="146" t="n"/>
      <c r="H189" s="147" t="n"/>
      <c r="I189" s="153" t="n"/>
      <c r="J189" s="36" t="n"/>
      <c r="K189" s="36" t="n"/>
      <c r="L189" s="36" t="n"/>
      <c r="M189" s="148" t="n"/>
      <c r="N189" s="36" t="n"/>
      <c r="O189" s="36" t="n"/>
      <c r="S189">
        <f>IF($A189="","",IF(OR($I189="Sì",$I189="Si"),0,IFERROR(VALUE(LEFT($H189,FIND(" ",$H189)-1)),0)))</f>
        <v/>
      </c>
      <c r="T189">
        <f>IF($A189="","",IFERROR(VALUE(LEFT($G189,FIND(" ",$G189)-1)),0))</f>
        <v/>
      </c>
    </row>
    <row r="190" hidden="1" ht="30" customHeight="1">
      <c r="A190" s="154" t="n"/>
      <c r="B190" s="35" t="n"/>
      <c r="C190" s="146" t="n"/>
      <c r="D190" s="138" t="n"/>
      <c r="E190" s="147" t="n"/>
      <c r="F190" s="138" t="n"/>
      <c r="G190" s="146" t="n"/>
      <c r="H190" s="147" t="n"/>
      <c r="I190" s="153" t="n"/>
      <c r="J190" s="36" t="n"/>
      <c r="K190" s="36" t="n"/>
      <c r="L190" s="36" t="n"/>
      <c r="M190" s="148" t="n"/>
      <c r="N190" s="36" t="n"/>
      <c r="O190" s="36" t="n"/>
      <c r="S190">
        <f>IF($A190="","",IF(OR($I190="Sì",$I190="Si"),0,IFERROR(VALUE(LEFT($H190,FIND(" ",$H190)-1)),0)))</f>
        <v/>
      </c>
      <c r="T190">
        <f>IF($A190="","",IFERROR(VALUE(LEFT($G190,FIND(" ",$G190)-1)),0))</f>
        <v/>
      </c>
    </row>
    <row r="191" hidden="1" ht="30" customHeight="1">
      <c r="A191" s="154" t="n"/>
      <c r="B191" s="35" t="n"/>
      <c r="C191" s="146" t="n"/>
      <c r="D191" s="138" t="n"/>
      <c r="E191" s="147" t="n"/>
      <c r="F191" s="138" t="n"/>
      <c r="G191" s="146" t="n"/>
      <c r="H191" s="147" t="n"/>
      <c r="I191" s="153" t="n"/>
      <c r="J191" s="36" t="n"/>
      <c r="K191" s="36" t="n"/>
      <c r="L191" s="36" t="n"/>
      <c r="M191" s="148" t="n"/>
      <c r="N191" s="36" t="n"/>
      <c r="O191" s="36" t="n"/>
      <c r="S191">
        <f>IF($A191="","",IF(OR($I191="Sì",$I191="Si"),0,IFERROR(VALUE(LEFT($H191,FIND(" ",$H191)-1)),0)))</f>
        <v/>
      </c>
      <c r="T191">
        <f>IF($A191="","",IFERROR(VALUE(LEFT($G191,FIND(" ",$G191)-1)),0))</f>
        <v/>
      </c>
    </row>
    <row r="192" hidden="1" ht="30" customHeight="1">
      <c r="A192" s="154" t="n"/>
      <c r="B192" s="35" t="n"/>
      <c r="C192" s="146" t="n"/>
      <c r="D192" s="138" t="n"/>
      <c r="E192" s="147" t="n"/>
      <c r="F192" s="138" t="n"/>
      <c r="G192" s="146" t="n"/>
      <c r="H192" s="147" t="n"/>
      <c r="I192" s="153" t="n"/>
      <c r="J192" s="36" t="n"/>
      <c r="K192" s="36" t="n"/>
      <c r="L192" s="36" t="n"/>
      <c r="M192" s="148" t="n"/>
      <c r="N192" s="36" t="n"/>
      <c r="O192" s="36" t="n"/>
      <c r="S192">
        <f>IF($A192="","",IF(OR($I192="Sì",$I192="Si"),0,IFERROR(VALUE(LEFT($H192,FIND(" ",$H192)-1)),0)))</f>
        <v/>
      </c>
      <c r="T192">
        <f>IF($A192="","",IFERROR(VALUE(LEFT($G192,FIND(" ",$G192)-1)),0))</f>
        <v/>
      </c>
    </row>
    <row r="193" hidden="1" ht="30" customHeight="1">
      <c r="A193" s="154" t="n"/>
      <c r="B193" s="35" t="n"/>
      <c r="C193" s="146" t="n"/>
      <c r="D193" s="138" t="n"/>
      <c r="E193" s="147" t="n"/>
      <c r="F193" s="138" t="n"/>
      <c r="G193" s="146" t="n"/>
      <c r="H193" s="147" t="n"/>
      <c r="I193" s="153" t="n"/>
      <c r="J193" s="36" t="n"/>
      <c r="K193" s="36" t="n"/>
      <c r="L193" s="36" t="n"/>
      <c r="M193" s="148" t="n"/>
      <c r="N193" s="36" t="n"/>
      <c r="O193" s="36" t="n"/>
      <c r="S193">
        <f>IF($A193="","",IF(OR($I193="Sì",$I193="Si"),0,IFERROR(VALUE(LEFT($H193,FIND(" ",$H193)-1)),0)))</f>
        <v/>
      </c>
      <c r="T193">
        <f>IF($A193="","",IFERROR(VALUE(LEFT($G193,FIND(" ",$G193)-1)),0))</f>
        <v/>
      </c>
    </row>
    <row r="194" hidden="1" ht="30" customHeight="1">
      <c r="A194" s="154" t="n"/>
      <c r="B194" s="35" t="n"/>
      <c r="C194" s="146" t="n"/>
      <c r="D194" s="138" t="n"/>
      <c r="E194" s="147" t="n"/>
      <c r="F194" s="138" t="n"/>
      <c r="G194" s="146" t="n"/>
      <c r="H194" s="147" t="n"/>
      <c r="I194" s="153" t="n"/>
      <c r="J194" s="36" t="n"/>
      <c r="K194" s="36" t="n"/>
      <c r="L194" s="36" t="n"/>
      <c r="M194" s="148" t="n"/>
      <c r="N194" s="36" t="n"/>
      <c r="O194" s="36" t="n"/>
      <c r="S194">
        <f>IF($A194="","",IF(OR($I194="Sì",$I194="Si"),0,IFERROR(VALUE(LEFT($H194,FIND(" ",$H194)-1)),0)))</f>
        <v/>
      </c>
      <c r="T194">
        <f>IF($A194="","",IFERROR(VALUE(LEFT($G194,FIND(" ",$G194)-1)),0))</f>
        <v/>
      </c>
    </row>
    <row r="195" hidden="1" ht="30" customHeight="1">
      <c r="A195" s="154" t="n"/>
      <c r="B195" s="35" t="n"/>
      <c r="C195" s="146" t="n"/>
      <c r="D195" s="138" t="n"/>
      <c r="E195" s="147" t="n"/>
      <c r="F195" s="138" t="n"/>
      <c r="G195" s="146" t="n"/>
      <c r="H195" s="147" t="n"/>
      <c r="I195" s="153" t="n"/>
      <c r="J195" s="36" t="n"/>
      <c r="K195" s="36" t="n"/>
      <c r="L195" s="36" t="n"/>
      <c r="M195" s="148" t="n"/>
      <c r="N195" s="36" t="n"/>
      <c r="O195" s="36" t="n"/>
      <c r="S195">
        <f>IF($A195="","",IF(OR($I195="Sì",$I195="Si"),0,IFERROR(VALUE(LEFT($H195,FIND(" ",$H195)-1)),0)))</f>
        <v/>
      </c>
      <c r="T195">
        <f>IF($A195="","",IFERROR(VALUE(LEFT($G195,FIND(" ",$G195)-1)),0))</f>
        <v/>
      </c>
    </row>
    <row r="196" hidden="1" ht="30" customHeight="1">
      <c r="A196" s="154" t="n"/>
      <c r="B196" s="35" t="n"/>
      <c r="C196" s="146" t="n"/>
      <c r="D196" s="138" t="n"/>
      <c r="E196" s="147" t="n"/>
      <c r="F196" s="138" t="n"/>
      <c r="G196" s="146" t="n"/>
      <c r="H196" s="147" t="n"/>
      <c r="I196" s="153" t="n"/>
      <c r="J196" s="36" t="n"/>
      <c r="K196" s="36" t="n"/>
      <c r="L196" s="36" t="n"/>
      <c r="M196" s="148" t="n"/>
      <c r="N196" s="36" t="n"/>
      <c r="O196" s="36" t="n"/>
      <c r="S196">
        <f>IF($A196="","",IF(OR($I196="Sì",$I196="Si"),0,IFERROR(VALUE(LEFT($H196,FIND(" ",$H196)-1)),0)))</f>
        <v/>
      </c>
      <c r="T196">
        <f>IF($A196="","",IFERROR(VALUE(LEFT($G196,FIND(" ",$G196)-1)),0))</f>
        <v/>
      </c>
    </row>
    <row r="197" hidden="1" ht="30" customHeight="1">
      <c r="A197" s="154" t="n"/>
      <c r="B197" s="35" t="n"/>
      <c r="C197" s="146" t="n"/>
      <c r="D197" s="138" t="n"/>
      <c r="E197" s="147" t="n"/>
      <c r="F197" s="138" t="n"/>
      <c r="G197" s="146" t="n"/>
      <c r="H197" s="147" t="n"/>
      <c r="I197" s="153" t="n"/>
      <c r="J197" s="36" t="n"/>
      <c r="K197" s="36" t="n"/>
      <c r="L197" s="36" t="n"/>
      <c r="M197" s="148" t="n"/>
      <c r="N197" s="36" t="n"/>
      <c r="O197" s="36" t="n"/>
      <c r="S197">
        <f>IF($A197="","",IF(OR($I197="Sì",$I197="Si"),0,IFERROR(VALUE(LEFT($H197,FIND(" ",$H197)-1)),0)))</f>
        <v/>
      </c>
      <c r="T197">
        <f>IF($A197="","",IFERROR(VALUE(LEFT($G197,FIND(" ",$G197)-1)),0))</f>
        <v/>
      </c>
    </row>
    <row r="198" hidden="1" ht="30" customHeight="1">
      <c r="A198" s="154" t="n"/>
      <c r="B198" s="35" t="n"/>
      <c r="C198" s="146" t="n"/>
      <c r="D198" s="138" t="n"/>
      <c r="E198" s="147" t="n"/>
      <c r="F198" s="138" t="n"/>
      <c r="G198" s="146" t="n"/>
      <c r="H198" s="147" t="n"/>
      <c r="I198" s="153" t="n"/>
      <c r="J198" s="36" t="n"/>
      <c r="K198" s="36" t="n"/>
      <c r="L198" s="36" t="n"/>
      <c r="M198" s="148" t="n"/>
      <c r="N198" s="36" t="n"/>
      <c r="O198" s="36" t="n"/>
      <c r="S198">
        <f>IF($A198="","",IF(OR($I198="Sì",$I198="Si"),0,IFERROR(VALUE(LEFT($H198,FIND(" ",$H198)-1)),0)))</f>
        <v/>
      </c>
      <c r="T198">
        <f>IF($A198="","",IFERROR(VALUE(LEFT($G198,FIND(" ",$G198)-1)),0))</f>
        <v/>
      </c>
    </row>
    <row r="199" hidden="1" ht="30" customHeight="1">
      <c r="A199" s="154" t="n"/>
      <c r="B199" s="35" t="n"/>
      <c r="C199" s="146" t="n"/>
      <c r="D199" s="138" t="n"/>
      <c r="E199" s="147" t="n"/>
      <c r="F199" s="138" t="n"/>
      <c r="G199" s="146" t="n"/>
      <c r="H199" s="147" t="n"/>
      <c r="I199" s="153" t="n"/>
      <c r="J199" s="36" t="n"/>
      <c r="K199" s="36" t="n"/>
      <c r="L199" s="36" t="n"/>
      <c r="M199" s="148" t="n"/>
      <c r="N199" s="36" t="n"/>
      <c r="O199" s="36" t="n"/>
      <c r="S199">
        <f>IF($A199="","",IF(OR($I199="Sì",$I199="Si"),0,IFERROR(VALUE(LEFT($H199,FIND(" ",$H199)-1)),0)))</f>
        <v/>
      </c>
      <c r="T199">
        <f>IF($A199="","",IFERROR(VALUE(LEFT($G199,FIND(" ",$G199)-1)),0))</f>
        <v/>
      </c>
    </row>
    <row r="200" hidden="1" ht="30" customHeight="1">
      <c r="A200" s="154" t="n"/>
      <c r="B200" s="35" t="n"/>
      <c r="C200" s="146" t="n"/>
      <c r="D200" s="138" t="n"/>
      <c r="E200" s="147" t="n"/>
      <c r="F200" s="138" t="n"/>
      <c r="G200" s="146" t="n"/>
      <c r="H200" s="147" t="n"/>
      <c r="I200" s="153" t="n"/>
      <c r="J200" s="36" t="n"/>
      <c r="K200" s="36" t="n"/>
      <c r="L200" s="36" t="n"/>
      <c r="M200" s="148" t="n"/>
      <c r="N200" s="36" t="n"/>
      <c r="O200" s="36" t="n"/>
      <c r="S200">
        <f>IF($A200="","",IF(OR($I200="Sì",$I200="Si"),0,IFERROR(VALUE(LEFT($H200,FIND(" ",$H200)-1)),0)))</f>
        <v/>
      </c>
      <c r="T200">
        <f>IF($A200="","",IFERROR(VALUE(LEFT($G200,FIND(" ",$G200)-1)),0))</f>
        <v/>
      </c>
    </row>
    <row r="201" hidden="1" ht="30" customHeight="1">
      <c r="A201" s="154" t="n"/>
      <c r="B201" s="35" t="n"/>
      <c r="C201" s="146" t="n"/>
      <c r="D201" s="138" t="n"/>
      <c r="E201" s="147" t="n"/>
      <c r="F201" s="138" t="n"/>
      <c r="G201" s="146" t="n"/>
      <c r="H201" s="147" t="n"/>
      <c r="I201" s="153" t="n"/>
      <c r="J201" s="36" t="n"/>
      <c r="K201" s="36" t="n"/>
      <c r="L201" s="36" t="n"/>
      <c r="M201" s="148" t="n"/>
      <c r="N201" s="36" t="n"/>
      <c r="O201" s="36" t="n"/>
      <c r="S201">
        <f>IF($A201="","",IF(OR($I201="Sì",$I201="Si"),0,IFERROR(VALUE(LEFT($H201,FIND(" ",$H201)-1)),0)))</f>
        <v/>
      </c>
      <c r="T201">
        <f>IF($A201="","",IFERROR(VALUE(LEFT($G201,FIND(" ",$G201)-1)),0))</f>
        <v/>
      </c>
    </row>
    <row r="202" hidden="1" ht="30" customHeight="1">
      <c r="A202" s="154" t="n"/>
      <c r="B202" s="35" t="n"/>
      <c r="C202" s="146" t="n"/>
      <c r="D202" s="138" t="n"/>
      <c r="E202" s="147" t="n"/>
      <c r="F202" s="138" t="n"/>
      <c r="G202" s="146" t="n"/>
      <c r="H202" s="147" t="n"/>
      <c r="I202" s="153" t="n"/>
      <c r="J202" s="36" t="n"/>
      <c r="K202" s="36" t="n"/>
      <c r="L202" s="36" t="n"/>
      <c r="M202" s="148" t="n"/>
      <c r="N202" s="36" t="n"/>
      <c r="O202" s="36" t="n"/>
      <c r="S202">
        <f>IF($A202="","",IF(OR($I202="Sì",$I202="Si"),0,IFERROR(VALUE(LEFT($H202,FIND(" ",$H202)-1)),0)))</f>
        <v/>
      </c>
      <c r="T202">
        <f>IF($A202="","",IFERROR(VALUE(LEFT($G202,FIND(" ",$G202)-1)),0))</f>
        <v/>
      </c>
    </row>
    <row r="203" hidden="1" ht="30" customHeight="1">
      <c r="A203" s="154" t="n"/>
      <c r="B203" s="35" t="n"/>
      <c r="C203" s="146" t="n"/>
      <c r="D203" s="138" t="n"/>
      <c r="E203" s="147" t="n"/>
      <c r="F203" s="138" t="n"/>
      <c r="G203" s="146" t="n"/>
      <c r="H203" s="147" t="n"/>
      <c r="I203" s="153" t="n"/>
      <c r="J203" s="36" t="n"/>
      <c r="K203" s="36" t="n"/>
      <c r="L203" s="36" t="n"/>
      <c r="M203" s="148" t="n"/>
      <c r="N203" s="36" t="n"/>
      <c r="O203" s="36" t="n"/>
      <c r="S203">
        <f>IF($A203="","",IF(OR($I203="Sì",$I203="Si"),0,IFERROR(VALUE(LEFT($H203,FIND(" ",$H203)-1)),0)))</f>
        <v/>
      </c>
      <c r="T203">
        <f>IF($A203="","",IFERROR(VALUE(LEFT($G203,FIND(" ",$G203)-1)),0))</f>
        <v/>
      </c>
    </row>
    <row r="204" hidden="1" ht="30" customHeight="1">
      <c r="A204" s="154" t="n"/>
      <c r="B204" s="35" t="n"/>
      <c r="C204" s="146" t="n"/>
      <c r="D204" s="138" t="n"/>
      <c r="E204" s="147" t="n"/>
      <c r="F204" s="138" t="n"/>
      <c r="G204" s="146" t="n"/>
      <c r="H204" s="147" t="n"/>
      <c r="I204" s="153" t="n"/>
      <c r="J204" s="36" t="n"/>
      <c r="K204" s="36" t="n"/>
      <c r="L204" s="36" t="n"/>
      <c r="M204" s="148" t="n"/>
      <c r="N204" s="36" t="n"/>
      <c r="O204" s="36" t="n"/>
      <c r="S204">
        <f>IF($A204="","",IF(OR($I204="Sì",$I204="Si"),0,IFERROR(VALUE(LEFT($H204,FIND(" ",$H204)-1)),0)))</f>
        <v/>
      </c>
      <c r="T204">
        <f>IF($A204="","",IFERROR(VALUE(LEFT($G204,FIND(" ",$G204)-1)),0))</f>
        <v/>
      </c>
    </row>
    <row r="205" hidden="1" ht="30" customHeight="1">
      <c r="A205" s="154" t="n"/>
      <c r="B205" s="35" t="n"/>
      <c r="C205" s="146" t="n"/>
      <c r="D205" s="138" t="n"/>
      <c r="E205" s="147" t="n"/>
      <c r="F205" s="138" t="n"/>
      <c r="G205" s="146" t="n"/>
      <c r="H205" s="147" t="n"/>
      <c r="I205" s="153" t="n"/>
      <c r="J205" s="36" t="n"/>
      <c r="K205" s="36" t="n"/>
      <c r="L205" s="36" t="n"/>
      <c r="M205" s="148" t="n"/>
      <c r="N205" s="36" t="n"/>
      <c r="O205" s="36" t="n"/>
      <c r="S205">
        <f>IF($A205="","",IF(OR($I205="Sì",$I205="Si"),0,IFERROR(VALUE(LEFT($H205,FIND(" ",$H205)-1)),0)))</f>
        <v/>
      </c>
      <c r="T205">
        <f>IF($A205="","",IFERROR(VALUE(LEFT($G205,FIND(" ",$G205)-1)),0))</f>
        <v/>
      </c>
    </row>
    <row r="206" hidden="1" ht="30" customHeight="1">
      <c r="A206" s="154" t="n"/>
      <c r="B206" s="35" t="n"/>
      <c r="C206" s="146" t="n"/>
      <c r="D206" s="138" t="n"/>
      <c r="E206" s="147" t="n"/>
      <c r="F206" s="138" t="n"/>
      <c r="G206" s="146" t="n"/>
      <c r="H206" s="147" t="n"/>
      <c r="I206" s="153" t="n"/>
      <c r="J206" s="36" t="n"/>
      <c r="K206" s="36" t="n"/>
      <c r="L206" s="36" t="n"/>
      <c r="M206" s="148" t="n"/>
      <c r="N206" s="36" t="n"/>
      <c r="O206" s="36" t="n"/>
      <c r="S206">
        <f>IF($A206="","",IF(OR($I206="Sì",$I206="Si"),0,IFERROR(VALUE(LEFT($H206,FIND(" ",$H206)-1)),0)))</f>
        <v/>
      </c>
      <c r="T206">
        <f>IF($A206="","",IFERROR(VALUE(LEFT($G206,FIND(" ",$G206)-1)),0))</f>
        <v/>
      </c>
    </row>
    <row r="207" hidden="1" ht="30" customHeight="1">
      <c r="A207" s="154" t="n"/>
      <c r="B207" s="35" t="n"/>
      <c r="C207" s="146" t="n"/>
      <c r="D207" s="138" t="n"/>
      <c r="E207" s="147" t="n"/>
      <c r="F207" s="138" t="n"/>
      <c r="G207" s="146" t="n"/>
      <c r="H207" s="147" t="n"/>
      <c r="I207" s="153" t="n"/>
      <c r="J207" s="36" t="n"/>
      <c r="K207" s="36" t="n"/>
      <c r="L207" s="36" t="n"/>
      <c r="M207" s="148" t="n"/>
      <c r="N207" s="36" t="n"/>
      <c r="O207" s="36" t="n"/>
      <c r="S207">
        <f>IF($A207="","",IF(OR($I207="Sì",$I207="Si"),0,IFERROR(VALUE(LEFT($H207,FIND(" ",$H207)-1)),0)))</f>
        <v/>
      </c>
      <c r="T207">
        <f>IF($A207="","",IFERROR(VALUE(LEFT($G207,FIND(" ",$G207)-1)),0))</f>
        <v/>
      </c>
    </row>
    <row r="208" hidden="1" ht="30" customHeight="1">
      <c r="A208" s="154" t="n"/>
      <c r="B208" s="35" t="n"/>
      <c r="C208" s="146" t="n"/>
      <c r="D208" s="138" t="n"/>
      <c r="E208" s="147" t="n"/>
      <c r="F208" s="138" t="n"/>
      <c r="G208" s="146" t="n"/>
      <c r="H208" s="147" t="n"/>
      <c r="I208" s="153" t="n"/>
      <c r="J208" s="36" t="n"/>
      <c r="K208" s="36" t="n"/>
      <c r="L208" s="36" t="n"/>
      <c r="M208" s="148" t="n"/>
      <c r="N208" s="36" t="n"/>
      <c r="O208" s="36" t="n"/>
      <c r="S208">
        <f>IF($A208="","",IF(OR($I208="Sì",$I208="Si"),0,IFERROR(VALUE(LEFT($H208,FIND(" ",$H208)-1)),0)))</f>
        <v/>
      </c>
      <c r="T208">
        <f>IF($A208="","",IFERROR(VALUE(LEFT($G208,FIND(" ",$G208)-1)),0))</f>
        <v/>
      </c>
    </row>
    <row r="209" hidden="1" ht="30" customHeight="1">
      <c r="A209" s="154" t="n"/>
      <c r="B209" s="35" t="n"/>
      <c r="C209" s="146" t="n"/>
      <c r="D209" s="138" t="n"/>
      <c r="E209" s="147" t="n"/>
      <c r="F209" s="138" t="n"/>
      <c r="G209" s="146" t="n"/>
      <c r="H209" s="147" t="n"/>
      <c r="I209" s="153" t="n"/>
      <c r="J209" s="36" t="n"/>
      <c r="K209" s="36" t="n"/>
      <c r="L209" s="36" t="n"/>
      <c r="M209" s="148" t="n"/>
      <c r="N209" s="36" t="n"/>
      <c r="O209" s="36" t="n"/>
      <c r="S209">
        <f>IF($A209="","",IF(OR($I209="Sì",$I209="Si"),0,IFERROR(VALUE(LEFT($H209,FIND(" ",$H209)-1)),0)))</f>
        <v/>
      </c>
      <c r="T209">
        <f>IF($A209="","",IFERROR(VALUE(LEFT($G209,FIND(" ",$G209)-1)),0))</f>
        <v/>
      </c>
    </row>
    <row r="210" hidden="1" ht="30" customHeight="1">
      <c r="A210" s="154" t="n"/>
      <c r="B210" s="35" t="n"/>
      <c r="C210" s="146" t="n"/>
      <c r="D210" s="138" t="n"/>
      <c r="E210" s="147" t="n"/>
      <c r="F210" s="138" t="n"/>
      <c r="G210" s="146" t="n"/>
      <c r="H210" s="147" t="n"/>
      <c r="I210" s="153" t="n"/>
      <c r="J210" s="36" t="n"/>
      <c r="K210" s="36" t="n"/>
      <c r="L210" s="36" t="n"/>
      <c r="M210" s="148" t="n"/>
      <c r="N210" s="36" t="n"/>
      <c r="O210" s="36" t="n"/>
      <c r="S210">
        <f>IF($A210="","",IF(OR($I210="Sì",$I210="Si"),0,IFERROR(VALUE(LEFT($H210,FIND(" ",$H210)-1)),0)))</f>
        <v/>
      </c>
      <c r="T210">
        <f>IF($A210="","",IFERROR(VALUE(LEFT($G210,FIND(" ",$G210)-1)),0))</f>
        <v/>
      </c>
    </row>
    <row r="211" hidden="1" ht="30" customHeight="1">
      <c r="A211" s="154" t="n"/>
      <c r="B211" s="35" t="n"/>
      <c r="C211" s="146" t="n"/>
      <c r="D211" s="138" t="n"/>
      <c r="E211" s="147" t="n"/>
      <c r="F211" s="138" t="n"/>
      <c r="G211" s="146" t="n"/>
      <c r="H211" s="147" t="n"/>
      <c r="I211" s="153" t="n"/>
      <c r="J211" s="36" t="n"/>
      <c r="K211" s="36" t="n"/>
      <c r="L211" s="36" t="n"/>
      <c r="M211" s="148" t="n"/>
      <c r="N211" s="36" t="n"/>
      <c r="O211" s="36" t="n"/>
      <c r="S211">
        <f>IF($A211="","",IF(OR($I211="Sì",$I211="Si"),0,IFERROR(VALUE(LEFT($H211,FIND(" ",$H211)-1)),0)))</f>
        <v/>
      </c>
      <c r="T211">
        <f>IF($A211="","",IFERROR(VALUE(LEFT($G211,FIND(" ",$G211)-1)),0))</f>
        <v/>
      </c>
    </row>
    <row r="212" hidden="1" ht="30" customHeight="1">
      <c r="A212" s="154" t="n"/>
      <c r="B212" s="35" t="n"/>
      <c r="C212" s="146" t="n"/>
      <c r="D212" s="138" t="n"/>
      <c r="E212" s="147" t="n"/>
      <c r="F212" s="138" t="n"/>
      <c r="G212" s="146" t="n"/>
      <c r="H212" s="147" t="n"/>
      <c r="I212" s="153" t="n"/>
      <c r="J212" s="36" t="n"/>
      <c r="K212" s="36" t="n"/>
      <c r="L212" s="36" t="n"/>
      <c r="M212" s="148" t="n"/>
      <c r="N212" s="36" t="n"/>
      <c r="O212" s="36" t="n"/>
      <c r="S212">
        <f>IF($A212="","",IF(OR($I212="Sì",$I212="Si"),0,IFERROR(VALUE(LEFT($H212,FIND(" ",$H212)-1)),0)))</f>
        <v/>
      </c>
      <c r="T212">
        <f>IF($A212="","",IFERROR(VALUE(LEFT($G212,FIND(" ",$G212)-1)),0))</f>
        <v/>
      </c>
    </row>
    <row r="214">
      <c r="A214" s="29" t="inlineStr">
        <is>
          <t>NOTIZIE — nessuna riga da validare</t>
        </is>
      </c>
      <c r="B214" s="30" t="n"/>
      <c r="C214" s="30" t="n"/>
      <c r="D214" s="30" t="n"/>
      <c r="E214" s="30" t="n"/>
      <c r="F214" s="30" t="n"/>
      <c r="G214" s="30" t="n"/>
      <c r="H214" s="30" t="n"/>
      <c r="I214" s="30" t="n"/>
      <c r="J214" s="30" t="n"/>
      <c r="K214" s="30" t="n"/>
      <c r="L214" s="30" t="n"/>
      <c r="M214" s="30" t="n"/>
      <c r="N214" s="30" t="n"/>
      <c r="O214" s="30" t="n"/>
    </row>
    <row r="215" ht="30" customHeight="1">
      <c r="A215" s="141" t="inlineStr">
        <is>
          <t>Notizia</t>
        </is>
      </c>
      <c r="B215" s="141" t="inlineStr">
        <is>
          <t>Titolo</t>
        </is>
      </c>
      <c r="C215" s="142" t="inlineStr">
        <is>
          <t>Rischio proposto</t>
        </is>
      </c>
      <c r="E215" s="143" t="inlineStr">
        <is>
          <t>Rischio</t>
        </is>
      </c>
      <c r="G215" s="142" t="inlineStr">
        <is>
          <t>Segnale proposto</t>
        </is>
      </c>
      <c r="H215" s="143" t="inlineStr">
        <is>
          <t>Segnale</t>
        </is>
      </c>
      <c r="I215" s="143" t="inlineStr">
        <is>
          <t>Respingi</t>
        </is>
      </c>
      <c r="J215" s="141" t="inlineStr">
        <is>
          <t>Settimana</t>
        </is>
      </c>
      <c r="M215" s="143" t="inlineStr">
        <is>
          <t>Motivazione (se cambi un valore o respingi)</t>
        </is>
      </c>
    </row>
    <row r="216" hidden="1" ht="30" customHeight="1">
      <c r="A216" s="154" t="n"/>
      <c r="B216" s="35" t="n"/>
      <c r="C216" s="146" t="n"/>
      <c r="D216" s="138" t="n"/>
      <c r="E216" s="147" t="n"/>
      <c r="F216" s="138" t="n"/>
      <c r="G216" s="146" t="n"/>
      <c r="H216" s="147" t="n"/>
      <c r="I216" s="153" t="n"/>
      <c r="J216" s="152" t="n"/>
      <c r="K216" s="36" t="n"/>
      <c r="L216" s="36" t="n"/>
      <c r="M216" s="148" t="n"/>
      <c r="N216" s="36" t="n"/>
      <c r="O216" s="36" t="n"/>
    </row>
    <row r="217" hidden="1" ht="30" customHeight="1">
      <c r="A217" s="154" t="n"/>
      <c r="B217" s="35" t="n"/>
      <c r="C217" s="146" t="n"/>
      <c r="D217" s="138" t="n"/>
      <c r="E217" s="147" t="n"/>
      <c r="F217" s="138" t="n"/>
      <c r="G217" s="146" t="n"/>
      <c r="H217" s="147" t="n"/>
      <c r="I217" s="153" t="n"/>
      <c r="J217" s="152" t="n"/>
      <c r="K217" s="36" t="n"/>
      <c r="L217" s="36" t="n"/>
      <c r="M217" s="148" t="n"/>
      <c r="N217" s="36" t="n"/>
      <c r="O217" s="36" t="n"/>
    </row>
    <row r="218" hidden="1" ht="30" customHeight="1">
      <c r="A218" s="154" t="n"/>
      <c r="B218" s="35" t="n"/>
      <c r="C218" s="146" t="n"/>
      <c r="D218" s="138" t="n"/>
      <c r="E218" s="147" t="n"/>
      <c r="F218" s="138" t="n"/>
      <c r="G218" s="146" t="n"/>
      <c r="H218" s="147" t="n"/>
      <c r="I218" s="153" t="n"/>
      <c r="J218" s="152" t="n"/>
      <c r="K218" s="36" t="n"/>
      <c r="L218" s="36" t="n"/>
      <c r="M218" s="148" t="n"/>
      <c r="N218" s="36" t="n"/>
      <c r="O218" s="36" t="n"/>
    </row>
    <row r="219" hidden="1" ht="30" customHeight="1">
      <c r="A219" s="154" t="n"/>
      <c r="B219" s="35" t="n"/>
      <c r="C219" s="146" t="n"/>
      <c r="D219" s="138" t="n"/>
      <c r="E219" s="147" t="n"/>
      <c r="F219" s="138" t="n"/>
      <c r="G219" s="146" t="n"/>
      <c r="H219" s="147" t="n"/>
      <c r="I219" s="153" t="n"/>
      <c r="J219" s="152" t="n"/>
      <c r="K219" s="36" t="n"/>
      <c r="L219" s="36" t="n"/>
      <c r="M219" s="148" t="n"/>
      <c r="N219" s="36" t="n"/>
      <c r="O219" s="36" t="n"/>
    </row>
    <row r="220" hidden="1" ht="30" customHeight="1">
      <c r="A220" s="154" t="n"/>
      <c r="B220" s="35" t="n"/>
      <c r="C220" s="146" t="n"/>
      <c r="D220" s="138" t="n"/>
      <c r="E220" s="147" t="n"/>
      <c r="F220" s="138" t="n"/>
      <c r="G220" s="146" t="n"/>
      <c r="H220" s="147" t="n"/>
      <c r="I220" s="153" t="n"/>
      <c r="J220" s="152" t="n"/>
      <c r="K220" s="36" t="n"/>
      <c r="L220" s="36" t="n"/>
      <c r="M220" s="148" t="n"/>
      <c r="N220" s="36" t="n"/>
      <c r="O220" s="36" t="n"/>
    </row>
    <row r="221" hidden="1" ht="30" customHeight="1">
      <c r="A221" s="154" t="n"/>
      <c r="B221" s="35" t="n"/>
      <c r="C221" s="146" t="n"/>
      <c r="D221" s="138" t="n"/>
      <c r="E221" s="147" t="n"/>
      <c r="F221" s="138" t="n"/>
      <c r="G221" s="146" t="n"/>
      <c r="H221" s="147" t="n"/>
      <c r="I221" s="153" t="n"/>
      <c r="J221" s="152" t="n"/>
      <c r="K221" s="36" t="n"/>
      <c r="L221" s="36" t="n"/>
      <c r="M221" s="148" t="n"/>
      <c r="N221" s="36" t="n"/>
      <c r="O221" s="36" t="n"/>
    </row>
    <row r="222" hidden="1" ht="30" customHeight="1">
      <c r="A222" s="154" t="n"/>
      <c r="B222" s="35" t="n"/>
      <c r="C222" s="146" t="n"/>
      <c r="D222" s="138" t="n"/>
      <c r="E222" s="147" t="n"/>
      <c r="F222" s="138" t="n"/>
      <c r="G222" s="146" t="n"/>
      <c r="H222" s="147" t="n"/>
      <c r="I222" s="153" t="n"/>
      <c r="J222" s="152" t="n"/>
      <c r="K222" s="36" t="n"/>
      <c r="L222" s="36" t="n"/>
      <c r="M222" s="148" t="n"/>
      <c r="N222" s="36" t="n"/>
      <c r="O222" s="36" t="n"/>
    </row>
    <row r="223" hidden="1" ht="30" customHeight="1">
      <c r="A223" s="154" t="n"/>
      <c r="B223" s="35" t="n"/>
      <c r="C223" s="146" t="n"/>
      <c r="D223" s="138" t="n"/>
      <c r="E223" s="147" t="n"/>
      <c r="F223" s="138" t="n"/>
      <c r="G223" s="146" t="n"/>
      <c r="H223" s="147" t="n"/>
      <c r="I223" s="153" t="n"/>
      <c r="J223" s="152" t="n"/>
      <c r="K223" s="36" t="n"/>
      <c r="L223" s="36" t="n"/>
      <c r="M223" s="148" t="n"/>
      <c r="N223" s="36" t="n"/>
      <c r="O223" s="36" t="n"/>
    </row>
    <row r="224" hidden="1" ht="30" customHeight="1">
      <c r="A224" s="154" t="n"/>
      <c r="B224" s="35" t="n"/>
      <c r="C224" s="146" t="n"/>
      <c r="D224" s="138" t="n"/>
      <c r="E224" s="147" t="n"/>
      <c r="F224" s="138" t="n"/>
      <c r="G224" s="146" t="n"/>
      <c r="H224" s="147" t="n"/>
      <c r="I224" s="153" t="n"/>
      <c r="J224" s="152" t="n"/>
      <c r="K224" s="36" t="n"/>
      <c r="L224" s="36" t="n"/>
      <c r="M224" s="148" t="n"/>
      <c r="N224" s="36" t="n"/>
      <c r="O224" s="36" t="n"/>
    </row>
    <row r="225" hidden="1" ht="30" customHeight="1">
      <c r="A225" s="154" t="n"/>
      <c r="B225" s="35" t="n"/>
      <c r="C225" s="146" t="n"/>
      <c r="D225" s="138" t="n"/>
      <c r="E225" s="147" t="n"/>
      <c r="F225" s="138" t="n"/>
      <c r="G225" s="146" t="n"/>
      <c r="H225" s="147" t="n"/>
      <c r="I225" s="153" t="n"/>
      <c r="J225" s="152" t="n"/>
      <c r="K225" s="36" t="n"/>
      <c r="L225" s="36" t="n"/>
      <c r="M225" s="148" t="n"/>
      <c r="N225" s="36" t="n"/>
      <c r="O225" s="36" t="n"/>
    </row>
    <row r="226" hidden="1" ht="30" customHeight="1">
      <c r="A226" s="154" t="n"/>
      <c r="B226" s="35" t="n"/>
      <c r="C226" s="146" t="n"/>
      <c r="D226" s="138" t="n"/>
      <c r="E226" s="147" t="n"/>
      <c r="F226" s="138" t="n"/>
      <c r="G226" s="146" t="n"/>
      <c r="H226" s="147" t="n"/>
      <c r="I226" s="153" t="n"/>
      <c r="J226" s="152" t="n"/>
      <c r="K226" s="36" t="n"/>
      <c r="L226" s="36" t="n"/>
      <c r="M226" s="148" t="n"/>
      <c r="N226" s="36" t="n"/>
      <c r="O226" s="36" t="n"/>
    </row>
    <row r="227" hidden="1" ht="30" customHeight="1">
      <c r="A227" s="154" t="n"/>
      <c r="B227" s="35" t="n"/>
      <c r="C227" s="146" t="n"/>
      <c r="D227" s="138" t="n"/>
      <c r="E227" s="147" t="n"/>
      <c r="F227" s="138" t="n"/>
      <c r="G227" s="146" t="n"/>
      <c r="H227" s="147" t="n"/>
      <c r="I227" s="153" t="n"/>
      <c r="J227" s="152" t="n"/>
      <c r="K227" s="36" t="n"/>
      <c r="L227" s="36" t="n"/>
      <c r="M227" s="148" t="n"/>
      <c r="N227" s="36" t="n"/>
      <c r="O227" s="36" t="n"/>
    </row>
    <row r="228" hidden="1" ht="30" customHeight="1">
      <c r="A228" s="154" t="n"/>
      <c r="B228" s="35" t="n"/>
      <c r="C228" s="146" t="n"/>
      <c r="D228" s="138" t="n"/>
      <c r="E228" s="147" t="n"/>
      <c r="F228" s="138" t="n"/>
      <c r="G228" s="146" t="n"/>
      <c r="H228" s="147" t="n"/>
      <c r="I228" s="153" t="n"/>
      <c r="J228" s="152" t="n"/>
      <c r="K228" s="36" t="n"/>
      <c r="L228" s="36" t="n"/>
      <c r="M228" s="148" t="n"/>
      <c r="N228" s="36" t="n"/>
      <c r="O228" s="36" t="n"/>
    </row>
    <row r="229" hidden="1" ht="30" customHeight="1">
      <c r="A229" s="154" t="n"/>
      <c r="B229" s="35" t="n"/>
      <c r="C229" s="146" t="n"/>
      <c r="D229" s="138" t="n"/>
      <c r="E229" s="147" t="n"/>
      <c r="F229" s="138" t="n"/>
      <c r="G229" s="146" t="n"/>
      <c r="H229" s="147" t="n"/>
      <c r="I229" s="153" t="n"/>
      <c r="J229" s="152" t="n"/>
      <c r="K229" s="36" t="n"/>
      <c r="L229" s="36" t="n"/>
      <c r="M229" s="148" t="n"/>
      <c r="N229" s="36" t="n"/>
      <c r="O229" s="36" t="n"/>
    </row>
    <row r="230" hidden="1" ht="30" customHeight="1">
      <c r="A230" s="154" t="n"/>
      <c r="B230" s="35" t="n"/>
      <c r="C230" s="146" t="n"/>
      <c r="D230" s="138" t="n"/>
      <c r="E230" s="147" t="n"/>
      <c r="F230" s="138" t="n"/>
      <c r="G230" s="146" t="n"/>
      <c r="H230" s="147" t="n"/>
      <c r="I230" s="153" t="n"/>
      <c r="J230" s="152" t="n"/>
      <c r="K230" s="36" t="n"/>
      <c r="L230" s="36" t="n"/>
      <c r="M230" s="148" t="n"/>
      <c r="N230" s="36" t="n"/>
      <c r="O230" s="36" t="n"/>
    </row>
    <row r="231" hidden="1" ht="30" customHeight="1">
      <c r="A231" s="154" t="n"/>
      <c r="B231" s="35" t="n"/>
      <c r="C231" s="146" t="n"/>
      <c r="D231" s="138" t="n"/>
      <c r="E231" s="147" t="n"/>
      <c r="F231" s="138" t="n"/>
      <c r="G231" s="146" t="n"/>
      <c r="H231" s="147" t="n"/>
      <c r="I231" s="153" t="n"/>
      <c r="J231" s="152" t="n"/>
      <c r="K231" s="36" t="n"/>
      <c r="L231" s="36" t="n"/>
      <c r="M231" s="148" t="n"/>
      <c r="N231" s="36" t="n"/>
      <c r="O231" s="36" t="n"/>
    </row>
    <row r="232" hidden="1" ht="30" customHeight="1">
      <c r="A232" s="154" t="n"/>
      <c r="B232" s="35" t="n"/>
      <c r="C232" s="146" t="n"/>
      <c r="D232" s="138" t="n"/>
      <c r="E232" s="147" t="n"/>
      <c r="F232" s="138" t="n"/>
      <c r="G232" s="146" t="n"/>
      <c r="H232" s="147" t="n"/>
      <c r="I232" s="153" t="n"/>
      <c r="J232" s="152" t="n"/>
      <c r="K232" s="36" t="n"/>
      <c r="L232" s="36" t="n"/>
      <c r="M232" s="148" t="n"/>
      <c r="N232" s="36" t="n"/>
      <c r="O232" s="36" t="n"/>
    </row>
    <row r="233" hidden="1" ht="30" customHeight="1">
      <c r="A233" s="154" t="n"/>
      <c r="B233" s="35" t="n"/>
      <c r="C233" s="146" t="n"/>
      <c r="D233" s="138" t="n"/>
      <c r="E233" s="147" t="n"/>
      <c r="F233" s="138" t="n"/>
      <c r="G233" s="146" t="n"/>
      <c r="H233" s="147" t="n"/>
      <c r="I233" s="153" t="n"/>
      <c r="J233" s="152" t="n"/>
      <c r="K233" s="36" t="n"/>
      <c r="L233" s="36" t="n"/>
      <c r="M233" s="148" t="n"/>
      <c r="N233" s="36" t="n"/>
      <c r="O233" s="36" t="n"/>
    </row>
    <row r="234" hidden="1" ht="30" customHeight="1">
      <c r="A234" s="154" t="n"/>
      <c r="B234" s="35" t="n"/>
      <c r="C234" s="146" t="n"/>
      <c r="D234" s="138" t="n"/>
      <c r="E234" s="147" t="n"/>
      <c r="F234" s="138" t="n"/>
      <c r="G234" s="146" t="n"/>
      <c r="H234" s="147" t="n"/>
      <c r="I234" s="153" t="n"/>
      <c r="J234" s="152" t="n"/>
      <c r="K234" s="36" t="n"/>
      <c r="L234" s="36" t="n"/>
      <c r="M234" s="148" t="n"/>
      <c r="N234" s="36" t="n"/>
      <c r="O234" s="36" t="n"/>
    </row>
    <row r="235" hidden="1" ht="30" customHeight="1">
      <c r="A235" s="154" t="n"/>
      <c r="B235" s="35" t="n"/>
      <c r="C235" s="146" t="n"/>
      <c r="D235" s="138" t="n"/>
      <c r="E235" s="147" t="n"/>
      <c r="F235" s="138" t="n"/>
      <c r="G235" s="146" t="n"/>
      <c r="H235" s="147" t="n"/>
      <c r="I235" s="153" t="n"/>
      <c r="J235" s="152" t="n"/>
      <c r="K235" s="36" t="n"/>
      <c r="L235" s="36" t="n"/>
      <c r="M235" s="148" t="n"/>
      <c r="N235" s="36" t="n"/>
      <c r="O235" s="36" t="n"/>
    </row>
    <row r="236" hidden="1" ht="30" customHeight="1">
      <c r="A236" s="154" t="n"/>
      <c r="B236" s="35" t="n"/>
      <c r="C236" s="146" t="n"/>
      <c r="D236" s="138" t="n"/>
      <c r="E236" s="147" t="n"/>
      <c r="F236" s="138" t="n"/>
      <c r="G236" s="146" t="n"/>
      <c r="H236" s="147" t="n"/>
      <c r="I236" s="153" t="n"/>
      <c r="J236" s="152" t="n"/>
      <c r="K236" s="36" t="n"/>
      <c r="L236" s="36" t="n"/>
      <c r="M236" s="148" t="n"/>
      <c r="N236" s="36" t="n"/>
      <c r="O236" s="36" t="n"/>
    </row>
    <row r="237" hidden="1" ht="30" customHeight="1">
      <c r="A237" s="154" t="n"/>
      <c r="B237" s="35" t="n"/>
      <c r="C237" s="146" t="n"/>
      <c r="D237" s="138" t="n"/>
      <c r="E237" s="147" t="n"/>
      <c r="F237" s="138" t="n"/>
      <c r="G237" s="146" t="n"/>
      <c r="H237" s="147" t="n"/>
      <c r="I237" s="153" t="n"/>
      <c r="J237" s="152" t="n"/>
      <c r="K237" s="36" t="n"/>
      <c r="L237" s="36" t="n"/>
      <c r="M237" s="148" t="n"/>
      <c r="N237" s="36" t="n"/>
      <c r="O237" s="36" t="n"/>
    </row>
    <row r="238" hidden="1" ht="30" customHeight="1">
      <c r="A238" s="154" t="n"/>
      <c r="B238" s="35" t="n"/>
      <c r="C238" s="146" t="n"/>
      <c r="D238" s="138" t="n"/>
      <c r="E238" s="147" t="n"/>
      <c r="F238" s="138" t="n"/>
      <c r="G238" s="146" t="n"/>
      <c r="H238" s="147" t="n"/>
      <c r="I238" s="153" t="n"/>
      <c r="J238" s="152" t="n"/>
      <c r="K238" s="36" t="n"/>
      <c r="L238" s="36" t="n"/>
      <c r="M238" s="148" t="n"/>
      <c r="N238" s="36" t="n"/>
      <c r="O238" s="36" t="n"/>
    </row>
    <row r="239" hidden="1" ht="30" customHeight="1">
      <c r="A239" s="154" t="n"/>
      <c r="B239" s="35" t="n"/>
      <c r="C239" s="146" t="n"/>
      <c r="D239" s="138" t="n"/>
      <c r="E239" s="147" t="n"/>
      <c r="F239" s="138" t="n"/>
      <c r="G239" s="146" t="n"/>
      <c r="H239" s="147" t="n"/>
      <c r="I239" s="153" t="n"/>
      <c r="J239" s="152" t="n"/>
      <c r="K239" s="36" t="n"/>
      <c r="L239" s="36" t="n"/>
      <c r="M239" s="148" t="n"/>
      <c r="N239" s="36" t="n"/>
      <c r="O239" s="36" t="n"/>
    </row>
    <row r="240" hidden="1" ht="30" customHeight="1">
      <c r="A240" s="154" t="n"/>
      <c r="B240" s="35" t="n"/>
      <c r="C240" s="146" t="n"/>
      <c r="D240" s="138" t="n"/>
      <c r="E240" s="147" t="n"/>
      <c r="F240" s="138" t="n"/>
      <c r="G240" s="146" t="n"/>
      <c r="H240" s="147" t="n"/>
      <c r="I240" s="153" t="n"/>
      <c r="J240" s="152" t="n"/>
      <c r="K240" s="36" t="n"/>
      <c r="L240" s="36" t="n"/>
      <c r="M240" s="148" t="n"/>
      <c r="N240" s="36" t="n"/>
      <c r="O240" s="36" t="n"/>
    </row>
    <row r="241" hidden="1" ht="30" customHeight="1">
      <c r="A241" s="154" t="n"/>
      <c r="B241" s="35" t="n"/>
      <c r="C241" s="146" t="n"/>
      <c r="D241" s="138" t="n"/>
      <c r="E241" s="147" t="n"/>
      <c r="F241" s="138" t="n"/>
      <c r="G241" s="146" t="n"/>
      <c r="H241" s="147" t="n"/>
      <c r="I241" s="153" t="n"/>
      <c r="J241" s="152" t="n"/>
      <c r="K241" s="36" t="n"/>
      <c r="L241" s="36" t="n"/>
      <c r="M241" s="148" t="n"/>
      <c r="N241" s="36" t="n"/>
      <c r="O241" s="36" t="n"/>
    </row>
    <row r="242" hidden="1" ht="30" customHeight="1">
      <c r="A242" s="154" t="n"/>
      <c r="B242" s="35" t="n"/>
      <c r="C242" s="146" t="n"/>
      <c r="D242" s="138" t="n"/>
      <c r="E242" s="147" t="n"/>
      <c r="F242" s="138" t="n"/>
      <c r="G242" s="146" t="n"/>
      <c r="H242" s="147" t="n"/>
      <c r="I242" s="153" t="n"/>
      <c r="J242" s="152" t="n"/>
      <c r="K242" s="36" t="n"/>
      <c r="L242" s="36" t="n"/>
      <c r="M242" s="148" t="n"/>
      <c r="N242" s="36" t="n"/>
      <c r="O242" s="36" t="n"/>
    </row>
    <row r="243" hidden="1" ht="30" customHeight="1">
      <c r="A243" s="154" t="n"/>
      <c r="B243" s="35" t="n"/>
      <c r="C243" s="146" t="n"/>
      <c r="D243" s="138" t="n"/>
      <c r="E243" s="147" t="n"/>
      <c r="F243" s="138" t="n"/>
      <c r="G243" s="146" t="n"/>
      <c r="H243" s="147" t="n"/>
      <c r="I243" s="153" t="n"/>
      <c r="J243" s="152" t="n"/>
      <c r="K243" s="36" t="n"/>
      <c r="L243" s="36" t="n"/>
      <c r="M243" s="148" t="n"/>
      <c r="N243" s="36" t="n"/>
      <c r="O243" s="36" t="n"/>
    </row>
    <row r="244" hidden="1" ht="30" customHeight="1">
      <c r="A244" s="154" t="n"/>
      <c r="B244" s="35" t="n"/>
      <c r="C244" s="146" t="n"/>
      <c r="D244" s="138" t="n"/>
      <c r="E244" s="147" t="n"/>
      <c r="F244" s="138" t="n"/>
      <c r="G244" s="146" t="n"/>
      <c r="H244" s="147" t="n"/>
      <c r="I244" s="153" t="n"/>
      <c r="J244" s="152" t="n"/>
      <c r="K244" s="36" t="n"/>
      <c r="L244" s="36" t="n"/>
      <c r="M244" s="148" t="n"/>
      <c r="N244" s="36" t="n"/>
      <c r="O244" s="36" t="n"/>
    </row>
    <row r="245" hidden="1" ht="30" customHeight="1">
      <c r="A245" s="154" t="n"/>
      <c r="B245" s="35" t="n"/>
      <c r="C245" s="146" t="n"/>
      <c r="D245" s="138" t="n"/>
      <c r="E245" s="147" t="n"/>
      <c r="F245" s="138" t="n"/>
      <c r="G245" s="146" t="n"/>
      <c r="H245" s="147" t="n"/>
      <c r="I245" s="153" t="n"/>
      <c r="J245" s="152" t="n"/>
      <c r="K245" s="36" t="n"/>
      <c r="L245" s="36" t="n"/>
      <c r="M245" s="148" t="n"/>
      <c r="N245" s="36" t="n"/>
      <c r="O245" s="36" t="n"/>
    </row>
    <row r="246" hidden="1" ht="30" customHeight="1">
      <c r="A246" s="154" t="n"/>
      <c r="B246" s="35" t="n"/>
      <c r="C246" s="146" t="n"/>
      <c r="D246" s="138" t="n"/>
      <c r="E246" s="147" t="n"/>
      <c r="F246" s="138" t="n"/>
      <c r="G246" s="146" t="n"/>
      <c r="H246" s="147" t="n"/>
      <c r="I246" s="153" t="n"/>
      <c r="J246" s="152" t="n"/>
      <c r="K246" s="36" t="n"/>
      <c r="L246" s="36" t="n"/>
      <c r="M246" s="148" t="n"/>
      <c r="N246" s="36" t="n"/>
      <c r="O246" s="36" t="n"/>
    </row>
    <row r="247" hidden="1" ht="30" customHeight="1">
      <c r="A247" s="154" t="n"/>
      <c r="B247" s="35" t="n"/>
      <c r="C247" s="146" t="n"/>
      <c r="D247" s="138" t="n"/>
      <c r="E247" s="147" t="n"/>
      <c r="F247" s="138" t="n"/>
      <c r="G247" s="146" t="n"/>
      <c r="H247" s="147" t="n"/>
      <c r="I247" s="153" t="n"/>
      <c r="J247" s="152" t="n"/>
      <c r="K247" s="36" t="n"/>
      <c r="L247" s="36" t="n"/>
      <c r="M247" s="148" t="n"/>
      <c r="N247" s="36" t="n"/>
      <c r="O247" s="36" t="n"/>
    </row>
    <row r="248" hidden="1" ht="30" customHeight="1">
      <c r="A248" s="154" t="n"/>
      <c r="B248" s="35" t="n"/>
      <c r="C248" s="146" t="n"/>
      <c r="D248" s="138" t="n"/>
      <c r="E248" s="147" t="n"/>
      <c r="F248" s="138" t="n"/>
      <c r="G248" s="146" t="n"/>
      <c r="H248" s="147" t="n"/>
      <c r="I248" s="153" t="n"/>
      <c r="J248" s="152" t="n"/>
      <c r="K248" s="36" t="n"/>
      <c r="L248" s="36" t="n"/>
      <c r="M248" s="148" t="n"/>
      <c r="N248" s="36" t="n"/>
      <c r="O248" s="36" t="n"/>
    </row>
    <row r="249" hidden="1" ht="30" customHeight="1">
      <c r="A249" s="154" t="n"/>
      <c r="B249" s="35" t="n"/>
      <c r="C249" s="146" t="n"/>
      <c r="D249" s="138" t="n"/>
      <c r="E249" s="147" t="n"/>
      <c r="F249" s="138" t="n"/>
      <c r="G249" s="146" t="n"/>
      <c r="H249" s="147" t="n"/>
      <c r="I249" s="153" t="n"/>
      <c r="J249" s="152" t="n"/>
      <c r="K249" s="36" t="n"/>
      <c r="L249" s="36" t="n"/>
      <c r="M249" s="148" t="n"/>
      <c r="N249" s="36" t="n"/>
      <c r="O249" s="36" t="n"/>
    </row>
    <row r="250" hidden="1" ht="30" customHeight="1">
      <c r="A250" s="154" t="n"/>
      <c r="B250" s="35" t="n"/>
      <c r="C250" s="146" t="n"/>
      <c r="D250" s="138" t="n"/>
      <c r="E250" s="147" t="n"/>
      <c r="F250" s="138" t="n"/>
      <c r="G250" s="146" t="n"/>
      <c r="H250" s="147" t="n"/>
      <c r="I250" s="153" t="n"/>
      <c r="J250" s="152" t="n"/>
      <c r="K250" s="36" t="n"/>
      <c r="L250" s="36" t="n"/>
      <c r="M250" s="148" t="n"/>
      <c r="N250" s="36" t="n"/>
      <c r="O250" s="36" t="n"/>
    </row>
    <row r="251" hidden="1" ht="30" customHeight="1">
      <c r="A251" s="154" t="n"/>
      <c r="B251" s="35" t="n"/>
      <c r="C251" s="146" t="n"/>
      <c r="D251" s="138" t="n"/>
      <c r="E251" s="147" t="n"/>
      <c r="F251" s="138" t="n"/>
      <c r="G251" s="146" t="n"/>
      <c r="H251" s="147" t="n"/>
      <c r="I251" s="153" t="n"/>
      <c r="J251" s="152" t="n"/>
      <c r="K251" s="36" t="n"/>
      <c r="L251" s="36" t="n"/>
      <c r="M251" s="148" t="n"/>
      <c r="N251" s="36" t="n"/>
      <c r="O251" s="36" t="n"/>
    </row>
    <row r="252" hidden="1" ht="30" customHeight="1">
      <c r="A252" s="154" t="n"/>
      <c r="B252" s="35" t="n"/>
      <c r="C252" s="146" t="n"/>
      <c r="D252" s="138" t="n"/>
      <c r="E252" s="147" t="n"/>
      <c r="F252" s="138" t="n"/>
      <c r="G252" s="146" t="n"/>
      <c r="H252" s="147" t="n"/>
      <c r="I252" s="153" t="n"/>
      <c r="J252" s="152" t="n"/>
      <c r="K252" s="36" t="n"/>
      <c r="L252" s="36" t="n"/>
      <c r="M252" s="148" t="n"/>
      <c r="N252" s="36" t="n"/>
      <c r="O252" s="36" t="n"/>
    </row>
    <row r="253" hidden="1" ht="30" customHeight="1">
      <c r="A253" s="154" t="n"/>
      <c r="B253" s="35" t="n"/>
      <c r="C253" s="146" t="n"/>
      <c r="D253" s="138" t="n"/>
      <c r="E253" s="147" t="n"/>
      <c r="F253" s="138" t="n"/>
      <c r="G253" s="146" t="n"/>
      <c r="H253" s="147" t="n"/>
      <c r="I253" s="153" t="n"/>
      <c r="J253" s="152" t="n"/>
      <c r="K253" s="36" t="n"/>
      <c r="L253" s="36" t="n"/>
      <c r="M253" s="148" t="n"/>
      <c r="N253" s="36" t="n"/>
      <c r="O253" s="36" t="n"/>
    </row>
    <row r="254" hidden="1" ht="30" customHeight="1">
      <c r="A254" s="154" t="n"/>
      <c r="B254" s="35" t="n"/>
      <c r="C254" s="146" t="n"/>
      <c r="D254" s="138" t="n"/>
      <c r="E254" s="147" t="n"/>
      <c r="F254" s="138" t="n"/>
      <c r="G254" s="146" t="n"/>
      <c r="H254" s="147" t="n"/>
      <c r="I254" s="153" t="n"/>
      <c r="J254" s="152" t="n"/>
      <c r="K254" s="36" t="n"/>
      <c r="L254" s="36" t="n"/>
      <c r="M254" s="148" t="n"/>
      <c r="N254" s="36" t="n"/>
      <c r="O254" s="36" t="n"/>
    </row>
    <row r="255" hidden="1" ht="30" customHeight="1">
      <c r="A255" s="154" t="n"/>
      <c r="B255" s="35" t="n"/>
      <c r="C255" s="146" t="n"/>
      <c r="D255" s="138" t="n"/>
      <c r="E255" s="147" t="n"/>
      <c r="F255" s="138" t="n"/>
      <c r="G255" s="146" t="n"/>
      <c r="H255" s="147" t="n"/>
      <c r="I255" s="153" t="n"/>
      <c r="J255" s="152" t="n"/>
      <c r="K255" s="36" t="n"/>
      <c r="L255" s="36" t="n"/>
      <c r="M255" s="148" t="n"/>
      <c r="N255" s="36" t="n"/>
      <c r="O255" s="36" t="n"/>
    </row>
    <row r="256" hidden="1" ht="30" customHeight="1">
      <c r="A256" s="154" t="n"/>
      <c r="B256" s="35" t="n"/>
      <c r="C256" s="146" t="n"/>
      <c r="D256" s="138" t="n"/>
      <c r="E256" s="147" t="n"/>
      <c r="F256" s="138" t="n"/>
      <c r="G256" s="146" t="n"/>
      <c r="H256" s="147" t="n"/>
      <c r="I256" s="153" t="n"/>
      <c r="J256" s="152" t="n"/>
      <c r="K256" s="36" t="n"/>
      <c r="L256" s="36" t="n"/>
      <c r="M256" s="148" t="n"/>
      <c r="N256" s="36" t="n"/>
      <c r="O256" s="36" t="n"/>
    </row>
    <row r="257" hidden="1" ht="30" customHeight="1">
      <c r="A257" s="154" t="n"/>
      <c r="B257" s="35" t="n"/>
      <c r="C257" s="146" t="n"/>
      <c r="D257" s="138" t="n"/>
      <c r="E257" s="147" t="n"/>
      <c r="F257" s="138" t="n"/>
      <c r="G257" s="146" t="n"/>
      <c r="H257" s="147" t="n"/>
      <c r="I257" s="153" t="n"/>
      <c r="J257" s="152" t="n"/>
      <c r="K257" s="36" t="n"/>
      <c r="L257" s="36" t="n"/>
      <c r="M257" s="148" t="n"/>
      <c r="N257" s="36" t="n"/>
      <c r="O257" s="36" t="n"/>
    </row>
    <row r="258" hidden="1" ht="30" customHeight="1">
      <c r="A258" s="154" t="n"/>
      <c r="B258" s="35" t="n"/>
      <c r="C258" s="146" t="n"/>
      <c r="D258" s="138" t="n"/>
      <c r="E258" s="147" t="n"/>
      <c r="F258" s="138" t="n"/>
      <c r="G258" s="146" t="n"/>
      <c r="H258" s="147" t="n"/>
      <c r="I258" s="153" t="n"/>
      <c r="J258" s="152" t="n"/>
      <c r="K258" s="36" t="n"/>
      <c r="L258" s="36" t="n"/>
      <c r="M258" s="148" t="n"/>
      <c r="N258" s="36" t="n"/>
      <c r="O258" s="36" t="n"/>
    </row>
    <row r="259" hidden="1" ht="30" customHeight="1">
      <c r="A259" s="154" t="n"/>
      <c r="B259" s="35" t="n"/>
      <c r="C259" s="146" t="n"/>
      <c r="D259" s="138" t="n"/>
      <c r="E259" s="147" t="n"/>
      <c r="F259" s="138" t="n"/>
      <c r="G259" s="146" t="n"/>
      <c r="H259" s="147" t="n"/>
      <c r="I259" s="153" t="n"/>
      <c r="J259" s="152" t="n"/>
      <c r="K259" s="36" t="n"/>
      <c r="L259" s="36" t="n"/>
      <c r="M259" s="148" t="n"/>
      <c r="N259" s="36" t="n"/>
      <c r="O259" s="36" t="n"/>
    </row>
    <row r="260" hidden="1" ht="30" customHeight="1">
      <c r="A260" s="154" t="n"/>
      <c r="B260" s="35" t="n"/>
      <c r="C260" s="146" t="n"/>
      <c r="D260" s="138" t="n"/>
      <c r="E260" s="147" t="n"/>
      <c r="F260" s="138" t="n"/>
      <c r="G260" s="146" t="n"/>
      <c r="H260" s="147" t="n"/>
      <c r="I260" s="153" t="n"/>
      <c r="J260" s="152" t="n"/>
      <c r="K260" s="36" t="n"/>
      <c r="L260" s="36" t="n"/>
      <c r="M260" s="148" t="n"/>
      <c r="N260" s="36" t="n"/>
      <c r="O260" s="36" t="n"/>
    </row>
    <row r="261" hidden="1" ht="30" customHeight="1">
      <c r="A261" s="154" t="n"/>
      <c r="B261" s="35" t="n"/>
      <c r="C261" s="146" t="n"/>
      <c r="D261" s="138" t="n"/>
      <c r="E261" s="147" t="n"/>
      <c r="F261" s="138" t="n"/>
      <c r="G261" s="146" t="n"/>
      <c r="H261" s="147" t="n"/>
      <c r="I261" s="153" t="n"/>
      <c r="J261" s="152" t="n"/>
      <c r="K261" s="36" t="n"/>
      <c r="L261" s="36" t="n"/>
      <c r="M261" s="148" t="n"/>
      <c r="N261" s="36" t="n"/>
      <c r="O261" s="36" t="n"/>
    </row>
    <row r="262" hidden="1" ht="30" customHeight="1">
      <c r="A262" s="154" t="n"/>
      <c r="B262" s="35" t="n"/>
      <c r="C262" s="146" t="n"/>
      <c r="D262" s="138" t="n"/>
      <c r="E262" s="147" t="n"/>
      <c r="F262" s="138" t="n"/>
      <c r="G262" s="146" t="n"/>
      <c r="H262" s="147" t="n"/>
      <c r="I262" s="153" t="n"/>
      <c r="J262" s="152" t="n"/>
      <c r="K262" s="36" t="n"/>
      <c r="L262" s="36" t="n"/>
      <c r="M262" s="148" t="n"/>
      <c r="N262" s="36" t="n"/>
      <c r="O262" s="36" t="n"/>
    </row>
    <row r="263" hidden="1" ht="30" customHeight="1">
      <c r="A263" s="154" t="n"/>
      <c r="B263" s="35" t="n"/>
      <c r="C263" s="146" t="n"/>
      <c r="D263" s="138" t="n"/>
      <c r="E263" s="147" t="n"/>
      <c r="F263" s="138" t="n"/>
      <c r="G263" s="146" t="n"/>
      <c r="H263" s="147" t="n"/>
      <c r="I263" s="153" t="n"/>
      <c r="J263" s="152" t="n"/>
      <c r="K263" s="36" t="n"/>
      <c r="L263" s="36" t="n"/>
      <c r="M263" s="148" t="n"/>
      <c r="N263" s="36" t="n"/>
      <c r="O263" s="36" t="n"/>
    </row>
    <row r="264" hidden="1" ht="30" customHeight="1">
      <c r="A264" s="154" t="n"/>
      <c r="B264" s="35" t="n"/>
      <c r="C264" s="146" t="n"/>
      <c r="D264" s="138" t="n"/>
      <c r="E264" s="147" t="n"/>
      <c r="F264" s="138" t="n"/>
      <c r="G264" s="146" t="n"/>
      <c r="H264" s="147" t="n"/>
      <c r="I264" s="153" t="n"/>
      <c r="J264" s="152" t="n"/>
      <c r="K264" s="36" t="n"/>
      <c r="L264" s="36" t="n"/>
      <c r="M264" s="148" t="n"/>
      <c r="N264" s="36" t="n"/>
      <c r="O264" s="36" t="n"/>
    </row>
    <row r="265" hidden="1" ht="30" customHeight="1">
      <c r="A265" s="154" t="n"/>
      <c r="B265" s="35" t="n"/>
      <c r="C265" s="146" t="n"/>
      <c r="D265" s="138" t="n"/>
      <c r="E265" s="147" t="n"/>
      <c r="F265" s="138" t="n"/>
      <c r="G265" s="146" t="n"/>
      <c r="H265" s="147" t="n"/>
      <c r="I265" s="153" t="n"/>
      <c r="J265" s="152" t="n"/>
      <c r="K265" s="36" t="n"/>
      <c r="L265" s="36" t="n"/>
      <c r="M265" s="148" t="n"/>
      <c r="N265" s="36" t="n"/>
      <c r="O265" s="36" t="n"/>
    </row>
    <row r="266" hidden="1" ht="30" customHeight="1">
      <c r="A266" s="154" t="n"/>
      <c r="B266" s="35" t="n"/>
      <c r="C266" s="146" t="n"/>
      <c r="D266" s="138" t="n"/>
      <c r="E266" s="147" t="n"/>
      <c r="F266" s="138" t="n"/>
      <c r="G266" s="146" t="n"/>
      <c r="H266" s="147" t="n"/>
      <c r="I266" s="153" t="n"/>
      <c r="J266" s="152" t="n"/>
      <c r="K266" s="36" t="n"/>
      <c r="L266" s="36" t="n"/>
      <c r="M266" s="148" t="n"/>
      <c r="N266" s="36" t="n"/>
      <c r="O266" s="36" t="n"/>
    </row>
    <row r="267" hidden="1" ht="30" customHeight="1">
      <c r="A267" s="154" t="n"/>
      <c r="B267" s="35" t="n"/>
      <c r="C267" s="146" t="n"/>
      <c r="D267" s="138" t="n"/>
      <c r="E267" s="147" t="n"/>
      <c r="F267" s="138" t="n"/>
      <c r="G267" s="146" t="n"/>
      <c r="H267" s="147" t="n"/>
      <c r="I267" s="153" t="n"/>
      <c r="J267" s="152" t="n"/>
      <c r="K267" s="36" t="n"/>
      <c r="L267" s="36" t="n"/>
      <c r="M267" s="148" t="n"/>
      <c r="N267" s="36" t="n"/>
      <c r="O267" s="36" t="n"/>
    </row>
    <row r="268" hidden="1" ht="30" customHeight="1">
      <c r="A268" s="154" t="n"/>
      <c r="B268" s="35" t="n"/>
      <c r="C268" s="146" t="n"/>
      <c r="D268" s="138" t="n"/>
      <c r="E268" s="147" t="n"/>
      <c r="F268" s="138" t="n"/>
      <c r="G268" s="146" t="n"/>
      <c r="H268" s="147" t="n"/>
      <c r="I268" s="153" t="n"/>
      <c r="J268" s="152" t="n"/>
      <c r="K268" s="36" t="n"/>
      <c r="L268" s="36" t="n"/>
      <c r="M268" s="148" t="n"/>
      <c r="N268" s="36" t="n"/>
      <c r="O268" s="36" t="n"/>
    </row>
    <row r="269" hidden="1" ht="30" customHeight="1">
      <c r="A269" s="154" t="n"/>
      <c r="B269" s="35" t="n"/>
      <c r="C269" s="146" t="n"/>
      <c r="D269" s="138" t="n"/>
      <c r="E269" s="147" t="n"/>
      <c r="F269" s="138" t="n"/>
      <c r="G269" s="146" t="n"/>
      <c r="H269" s="147" t="n"/>
      <c r="I269" s="153" t="n"/>
      <c r="J269" s="152" t="n"/>
      <c r="K269" s="36" t="n"/>
      <c r="L269" s="36" t="n"/>
      <c r="M269" s="148" t="n"/>
      <c r="N269" s="36" t="n"/>
      <c r="O269" s="36" t="n"/>
    </row>
    <row r="270" hidden="1" ht="30" customHeight="1">
      <c r="A270" s="154" t="n"/>
      <c r="B270" s="35" t="n"/>
      <c r="C270" s="146" t="n"/>
      <c r="D270" s="138" t="n"/>
      <c r="E270" s="147" t="n"/>
      <c r="F270" s="138" t="n"/>
      <c r="G270" s="146" t="n"/>
      <c r="H270" s="147" t="n"/>
      <c r="I270" s="153" t="n"/>
      <c r="J270" s="152" t="n"/>
      <c r="K270" s="36" t="n"/>
      <c r="L270" s="36" t="n"/>
      <c r="M270" s="148" t="n"/>
      <c r="N270" s="36" t="n"/>
      <c r="O270" s="36" t="n"/>
    </row>
    <row r="271" hidden="1" ht="30" customHeight="1">
      <c r="A271" s="154" t="n"/>
      <c r="B271" s="35" t="n"/>
      <c r="C271" s="146" t="n"/>
      <c r="D271" s="138" t="n"/>
      <c r="E271" s="147" t="n"/>
      <c r="F271" s="138" t="n"/>
      <c r="G271" s="146" t="n"/>
      <c r="H271" s="147" t="n"/>
      <c r="I271" s="153" t="n"/>
      <c r="J271" s="152" t="n"/>
      <c r="K271" s="36" t="n"/>
      <c r="L271" s="36" t="n"/>
      <c r="M271" s="148" t="n"/>
      <c r="N271" s="36" t="n"/>
      <c r="O271" s="36" t="n"/>
    </row>
    <row r="272" hidden="1" ht="30" customHeight="1">
      <c r="A272" s="154" t="n"/>
      <c r="B272" s="35" t="n"/>
      <c r="C272" s="146" t="n"/>
      <c r="D272" s="138" t="n"/>
      <c r="E272" s="147" t="n"/>
      <c r="F272" s="138" t="n"/>
      <c r="G272" s="146" t="n"/>
      <c r="H272" s="147" t="n"/>
      <c r="I272" s="153" t="n"/>
      <c r="J272" s="152" t="n"/>
      <c r="K272" s="36" t="n"/>
      <c r="L272" s="36" t="n"/>
      <c r="M272" s="148" t="n"/>
      <c r="N272" s="36" t="n"/>
      <c r="O272" s="36" t="n"/>
    </row>
    <row r="273" hidden="1" ht="30" customHeight="1">
      <c r="A273" s="154" t="n"/>
      <c r="B273" s="35" t="n"/>
      <c r="C273" s="146" t="n"/>
      <c r="D273" s="138" t="n"/>
      <c r="E273" s="147" t="n"/>
      <c r="F273" s="138" t="n"/>
      <c r="G273" s="146" t="n"/>
      <c r="H273" s="147" t="n"/>
      <c r="I273" s="153" t="n"/>
      <c r="J273" s="152" t="n"/>
      <c r="K273" s="36" t="n"/>
      <c r="L273" s="36" t="n"/>
      <c r="M273" s="148" t="n"/>
      <c r="N273" s="36" t="n"/>
      <c r="O273" s="36" t="n"/>
    </row>
    <row r="274" hidden="1" ht="30" customHeight="1">
      <c r="A274" s="154" t="n"/>
      <c r="B274" s="35" t="n"/>
      <c r="C274" s="146" t="n"/>
      <c r="D274" s="138" t="n"/>
      <c r="E274" s="147" t="n"/>
      <c r="F274" s="138" t="n"/>
      <c r="G274" s="146" t="n"/>
      <c r="H274" s="147" t="n"/>
      <c r="I274" s="153" t="n"/>
      <c r="J274" s="152" t="n"/>
      <c r="K274" s="36" t="n"/>
      <c r="L274" s="36" t="n"/>
      <c r="M274" s="148" t="n"/>
      <c r="N274" s="36" t="n"/>
      <c r="O274" s="36" t="n"/>
    </row>
    <row r="275" hidden="1" ht="30" customHeight="1">
      <c r="A275" s="154" t="n"/>
      <c r="B275" s="35" t="n"/>
      <c r="C275" s="146" t="n"/>
      <c r="D275" s="138" t="n"/>
      <c r="E275" s="147" t="n"/>
      <c r="F275" s="138" t="n"/>
      <c r="G275" s="146" t="n"/>
      <c r="H275" s="147" t="n"/>
      <c r="I275" s="153" t="n"/>
      <c r="J275" s="152" t="n"/>
      <c r="K275" s="36" t="n"/>
      <c r="L275" s="36" t="n"/>
      <c r="M275" s="148" t="n"/>
      <c r="N275" s="36" t="n"/>
      <c r="O275" s="36" t="n"/>
    </row>
    <row r="276" hidden="1" ht="30" customHeight="1">
      <c r="A276" s="154" t="n"/>
      <c r="B276" s="35" t="n"/>
      <c r="C276" s="146" t="n"/>
      <c r="D276" s="138" t="n"/>
      <c r="E276" s="147" t="n"/>
      <c r="F276" s="138" t="n"/>
      <c r="G276" s="146" t="n"/>
      <c r="H276" s="147" t="n"/>
      <c r="I276" s="153" t="n"/>
      <c r="J276" s="152" t="n"/>
      <c r="K276" s="36" t="n"/>
      <c r="L276" s="36" t="n"/>
      <c r="M276" s="148" t="n"/>
      <c r="N276" s="36" t="n"/>
      <c r="O276" s="36" t="n"/>
    </row>
    <row r="277" hidden="1" ht="30" customHeight="1">
      <c r="A277" s="154" t="n"/>
      <c r="B277" s="35" t="n"/>
      <c r="C277" s="146" t="n"/>
      <c r="D277" s="138" t="n"/>
      <c r="E277" s="147" t="n"/>
      <c r="F277" s="138" t="n"/>
      <c r="G277" s="146" t="n"/>
      <c r="H277" s="147" t="n"/>
      <c r="I277" s="153" t="n"/>
      <c r="J277" s="152" t="n"/>
      <c r="K277" s="36" t="n"/>
      <c r="L277" s="36" t="n"/>
      <c r="M277" s="148" t="n"/>
      <c r="N277" s="36" t="n"/>
      <c r="O277" s="36" t="n"/>
    </row>
    <row r="278" hidden="1" ht="30" customHeight="1">
      <c r="A278" s="154" t="n"/>
      <c r="B278" s="35" t="n"/>
      <c r="C278" s="146" t="n"/>
      <c r="D278" s="138" t="n"/>
      <c r="E278" s="147" t="n"/>
      <c r="F278" s="138" t="n"/>
      <c r="G278" s="146" t="n"/>
      <c r="H278" s="147" t="n"/>
      <c r="I278" s="153" t="n"/>
      <c r="J278" s="152" t="n"/>
      <c r="K278" s="36" t="n"/>
      <c r="L278" s="36" t="n"/>
      <c r="M278" s="148" t="n"/>
      <c r="N278" s="36" t="n"/>
      <c r="O278" s="36" t="n"/>
    </row>
    <row r="279" hidden="1" ht="30" customHeight="1">
      <c r="A279" s="154" t="n"/>
      <c r="B279" s="35" t="n"/>
      <c r="C279" s="146" t="n"/>
      <c r="D279" s="138" t="n"/>
      <c r="E279" s="147" t="n"/>
      <c r="F279" s="138" t="n"/>
      <c r="G279" s="146" t="n"/>
      <c r="H279" s="147" t="n"/>
      <c r="I279" s="153" t="n"/>
      <c r="J279" s="152" t="n"/>
      <c r="K279" s="36" t="n"/>
      <c r="L279" s="36" t="n"/>
      <c r="M279" s="148" t="n"/>
      <c r="N279" s="36" t="n"/>
      <c r="O279" s="36" t="n"/>
    </row>
    <row r="280" hidden="1" ht="30" customHeight="1">
      <c r="A280" s="154" t="n"/>
      <c r="B280" s="35" t="n"/>
      <c r="C280" s="146" t="n"/>
      <c r="D280" s="138" t="n"/>
      <c r="E280" s="147" t="n"/>
      <c r="F280" s="138" t="n"/>
      <c r="G280" s="146" t="n"/>
      <c r="H280" s="147" t="n"/>
      <c r="I280" s="153" t="n"/>
      <c r="J280" s="152" t="n"/>
      <c r="K280" s="36" t="n"/>
      <c r="L280" s="36" t="n"/>
      <c r="M280" s="148" t="n"/>
      <c r="N280" s="36" t="n"/>
      <c r="O280" s="36" t="n"/>
    </row>
    <row r="281" hidden="1" ht="30" customHeight="1">
      <c r="A281" s="154" t="n"/>
      <c r="B281" s="35" t="n"/>
      <c r="C281" s="146" t="n"/>
      <c r="D281" s="138" t="n"/>
      <c r="E281" s="147" t="n"/>
      <c r="F281" s="138" t="n"/>
      <c r="G281" s="146" t="n"/>
      <c r="H281" s="147" t="n"/>
      <c r="I281" s="153" t="n"/>
      <c r="J281" s="152" t="n"/>
      <c r="K281" s="36" t="n"/>
      <c r="L281" s="36" t="n"/>
      <c r="M281" s="148" t="n"/>
      <c r="N281" s="36" t="n"/>
      <c r="O281" s="36" t="n"/>
    </row>
    <row r="282" hidden="1" ht="30" customHeight="1">
      <c r="A282" s="154" t="n"/>
      <c r="B282" s="35" t="n"/>
      <c r="C282" s="146" t="n"/>
      <c r="D282" s="138" t="n"/>
      <c r="E282" s="147" t="n"/>
      <c r="F282" s="138" t="n"/>
      <c r="G282" s="146" t="n"/>
      <c r="H282" s="147" t="n"/>
      <c r="I282" s="153" t="n"/>
      <c r="J282" s="152" t="n"/>
      <c r="K282" s="36" t="n"/>
      <c r="L282" s="36" t="n"/>
      <c r="M282" s="148" t="n"/>
      <c r="N282" s="36" t="n"/>
      <c r="O282" s="36" t="n"/>
    </row>
    <row r="283" hidden="1" ht="30" customHeight="1">
      <c r="A283" s="154" t="n"/>
      <c r="B283" s="35" t="n"/>
      <c r="C283" s="146" t="n"/>
      <c r="D283" s="138" t="n"/>
      <c r="E283" s="147" t="n"/>
      <c r="F283" s="138" t="n"/>
      <c r="G283" s="146" t="n"/>
      <c r="H283" s="147" t="n"/>
      <c r="I283" s="153" t="n"/>
      <c r="J283" s="152" t="n"/>
      <c r="K283" s="36" t="n"/>
      <c r="L283" s="36" t="n"/>
      <c r="M283" s="148" t="n"/>
      <c r="N283" s="36" t="n"/>
      <c r="O283" s="36" t="n"/>
    </row>
    <row r="284" hidden="1" ht="30" customHeight="1">
      <c r="A284" s="154" t="n"/>
      <c r="B284" s="35" t="n"/>
      <c r="C284" s="146" t="n"/>
      <c r="D284" s="138" t="n"/>
      <c r="E284" s="147" t="n"/>
      <c r="F284" s="138" t="n"/>
      <c r="G284" s="146" t="n"/>
      <c r="H284" s="147" t="n"/>
      <c r="I284" s="153" t="n"/>
      <c r="J284" s="152" t="n"/>
      <c r="K284" s="36" t="n"/>
      <c r="L284" s="36" t="n"/>
      <c r="M284" s="148" t="n"/>
      <c r="N284" s="36" t="n"/>
      <c r="O284" s="36" t="n"/>
    </row>
    <row r="285" hidden="1" ht="30" customHeight="1">
      <c r="A285" s="154" t="n"/>
      <c r="B285" s="35" t="n"/>
      <c r="C285" s="146" t="n"/>
      <c r="D285" s="138" t="n"/>
      <c r="E285" s="147" t="n"/>
      <c r="F285" s="138" t="n"/>
      <c r="G285" s="146" t="n"/>
      <c r="H285" s="147" t="n"/>
      <c r="I285" s="153" t="n"/>
      <c r="J285" s="152" t="n"/>
      <c r="K285" s="36" t="n"/>
      <c r="L285" s="36" t="n"/>
      <c r="M285" s="148" t="n"/>
      <c r="N285" s="36" t="n"/>
      <c r="O285" s="36" t="n"/>
    </row>
    <row r="286" hidden="1" ht="30" customHeight="1">
      <c r="A286" s="154" t="n"/>
      <c r="B286" s="35" t="n"/>
      <c r="C286" s="146" t="n"/>
      <c r="D286" s="138" t="n"/>
      <c r="E286" s="147" t="n"/>
      <c r="F286" s="138" t="n"/>
      <c r="G286" s="146" t="n"/>
      <c r="H286" s="147" t="n"/>
      <c r="I286" s="153" t="n"/>
      <c r="J286" s="152" t="n"/>
      <c r="K286" s="36" t="n"/>
      <c r="L286" s="36" t="n"/>
      <c r="M286" s="148" t="n"/>
      <c r="N286" s="36" t="n"/>
      <c r="O286" s="36" t="n"/>
    </row>
    <row r="287" hidden="1" ht="30" customHeight="1">
      <c r="A287" s="154" t="n"/>
      <c r="B287" s="35" t="n"/>
      <c r="C287" s="146" t="n"/>
      <c r="D287" s="138" t="n"/>
      <c r="E287" s="147" t="n"/>
      <c r="F287" s="138" t="n"/>
      <c r="G287" s="146" t="n"/>
      <c r="H287" s="147" t="n"/>
      <c r="I287" s="153" t="n"/>
      <c r="J287" s="152" t="n"/>
      <c r="K287" s="36" t="n"/>
      <c r="L287" s="36" t="n"/>
      <c r="M287" s="148" t="n"/>
      <c r="N287" s="36" t="n"/>
      <c r="O287" s="36" t="n"/>
    </row>
    <row r="288" hidden="1" ht="30" customHeight="1">
      <c r="A288" s="154" t="n"/>
      <c r="B288" s="35" t="n"/>
      <c r="C288" s="146" t="n"/>
      <c r="D288" s="138" t="n"/>
      <c r="E288" s="147" t="n"/>
      <c r="F288" s="138" t="n"/>
      <c r="G288" s="146" t="n"/>
      <c r="H288" s="147" t="n"/>
      <c r="I288" s="153" t="n"/>
      <c r="J288" s="152" t="n"/>
      <c r="K288" s="36" t="n"/>
      <c r="L288" s="36" t="n"/>
      <c r="M288" s="148" t="n"/>
      <c r="N288" s="36" t="n"/>
      <c r="O288" s="36" t="n"/>
    </row>
    <row r="289" hidden="1" ht="30" customHeight="1">
      <c r="A289" s="154" t="n"/>
      <c r="B289" s="35" t="n"/>
      <c r="C289" s="146" t="n"/>
      <c r="D289" s="138" t="n"/>
      <c r="E289" s="147" t="n"/>
      <c r="F289" s="138" t="n"/>
      <c r="G289" s="146" t="n"/>
      <c r="H289" s="147" t="n"/>
      <c r="I289" s="153" t="n"/>
      <c r="J289" s="152" t="n"/>
      <c r="K289" s="36" t="n"/>
      <c r="L289" s="36" t="n"/>
      <c r="M289" s="148" t="n"/>
      <c r="N289" s="36" t="n"/>
      <c r="O289" s="36" t="n"/>
    </row>
    <row r="290" hidden="1" ht="30" customHeight="1">
      <c r="A290" s="154" t="n"/>
      <c r="B290" s="35" t="n"/>
      <c r="C290" s="146" t="n"/>
      <c r="D290" s="138" t="n"/>
      <c r="E290" s="147" t="n"/>
      <c r="F290" s="138" t="n"/>
      <c r="G290" s="146" t="n"/>
      <c r="H290" s="147" t="n"/>
      <c r="I290" s="153" t="n"/>
      <c r="J290" s="152" t="n"/>
      <c r="K290" s="36" t="n"/>
      <c r="L290" s="36" t="n"/>
      <c r="M290" s="148" t="n"/>
      <c r="N290" s="36" t="n"/>
      <c r="O290" s="36" t="n"/>
    </row>
    <row r="291" hidden="1" ht="30" customHeight="1">
      <c r="A291" s="154" t="n"/>
      <c r="B291" s="35" t="n"/>
      <c r="C291" s="146" t="n"/>
      <c r="D291" s="138" t="n"/>
      <c r="E291" s="147" t="n"/>
      <c r="F291" s="138" t="n"/>
      <c r="G291" s="146" t="n"/>
      <c r="H291" s="147" t="n"/>
      <c r="I291" s="153" t="n"/>
      <c r="J291" s="152" t="n"/>
      <c r="K291" s="36" t="n"/>
      <c r="L291" s="36" t="n"/>
      <c r="M291" s="148" t="n"/>
      <c r="N291" s="36" t="n"/>
      <c r="O291" s="36" t="n"/>
    </row>
    <row r="292" hidden="1" ht="30" customHeight="1">
      <c r="A292" s="154" t="n"/>
      <c r="B292" s="35" t="n"/>
      <c r="C292" s="146" t="n"/>
      <c r="D292" s="138" t="n"/>
      <c r="E292" s="147" t="n"/>
      <c r="F292" s="138" t="n"/>
      <c r="G292" s="146" t="n"/>
      <c r="H292" s="147" t="n"/>
      <c r="I292" s="153" t="n"/>
      <c r="J292" s="152" t="n"/>
      <c r="K292" s="36" t="n"/>
      <c r="L292" s="36" t="n"/>
      <c r="M292" s="148" t="n"/>
      <c r="N292" s="36" t="n"/>
      <c r="O292" s="36" t="n"/>
    </row>
    <row r="293" hidden="1" ht="30" customHeight="1">
      <c r="A293" s="154" t="n"/>
      <c r="B293" s="35" t="n"/>
      <c r="C293" s="146" t="n"/>
      <c r="D293" s="138" t="n"/>
      <c r="E293" s="147" t="n"/>
      <c r="F293" s="138" t="n"/>
      <c r="G293" s="146" t="n"/>
      <c r="H293" s="147" t="n"/>
      <c r="I293" s="153" t="n"/>
      <c r="J293" s="152" t="n"/>
      <c r="K293" s="36" t="n"/>
      <c r="L293" s="36" t="n"/>
      <c r="M293" s="148" t="n"/>
      <c r="N293" s="36" t="n"/>
      <c r="O293" s="36" t="n"/>
    </row>
    <row r="294" hidden="1" ht="30" customHeight="1">
      <c r="A294" s="154" t="n"/>
      <c r="B294" s="35" t="n"/>
      <c r="C294" s="146" t="n"/>
      <c r="D294" s="138" t="n"/>
      <c r="E294" s="147" t="n"/>
      <c r="F294" s="138" t="n"/>
      <c r="G294" s="146" t="n"/>
      <c r="H294" s="147" t="n"/>
      <c r="I294" s="153" t="n"/>
      <c r="J294" s="152" t="n"/>
      <c r="K294" s="36" t="n"/>
      <c r="L294" s="36" t="n"/>
      <c r="M294" s="148" t="n"/>
      <c r="N294" s="36" t="n"/>
      <c r="O294" s="36" t="n"/>
    </row>
    <row r="295" hidden="1" ht="30" customHeight="1">
      <c r="A295" s="154" t="n"/>
      <c r="B295" s="35" t="n"/>
      <c r="C295" s="146" t="n"/>
      <c r="D295" s="138" t="n"/>
      <c r="E295" s="147" t="n"/>
      <c r="F295" s="138" t="n"/>
      <c r="G295" s="146" t="n"/>
      <c r="H295" s="147" t="n"/>
      <c r="I295" s="153" t="n"/>
      <c r="J295" s="152" t="n"/>
      <c r="K295" s="36" t="n"/>
      <c r="L295" s="36" t="n"/>
      <c r="M295" s="148" t="n"/>
      <c r="N295" s="36" t="n"/>
      <c r="O295" s="36" t="n"/>
    </row>
    <row r="296" hidden="1" ht="30" customHeight="1">
      <c r="A296" s="154" t="n"/>
      <c r="B296" s="35" t="n"/>
      <c r="C296" s="146" t="n"/>
      <c r="D296" s="138" t="n"/>
      <c r="E296" s="147" t="n"/>
      <c r="F296" s="138" t="n"/>
      <c r="G296" s="146" t="n"/>
      <c r="H296" s="147" t="n"/>
      <c r="I296" s="153" t="n"/>
      <c r="J296" s="152" t="n"/>
      <c r="K296" s="36" t="n"/>
      <c r="L296" s="36" t="n"/>
      <c r="M296" s="148" t="n"/>
      <c r="N296" s="36" t="n"/>
      <c r="O296" s="36" t="n"/>
    </row>
    <row r="297" hidden="1" ht="30" customHeight="1">
      <c r="A297" s="154" t="n"/>
      <c r="B297" s="35" t="n"/>
      <c r="C297" s="146" t="n"/>
      <c r="D297" s="138" t="n"/>
      <c r="E297" s="147" t="n"/>
      <c r="F297" s="138" t="n"/>
      <c r="G297" s="146" t="n"/>
      <c r="H297" s="147" t="n"/>
      <c r="I297" s="153" t="n"/>
      <c r="J297" s="152" t="n"/>
      <c r="K297" s="36" t="n"/>
      <c r="L297" s="36" t="n"/>
      <c r="M297" s="148" t="n"/>
      <c r="N297" s="36" t="n"/>
      <c r="O297" s="36" t="n"/>
    </row>
    <row r="298" hidden="1" ht="30" customHeight="1">
      <c r="A298" s="154" t="n"/>
      <c r="B298" s="35" t="n"/>
      <c r="C298" s="146" t="n"/>
      <c r="D298" s="138" t="n"/>
      <c r="E298" s="147" t="n"/>
      <c r="F298" s="138" t="n"/>
      <c r="G298" s="146" t="n"/>
      <c r="H298" s="147" t="n"/>
      <c r="I298" s="153" t="n"/>
      <c r="J298" s="152" t="n"/>
      <c r="K298" s="36" t="n"/>
      <c r="L298" s="36" t="n"/>
      <c r="M298" s="148" t="n"/>
      <c r="N298" s="36" t="n"/>
      <c r="O298" s="36" t="n"/>
    </row>
    <row r="299" hidden="1" ht="30" customHeight="1">
      <c r="A299" s="154" t="n"/>
      <c r="B299" s="35" t="n"/>
      <c r="C299" s="146" t="n"/>
      <c r="D299" s="138" t="n"/>
      <c r="E299" s="147" t="n"/>
      <c r="F299" s="138" t="n"/>
      <c r="G299" s="146" t="n"/>
      <c r="H299" s="147" t="n"/>
      <c r="I299" s="153" t="n"/>
      <c r="J299" s="152" t="n"/>
      <c r="K299" s="36" t="n"/>
      <c r="L299" s="36" t="n"/>
      <c r="M299" s="148" t="n"/>
      <c r="N299" s="36" t="n"/>
      <c r="O299" s="36" t="n"/>
    </row>
    <row r="300" hidden="1" ht="30" customHeight="1">
      <c r="A300" s="154" t="n"/>
      <c r="B300" s="35" t="n"/>
      <c r="C300" s="146" t="n"/>
      <c r="D300" s="138" t="n"/>
      <c r="E300" s="147" t="n"/>
      <c r="F300" s="138" t="n"/>
      <c r="G300" s="146" t="n"/>
      <c r="H300" s="147" t="n"/>
      <c r="I300" s="153" t="n"/>
      <c r="J300" s="152" t="n"/>
      <c r="K300" s="36" t="n"/>
      <c r="L300" s="36" t="n"/>
      <c r="M300" s="148" t="n"/>
      <c r="N300" s="36" t="n"/>
      <c r="O300" s="36" t="n"/>
    </row>
    <row r="301" hidden="1" ht="30" customHeight="1">
      <c r="A301" s="154" t="n"/>
      <c r="B301" s="35" t="n"/>
      <c r="C301" s="146" t="n"/>
      <c r="D301" s="138" t="n"/>
      <c r="E301" s="147" t="n"/>
      <c r="F301" s="138" t="n"/>
      <c r="G301" s="146" t="n"/>
      <c r="H301" s="147" t="n"/>
      <c r="I301" s="153" t="n"/>
      <c r="J301" s="152" t="n"/>
      <c r="K301" s="36" t="n"/>
      <c r="L301" s="36" t="n"/>
      <c r="M301" s="148" t="n"/>
      <c r="N301" s="36" t="n"/>
      <c r="O301" s="36" t="n"/>
    </row>
    <row r="302" hidden="1" ht="30" customHeight="1">
      <c r="A302" s="154" t="n"/>
      <c r="B302" s="35" t="n"/>
      <c r="C302" s="146" t="n"/>
      <c r="D302" s="138" t="n"/>
      <c r="E302" s="147" t="n"/>
      <c r="F302" s="138" t="n"/>
      <c r="G302" s="146" t="n"/>
      <c r="H302" s="147" t="n"/>
      <c r="I302" s="153" t="n"/>
      <c r="J302" s="152" t="n"/>
      <c r="K302" s="36" t="n"/>
      <c r="L302" s="36" t="n"/>
      <c r="M302" s="148" t="n"/>
      <c r="N302" s="36" t="n"/>
      <c r="O302" s="36" t="n"/>
    </row>
    <row r="303" hidden="1" ht="30" customHeight="1">
      <c r="A303" s="154" t="n"/>
      <c r="B303" s="35" t="n"/>
      <c r="C303" s="146" t="n"/>
      <c r="D303" s="138" t="n"/>
      <c r="E303" s="147" t="n"/>
      <c r="F303" s="138" t="n"/>
      <c r="G303" s="146" t="n"/>
      <c r="H303" s="147" t="n"/>
      <c r="I303" s="153" t="n"/>
      <c r="J303" s="152" t="n"/>
      <c r="K303" s="36" t="n"/>
      <c r="L303" s="36" t="n"/>
      <c r="M303" s="148" t="n"/>
      <c r="N303" s="36" t="n"/>
      <c r="O303" s="36" t="n"/>
    </row>
    <row r="304" hidden="1" ht="30" customHeight="1">
      <c r="A304" s="154" t="n"/>
      <c r="B304" s="35" t="n"/>
      <c r="C304" s="146" t="n"/>
      <c r="D304" s="138" t="n"/>
      <c r="E304" s="147" t="n"/>
      <c r="F304" s="138" t="n"/>
      <c r="G304" s="146" t="n"/>
      <c r="H304" s="147" t="n"/>
      <c r="I304" s="153" t="n"/>
      <c r="J304" s="152" t="n"/>
      <c r="K304" s="36" t="n"/>
      <c r="L304" s="36" t="n"/>
      <c r="M304" s="148" t="n"/>
      <c r="N304" s="36" t="n"/>
      <c r="O304" s="36" t="n"/>
    </row>
    <row r="305" hidden="1" ht="30" customHeight="1">
      <c r="A305" s="154" t="n"/>
      <c r="B305" s="35" t="n"/>
      <c r="C305" s="146" t="n"/>
      <c r="D305" s="138" t="n"/>
      <c r="E305" s="147" t="n"/>
      <c r="F305" s="138" t="n"/>
      <c r="G305" s="146" t="n"/>
      <c r="H305" s="147" t="n"/>
      <c r="I305" s="153" t="n"/>
      <c r="J305" s="152" t="n"/>
      <c r="K305" s="36" t="n"/>
      <c r="L305" s="36" t="n"/>
      <c r="M305" s="148" t="n"/>
      <c r="N305" s="36" t="n"/>
      <c r="O305" s="36" t="n"/>
    </row>
    <row r="306" hidden="1" ht="30" customHeight="1">
      <c r="A306" s="154" t="n"/>
      <c r="B306" s="35" t="n"/>
      <c r="C306" s="146" t="n"/>
      <c r="D306" s="138" t="n"/>
      <c r="E306" s="147" t="n"/>
      <c r="F306" s="138" t="n"/>
      <c r="G306" s="146" t="n"/>
      <c r="H306" s="147" t="n"/>
      <c r="I306" s="153" t="n"/>
      <c r="J306" s="152" t="n"/>
      <c r="K306" s="36" t="n"/>
      <c r="L306" s="36" t="n"/>
      <c r="M306" s="148" t="n"/>
      <c r="N306" s="36" t="n"/>
      <c r="O306" s="36" t="n"/>
    </row>
    <row r="307" hidden="1" ht="30" customHeight="1">
      <c r="A307" s="154" t="n"/>
      <c r="B307" s="35" t="n"/>
      <c r="C307" s="146" t="n"/>
      <c r="D307" s="138" t="n"/>
      <c r="E307" s="147" t="n"/>
      <c r="F307" s="138" t="n"/>
      <c r="G307" s="146" t="n"/>
      <c r="H307" s="147" t="n"/>
      <c r="I307" s="153" t="n"/>
      <c r="J307" s="152" t="n"/>
      <c r="K307" s="36" t="n"/>
      <c r="L307" s="36" t="n"/>
      <c r="M307" s="148" t="n"/>
      <c r="N307" s="36" t="n"/>
      <c r="O307" s="36" t="n"/>
    </row>
    <row r="308" hidden="1" ht="30" customHeight="1">
      <c r="A308" s="154" t="n"/>
      <c r="B308" s="35" t="n"/>
      <c r="C308" s="146" t="n"/>
      <c r="D308" s="138" t="n"/>
      <c r="E308" s="147" t="n"/>
      <c r="F308" s="138" t="n"/>
      <c r="G308" s="146" t="n"/>
      <c r="H308" s="147" t="n"/>
      <c r="I308" s="153" t="n"/>
      <c r="J308" s="152" t="n"/>
      <c r="K308" s="36" t="n"/>
      <c r="L308" s="36" t="n"/>
      <c r="M308" s="148" t="n"/>
      <c r="N308" s="36" t="n"/>
      <c r="O308" s="36" t="n"/>
    </row>
    <row r="309" hidden="1" ht="30" customHeight="1">
      <c r="A309" s="154" t="n"/>
      <c r="B309" s="35" t="n"/>
      <c r="C309" s="146" t="n"/>
      <c r="D309" s="138" t="n"/>
      <c r="E309" s="147" t="n"/>
      <c r="F309" s="138" t="n"/>
      <c r="G309" s="146" t="n"/>
      <c r="H309" s="147" t="n"/>
      <c r="I309" s="153" t="n"/>
      <c r="J309" s="152" t="n"/>
      <c r="K309" s="36" t="n"/>
      <c r="L309" s="36" t="n"/>
      <c r="M309" s="148" t="n"/>
      <c r="N309" s="36" t="n"/>
      <c r="O309" s="36" t="n"/>
    </row>
    <row r="310" hidden="1" ht="30" customHeight="1">
      <c r="A310" s="154" t="n"/>
      <c r="B310" s="35" t="n"/>
      <c r="C310" s="146" t="n"/>
      <c r="D310" s="138" t="n"/>
      <c r="E310" s="147" t="n"/>
      <c r="F310" s="138" t="n"/>
      <c r="G310" s="146" t="n"/>
      <c r="H310" s="147" t="n"/>
      <c r="I310" s="153" t="n"/>
      <c r="J310" s="152" t="n"/>
      <c r="K310" s="36" t="n"/>
      <c r="L310" s="36" t="n"/>
      <c r="M310" s="148" t="n"/>
      <c r="N310" s="36" t="n"/>
      <c r="O310" s="36" t="n"/>
    </row>
    <row r="311" hidden="1" ht="30" customHeight="1">
      <c r="A311" s="154" t="n"/>
      <c r="B311" s="35" t="n"/>
      <c r="C311" s="146" t="n"/>
      <c r="D311" s="138" t="n"/>
      <c r="E311" s="147" t="n"/>
      <c r="F311" s="138" t="n"/>
      <c r="G311" s="146" t="n"/>
      <c r="H311" s="147" t="n"/>
      <c r="I311" s="153" t="n"/>
      <c r="J311" s="152" t="n"/>
      <c r="K311" s="36" t="n"/>
      <c r="L311" s="36" t="n"/>
      <c r="M311" s="148" t="n"/>
      <c r="N311" s="36" t="n"/>
      <c r="O311" s="36" t="n"/>
    </row>
    <row r="312" hidden="1" ht="30" customHeight="1">
      <c r="A312" s="154" t="n"/>
      <c r="B312" s="35" t="n"/>
      <c r="C312" s="146" t="n"/>
      <c r="D312" s="138" t="n"/>
      <c r="E312" s="147" t="n"/>
      <c r="F312" s="138" t="n"/>
      <c r="G312" s="146" t="n"/>
      <c r="H312" s="147" t="n"/>
      <c r="I312" s="153" t="n"/>
      <c r="J312" s="152" t="n"/>
      <c r="K312" s="36" t="n"/>
      <c r="L312" s="36" t="n"/>
      <c r="M312" s="148" t="n"/>
      <c r="N312" s="36" t="n"/>
      <c r="O312" s="36" t="n"/>
    </row>
    <row r="313" hidden="1" ht="30" customHeight="1">
      <c r="A313" s="154" t="n"/>
      <c r="B313" s="35" t="n"/>
      <c r="C313" s="146" t="n"/>
      <c r="D313" s="138" t="n"/>
      <c r="E313" s="147" t="n"/>
      <c r="F313" s="138" t="n"/>
      <c r="G313" s="146" t="n"/>
      <c r="H313" s="147" t="n"/>
      <c r="I313" s="153" t="n"/>
      <c r="J313" s="152" t="n"/>
      <c r="K313" s="36" t="n"/>
      <c r="L313" s="36" t="n"/>
      <c r="M313" s="148" t="n"/>
      <c r="N313" s="36" t="n"/>
      <c r="O313" s="36" t="n"/>
    </row>
    <row r="314" hidden="1" ht="30" customHeight="1">
      <c r="A314" s="154" t="n"/>
      <c r="B314" s="35" t="n"/>
      <c r="C314" s="146" t="n"/>
      <c r="D314" s="138" t="n"/>
      <c r="E314" s="147" t="n"/>
      <c r="F314" s="138" t="n"/>
      <c r="G314" s="146" t="n"/>
      <c r="H314" s="147" t="n"/>
      <c r="I314" s="153" t="n"/>
      <c r="J314" s="152" t="n"/>
      <c r="K314" s="36" t="n"/>
      <c r="L314" s="36" t="n"/>
      <c r="M314" s="148" t="n"/>
      <c r="N314" s="36" t="n"/>
      <c r="O314" s="36" t="n"/>
    </row>
    <row r="315" hidden="1" ht="30" customHeight="1">
      <c r="A315" s="154" t="n"/>
      <c r="B315" s="35" t="n"/>
      <c r="C315" s="146" t="n"/>
      <c r="D315" s="138" t="n"/>
      <c r="E315" s="147" t="n"/>
      <c r="F315" s="138" t="n"/>
      <c r="G315" s="146" t="n"/>
      <c r="H315" s="147" t="n"/>
      <c r="I315" s="153" t="n"/>
      <c r="J315" s="152" t="n"/>
      <c r="K315" s="36" t="n"/>
      <c r="L315" s="36" t="n"/>
      <c r="M315" s="148" t="n"/>
      <c r="N315" s="36" t="n"/>
      <c r="O315" s="36" t="n"/>
    </row>
    <row r="316" hidden="1" ht="30" customHeight="1">
      <c r="A316" s="154" t="n"/>
      <c r="B316" s="35" t="n"/>
      <c r="C316" s="146" t="n"/>
      <c r="D316" s="138" t="n"/>
      <c r="E316" s="147" t="n"/>
      <c r="F316" s="138" t="n"/>
      <c r="G316" s="146" t="n"/>
      <c r="H316" s="147" t="n"/>
      <c r="I316" s="153" t="n"/>
      <c r="J316" s="152" t="n"/>
      <c r="K316" s="36" t="n"/>
      <c r="L316" s="36" t="n"/>
      <c r="M316" s="148" t="n"/>
      <c r="N316" s="36" t="n"/>
      <c r="O316" s="36" t="n"/>
    </row>
    <row r="317" hidden="1" ht="30" customHeight="1">
      <c r="A317" s="154" t="n"/>
      <c r="B317" s="35" t="n"/>
      <c r="C317" s="146" t="n"/>
      <c r="D317" s="138" t="n"/>
      <c r="E317" s="147" t="n"/>
      <c r="F317" s="138" t="n"/>
      <c r="G317" s="146" t="n"/>
      <c r="H317" s="147" t="n"/>
      <c r="I317" s="153" t="n"/>
      <c r="J317" s="152" t="n"/>
      <c r="K317" s="36" t="n"/>
      <c r="L317" s="36" t="n"/>
      <c r="M317" s="148" t="n"/>
      <c r="N317" s="36" t="n"/>
      <c r="O317" s="36" t="n"/>
    </row>
    <row r="318" hidden="1" ht="30" customHeight="1">
      <c r="A318" s="154" t="n"/>
      <c r="B318" s="35" t="n"/>
      <c r="C318" s="146" t="n"/>
      <c r="D318" s="138" t="n"/>
      <c r="E318" s="147" t="n"/>
      <c r="F318" s="138" t="n"/>
      <c r="G318" s="146" t="n"/>
      <c r="H318" s="147" t="n"/>
      <c r="I318" s="153" t="n"/>
      <c r="J318" s="152" t="n"/>
      <c r="K318" s="36" t="n"/>
      <c r="L318" s="36" t="n"/>
      <c r="M318" s="148" t="n"/>
      <c r="N318" s="36" t="n"/>
      <c r="O318" s="36" t="n"/>
    </row>
    <row r="319" hidden="1" ht="30" customHeight="1">
      <c r="A319" s="154" t="n"/>
      <c r="B319" s="35" t="n"/>
      <c r="C319" s="146" t="n"/>
      <c r="D319" s="138" t="n"/>
      <c r="E319" s="147" t="n"/>
      <c r="F319" s="138" t="n"/>
      <c r="G319" s="146" t="n"/>
      <c r="H319" s="147" t="n"/>
      <c r="I319" s="153" t="n"/>
      <c r="J319" s="152" t="n"/>
      <c r="K319" s="36" t="n"/>
      <c r="L319" s="36" t="n"/>
      <c r="M319" s="148" t="n"/>
      <c r="N319" s="36" t="n"/>
      <c r="O319" s="36" t="n"/>
    </row>
    <row r="320" hidden="1" ht="30" customHeight="1">
      <c r="A320" s="154" t="n"/>
      <c r="B320" s="35" t="n"/>
      <c r="C320" s="146" t="n"/>
      <c r="D320" s="138" t="n"/>
      <c r="E320" s="147" t="n"/>
      <c r="F320" s="138" t="n"/>
      <c r="G320" s="146" t="n"/>
      <c r="H320" s="147" t="n"/>
      <c r="I320" s="153" t="n"/>
      <c r="J320" s="152" t="n"/>
      <c r="K320" s="36" t="n"/>
      <c r="L320" s="36" t="n"/>
      <c r="M320" s="148" t="n"/>
      <c r="N320" s="36" t="n"/>
      <c r="O320" s="36" t="n"/>
    </row>
    <row r="321" hidden="1" ht="30" customHeight="1">
      <c r="A321" s="154" t="n"/>
      <c r="B321" s="35" t="n"/>
      <c r="C321" s="146" t="n"/>
      <c r="D321" s="138" t="n"/>
      <c r="E321" s="147" t="n"/>
      <c r="F321" s="138" t="n"/>
      <c r="G321" s="146" t="n"/>
      <c r="H321" s="147" t="n"/>
      <c r="I321" s="153" t="n"/>
      <c r="J321" s="152" t="n"/>
      <c r="K321" s="36" t="n"/>
      <c r="L321" s="36" t="n"/>
      <c r="M321" s="148" t="n"/>
      <c r="N321" s="36" t="n"/>
      <c r="O321" s="36" t="n"/>
    </row>
    <row r="322" hidden="1" ht="30" customHeight="1">
      <c r="A322" s="154" t="n"/>
      <c r="B322" s="35" t="n"/>
      <c r="C322" s="146" t="n"/>
      <c r="D322" s="138" t="n"/>
      <c r="E322" s="147" t="n"/>
      <c r="F322" s="138" t="n"/>
      <c r="G322" s="146" t="n"/>
      <c r="H322" s="147" t="n"/>
      <c r="I322" s="153" t="n"/>
      <c r="J322" s="152" t="n"/>
      <c r="K322" s="36" t="n"/>
      <c r="L322" s="36" t="n"/>
      <c r="M322" s="148" t="n"/>
      <c r="N322" s="36" t="n"/>
      <c r="O322" s="36" t="n"/>
    </row>
    <row r="323" hidden="1" ht="30" customHeight="1">
      <c r="A323" s="154" t="n"/>
      <c r="B323" s="35" t="n"/>
      <c r="C323" s="146" t="n"/>
      <c r="D323" s="138" t="n"/>
      <c r="E323" s="147" t="n"/>
      <c r="F323" s="138" t="n"/>
      <c r="G323" s="146" t="n"/>
      <c r="H323" s="147" t="n"/>
      <c r="I323" s="153" t="n"/>
      <c r="J323" s="152" t="n"/>
      <c r="K323" s="36" t="n"/>
      <c r="L323" s="36" t="n"/>
      <c r="M323" s="148" t="n"/>
      <c r="N323" s="36" t="n"/>
      <c r="O323" s="36" t="n"/>
    </row>
    <row r="324" hidden="1" ht="30" customHeight="1">
      <c r="A324" s="154" t="n"/>
      <c r="B324" s="35" t="n"/>
      <c r="C324" s="146" t="n"/>
      <c r="D324" s="138" t="n"/>
      <c r="E324" s="147" t="n"/>
      <c r="F324" s="138" t="n"/>
      <c r="G324" s="146" t="n"/>
      <c r="H324" s="147" t="n"/>
      <c r="I324" s="153" t="n"/>
      <c r="J324" s="152" t="n"/>
      <c r="K324" s="36" t="n"/>
      <c r="L324" s="36" t="n"/>
      <c r="M324" s="148" t="n"/>
      <c r="N324" s="36" t="n"/>
      <c r="O324" s="36" t="n"/>
    </row>
    <row r="325" hidden="1" ht="30" customHeight="1">
      <c r="A325" s="154" t="n"/>
      <c r="B325" s="35" t="n"/>
      <c r="C325" s="146" t="n"/>
      <c r="D325" s="138" t="n"/>
      <c r="E325" s="147" t="n"/>
      <c r="F325" s="138" t="n"/>
      <c r="G325" s="146" t="n"/>
      <c r="H325" s="147" t="n"/>
      <c r="I325" s="153" t="n"/>
      <c r="J325" s="152" t="n"/>
      <c r="K325" s="36" t="n"/>
      <c r="L325" s="36" t="n"/>
      <c r="M325" s="148" t="n"/>
      <c r="N325" s="36" t="n"/>
      <c r="O325" s="36" t="n"/>
    </row>
    <row r="326" hidden="1" ht="30" customHeight="1">
      <c r="A326" s="154" t="n"/>
      <c r="B326" s="35" t="n"/>
      <c r="C326" s="146" t="n"/>
      <c r="D326" s="138" t="n"/>
      <c r="E326" s="147" t="n"/>
      <c r="F326" s="138" t="n"/>
      <c r="G326" s="146" t="n"/>
      <c r="H326" s="147" t="n"/>
      <c r="I326" s="153" t="n"/>
      <c r="J326" s="152" t="n"/>
      <c r="K326" s="36" t="n"/>
      <c r="L326" s="36" t="n"/>
      <c r="M326" s="148" t="n"/>
      <c r="N326" s="36" t="n"/>
      <c r="O326" s="36" t="n"/>
    </row>
    <row r="327" hidden="1" ht="30" customHeight="1">
      <c r="A327" s="154" t="n"/>
      <c r="B327" s="35" t="n"/>
      <c r="C327" s="146" t="n"/>
      <c r="D327" s="138" t="n"/>
      <c r="E327" s="147" t="n"/>
      <c r="F327" s="138" t="n"/>
      <c r="G327" s="146" t="n"/>
      <c r="H327" s="147" t="n"/>
      <c r="I327" s="153" t="n"/>
      <c r="J327" s="152" t="n"/>
      <c r="K327" s="36" t="n"/>
      <c r="L327" s="36" t="n"/>
      <c r="M327" s="148" t="n"/>
      <c r="N327" s="36" t="n"/>
      <c r="O327" s="36" t="n"/>
    </row>
    <row r="328" hidden="1" ht="30" customHeight="1">
      <c r="A328" s="154" t="n"/>
      <c r="B328" s="35" t="n"/>
      <c r="C328" s="146" t="n"/>
      <c r="D328" s="138" t="n"/>
      <c r="E328" s="147" t="n"/>
      <c r="F328" s="138" t="n"/>
      <c r="G328" s="146" t="n"/>
      <c r="H328" s="147" t="n"/>
      <c r="I328" s="153" t="n"/>
      <c r="J328" s="152" t="n"/>
      <c r="K328" s="36" t="n"/>
      <c r="L328" s="36" t="n"/>
      <c r="M328" s="148" t="n"/>
      <c r="N328" s="36" t="n"/>
      <c r="O328" s="36" t="n"/>
    </row>
    <row r="329" hidden="1" ht="30" customHeight="1">
      <c r="A329" s="154" t="n"/>
      <c r="B329" s="35" t="n"/>
      <c r="C329" s="146" t="n"/>
      <c r="D329" s="138" t="n"/>
      <c r="E329" s="147" t="n"/>
      <c r="F329" s="138" t="n"/>
      <c r="G329" s="146" t="n"/>
      <c r="H329" s="147" t="n"/>
      <c r="I329" s="153" t="n"/>
      <c r="J329" s="152" t="n"/>
      <c r="K329" s="36" t="n"/>
      <c r="L329" s="36" t="n"/>
      <c r="M329" s="148" t="n"/>
      <c r="N329" s="36" t="n"/>
      <c r="O329" s="36" t="n"/>
    </row>
    <row r="330" hidden="1" ht="30" customHeight="1">
      <c r="A330" s="154" t="n"/>
      <c r="B330" s="35" t="n"/>
      <c r="C330" s="146" t="n"/>
      <c r="D330" s="138" t="n"/>
      <c r="E330" s="147" t="n"/>
      <c r="F330" s="138" t="n"/>
      <c r="G330" s="146" t="n"/>
      <c r="H330" s="147" t="n"/>
      <c r="I330" s="153" t="n"/>
      <c r="J330" s="152" t="n"/>
      <c r="K330" s="36" t="n"/>
      <c r="L330" s="36" t="n"/>
      <c r="M330" s="148" t="n"/>
      <c r="N330" s="36" t="n"/>
      <c r="O330" s="36" t="n"/>
    </row>
    <row r="331" hidden="1" ht="30" customHeight="1">
      <c r="A331" s="154" t="n"/>
      <c r="B331" s="35" t="n"/>
      <c r="C331" s="146" t="n"/>
      <c r="D331" s="138" t="n"/>
      <c r="E331" s="147" t="n"/>
      <c r="F331" s="138" t="n"/>
      <c r="G331" s="146" t="n"/>
      <c r="H331" s="147" t="n"/>
      <c r="I331" s="153" t="n"/>
      <c r="J331" s="152" t="n"/>
      <c r="K331" s="36" t="n"/>
      <c r="L331" s="36" t="n"/>
      <c r="M331" s="148" t="n"/>
      <c r="N331" s="36" t="n"/>
      <c r="O331" s="36" t="n"/>
    </row>
    <row r="332" hidden="1" ht="30" customHeight="1">
      <c r="A332" s="154" t="n"/>
      <c r="B332" s="35" t="n"/>
      <c r="C332" s="146" t="n"/>
      <c r="D332" s="138" t="n"/>
      <c r="E332" s="147" t="n"/>
      <c r="F332" s="138" t="n"/>
      <c r="G332" s="146" t="n"/>
      <c r="H332" s="147" t="n"/>
      <c r="I332" s="153" t="n"/>
      <c r="J332" s="152" t="n"/>
      <c r="K332" s="36" t="n"/>
      <c r="L332" s="36" t="n"/>
      <c r="M332" s="148" t="n"/>
      <c r="N332" s="36" t="n"/>
      <c r="O332" s="36" t="n"/>
    </row>
    <row r="333" hidden="1" ht="30" customHeight="1">
      <c r="A333" s="154" t="n"/>
      <c r="B333" s="35" t="n"/>
      <c r="C333" s="146" t="n"/>
      <c r="D333" s="138" t="n"/>
      <c r="E333" s="147" t="n"/>
      <c r="F333" s="138" t="n"/>
      <c r="G333" s="146" t="n"/>
      <c r="H333" s="147" t="n"/>
      <c r="I333" s="153" t="n"/>
      <c r="J333" s="152" t="n"/>
      <c r="K333" s="36" t="n"/>
      <c r="L333" s="36" t="n"/>
      <c r="M333" s="148" t="n"/>
      <c r="N333" s="36" t="n"/>
      <c r="O333" s="36" t="n"/>
    </row>
    <row r="334" hidden="1" ht="30" customHeight="1">
      <c r="A334" s="154" t="n"/>
      <c r="B334" s="35" t="n"/>
      <c r="C334" s="146" t="n"/>
      <c r="D334" s="138" t="n"/>
      <c r="E334" s="147" t="n"/>
      <c r="F334" s="138" t="n"/>
      <c r="G334" s="146" t="n"/>
      <c r="H334" s="147" t="n"/>
      <c r="I334" s="153" t="n"/>
      <c r="J334" s="152" t="n"/>
      <c r="K334" s="36" t="n"/>
      <c r="L334" s="36" t="n"/>
      <c r="M334" s="148" t="n"/>
      <c r="N334" s="36" t="n"/>
      <c r="O334" s="36" t="n"/>
    </row>
    <row r="335" hidden="1" ht="30" customHeight="1">
      <c r="A335" s="154" t="n"/>
      <c r="B335" s="35" t="n"/>
      <c r="C335" s="146" t="n"/>
      <c r="D335" s="138" t="n"/>
      <c r="E335" s="147" t="n"/>
      <c r="F335" s="138" t="n"/>
      <c r="G335" s="146" t="n"/>
      <c r="H335" s="147" t="n"/>
      <c r="I335" s="153" t="n"/>
      <c r="J335" s="152" t="n"/>
      <c r="K335" s="36" t="n"/>
      <c r="L335" s="36" t="n"/>
      <c r="M335" s="148" t="n"/>
      <c r="N335" s="36" t="n"/>
      <c r="O335" s="36" t="n"/>
    </row>
    <row r="336" hidden="1" ht="30" customHeight="1">
      <c r="A336" s="154" t="n"/>
      <c r="B336" s="35" t="n"/>
      <c r="C336" s="146" t="n"/>
      <c r="D336" s="138" t="n"/>
      <c r="E336" s="147" t="n"/>
      <c r="F336" s="138" t="n"/>
      <c r="G336" s="146" t="n"/>
      <c r="H336" s="147" t="n"/>
      <c r="I336" s="153" t="n"/>
      <c r="J336" s="152" t="n"/>
      <c r="K336" s="36" t="n"/>
      <c r="L336" s="36" t="n"/>
      <c r="M336" s="148" t="n"/>
      <c r="N336" s="36" t="n"/>
      <c r="O336" s="36" t="n"/>
    </row>
    <row r="337" hidden="1" ht="30" customHeight="1">
      <c r="A337" s="154" t="n"/>
      <c r="B337" s="35" t="n"/>
      <c r="C337" s="146" t="n"/>
      <c r="D337" s="138" t="n"/>
      <c r="E337" s="147" t="n"/>
      <c r="F337" s="138" t="n"/>
      <c r="G337" s="146" t="n"/>
      <c r="H337" s="147" t="n"/>
      <c r="I337" s="153" t="n"/>
      <c r="J337" s="152" t="n"/>
      <c r="K337" s="36" t="n"/>
      <c r="L337" s="36" t="n"/>
      <c r="M337" s="148" t="n"/>
      <c r="N337" s="36" t="n"/>
      <c r="O337" s="36" t="n"/>
    </row>
    <row r="338" hidden="1" ht="30" customHeight="1">
      <c r="A338" s="154" t="n"/>
      <c r="B338" s="35" t="n"/>
      <c r="C338" s="146" t="n"/>
      <c r="D338" s="138" t="n"/>
      <c r="E338" s="147" t="n"/>
      <c r="F338" s="138" t="n"/>
      <c r="G338" s="146" t="n"/>
      <c r="H338" s="147" t="n"/>
      <c r="I338" s="153" t="n"/>
      <c r="J338" s="152" t="n"/>
      <c r="K338" s="36" t="n"/>
      <c r="L338" s="36" t="n"/>
      <c r="M338" s="148" t="n"/>
      <c r="N338" s="36" t="n"/>
      <c r="O338" s="36" t="n"/>
    </row>
    <row r="339" hidden="1" ht="30" customHeight="1">
      <c r="A339" s="154" t="n"/>
      <c r="B339" s="35" t="n"/>
      <c r="C339" s="146" t="n"/>
      <c r="D339" s="138" t="n"/>
      <c r="E339" s="147" t="n"/>
      <c r="F339" s="138" t="n"/>
      <c r="G339" s="146" t="n"/>
      <c r="H339" s="147" t="n"/>
      <c r="I339" s="153" t="n"/>
      <c r="J339" s="152" t="n"/>
      <c r="K339" s="36" t="n"/>
      <c r="L339" s="36" t="n"/>
      <c r="M339" s="148" t="n"/>
      <c r="N339" s="36" t="n"/>
      <c r="O339" s="36" t="n"/>
    </row>
    <row r="340" hidden="1" ht="30" customHeight="1">
      <c r="A340" s="154" t="n"/>
      <c r="B340" s="35" t="n"/>
      <c r="C340" s="146" t="n"/>
      <c r="D340" s="138" t="n"/>
      <c r="E340" s="147" t="n"/>
      <c r="F340" s="138" t="n"/>
      <c r="G340" s="146" t="n"/>
      <c r="H340" s="147" t="n"/>
      <c r="I340" s="153" t="n"/>
      <c r="J340" s="152" t="n"/>
      <c r="K340" s="36" t="n"/>
      <c r="L340" s="36" t="n"/>
      <c r="M340" s="148" t="n"/>
      <c r="N340" s="36" t="n"/>
      <c r="O340" s="36" t="n"/>
    </row>
    <row r="341" hidden="1" ht="30" customHeight="1">
      <c r="A341" s="154" t="n"/>
      <c r="B341" s="35" t="n"/>
      <c r="C341" s="146" t="n"/>
      <c r="D341" s="138" t="n"/>
      <c r="E341" s="147" t="n"/>
      <c r="F341" s="138" t="n"/>
      <c r="G341" s="146" t="n"/>
      <c r="H341" s="147" t="n"/>
      <c r="I341" s="153" t="n"/>
      <c r="J341" s="152" t="n"/>
      <c r="K341" s="36" t="n"/>
      <c r="L341" s="36" t="n"/>
      <c r="M341" s="148" t="n"/>
      <c r="N341" s="36" t="n"/>
      <c r="O341" s="36" t="n"/>
    </row>
    <row r="342" hidden="1" ht="30" customHeight="1">
      <c r="A342" s="154" t="n"/>
      <c r="B342" s="35" t="n"/>
      <c r="C342" s="146" t="n"/>
      <c r="D342" s="138" t="n"/>
      <c r="E342" s="147" t="n"/>
      <c r="F342" s="138" t="n"/>
      <c r="G342" s="146" t="n"/>
      <c r="H342" s="147" t="n"/>
      <c r="I342" s="153" t="n"/>
      <c r="J342" s="152" t="n"/>
      <c r="K342" s="36" t="n"/>
      <c r="L342" s="36" t="n"/>
      <c r="M342" s="148" t="n"/>
      <c r="N342" s="36" t="n"/>
      <c r="O342" s="36" t="n"/>
    </row>
    <row r="343" hidden="1" ht="30" customHeight="1">
      <c r="A343" s="154" t="n"/>
      <c r="B343" s="35" t="n"/>
      <c r="C343" s="146" t="n"/>
      <c r="D343" s="138" t="n"/>
      <c r="E343" s="147" t="n"/>
      <c r="F343" s="138" t="n"/>
      <c r="G343" s="146" t="n"/>
      <c r="H343" s="147" t="n"/>
      <c r="I343" s="153" t="n"/>
      <c r="J343" s="152" t="n"/>
      <c r="K343" s="36" t="n"/>
      <c r="L343" s="36" t="n"/>
      <c r="M343" s="148" t="n"/>
      <c r="N343" s="36" t="n"/>
      <c r="O343" s="36" t="n"/>
    </row>
    <row r="344" hidden="1" ht="30" customHeight="1">
      <c r="A344" s="154" t="n"/>
      <c r="B344" s="35" t="n"/>
      <c r="C344" s="146" t="n"/>
      <c r="D344" s="138" t="n"/>
      <c r="E344" s="147" t="n"/>
      <c r="F344" s="138" t="n"/>
      <c r="G344" s="146" t="n"/>
      <c r="H344" s="147" t="n"/>
      <c r="I344" s="153" t="n"/>
      <c r="J344" s="152" t="n"/>
      <c r="K344" s="36" t="n"/>
      <c r="L344" s="36" t="n"/>
      <c r="M344" s="148" t="n"/>
      <c r="N344" s="36" t="n"/>
      <c r="O344" s="36" t="n"/>
    </row>
    <row r="345" hidden="1" ht="30" customHeight="1">
      <c r="A345" s="154" t="n"/>
      <c r="B345" s="35" t="n"/>
      <c r="C345" s="146" t="n"/>
      <c r="D345" s="138" t="n"/>
      <c r="E345" s="147" t="n"/>
      <c r="F345" s="138" t="n"/>
      <c r="G345" s="146" t="n"/>
      <c r="H345" s="147" t="n"/>
      <c r="I345" s="153" t="n"/>
      <c r="J345" s="152" t="n"/>
      <c r="K345" s="36" t="n"/>
      <c r="L345" s="36" t="n"/>
      <c r="M345" s="148" t="n"/>
      <c r="N345" s="36" t="n"/>
      <c r="O345" s="36" t="n"/>
    </row>
    <row r="346" hidden="1" ht="30" customHeight="1">
      <c r="A346" s="154" t="n"/>
      <c r="B346" s="35" t="n"/>
      <c r="C346" s="146" t="n"/>
      <c r="D346" s="138" t="n"/>
      <c r="E346" s="147" t="n"/>
      <c r="F346" s="138" t="n"/>
      <c r="G346" s="146" t="n"/>
      <c r="H346" s="147" t="n"/>
      <c r="I346" s="153" t="n"/>
      <c r="J346" s="152" t="n"/>
      <c r="K346" s="36" t="n"/>
      <c r="L346" s="36" t="n"/>
      <c r="M346" s="148" t="n"/>
      <c r="N346" s="36" t="n"/>
      <c r="O346" s="36" t="n"/>
    </row>
    <row r="347" hidden="1" ht="30" customHeight="1">
      <c r="A347" s="154" t="n"/>
      <c r="B347" s="35" t="n"/>
      <c r="C347" s="146" t="n"/>
      <c r="D347" s="138" t="n"/>
      <c r="E347" s="147" t="n"/>
      <c r="F347" s="138" t="n"/>
      <c r="G347" s="146" t="n"/>
      <c r="H347" s="147" t="n"/>
      <c r="I347" s="153" t="n"/>
      <c r="J347" s="152" t="n"/>
      <c r="K347" s="36" t="n"/>
      <c r="L347" s="36" t="n"/>
      <c r="M347" s="148" t="n"/>
      <c r="N347" s="36" t="n"/>
      <c r="O347" s="36" t="n"/>
    </row>
    <row r="348" hidden="1" ht="30" customHeight="1">
      <c r="A348" s="154" t="n"/>
      <c r="B348" s="35" t="n"/>
      <c r="C348" s="146" t="n"/>
      <c r="D348" s="138" t="n"/>
      <c r="E348" s="147" t="n"/>
      <c r="F348" s="138" t="n"/>
      <c r="G348" s="146" t="n"/>
      <c r="H348" s="147" t="n"/>
      <c r="I348" s="153" t="n"/>
      <c r="J348" s="152" t="n"/>
      <c r="K348" s="36" t="n"/>
      <c r="L348" s="36" t="n"/>
      <c r="M348" s="148" t="n"/>
      <c r="N348" s="36" t="n"/>
      <c r="O348" s="36" t="n"/>
    </row>
    <row r="349" hidden="1" ht="30" customHeight="1">
      <c r="A349" s="154" t="n"/>
      <c r="B349" s="35" t="n"/>
      <c r="C349" s="146" t="n"/>
      <c r="D349" s="138" t="n"/>
      <c r="E349" s="147" t="n"/>
      <c r="F349" s="138" t="n"/>
      <c r="G349" s="146" t="n"/>
      <c r="H349" s="147" t="n"/>
      <c r="I349" s="153" t="n"/>
      <c r="J349" s="152" t="n"/>
      <c r="K349" s="36" t="n"/>
      <c r="L349" s="36" t="n"/>
      <c r="M349" s="148" t="n"/>
      <c r="N349" s="36" t="n"/>
      <c r="O349" s="36" t="n"/>
    </row>
    <row r="350" hidden="1" ht="30" customHeight="1">
      <c r="A350" s="154" t="n"/>
      <c r="B350" s="35" t="n"/>
      <c r="C350" s="146" t="n"/>
      <c r="D350" s="138" t="n"/>
      <c r="E350" s="147" t="n"/>
      <c r="F350" s="138" t="n"/>
      <c r="G350" s="146" t="n"/>
      <c r="H350" s="147" t="n"/>
      <c r="I350" s="153" t="n"/>
      <c r="J350" s="152" t="n"/>
      <c r="K350" s="36" t="n"/>
      <c r="L350" s="36" t="n"/>
      <c r="M350" s="148" t="n"/>
      <c r="N350" s="36" t="n"/>
      <c r="O350" s="36" t="n"/>
    </row>
    <row r="351" hidden="1" ht="30" customHeight="1">
      <c r="A351" s="154" t="n"/>
      <c r="B351" s="35" t="n"/>
      <c r="C351" s="146" t="n"/>
      <c r="D351" s="138" t="n"/>
      <c r="E351" s="147" t="n"/>
      <c r="F351" s="138" t="n"/>
      <c r="G351" s="146" t="n"/>
      <c r="H351" s="147" t="n"/>
      <c r="I351" s="153" t="n"/>
      <c r="J351" s="152" t="n"/>
      <c r="K351" s="36" t="n"/>
      <c r="L351" s="36" t="n"/>
      <c r="M351" s="148" t="n"/>
      <c r="N351" s="36" t="n"/>
      <c r="O351" s="36" t="n"/>
    </row>
    <row r="352" hidden="1" ht="30" customHeight="1">
      <c r="A352" s="154" t="n"/>
      <c r="B352" s="35" t="n"/>
      <c r="C352" s="146" t="n"/>
      <c r="D352" s="138" t="n"/>
      <c r="E352" s="147" t="n"/>
      <c r="F352" s="138" t="n"/>
      <c r="G352" s="146" t="n"/>
      <c r="H352" s="147" t="n"/>
      <c r="I352" s="153" t="n"/>
      <c r="J352" s="152" t="n"/>
      <c r="K352" s="36" t="n"/>
      <c r="L352" s="36" t="n"/>
      <c r="M352" s="148" t="n"/>
      <c r="N352" s="36" t="n"/>
      <c r="O352" s="36" t="n"/>
    </row>
    <row r="353" hidden="1" ht="30" customHeight="1">
      <c r="A353" s="154" t="n"/>
      <c r="B353" s="35" t="n"/>
      <c r="C353" s="146" t="n"/>
      <c r="D353" s="138" t="n"/>
      <c r="E353" s="147" t="n"/>
      <c r="F353" s="138" t="n"/>
      <c r="G353" s="146" t="n"/>
      <c r="H353" s="147" t="n"/>
      <c r="I353" s="153" t="n"/>
      <c r="J353" s="152" t="n"/>
      <c r="K353" s="36" t="n"/>
      <c r="L353" s="36" t="n"/>
      <c r="M353" s="148" t="n"/>
      <c r="N353" s="36" t="n"/>
      <c r="O353" s="36" t="n"/>
    </row>
    <row r="354" hidden="1" ht="30" customHeight="1">
      <c r="A354" s="154" t="n"/>
      <c r="B354" s="35" t="n"/>
      <c r="C354" s="146" t="n"/>
      <c r="D354" s="138" t="n"/>
      <c r="E354" s="147" t="n"/>
      <c r="F354" s="138" t="n"/>
      <c r="G354" s="146" t="n"/>
      <c r="H354" s="147" t="n"/>
      <c r="I354" s="153" t="n"/>
      <c r="J354" s="152" t="n"/>
      <c r="K354" s="36" t="n"/>
      <c r="L354" s="36" t="n"/>
      <c r="M354" s="148" t="n"/>
      <c r="N354" s="36" t="n"/>
      <c r="O354" s="36" t="n"/>
    </row>
    <row r="355" hidden="1" ht="30" customHeight="1">
      <c r="A355" s="154" t="n"/>
      <c r="B355" s="35" t="n"/>
      <c r="C355" s="146" t="n"/>
      <c r="D355" s="138" t="n"/>
      <c r="E355" s="147" t="n"/>
      <c r="F355" s="138" t="n"/>
      <c r="G355" s="146" t="n"/>
      <c r="H355" s="147" t="n"/>
      <c r="I355" s="153" t="n"/>
      <c r="J355" s="152" t="n"/>
      <c r="K355" s="36" t="n"/>
      <c r="L355" s="36" t="n"/>
      <c r="M355" s="148" t="n"/>
      <c r="N355" s="36" t="n"/>
      <c r="O355" s="36" t="n"/>
    </row>
    <row r="356" hidden="1" ht="30" customHeight="1">
      <c r="A356" s="154" t="n"/>
      <c r="B356" s="35" t="n"/>
      <c r="C356" s="146" t="n"/>
      <c r="D356" s="138" t="n"/>
      <c r="E356" s="147" t="n"/>
      <c r="F356" s="138" t="n"/>
      <c r="G356" s="146" t="n"/>
      <c r="H356" s="147" t="n"/>
      <c r="I356" s="153" t="n"/>
      <c r="J356" s="152" t="n"/>
      <c r="K356" s="36" t="n"/>
      <c r="L356" s="36" t="n"/>
      <c r="M356" s="148" t="n"/>
      <c r="N356" s="36" t="n"/>
      <c r="O356" s="36" t="n"/>
    </row>
    <row r="357" hidden="1" ht="30" customHeight="1">
      <c r="A357" s="154" t="n"/>
      <c r="B357" s="35" t="n"/>
      <c r="C357" s="146" t="n"/>
      <c r="D357" s="138" t="n"/>
      <c r="E357" s="147" t="n"/>
      <c r="F357" s="138" t="n"/>
      <c r="G357" s="146" t="n"/>
      <c r="H357" s="147" t="n"/>
      <c r="I357" s="153" t="n"/>
      <c r="J357" s="152" t="n"/>
      <c r="K357" s="36" t="n"/>
      <c r="L357" s="36" t="n"/>
      <c r="M357" s="148" t="n"/>
      <c r="N357" s="36" t="n"/>
      <c r="O357" s="36" t="n"/>
    </row>
    <row r="358" hidden="1" ht="30" customHeight="1">
      <c r="A358" s="154" t="n"/>
      <c r="B358" s="35" t="n"/>
      <c r="C358" s="146" t="n"/>
      <c r="D358" s="138" t="n"/>
      <c r="E358" s="147" t="n"/>
      <c r="F358" s="138" t="n"/>
      <c r="G358" s="146" t="n"/>
      <c r="H358" s="147" t="n"/>
      <c r="I358" s="153" t="n"/>
      <c r="J358" s="152" t="n"/>
      <c r="K358" s="36" t="n"/>
      <c r="L358" s="36" t="n"/>
      <c r="M358" s="148" t="n"/>
      <c r="N358" s="36" t="n"/>
      <c r="O358" s="36" t="n"/>
    </row>
    <row r="359" hidden="1" ht="30" customHeight="1">
      <c r="A359" s="154" t="n"/>
      <c r="B359" s="35" t="n"/>
      <c r="C359" s="146" t="n"/>
      <c r="D359" s="138" t="n"/>
      <c r="E359" s="147" t="n"/>
      <c r="F359" s="138" t="n"/>
      <c r="G359" s="146" t="n"/>
      <c r="H359" s="147" t="n"/>
      <c r="I359" s="153" t="n"/>
      <c r="J359" s="152" t="n"/>
      <c r="K359" s="36" t="n"/>
      <c r="L359" s="36" t="n"/>
      <c r="M359" s="148" t="n"/>
      <c r="N359" s="36" t="n"/>
      <c r="O359" s="36" t="n"/>
    </row>
    <row r="360" hidden="1" ht="30" customHeight="1">
      <c r="A360" s="154" t="n"/>
      <c r="B360" s="35" t="n"/>
      <c r="C360" s="146" t="n"/>
      <c r="D360" s="138" t="n"/>
      <c r="E360" s="147" t="n"/>
      <c r="F360" s="138" t="n"/>
      <c r="G360" s="146" t="n"/>
      <c r="H360" s="147" t="n"/>
      <c r="I360" s="153" t="n"/>
      <c r="J360" s="152" t="n"/>
      <c r="K360" s="36" t="n"/>
      <c r="L360" s="36" t="n"/>
      <c r="M360" s="148" t="n"/>
      <c r="N360" s="36" t="n"/>
      <c r="O360" s="36" t="n"/>
    </row>
    <row r="361" hidden="1" ht="30" customHeight="1">
      <c r="A361" s="154" t="n"/>
      <c r="B361" s="35" t="n"/>
      <c r="C361" s="146" t="n"/>
      <c r="D361" s="138" t="n"/>
      <c r="E361" s="147" t="n"/>
      <c r="F361" s="138" t="n"/>
      <c r="G361" s="146" t="n"/>
      <c r="H361" s="147" t="n"/>
      <c r="I361" s="153" t="n"/>
      <c r="J361" s="152" t="n"/>
      <c r="K361" s="36" t="n"/>
      <c r="L361" s="36" t="n"/>
      <c r="M361" s="148" t="n"/>
      <c r="N361" s="36" t="n"/>
      <c r="O361" s="36" t="n"/>
    </row>
    <row r="362" hidden="1" ht="30" customHeight="1">
      <c r="A362" s="154" t="n"/>
      <c r="B362" s="35" t="n"/>
      <c r="C362" s="146" t="n"/>
      <c r="D362" s="138" t="n"/>
      <c r="E362" s="147" t="n"/>
      <c r="F362" s="138" t="n"/>
      <c r="G362" s="146" t="n"/>
      <c r="H362" s="147" t="n"/>
      <c r="I362" s="153" t="n"/>
      <c r="J362" s="152" t="n"/>
      <c r="K362" s="36" t="n"/>
      <c r="L362" s="36" t="n"/>
      <c r="M362" s="148" t="n"/>
      <c r="N362" s="36" t="n"/>
      <c r="O362" s="36" t="n"/>
    </row>
    <row r="363" hidden="1" ht="30" customHeight="1">
      <c r="A363" s="154" t="n"/>
      <c r="B363" s="35" t="n"/>
      <c r="C363" s="146" t="n"/>
      <c r="D363" s="138" t="n"/>
      <c r="E363" s="147" t="n"/>
      <c r="F363" s="138" t="n"/>
      <c r="G363" s="146" t="n"/>
      <c r="H363" s="147" t="n"/>
      <c r="I363" s="153" t="n"/>
      <c r="J363" s="152" t="n"/>
      <c r="K363" s="36" t="n"/>
      <c r="L363" s="36" t="n"/>
      <c r="M363" s="148" t="n"/>
      <c r="N363" s="36" t="n"/>
      <c r="O363" s="36" t="n"/>
    </row>
    <row r="364" hidden="1" ht="30" customHeight="1">
      <c r="A364" s="154" t="n"/>
      <c r="B364" s="35" t="n"/>
      <c r="C364" s="146" t="n"/>
      <c r="D364" s="138" t="n"/>
      <c r="E364" s="147" t="n"/>
      <c r="F364" s="138" t="n"/>
      <c r="G364" s="146" t="n"/>
      <c r="H364" s="147" t="n"/>
      <c r="I364" s="153" t="n"/>
      <c r="J364" s="152" t="n"/>
      <c r="K364" s="36" t="n"/>
      <c r="L364" s="36" t="n"/>
      <c r="M364" s="148" t="n"/>
      <c r="N364" s="36" t="n"/>
      <c r="O364" s="36" t="n"/>
    </row>
    <row r="365" hidden="1" ht="30" customHeight="1">
      <c r="A365" s="154" t="n"/>
      <c r="B365" s="35" t="n"/>
      <c r="C365" s="146" t="n"/>
      <c r="D365" s="138" t="n"/>
      <c r="E365" s="147" t="n"/>
      <c r="F365" s="138" t="n"/>
      <c r="G365" s="146" t="n"/>
      <c r="H365" s="147" t="n"/>
      <c r="I365" s="153" t="n"/>
      <c r="J365" s="152" t="n"/>
      <c r="K365" s="36" t="n"/>
      <c r="L365" s="36" t="n"/>
      <c r="M365" s="148" t="n"/>
      <c r="N365" s="36" t="n"/>
      <c r="O365" s="36" t="n"/>
    </row>
    <row r="366" hidden="1" ht="30" customHeight="1">
      <c r="A366" s="154" t="n"/>
      <c r="B366" s="35" t="n"/>
      <c r="C366" s="146" t="n"/>
      <c r="D366" s="138" t="n"/>
      <c r="E366" s="147" t="n"/>
      <c r="F366" s="138" t="n"/>
      <c r="G366" s="146" t="n"/>
      <c r="H366" s="147" t="n"/>
      <c r="I366" s="153" t="n"/>
      <c r="J366" s="152" t="n"/>
      <c r="K366" s="36" t="n"/>
      <c r="L366" s="36" t="n"/>
      <c r="M366" s="148" t="n"/>
      <c r="N366" s="36" t="n"/>
      <c r="O366" s="36" t="n"/>
    </row>
    <row r="367" hidden="1" ht="30" customHeight="1">
      <c r="A367" s="154" t="n"/>
      <c r="B367" s="35" t="n"/>
      <c r="C367" s="146" t="n"/>
      <c r="D367" s="138" t="n"/>
      <c r="E367" s="147" t="n"/>
      <c r="F367" s="138" t="n"/>
      <c r="G367" s="146" t="n"/>
      <c r="H367" s="147" t="n"/>
      <c r="I367" s="153" t="n"/>
      <c r="J367" s="152" t="n"/>
      <c r="K367" s="36" t="n"/>
      <c r="L367" s="36" t="n"/>
      <c r="M367" s="148" t="n"/>
      <c r="N367" s="36" t="n"/>
      <c r="O367" s="36" t="n"/>
    </row>
    <row r="368" hidden="1" ht="30" customHeight="1">
      <c r="A368" s="154" t="n"/>
      <c r="B368" s="35" t="n"/>
      <c r="C368" s="146" t="n"/>
      <c r="D368" s="138" t="n"/>
      <c r="E368" s="147" t="n"/>
      <c r="F368" s="138" t="n"/>
      <c r="G368" s="146" t="n"/>
      <c r="H368" s="147" t="n"/>
      <c r="I368" s="153" t="n"/>
      <c r="J368" s="152" t="n"/>
      <c r="K368" s="36" t="n"/>
      <c r="L368" s="36" t="n"/>
      <c r="M368" s="148" t="n"/>
      <c r="N368" s="36" t="n"/>
      <c r="O368" s="36" t="n"/>
    </row>
    <row r="369" hidden="1" ht="30" customHeight="1">
      <c r="A369" s="154" t="n"/>
      <c r="B369" s="35" t="n"/>
      <c r="C369" s="146" t="n"/>
      <c r="D369" s="138" t="n"/>
      <c r="E369" s="147" t="n"/>
      <c r="F369" s="138" t="n"/>
      <c r="G369" s="146" t="n"/>
      <c r="H369" s="147" t="n"/>
      <c r="I369" s="153" t="n"/>
      <c r="J369" s="152" t="n"/>
      <c r="K369" s="36" t="n"/>
      <c r="L369" s="36" t="n"/>
      <c r="M369" s="148" t="n"/>
      <c r="N369" s="36" t="n"/>
      <c r="O369" s="36" t="n"/>
    </row>
    <row r="370" hidden="1" ht="30" customHeight="1">
      <c r="A370" s="154" t="n"/>
      <c r="B370" s="35" t="n"/>
      <c r="C370" s="146" t="n"/>
      <c r="D370" s="138" t="n"/>
      <c r="E370" s="147" t="n"/>
      <c r="F370" s="138" t="n"/>
      <c r="G370" s="146" t="n"/>
      <c r="H370" s="147" t="n"/>
      <c r="I370" s="153" t="n"/>
      <c r="J370" s="152" t="n"/>
      <c r="K370" s="36" t="n"/>
      <c r="L370" s="36" t="n"/>
      <c r="M370" s="148" t="n"/>
      <c r="N370" s="36" t="n"/>
      <c r="O370" s="36" t="n"/>
    </row>
    <row r="371" hidden="1" ht="30" customHeight="1">
      <c r="A371" s="154" t="n"/>
      <c r="B371" s="35" t="n"/>
      <c r="C371" s="146" t="n"/>
      <c r="D371" s="138" t="n"/>
      <c r="E371" s="147" t="n"/>
      <c r="F371" s="138" t="n"/>
      <c r="G371" s="146" t="n"/>
      <c r="H371" s="147" t="n"/>
      <c r="I371" s="153" t="n"/>
      <c r="J371" s="152" t="n"/>
      <c r="K371" s="36" t="n"/>
      <c r="L371" s="36" t="n"/>
      <c r="M371" s="148" t="n"/>
      <c r="N371" s="36" t="n"/>
      <c r="O371" s="36" t="n"/>
    </row>
    <row r="372" hidden="1" ht="30" customHeight="1">
      <c r="A372" s="154" t="n"/>
      <c r="B372" s="35" t="n"/>
      <c r="C372" s="146" t="n"/>
      <c r="D372" s="138" t="n"/>
      <c r="E372" s="147" t="n"/>
      <c r="F372" s="138" t="n"/>
      <c r="G372" s="146" t="n"/>
      <c r="H372" s="147" t="n"/>
      <c r="I372" s="153" t="n"/>
      <c r="J372" s="152" t="n"/>
      <c r="K372" s="36" t="n"/>
      <c r="L372" s="36" t="n"/>
      <c r="M372" s="148" t="n"/>
      <c r="N372" s="36" t="n"/>
      <c r="O372" s="36" t="n"/>
    </row>
    <row r="373" hidden="1" ht="30" customHeight="1">
      <c r="A373" s="154" t="n"/>
      <c r="B373" s="35" t="n"/>
      <c r="C373" s="146" t="n"/>
      <c r="D373" s="138" t="n"/>
      <c r="E373" s="147" t="n"/>
      <c r="F373" s="138" t="n"/>
      <c r="G373" s="146" t="n"/>
      <c r="H373" s="147" t="n"/>
      <c r="I373" s="153" t="n"/>
      <c r="J373" s="152" t="n"/>
      <c r="K373" s="36" t="n"/>
      <c r="L373" s="36" t="n"/>
      <c r="M373" s="148" t="n"/>
      <c r="N373" s="36" t="n"/>
      <c r="O373" s="36" t="n"/>
    </row>
    <row r="374" hidden="1" ht="30" customHeight="1">
      <c r="A374" s="154" t="n"/>
      <c r="B374" s="35" t="n"/>
      <c r="C374" s="146" t="n"/>
      <c r="D374" s="138" t="n"/>
      <c r="E374" s="147" t="n"/>
      <c r="F374" s="138" t="n"/>
      <c r="G374" s="146" t="n"/>
      <c r="H374" s="147" t="n"/>
      <c r="I374" s="153" t="n"/>
      <c r="J374" s="152" t="n"/>
      <c r="K374" s="36" t="n"/>
      <c r="L374" s="36" t="n"/>
      <c r="M374" s="148" t="n"/>
      <c r="N374" s="36" t="n"/>
      <c r="O374" s="36" t="n"/>
    </row>
    <row r="375" hidden="1" ht="30" customHeight="1">
      <c r="A375" s="154" t="n"/>
      <c r="B375" s="35" t="n"/>
      <c r="C375" s="146" t="n"/>
      <c r="D375" s="138" t="n"/>
      <c r="E375" s="147" t="n"/>
      <c r="F375" s="138" t="n"/>
      <c r="G375" s="146" t="n"/>
      <c r="H375" s="147" t="n"/>
      <c r="I375" s="153" t="n"/>
      <c r="J375" s="152" t="n"/>
      <c r="K375" s="36" t="n"/>
      <c r="L375" s="36" t="n"/>
      <c r="M375" s="148" t="n"/>
      <c r="N375" s="36" t="n"/>
      <c r="O375" s="36" t="n"/>
    </row>
    <row r="376" hidden="1" ht="30" customHeight="1">
      <c r="A376" s="154" t="n"/>
      <c r="B376" s="35" t="n"/>
      <c r="C376" s="146" t="n"/>
      <c r="D376" s="138" t="n"/>
      <c r="E376" s="147" t="n"/>
      <c r="F376" s="138" t="n"/>
      <c r="G376" s="146" t="n"/>
      <c r="H376" s="147" t="n"/>
      <c r="I376" s="153" t="n"/>
      <c r="J376" s="152" t="n"/>
      <c r="K376" s="36" t="n"/>
      <c r="L376" s="36" t="n"/>
      <c r="M376" s="148" t="n"/>
      <c r="N376" s="36" t="n"/>
      <c r="O376" s="36" t="n"/>
    </row>
    <row r="377" hidden="1" ht="30" customHeight="1">
      <c r="A377" s="154" t="n"/>
      <c r="B377" s="35" t="n"/>
      <c r="C377" s="146" t="n"/>
      <c r="D377" s="138" t="n"/>
      <c r="E377" s="147" t="n"/>
      <c r="F377" s="138" t="n"/>
      <c r="G377" s="146" t="n"/>
      <c r="H377" s="147" t="n"/>
      <c r="I377" s="153" t="n"/>
      <c r="J377" s="152" t="n"/>
      <c r="K377" s="36" t="n"/>
      <c r="L377" s="36" t="n"/>
      <c r="M377" s="148" t="n"/>
      <c r="N377" s="36" t="n"/>
      <c r="O377" s="36" t="n"/>
    </row>
    <row r="378" hidden="1" ht="30" customHeight="1">
      <c r="A378" s="154" t="n"/>
      <c r="B378" s="35" t="n"/>
      <c r="C378" s="146" t="n"/>
      <c r="D378" s="138" t="n"/>
      <c r="E378" s="147" t="n"/>
      <c r="F378" s="138" t="n"/>
      <c r="G378" s="146" t="n"/>
      <c r="H378" s="147" t="n"/>
      <c r="I378" s="153" t="n"/>
      <c r="J378" s="152" t="n"/>
      <c r="K378" s="36" t="n"/>
      <c r="L378" s="36" t="n"/>
      <c r="M378" s="148" t="n"/>
      <c r="N378" s="36" t="n"/>
      <c r="O378" s="36" t="n"/>
    </row>
    <row r="379" hidden="1" ht="30" customHeight="1">
      <c r="A379" s="154" t="n"/>
      <c r="B379" s="35" t="n"/>
      <c r="C379" s="146" t="n"/>
      <c r="D379" s="138" t="n"/>
      <c r="E379" s="147" t="n"/>
      <c r="F379" s="138" t="n"/>
      <c r="G379" s="146" t="n"/>
      <c r="H379" s="147" t="n"/>
      <c r="I379" s="153" t="n"/>
      <c r="J379" s="152" t="n"/>
      <c r="K379" s="36" t="n"/>
      <c r="L379" s="36" t="n"/>
      <c r="M379" s="148" t="n"/>
      <c r="N379" s="36" t="n"/>
      <c r="O379" s="36" t="n"/>
    </row>
    <row r="380" hidden="1" ht="30" customHeight="1">
      <c r="A380" s="154" t="n"/>
      <c r="B380" s="35" t="n"/>
      <c r="C380" s="146" t="n"/>
      <c r="D380" s="138" t="n"/>
      <c r="E380" s="147" t="n"/>
      <c r="F380" s="138" t="n"/>
      <c r="G380" s="146" t="n"/>
      <c r="H380" s="147" t="n"/>
      <c r="I380" s="153" t="n"/>
      <c r="J380" s="152" t="n"/>
      <c r="K380" s="36" t="n"/>
      <c r="L380" s="36" t="n"/>
      <c r="M380" s="148" t="n"/>
      <c r="N380" s="36" t="n"/>
      <c r="O380" s="36" t="n"/>
    </row>
    <row r="381" hidden="1" ht="30" customHeight="1">
      <c r="A381" s="154" t="n"/>
      <c r="B381" s="35" t="n"/>
      <c r="C381" s="146" t="n"/>
      <c r="D381" s="138" t="n"/>
      <c r="E381" s="147" t="n"/>
      <c r="F381" s="138" t="n"/>
      <c r="G381" s="146" t="n"/>
      <c r="H381" s="147" t="n"/>
      <c r="I381" s="153" t="n"/>
      <c r="J381" s="152" t="n"/>
      <c r="K381" s="36" t="n"/>
      <c r="L381" s="36" t="n"/>
      <c r="M381" s="148" t="n"/>
      <c r="N381" s="36" t="n"/>
      <c r="O381" s="36" t="n"/>
    </row>
    <row r="382" hidden="1" ht="30" customHeight="1">
      <c r="A382" s="154" t="n"/>
      <c r="B382" s="35" t="n"/>
      <c r="C382" s="146" t="n"/>
      <c r="D382" s="138" t="n"/>
      <c r="E382" s="147" t="n"/>
      <c r="F382" s="138" t="n"/>
      <c r="G382" s="146" t="n"/>
      <c r="H382" s="147" t="n"/>
      <c r="I382" s="153" t="n"/>
      <c r="J382" s="152" t="n"/>
      <c r="K382" s="36" t="n"/>
      <c r="L382" s="36" t="n"/>
      <c r="M382" s="148" t="n"/>
      <c r="N382" s="36" t="n"/>
      <c r="O382" s="36" t="n"/>
    </row>
    <row r="383" hidden="1" ht="30" customHeight="1">
      <c r="A383" s="154" t="n"/>
      <c r="B383" s="35" t="n"/>
      <c r="C383" s="146" t="n"/>
      <c r="D383" s="138" t="n"/>
      <c r="E383" s="147" t="n"/>
      <c r="F383" s="138" t="n"/>
      <c r="G383" s="146" t="n"/>
      <c r="H383" s="147" t="n"/>
      <c r="I383" s="153" t="n"/>
      <c r="J383" s="152" t="n"/>
      <c r="K383" s="36" t="n"/>
      <c r="L383" s="36" t="n"/>
      <c r="M383" s="148" t="n"/>
      <c r="N383" s="36" t="n"/>
      <c r="O383" s="36" t="n"/>
    </row>
    <row r="384" hidden="1" ht="30" customHeight="1">
      <c r="A384" s="154" t="n"/>
      <c r="B384" s="35" t="n"/>
      <c r="C384" s="146" t="n"/>
      <c r="D384" s="138" t="n"/>
      <c r="E384" s="147" t="n"/>
      <c r="F384" s="138" t="n"/>
      <c r="G384" s="146" t="n"/>
      <c r="H384" s="147" t="n"/>
      <c r="I384" s="153" t="n"/>
      <c r="J384" s="152" t="n"/>
      <c r="K384" s="36" t="n"/>
      <c r="L384" s="36" t="n"/>
      <c r="M384" s="148" t="n"/>
      <c r="N384" s="36" t="n"/>
      <c r="O384" s="36" t="n"/>
    </row>
    <row r="385" hidden="1" ht="30" customHeight="1">
      <c r="A385" s="154" t="n"/>
      <c r="B385" s="35" t="n"/>
      <c r="C385" s="146" t="n"/>
      <c r="D385" s="138" t="n"/>
      <c r="E385" s="147" t="n"/>
      <c r="F385" s="138" t="n"/>
      <c r="G385" s="146" t="n"/>
      <c r="H385" s="147" t="n"/>
      <c r="I385" s="153" t="n"/>
      <c r="J385" s="152" t="n"/>
      <c r="K385" s="36" t="n"/>
      <c r="L385" s="36" t="n"/>
      <c r="M385" s="148" t="n"/>
      <c r="N385" s="36" t="n"/>
      <c r="O385" s="36" t="n"/>
    </row>
    <row r="386" hidden="1" ht="30" customHeight="1">
      <c r="A386" s="154" t="n"/>
      <c r="B386" s="35" t="n"/>
      <c r="C386" s="146" t="n"/>
      <c r="D386" s="138" t="n"/>
      <c r="E386" s="147" t="n"/>
      <c r="F386" s="138" t="n"/>
      <c r="G386" s="146" t="n"/>
      <c r="H386" s="147" t="n"/>
      <c r="I386" s="153" t="n"/>
      <c r="J386" s="152" t="n"/>
      <c r="K386" s="36" t="n"/>
      <c r="L386" s="36" t="n"/>
      <c r="M386" s="148" t="n"/>
      <c r="N386" s="36" t="n"/>
      <c r="O386" s="36" t="n"/>
    </row>
    <row r="387" hidden="1" ht="30" customHeight="1">
      <c r="A387" s="154" t="n"/>
      <c r="B387" s="35" t="n"/>
      <c r="C387" s="146" t="n"/>
      <c r="D387" s="138" t="n"/>
      <c r="E387" s="147" t="n"/>
      <c r="F387" s="138" t="n"/>
      <c r="G387" s="146" t="n"/>
      <c r="H387" s="147" t="n"/>
      <c r="I387" s="153" t="n"/>
      <c r="J387" s="152" t="n"/>
      <c r="K387" s="36" t="n"/>
      <c r="L387" s="36" t="n"/>
      <c r="M387" s="148" t="n"/>
      <c r="N387" s="36" t="n"/>
      <c r="O387" s="36" t="n"/>
    </row>
    <row r="388" hidden="1" ht="30" customHeight="1">
      <c r="A388" s="154" t="n"/>
      <c r="B388" s="35" t="n"/>
      <c r="C388" s="146" t="n"/>
      <c r="D388" s="138" t="n"/>
      <c r="E388" s="147" t="n"/>
      <c r="F388" s="138" t="n"/>
      <c r="G388" s="146" t="n"/>
      <c r="H388" s="147" t="n"/>
      <c r="I388" s="153" t="n"/>
      <c r="J388" s="152" t="n"/>
      <c r="K388" s="36" t="n"/>
      <c r="L388" s="36" t="n"/>
      <c r="M388" s="148" t="n"/>
      <c r="N388" s="36" t="n"/>
      <c r="O388" s="36" t="n"/>
    </row>
    <row r="389" hidden="1" ht="30" customHeight="1">
      <c r="A389" s="154" t="n"/>
      <c r="B389" s="35" t="n"/>
      <c r="C389" s="146" t="n"/>
      <c r="D389" s="138" t="n"/>
      <c r="E389" s="147" t="n"/>
      <c r="F389" s="138" t="n"/>
      <c r="G389" s="146" t="n"/>
      <c r="H389" s="147" t="n"/>
      <c r="I389" s="153" t="n"/>
      <c r="J389" s="152" t="n"/>
      <c r="K389" s="36" t="n"/>
      <c r="L389" s="36" t="n"/>
      <c r="M389" s="148" t="n"/>
      <c r="N389" s="36" t="n"/>
      <c r="O389" s="36" t="n"/>
    </row>
    <row r="390" hidden="1" ht="30" customHeight="1">
      <c r="A390" s="154" t="n"/>
      <c r="B390" s="35" t="n"/>
      <c r="C390" s="146" t="n"/>
      <c r="D390" s="138" t="n"/>
      <c r="E390" s="147" t="n"/>
      <c r="F390" s="138" t="n"/>
      <c r="G390" s="146" t="n"/>
      <c r="H390" s="147" t="n"/>
      <c r="I390" s="153" t="n"/>
      <c r="J390" s="152" t="n"/>
      <c r="K390" s="36" t="n"/>
      <c r="L390" s="36" t="n"/>
      <c r="M390" s="148" t="n"/>
      <c r="N390" s="36" t="n"/>
      <c r="O390" s="36" t="n"/>
    </row>
    <row r="391" hidden="1" ht="30" customHeight="1">
      <c r="A391" s="154" t="n"/>
      <c r="B391" s="35" t="n"/>
      <c r="C391" s="146" t="n"/>
      <c r="D391" s="138" t="n"/>
      <c r="E391" s="147" t="n"/>
      <c r="F391" s="138" t="n"/>
      <c r="G391" s="146" t="n"/>
      <c r="H391" s="147" t="n"/>
      <c r="I391" s="153" t="n"/>
      <c r="J391" s="152" t="n"/>
      <c r="K391" s="36" t="n"/>
      <c r="L391" s="36" t="n"/>
      <c r="M391" s="148" t="n"/>
      <c r="N391" s="36" t="n"/>
      <c r="O391" s="36" t="n"/>
    </row>
    <row r="392" hidden="1" ht="30" customHeight="1">
      <c r="A392" s="154" t="n"/>
      <c r="B392" s="35" t="n"/>
      <c r="C392" s="146" t="n"/>
      <c r="D392" s="138" t="n"/>
      <c r="E392" s="147" t="n"/>
      <c r="F392" s="138" t="n"/>
      <c r="G392" s="146" t="n"/>
      <c r="H392" s="147" t="n"/>
      <c r="I392" s="153" t="n"/>
      <c r="J392" s="152" t="n"/>
      <c r="K392" s="36" t="n"/>
      <c r="L392" s="36" t="n"/>
      <c r="M392" s="148" t="n"/>
      <c r="N392" s="36" t="n"/>
      <c r="O392" s="36" t="n"/>
    </row>
    <row r="393" hidden="1" ht="30" customHeight="1">
      <c r="A393" s="154" t="n"/>
      <c r="B393" s="35" t="n"/>
      <c r="C393" s="146" t="n"/>
      <c r="D393" s="138" t="n"/>
      <c r="E393" s="147" t="n"/>
      <c r="F393" s="138" t="n"/>
      <c r="G393" s="146" t="n"/>
      <c r="H393" s="147" t="n"/>
      <c r="I393" s="153" t="n"/>
      <c r="J393" s="152" t="n"/>
      <c r="K393" s="36" t="n"/>
      <c r="L393" s="36" t="n"/>
      <c r="M393" s="148" t="n"/>
      <c r="N393" s="36" t="n"/>
      <c r="O393" s="36" t="n"/>
    </row>
    <row r="394" hidden="1" ht="30" customHeight="1">
      <c r="A394" s="154" t="n"/>
      <c r="B394" s="35" t="n"/>
      <c r="C394" s="146" t="n"/>
      <c r="D394" s="138" t="n"/>
      <c r="E394" s="147" t="n"/>
      <c r="F394" s="138" t="n"/>
      <c r="G394" s="146" t="n"/>
      <c r="H394" s="147" t="n"/>
      <c r="I394" s="153" t="n"/>
      <c r="J394" s="152" t="n"/>
      <c r="K394" s="36" t="n"/>
      <c r="L394" s="36" t="n"/>
      <c r="M394" s="148" t="n"/>
      <c r="N394" s="36" t="n"/>
      <c r="O394" s="36" t="n"/>
    </row>
    <row r="395" hidden="1" ht="30" customHeight="1">
      <c r="A395" s="154" t="n"/>
      <c r="B395" s="35" t="n"/>
      <c r="C395" s="146" t="n"/>
      <c r="D395" s="138" t="n"/>
      <c r="E395" s="147" t="n"/>
      <c r="F395" s="138" t="n"/>
      <c r="G395" s="146" t="n"/>
      <c r="H395" s="147" t="n"/>
      <c r="I395" s="153" t="n"/>
      <c r="J395" s="152" t="n"/>
      <c r="K395" s="36" t="n"/>
      <c r="L395" s="36" t="n"/>
      <c r="M395" s="148" t="n"/>
      <c r="N395" s="36" t="n"/>
      <c r="O395" s="36" t="n"/>
    </row>
    <row r="396" hidden="1" ht="30" customHeight="1">
      <c r="A396" s="154" t="n"/>
      <c r="B396" s="35" t="n"/>
      <c r="C396" s="146" t="n"/>
      <c r="D396" s="138" t="n"/>
      <c r="E396" s="147" t="n"/>
      <c r="F396" s="138" t="n"/>
      <c r="G396" s="146" t="n"/>
      <c r="H396" s="147" t="n"/>
      <c r="I396" s="153" t="n"/>
      <c r="J396" s="152" t="n"/>
      <c r="K396" s="36" t="n"/>
      <c r="L396" s="36" t="n"/>
      <c r="M396" s="148" t="n"/>
      <c r="N396" s="36" t="n"/>
      <c r="O396" s="36" t="n"/>
    </row>
    <row r="397" hidden="1" ht="30" customHeight="1">
      <c r="A397" s="154" t="n"/>
      <c r="B397" s="35" t="n"/>
      <c r="C397" s="146" t="n"/>
      <c r="D397" s="138" t="n"/>
      <c r="E397" s="147" t="n"/>
      <c r="F397" s="138" t="n"/>
      <c r="G397" s="146" t="n"/>
      <c r="H397" s="147" t="n"/>
      <c r="I397" s="153" t="n"/>
      <c r="J397" s="152" t="n"/>
      <c r="K397" s="36" t="n"/>
      <c r="L397" s="36" t="n"/>
      <c r="M397" s="148" t="n"/>
      <c r="N397" s="36" t="n"/>
      <c r="O397" s="36" t="n"/>
    </row>
    <row r="398" hidden="1" ht="30" customHeight="1">
      <c r="A398" s="154" t="n"/>
      <c r="B398" s="35" t="n"/>
      <c r="C398" s="146" t="n"/>
      <c r="D398" s="138" t="n"/>
      <c r="E398" s="147" t="n"/>
      <c r="F398" s="138" t="n"/>
      <c r="G398" s="146" t="n"/>
      <c r="H398" s="147" t="n"/>
      <c r="I398" s="153" t="n"/>
      <c r="J398" s="152" t="n"/>
      <c r="K398" s="36" t="n"/>
      <c r="L398" s="36" t="n"/>
      <c r="M398" s="148" t="n"/>
      <c r="N398" s="36" t="n"/>
      <c r="O398" s="36" t="n"/>
    </row>
    <row r="399" hidden="1" ht="30" customHeight="1">
      <c r="A399" s="154" t="n"/>
      <c r="B399" s="35" t="n"/>
      <c r="C399" s="146" t="n"/>
      <c r="D399" s="138" t="n"/>
      <c r="E399" s="147" t="n"/>
      <c r="F399" s="138" t="n"/>
      <c r="G399" s="146" t="n"/>
      <c r="H399" s="147" t="n"/>
      <c r="I399" s="153" t="n"/>
      <c r="J399" s="152" t="n"/>
      <c r="K399" s="36" t="n"/>
      <c r="L399" s="36" t="n"/>
      <c r="M399" s="148" t="n"/>
      <c r="N399" s="36" t="n"/>
      <c r="O399" s="36" t="n"/>
    </row>
    <row r="400" hidden="1" ht="30" customHeight="1">
      <c r="A400" s="154" t="n"/>
      <c r="B400" s="35" t="n"/>
      <c r="C400" s="146" t="n"/>
      <c r="D400" s="138" t="n"/>
      <c r="E400" s="147" t="n"/>
      <c r="F400" s="138" t="n"/>
      <c r="G400" s="146" t="n"/>
      <c r="H400" s="147" t="n"/>
      <c r="I400" s="153" t="n"/>
      <c r="J400" s="152" t="n"/>
      <c r="K400" s="36" t="n"/>
      <c r="L400" s="36" t="n"/>
      <c r="M400" s="148" t="n"/>
      <c r="N400" s="36" t="n"/>
      <c r="O400" s="36" t="n"/>
    </row>
    <row r="401" hidden="1" ht="30" customHeight="1">
      <c r="A401" s="154" t="n"/>
      <c r="B401" s="35" t="n"/>
      <c r="C401" s="146" t="n"/>
      <c r="D401" s="138" t="n"/>
      <c r="E401" s="147" t="n"/>
      <c r="F401" s="138" t="n"/>
      <c r="G401" s="146" t="n"/>
      <c r="H401" s="147" t="n"/>
      <c r="I401" s="153" t="n"/>
      <c r="J401" s="152" t="n"/>
      <c r="K401" s="36" t="n"/>
      <c r="L401" s="36" t="n"/>
      <c r="M401" s="148" t="n"/>
      <c r="N401" s="36" t="n"/>
      <c r="O401" s="36" t="n"/>
    </row>
    <row r="402" hidden="1" ht="30" customHeight="1">
      <c r="A402" s="154" t="n"/>
      <c r="B402" s="35" t="n"/>
      <c r="C402" s="146" t="n"/>
      <c r="D402" s="138" t="n"/>
      <c r="E402" s="147" t="n"/>
      <c r="F402" s="138" t="n"/>
      <c r="G402" s="146" t="n"/>
      <c r="H402" s="147" t="n"/>
      <c r="I402" s="153" t="n"/>
      <c r="J402" s="152" t="n"/>
      <c r="K402" s="36" t="n"/>
      <c r="L402" s="36" t="n"/>
      <c r="M402" s="148" t="n"/>
      <c r="N402" s="36" t="n"/>
      <c r="O402" s="36" t="n"/>
    </row>
    <row r="403" hidden="1" ht="30" customHeight="1">
      <c r="A403" s="154" t="n"/>
      <c r="B403" s="35" t="n"/>
      <c r="C403" s="146" t="n"/>
      <c r="D403" s="138" t="n"/>
      <c r="E403" s="147" t="n"/>
      <c r="F403" s="138" t="n"/>
      <c r="G403" s="146" t="n"/>
      <c r="H403" s="147" t="n"/>
      <c r="I403" s="153" t="n"/>
      <c r="J403" s="152" t="n"/>
      <c r="K403" s="36" t="n"/>
      <c r="L403" s="36" t="n"/>
      <c r="M403" s="148" t="n"/>
      <c r="N403" s="36" t="n"/>
      <c r="O403" s="36" t="n"/>
    </row>
    <row r="404" hidden="1" ht="30" customHeight="1">
      <c r="A404" s="154" t="n"/>
      <c r="B404" s="35" t="n"/>
      <c r="C404" s="146" t="n"/>
      <c r="D404" s="138" t="n"/>
      <c r="E404" s="147" t="n"/>
      <c r="F404" s="138" t="n"/>
      <c r="G404" s="146" t="n"/>
      <c r="H404" s="147" t="n"/>
      <c r="I404" s="153" t="n"/>
      <c r="J404" s="152" t="n"/>
      <c r="K404" s="36" t="n"/>
      <c r="L404" s="36" t="n"/>
      <c r="M404" s="148" t="n"/>
      <c r="N404" s="36" t="n"/>
      <c r="O404" s="36" t="n"/>
    </row>
    <row r="405" hidden="1" ht="30" customHeight="1">
      <c r="A405" s="154" t="n"/>
      <c r="B405" s="35" t="n"/>
      <c r="C405" s="146" t="n"/>
      <c r="D405" s="138" t="n"/>
      <c r="E405" s="147" t="n"/>
      <c r="F405" s="138" t="n"/>
      <c r="G405" s="146" t="n"/>
      <c r="H405" s="147" t="n"/>
      <c r="I405" s="153" t="n"/>
      <c r="J405" s="152" t="n"/>
      <c r="K405" s="36" t="n"/>
      <c r="L405" s="36" t="n"/>
      <c r="M405" s="148" t="n"/>
      <c r="N405" s="36" t="n"/>
      <c r="O405" s="36" t="n"/>
    </row>
    <row r="406" hidden="1" ht="30" customHeight="1">
      <c r="A406" s="154" t="n"/>
      <c r="B406" s="35" t="n"/>
      <c r="C406" s="146" t="n"/>
      <c r="D406" s="138" t="n"/>
      <c r="E406" s="147" t="n"/>
      <c r="F406" s="138" t="n"/>
      <c r="G406" s="146" t="n"/>
      <c r="H406" s="147" t="n"/>
      <c r="I406" s="153" t="n"/>
      <c r="J406" s="152" t="n"/>
      <c r="K406" s="36" t="n"/>
      <c r="L406" s="36" t="n"/>
      <c r="M406" s="148" t="n"/>
      <c r="N406" s="36" t="n"/>
      <c r="O406" s="36" t="n"/>
    </row>
    <row r="407" hidden="1" ht="30" customHeight="1">
      <c r="A407" s="154" t="n"/>
      <c r="B407" s="35" t="n"/>
      <c r="C407" s="146" t="n"/>
      <c r="D407" s="138" t="n"/>
      <c r="E407" s="147" t="n"/>
      <c r="F407" s="138" t="n"/>
      <c r="G407" s="146" t="n"/>
      <c r="H407" s="147" t="n"/>
      <c r="I407" s="153" t="n"/>
      <c r="J407" s="152" t="n"/>
      <c r="K407" s="36" t="n"/>
      <c r="L407" s="36" t="n"/>
      <c r="M407" s="148" t="n"/>
      <c r="N407" s="36" t="n"/>
      <c r="O407" s="36" t="n"/>
    </row>
    <row r="408" hidden="1" ht="30" customHeight="1">
      <c r="A408" s="154" t="n"/>
      <c r="B408" s="35" t="n"/>
      <c r="C408" s="146" t="n"/>
      <c r="D408" s="138" t="n"/>
      <c r="E408" s="147" t="n"/>
      <c r="F408" s="138" t="n"/>
      <c r="G408" s="146" t="n"/>
      <c r="H408" s="147" t="n"/>
      <c r="I408" s="153" t="n"/>
      <c r="J408" s="152" t="n"/>
      <c r="K408" s="36" t="n"/>
      <c r="L408" s="36" t="n"/>
      <c r="M408" s="148" t="n"/>
      <c r="N408" s="36" t="n"/>
      <c r="O408" s="36" t="n"/>
    </row>
    <row r="409" hidden="1" ht="30" customHeight="1">
      <c r="A409" s="154" t="n"/>
      <c r="B409" s="35" t="n"/>
      <c r="C409" s="146" t="n"/>
      <c r="D409" s="138" t="n"/>
      <c r="E409" s="147" t="n"/>
      <c r="F409" s="138" t="n"/>
      <c r="G409" s="146" t="n"/>
      <c r="H409" s="147" t="n"/>
      <c r="I409" s="153" t="n"/>
      <c r="J409" s="152" t="n"/>
      <c r="K409" s="36" t="n"/>
      <c r="L409" s="36" t="n"/>
      <c r="M409" s="148" t="n"/>
      <c r="N409" s="36" t="n"/>
      <c r="O409" s="36" t="n"/>
    </row>
    <row r="410" hidden="1" ht="30" customHeight="1">
      <c r="A410" s="154" t="n"/>
      <c r="B410" s="35" t="n"/>
      <c r="C410" s="146" t="n"/>
      <c r="D410" s="138" t="n"/>
      <c r="E410" s="147" t="n"/>
      <c r="F410" s="138" t="n"/>
      <c r="G410" s="146" t="n"/>
      <c r="H410" s="147" t="n"/>
      <c r="I410" s="153" t="n"/>
      <c r="J410" s="152" t="n"/>
      <c r="K410" s="36" t="n"/>
      <c r="L410" s="36" t="n"/>
      <c r="M410" s="148" t="n"/>
      <c r="N410" s="36" t="n"/>
      <c r="O410" s="36" t="n"/>
    </row>
    <row r="411" hidden="1" ht="30" customHeight="1">
      <c r="A411" s="154" t="n"/>
      <c r="B411" s="35" t="n"/>
      <c r="C411" s="146" t="n"/>
      <c r="D411" s="138" t="n"/>
      <c r="E411" s="147" t="n"/>
      <c r="F411" s="138" t="n"/>
      <c r="G411" s="146" t="n"/>
      <c r="H411" s="147" t="n"/>
      <c r="I411" s="153" t="n"/>
      <c r="J411" s="152" t="n"/>
      <c r="K411" s="36" t="n"/>
      <c r="L411" s="36" t="n"/>
      <c r="M411" s="148" t="n"/>
      <c r="N411" s="36" t="n"/>
      <c r="O411" s="36" t="n"/>
    </row>
    <row r="412" hidden="1" ht="30" customHeight="1">
      <c r="A412" s="154" t="n"/>
      <c r="B412" s="35" t="n"/>
      <c r="C412" s="146" t="n"/>
      <c r="D412" s="138" t="n"/>
      <c r="E412" s="147" t="n"/>
      <c r="F412" s="138" t="n"/>
      <c r="G412" s="146" t="n"/>
      <c r="H412" s="147" t="n"/>
      <c r="I412" s="153" t="n"/>
      <c r="J412" s="152" t="n"/>
      <c r="K412" s="36" t="n"/>
      <c r="L412" s="36" t="n"/>
      <c r="M412" s="148" t="n"/>
      <c r="N412" s="36" t="n"/>
      <c r="O412" s="36" t="n"/>
    </row>
    <row r="413" hidden="1" ht="30" customHeight="1">
      <c r="A413" s="154" t="n"/>
      <c r="B413" s="35" t="n"/>
      <c r="C413" s="146" t="n"/>
      <c r="D413" s="138" t="n"/>
      <c r="E413" s="147" t="n"/>
      <c r="F413" s="138" t="n"/>
      <c r="G413" s="146" t="n"/>
      <c r="H413" s="147" t="n"/>
      <c r="I413" s="153" t="n"/>
      <c r="J413" s="152" t="n"/>
      <c r="K413" s="36" t="n"/>
      <c r="L413" s="36" t="n"/>
      <c r="M413" s="148" t="n"/>
      <c r="N413" s="36" t="n"/>
      <c r="O413" s="36" t="n"/>
    </row>
    <row r="414" hidden="1" ht="30" customHeight="1">
      <c r="A414" s="154" t="n"/>
      <c r="B414" s="35" t="n"/>
      <c r="C414" s="146" t="n"/>
      <c r="D414" s="138" t="n"/>
      <c r="E414" s="147" t="n"/>
      <c r="F414" s="138" t="n"/>
      <c r="G414" s="146" t="n"/>
      <c r="H414" s="147" t="n"/>
      <c r="I414" s="153" t="n"/>
      <c r="J414" s="152" t="n"/>
      <c r="K414" s="36" t="n"/>
      <c r="L414" s="36" t="n"/>
      <c r="M414" s="148" t="n"/>
      <c r="N414" s="36" t="n"/>
      <c r="O414" s="36" t="n"/>
    </row>
    <row r="415" hidden="1" ht="30" customHeight="1">
      <c r="A415" s="154" t="n"/>
      <c r="B415" s="35" t="n"/>
      <c r="C415" s="146" t="n"/>
      <c r="D415" s="138" t="n"/>
      <c r="E415" s="147" t="n"/>
      <c r="F415" s="138" t="n"/>
      <c r="G415" s="146" t="n"/>
      <c r="H415" s="147" t="n"/>
      <c r="I415" s="153" t="n"/>
      <c r="J415" s="152" t="n"/>
      <c r="K415" s="36" t="n"/>
      <c r="L415" s="36" t="n"/>
      <c r="M415" s="148" t="n"/>
      <c r="N415" s="36" t="n"/>
      <c r="O415" s="36" t="n"/>
    </row>
    <row r="417" ht="24" customHeight="1">
      <c r="A417" s="155" t="inlineStr">
        <is>
          <t>Lo stato di ogni riga (da decidere, applicata), chi ha validato e quando e, per ogni valore, la proposta e il valore deciso li registra il comando valida nel foglio dati Storico_Validazioni: non si scrive a mano.</t>
        </is>
      </c>
    </row>
  </sheetData>
  <mergeCells count="612">
    <mergeCell ref="E376:F376"/>
    <mergeCell ref="C363:D363"/>
    <mergeCell ref="C191:D191"/>
    <mergeCell ref="C313:D313"/>
    <mergeCell ref="E142:F142"/>
    <mergeCell ref="E313:F313"/>
    <mergeCell ref="C378:D378"/>
    <mergeCell ref="C234:D234"/>
    <mergeCell ref="C172:D172"/>
    <mergeCell ref="E234:F234"/>
    <mergeCell ref="C184:D184"/>
    <mergeCell ref="C315:D315"/>
    <mergeCell ref="E244:F244"/>
    <mergeCell ref="C171:D171"/>
    <mergeCell ref="E371:F371"/>
    <mergeCell ref="E171:F171"/>
    <mergeCell ref="C302:D302"/>
    <mergeCell ref="C407:D407"/>
    <mergeCell ref="E236:F236"/>
    <mergeCell ref="C121:D121"/>
    <mergeCell ref="E358:F358"/>
    <mergeCell ref="E137:F137"/>
    <mergeCell ref="E308:F308"/>
    <mergeCell ref="C173:D173"/>
    <mergeCell ref="E173:F173"/>
    <mergeCell ref="E229:F229"/>
    <mergeCell ref="C148:D148"/>
    <mergeCell ref="E148:F148"/>
    <mergeCell ref="E335:F335"/>
    <mergeCell ref="E166:F166"/>
    <mergeCell ref="E168:F168"/>
    <mergeCell ref="C262:D262"/>
    <mergeCell ref="C237:D237"/>
    <mergeCell ref="C326:D326"/>
    <mergeCell ref="E326:F326"/>
    <mergeCell ref="E289:F289"/>
    <mergeCell ref="C239:D239"/>
    <mergeCell ref="E361:F361"/>
    <mergeCell ref="E117:F117"/>
    <mergeCell ref="E353:F353"/>
    <mergeCell ref="E303:F303"/>
    <mergeCell ref="C290:D290"/>
    <mergeCell ref="E219:F219"/>
    <mergeCell ref="E290:F290"/>
    <mergeCell ref="C384:D384"/>
    <mergeCell ref="E161:F161"/>
    <mergeCell ref="C321:D321"/>
    <mergeCell ref="C242:D242"/>
    <mergeCell ref="C413:D413"/>
    <mergeCell ref="C192:D192"/>
    <mergeCell ref="C252:D252"/>
    <mergeCell ref="E252:F252"/>
    <mergeCell ref="C379:D379"/>
    <mergeCell ref="E379:F379"/>
    <mergeCell ref="A28:O28"/>
    <mergeCell ref="C244:D244"/>
    <mergeCell ref="C415:D415"/>
    <mergeCell ref="E366:F366"/>
    <mergeCell ref="C123:D123"/>
    <mergeCell ref="C194:D194"/>
    <mergeCell ref="C316:D316"/>
    <mergeCell ref="E316:F316"/>
    <mergeCell ref="E250:F250"/>
    <mergeCell ref="C181:D181"/>
    <mergeCell ref="C408:D408"/>
    <mergeCell ref="E381:F381"/>
    <mergeCell ref="E237:F237"/>
    <mergeCell ref="E187:F187"/>
    <mergeCell ref="E380:F380"/>
    <mergeCell ref="C174:D174"/>
    <mergeCell ref="E174:F174"/>
    <mergeCell ref="C410:D410"/>
    <mergeCell ref="E301:F301"/>
    <mergeCell ref="E239:F239"/>
    <mergeCell ref="E410:F410"/>
    <mergeCell ref="C189:D189"/>
    <mergeCell ref="E251:F251"/>
    <mergeCell ref="E189:F189"/>
    <mergeCell ref="E238:F238"/>
    <mergeCell ref="C397:D397"/>
    <mergeCell ref="C334:D334"/>
    <mergeCell ref="C128:D128"/>
    <mergeCell ref="C309:D309"/>
    <mergeCell ref="C113:D113"/>
    <mergeCell ref="A417:O417"/>
    <mergeCell ref="C271:D271"/>
    <mergeCell ref="C205:D205"/>
    <mergeCell ref="C265:D265"/>
    <mergeCell ref="E205:F205"/>
    <mergeCell ref="C336:D336"/>
    <mergeCell ref="E265:F265"/>
    <mergeCell ref="C311:D311"/>
    <mergeCell ref="C142:D142"/>
    <mergeCell ref="E311:F311"/>
    <mergeCell ref="C329:D329"/>
    <mergeCell ref="C129:D129"/>
    <mergeCell ref="E354:F354"/>
    <mergeCell ref="E158:F158"/>
    <mergeCell ref="E329:F329"/>
    <mergeCell ref="C365:D365"/>
    <mergeCell ref="E133:F133"/>
    <mergeCell ref="E304:F304"/>
    <mergeCell ref="E369:F369"/>
    <mergeCell ref="C331:D331"/>
    <mergeCell ref="E393:F393"/>
    <mergeCell ref="E356:F356"/>
    <mergeCell ref="E331:F331"/>
    <mergeCell ref="E306:F306"/>
    <mergeCell ref="E162:F162"/>
    <mergeCell ref="A1:O1"/>
    <mergeCell ref="E164:F164"/>
    <mergeCell ref="C131:D131"/>
    <mergeCell ref="C258:D258"/>
    <mergeCell ref="E258:F258"/>
    <mergeCell ref="C245:D245"/>
    <mergeCell ref="C195:D195"/>
    <mergeCell ref="C266:D266"/>
    <mergeCell ref="E195:F195"/>
    <mergeCell ref="C322:D322"/>
    <mergeCell ref="C260:D260"/>
    <mergeCell ref="E322:F322"/>
    <mergeCell ref="E382:F382"/>
    <mergeCell ref="E309:F309"/>
    <mergeCell ref="C259:D259"/>
    <mergeCell ref="C126:D126"/>
    <mergeCell ref="E188:F188"/>
    <mergeCell ref="E259:F259"/>
    <mergeCell ref="C197:D197"/>
    <mergeCell ref="E126:F126"/>
    <mergeCell ref="E253:F253"/>
    <mergeCell ref="C324:D324"/>
    <mergeCell ref="E324:F324"/>
    <mergeCell ref="E180:F180"/>
    <mergeCell ref="E240:F240"/>
    <mergeCell ref="E411:F411"/>
    <mergeCell ref="C261:D261"/>
    <mergeCell ref="E190:F190"/>
    <mergeCell ref="C117:D117"/>
    <mergeCell ref="E182:F182"/>
    <mergeCell ref="E319:F319"/>
    <mergeCell ref="C115:D115"/>
    <mergeCell ref="C273:D273"/>
    <mergeCell ref="C400:D400"/>
    <mergeCell ref="C150:D150"/>
    <mergeCell ref="E179:F179"/>
    <mergeCell ref="C144:D144"/>
    <mergeCell ref="C337:D337"/>
    <mergeCell ref="C414:D414"/>
    <mergeCell ref="C352:D352"/>
    <mergeCell ref="C208:D208"/>
    <mergeCell ref="E159:F159"/>
    <mergeCell ref="E208:F208"/>
    <mergeCell ref="C339:D339"/>
    <mergeCell ref="C366:D366"/>
    <mergeCell ref="E401:F401"/>
    <mergeCell ref="E395:F395"/>
    <mergeCell ref="C145:D145"/>
    <mergeCell ref="E145:F145"/>
    <mergeCell ref="C406:D406"/>
    <mergeCell ref="C210:D210"/>
    <mergeCell ref="E139:F139"/>
    <mergeCell ref="E272:F272"/>
    <mergeCell ref="E210:F210"/>
    <mergeCell ref="C381:D381"/>
    <mergeCell ref="E406:F406"/>
    <mergeCell ref="E203:F203"/>
    <mergeCell ref="C134:D134"/>
    <mergeCell ref="C305:D305"/>
    <mergeCell ref="C286:D286"/>
    <mergeCell ref="E261:F261"/>
    <mergeCell ref="C163:D163"/>
    <mergeCell ref="C350:D350"/>
    <mergeCell ref="C138:D138"/>
    <mergeCell ref="E350:F350"/>
    <mergeCell ref="E325:F325"/>
    <mergeCell ref="C119:D119"/>
    <mergeCell ref="C361:D361"/>
    <mergeCell ref="E119:F119"/>
    <mergeCell ref="E116:F116"/>
    <mergeCell ref="E414:F414"/>
    <mergeCell ref="E196:F196"/>
    <mergeCell ref="C327:D327"/>
    <mergeCell ref="E256:F256"/>
    <mergeCell ref="E389:F389"/>
    <mergeCell ref="C158:D158"/>
    <mergeCell ref="E327:F327"/>
    <mergeCell ref="E183:F183"/>
    <mergeCell ref="C264:D264"/>
    <mergeCell ref="E193:F193"/>
    <mergeCell ref="E264:F264"/>
    <mergeCell ref="E198:F198"/>
    <mergeCell ref="E391:F391"/>
    <mergeCell ref="E122:F122"/>
    <mergeCell ref="C216:D216"/>
    <mergeCell ref="C387:D387"/>
    <mergeCell ref="C343:D343"/>
    <mergeCell ref="C281:D281"/>
    <mergeCell ref="E343:F343"/>
    <mergeCell ref="E403:F403"/>
    <mergeCell ref="C353:D353"/>
    <mergeCell ref="C147:D147"/>
    <mergeCell ref="E209:F209"/>
    <mergeCell ref="C218:D218"/>
    <mergeCell ref="E147:F147"/>
    <mergeCell ref="C274:D274"/>
    <mergeCell ref="C280:D280"/>
    <mergeCell ref="E274:F274"/>
    <mergeCell ref="E280:F280"/>
    <mergeCell ref="C345:D345"/>
    <mergeCell ref="A2:O2"/>
    <mergeCell ref="C211:D211"/>
    <mergeCell ref="C382:D382"/>
    <mergeCell ref="C282:D282"/>
    <mergeCell ref="E211:F211"/>
    <mergeCell ref="E338:F338"/>
    <mergeCell ref="E186:F186"/>
    <mergeCell ref="E275:F275"/>
    <mergeCell ref="E340:F340"/>
    <mergeCell ref="C371:D371"/>
    <mergeCell ref="C165:D165"/>
    <mergeCell ref="C358:D358"/>
    <mergeCell ref="C308:D308"/>
    <mergeCell ref="C229:D229"/>
    <mergeCell ref="C351:D351"/>
    <mergeCell ref="E351:F351"/>
    <mergeCell ref="C375:D375"/>
    <mergeCell ref="C179:D179"/>
    <mergeCell ref="E130:F130"/>
    <mergeCell ref="C310:D310"/>
    <mergeCell ref="C166:D166"/>
    <mergeCell ref="C160:D160"/>
    <mergeCell ref="C402:D402"/>
    <mergeCell ref="E160:F160"/>
    <mergeCell ref="C141:D141"/>
    <mergeCell ref="E141:F141"/>
    <mergeCell ref="C377:D377"/>
    <mergeCell ref="E135:F135"/>
    <mergeCell ref="E328:F328"/>
    <mergeCell ref="E132:F132"/>
    <mergeCell ref="E224:F224"/>
    <mergeCell ref="C143:D143"/>
    <mergeCell ref="E143:F143"/>
    <mergeCell ref="E288:F288"/>
    <mergeCell ref="C255:D255"/>
    <mergeCell ref="C380:D380"/>
    <mergeCell ref="C359:D359"/>
    <mergeCell ref="C219:D219"/>
    <mergeCell ref="E359:F359"/>
    <mergeCell ref="C346:D346"/>
    <mergeCell ref="E346:F346"/>
    <mergeCell ref="C125:D125"/>
    <mergeCell ref="C296:D296"/>
    <mergeCell ref="E125:F125"/>
    <mergeCell ref="C161:D161"/>
    <mergeCell ref="E212:F212"/>
    <mergeCell ref="C283:D283"/>
    <mergeCell ref="E112:F112"/>
    <mergeCell ref="E283:F283"/>
    <mergeCell ref="C348:D348"/>
    <mergeCell ref="E277:F277"/>
    <mergeCell ref="E348:F348"/>
    <mergeCell ref="E404:F404"/>
    <mergeCell ref="C298:D298"/>
    <mergeCell ref="C154:D154"/>
    <mergeCell ref="C285:D285"/>
    <mergeCell ref="C390:D390"/>
    <mergeCell ref="E285:F285"/>
    <mergeCell ref="E341:F341"/>
    <mergeCell ref="E412:F412"/>
    <mergeCell ref="C156:D156"/>
    <mergeCell ref="E278:F278"/>
    <mergeCell ref="C250:D250"/>
    <mergeCell ref="C372:D372"/>
    <mergeCell ref="E372:F372"/>
    <mergeCell ref="E293:F293"/>
    <mergeCell ref="E138:F138"/>
    <mergeCell ref="C374:D374"/>
    <mergeCell ref="C230:D230"/>
    <mergeCell ref="E374:F374"/>
    <mergeCell ref="C168:D168"/>
    <mergeCell ref="E230:F230"/>
    <mergeCell ref="C301:D301"/>
    <mergeCell ref="C401:D401"/>
    <mergeCell ref="E295:F295"/>
    <mergeCell ref="C180:D180"/>
    <mergeCell ref="C118:D118"/>
    <mergeCell ref="C167:D167"/>
    <mergeCell ref="C238:D238"/>
    <mergeCell ref="E167:F167"/>
    <mergeCell ref="E367:F367"/>
    <mergeCell ref="C232:D232"/>
    <mergeCell ref="C403:D403"/>
    <mergeCell ref="C303:D303"/>
    <mergeCell ref="E232:F232"/>
    <mergeCell ref="C207:D207"/>
    <mergeCell ref="C182:D182"/>
    <mergeCell ref="E207:F207"/>
    <mergeCell ref="C169:D169"/>
    <mergeCell ref="E169:F169"/>
    <mergeCell ref="E225:F225"/>
    <mergeCell ref="E296:F296"/>
    <mergeCell ref="E271:F271"/>
    <mergeCell ref="C233:D233"/>
    <mergeCell ref="E227:F227"/>
    <mergeCell ref="E273:F273"/>
    <mergeCell ref="C354:D354"/>
    <mergeCell ref="C396:D396"/>
    <mergeCell ref="E347:F347"/>
    <mergeCell ref="C116:D116"/>
    <mergeCell ref="C187:D187"/>
    <mergeCell ref="C368:D368"/>
    <mergeCell ref="C306:D306"/>
    <mergeCell ref="C162:D162"/>
    <mergeCell ref="E362:F362"/>
    <mergeCell ref="C349:D349"/>
    <mergeCell ref="E156:F156"/>
    <mergeCell ref="C398:D398"/>
    <mergeCell ref="E349:F349"/>
    <mergeCell ref="E153:F153"/>
    <mergeCell ref="C177:D177"/>
    <mergeCell ref="E128:F128"/>
    <mergeCell ref="C226:D226"/>
    <mergeCell ref="E155:F155"/>
    <mergeCell ref="C164:D164"/>
    <mergeCell ref="C335:D335"/>
    <mergeCell ref="C364:D364"/>
    <mergeCell ref="E364:F364"/>
    <mergeCell ref="E220:F220"/>
    <mergeCell ref="E413:F413"/>
    <mergeCell ref="E363:F363"/>
    <mergeCell ref="E157:F157"/>
    <mergeCell ref="C222:D222"/>
    <mergeCell ref="E284:F284"/>
    <mergeCell ref="E222:F222"/>
    <mergeCell ref="C251:D251"/>
    <mergeCell ref="E286:F286"/>
    <mergeCell ref="C253:D253"/>
    <mergeCell ref="E375:F375"/>
    <mergeCell ref="C240:D240"/>
    <mergeCell ref="C411:D411"/>
    <mergeCell ref="C190:D190"/>
    <mergeCell ref="C317:D317"/>
    <mergeCell ref="E246:F246"/>
    <mergeCell ref="E146:F146"/>
    <mergeCell ref="E317:F317"/>
    <mergeCell ref="E377:F377"/>
    <mergeCell ref="C304:D304"/>
    <mergeCell ref="E233:F233"/>
    <mergeCell ref="E298:F298"/>
    <mergeCell ref="C254:D254"/>
    <mergeCell ref="C248:D248"/>
    <mergeCell ref="C319:D319"/>
    <mergeCell ref="E248:F248"/>
    <mergeCell ref="C175:D175"/>
    <mergeCell ref="C235:D235"/>
    <mergeCell ref="E175:F175"/>
    <mergeCell ref="E297:F297"/>
    <mergeCell ref="E235:F235"/>
    <mergeCell ref="E368:F368"/>
    <mergeCell ref="C185:D185"/>
    <mergeCell ref="E247:F247"/>
    <mergeCell ref="E185:F185"/>
    <mergeCell ref="E312:F312"/>
    <mergeCell ref="E299:F299"/>
    <mergeCell ref="C393:D393"/>
    <mergeCell ref="E314:F314"/>
    <mergeCell ref="E170:F170"/>
    <mergeCell ref="C137:D137"/>
    <mergeCell ref="C330:D330"/>
    <mergeCell ref="C124:D124"/>
    <mergeCell ref="C201:D201"/>
    <mergeCell ref="E370:F370"/>
    <mergeCell ref="C139:D139"/>
    <mergeCell ref="E201:F201"/>
    <mergeCell ref="C332:D332"/>
    <mergeCell ref="C388:D388"/>
    <mergeCell ref="C188:D188"/>
    <mergeCell ref="E388:F388"/>
    <mergeCell ref="C132:D132"/>
    <mergeCell ref="C399:D399"/>
    <mergeCell ref="C203:D203"/>
    <mergeCell ref="E399:F399"/>
    <mergeCell ref="E154:F154"/>
    <mergeCell ref="E390:F390"/>
    <mergeCell ref="E172:F172"/>
    <mergeCell ref="E365:F365"/>
    <mergeCell ref="E302:F302"/>
    <mergeCell ref="E223:F223"/>
    <mergeCell ref="E394:F394"/>
    <mergeCell ref="E294:F294"/>
    <mergeCell ref="C279:D279"/>
    <mergeCell ref="C325:D325"/>
    <mergeCell ref="E254:F254"/>
    <mergeCell ref="C318:D318"/>
    <mergeCell ref="C256:D256"/>
    <mergeCell ref="E318:F318"/>
    <mergeCell ref="C112:D112"/>
    <mergeCell ref="C383:D383"/>
    <mergeCell ref="C183:D183"/>
    <mergeCell ref="C389:D389"/>
    <mergeCell ref="E383:F383"/>
    <mergeCell ref="E177:F177"/>
    <mergeCell ref="C133:D133"/>
    <mergeCell ref="C193:D193"/>
    <mergeCell ref="C127:D127"/>
    <mergeCell ref="C320:D320"/>
    <mergeCell ref="E249:F249"/>
    <mergeCell ref="C176:D176"/>
    <mergeCell ref="E149:F149"/>
    <mergeCell ref="C114:D114"/>
    <mergeCell ref="E176:F176"/>
    <mergeCell ref="C247:D247"/>
    <mergeCell ref="E114:F114"/>
    <mergeCell ref="E320:F320"/>
    <mergeCell ref="C356:D356"/>
    <mergeCell ref="E241:F241"/>
    <mergeCell ref="E385:F385"/>
    <mergeCell ref="C412:D412"/>
    <mergeCell ref="C257:D257"/>
    <mergeCell ref="E257:F257"/>
    <mergeCell ref="E191:F191"/>
    <mergeCell ref="E384:F384"/>
    <mergeCell ref="C178:D178"/>
    <mergeCell ref="E378:F378"/>
    <mergeCell ref="E178:F178"/>
    <mergeCell ref="C272:D272"/>
    <mergeCell ref="E144:F144"/>
    <mergeCell ref="E315:F315"/>
    <mergeCell ref="C209:D209"/>
    <mergeCell ref="E396:F396"/>
    <mergeCell ref="C140:D140"/>
    <mergeCell ref="C267:D267"/>
    <mergeCell ref="C338:D338"/>
    <mergeCell ref="E267:F267"/>
    <mergeCell ref="C204:D204"/>
    <mergeCell ref="C275:D275"/>
    <mergeCell ref="E204:F204"/>
    <mergeCell ref="C269:D269"/>
    <mergeCell ref="C340:D340"/>
    <mergeCell ref="E269:F269"/>
    <mergeCell ref="C231:D231"/>
    <mergeCell ref="C206:D206"/>
    <mergeCell ref="E231:F231"/>
    <mergeCell ref="E206:F206"/>
    <mergeCell ref="E262:F262"/>
    <mergeCell ref="C333:D333"/>
    <mergeCell ref="E333:F333"/>
    <mergeCell ref="C270:D270"/>
    <mergeCell ref="E245:F245"/>
    <mergeCell ref="E310:F310"/>
    <mergeCell ref="C130:D130"/>
    <mergeCell ref="C295:D295"/>
    <mergeCell ref="C409:D409"/>
    <mergeCell ref="E409:F409"/>
    <mergeCell ref="C135:D135"/>
    <mergeCell ref="C328:D328"/>
    <mergeCell ref="C159:D159"/>
    <mergeCell ref="C122:D122"/>
    <mergeCell ref="C153:D153"/>
    <mergeCell ref="C224:D224"/>
    <mergeCell ref="C395:D395"/>
    <mergeCell ref="C199:D199"/>
    <mergeCell ref="E199:F199"/>
    <mergeCell ref="E255:F255"/>
    <mergeCell ref="E321:F321"/>
    <mergeCell ref="C186:D186"/>
    <mergeCell ref="E392:F392"/>
    <mergeCell ref="C217:D217"/>
    <mergeCell ref="E386:F386"/>
    <mergeCell ref="E242:F242"/>
    <mergeCell ref="E217:F217"/>
    <mergeCell ref="C136:D136"/>
    <mergeCell ref="C263:D263"/>
    <mergeCell ref="E192:F192"/>
    <mergeCell ref="C323:D323"/>
    <mergeCell ref="E263:F263"/>
    <mergeCell ref="E323:F323"/>
    <mergeCell ref="E415:F415"/>
    <mergeCell ref="E129:F129"/>
    <mergeCell ref="E194:F194"/>
    <mergeCell ref="E387:F387"/>
    <mergeCell ref="E181:F181"/>
    <mergeCell ref="A3:O3"/>
    <mergeCell ref="E131:F131"/>
    <mergeCell ref="C212:D212"/>
    <mergeCell ref="C146:D146"/>
    <mergeCell ref="A5:O5"/>
    <mergeCell ref="C277:D277"/>
    <mergeCell ref="C404:D404"/>
    <mergeCell ref="C276:D276"/>
    <mergeCell ref="E276:F276"/>
    <mergeCell ref="C341:D341"/>
    <mergeCell ref="E270:F270"/>
    <mergeCell ref="E397:F397"/>
    <mergeCell ref="C120:D120"/>
    <mergeCell ref="C278:D278"/>
    <mergeCell ref="C405:D405"/>
    <mergeCell ref="E163:F163"/>
    <mergeCell ref="E334:F334"/>
    <mergeCell ref="E405:F405"/>
    <mergeCell ref="C370:D370"/>
    <mergeCell ref="E113:F113"/>
    <mergeCell ref="C149:D149"/>
    <mergeCell ref="C385:D385"/>
    <mergeCell ref="E336:F336"/>
    <mergeCell ref="E136:F136"/>
    <mergeCell ref="E115:F115"/>
    <mergeCell ref="E400:F400"/>
    <mergeCell ref="C367:D367"/>
    <mergeCell ref="C288:D288"/>
    <mergeCell ref="C369:D369"/>
    <mergeCell ref="E127:F127"/>
    <mergeCell ref="C225:D225"/>
    <mergeCell ref="A214:O214"/>
    <mergeCell ref="C200:D200"/>
    <mergeCell ref="E200:F200"/>
    <mergeCell ref="C227:D227"/>
    <mergeCell ref="C202:D202"/>
    <mergeCell ref="C373:D373"/>
    <mergeCell ref="E202:F202"/>
    <mergeCell ref="C291:D291"/>
    <mergeCell ref="E291:F291"/>
    <mergeCell ref="E266:F266"/>
    <mergeCell ref="E260:F260"/>
    <mergeCell ref="C347:D347"/>
    <mergeCell ref="C268:D268"/>
    <mergeCell ref="E197:F197"/>
    <mergeCell ref="E124:F124"/>
    <mergeCell ref="C360:D360"/>
    <mergeCell ref="C362:D362"/>
    <mergeCell ref="E120:F120"/>
    <mergeCell ref="C355:D355"/>
    <mergeCell ref="C155:D155"/>
    <mergeCell ref="C293:D293"/>
    <mergeCell ref="E184:F184"/>
    <mergeCell ref="C220:D220"/>
    <mergeCell ref="C342:D342"/>
    <mergeCell ref="C391:D391"/>
    <mergeCell ref="E342:F342"/>
    <mergeCell ref="E407:F407"/>
    <mergeCell ref="E121:F121"/>
    <mergeCell ref="C357:D357"/>
    <mergeCell ref="C157:D157"/>
    <mergeCell ref="E357:F357"/>
    <mergeCell ref="C151:D151"/>
    <mergeCell ref="C284:D284"/>
    <mergeCell ref="C344:D344"/>
    <mergeCell ref="E151:F151"/>
    <mergeCell ref="E344:F344"/>
    <mergeCell ref="C294:D294"/>
    <mergeCell ref="E123:F123"/>
    <mergeCell ref="E150:F150"/>
    <mergeCell ref="C215:D215"/>
    <mergeCell ref="C386:D386"/>
    <mergeCell ref="E215:F215"/>
    <mergeCell ref="E337:F337"/>
    <mergeCell ref="E408:F408"/>
    <mergeCell ref="E402:F402"/>
    <mergeCell ref="E373:F373"/>
    <mergeCell ref="C152:D152"/>
    <mergeCell ref="E352:F352"/>
    <mergeCell ref="E152:F152"/>
    <mergeCell ref="E279:F279"/>
    <mergeCell ref="E339:F339"/>
    <mergeCell ref="E118:F118"/>
    <mergeCell ref="C297:D297"/>
    <mergeCell ref="E226:F226"/>
    <mergeCell ref="A111:O111"/>
    <mergeCell ref="C241:D241"/>
    <mergeCell ref="C312:D312"/>
    <mergeCell ref="C228:D228"/>
    <mergeCell ref="C299:D299"/>
    <mergeCell ref="E228:F228"/>
    <mergeCell ref="E355:F355"/>
    <mergeCell ref="C243:D243"/>
    <mergeCell ref="E134:F134"/>
    <mergeCell ref="E268:F268"/>
    <mergeCell ref="E243:F243"/>
    <mergeCell ref="C170:D170"/>
    <mergeCell ref="C292:D292"/>
    <mergeCell ref="E305:F305"/>
    <mergeCell ref="E292:F292"/>
    <mergeCell ref="E330:F330"/>
    <mergeCell ref="C307:D307"/>
    <mergeCell ref="E332:F332"/>
    <mergeCell ref="E307:F307"/>
    <mergeCell ref="E165:F165"/>
    <mergeCell ref="E140:F140"/>
    <mergeCell ref="C246:D246"/>
    <mergeCell ref="E398:F398"/>
    <mergeCell ref="C221:D221"/>
    <mergeCell ref="C196:D196"/>
    <mergeCell ref="C392:D392"/>
    <mergeCell ref="E221:F221"/>
    <mergeCell ref="C236:D236"/>
    <mergeCell ref="C223:D223"/>
    <mergeCell ref="C198:D198"/>
    <mergeCell ref="C394:D394"/>
    <mergeCell ref="C300:D300"/>
    <mergeCell ref="E300:F300"/>
    <mergeCell ref="E360:F360"/>
    <mergeCell ref="C287:D287"/>
    <mergeCell ref="E216:F216"/>
    <mergeCell ref="E287:F287"/>
    <mergeCell ref="E281:F281"/>
    <mergeCell ref="C289:D289"/>
    <mergeCell ref="E218:F218"/>
    <mergeCell ref="E345:F345"/>
    <mergeCell ref="E282:F282"/>
    <mergeCell ref="C249:D249"/>
    <mergeCell ref="C376:D376"/>
    <mergeCell ref="C314:D314"/>
  </mergeCells>
  <conditionalFormatting sqref="D7:D26">
    <cfRule type="expression" priority="1" dxfId="15">
      <formula>AND($C7&lt;&gt;"n.v.",$C7&lt;&gt;"—",D7&lt;&gt;$C7)</formula>
    </cfRule>
    <cfRule type="expression" priority="2" dxfId="15">
      <formula>AND(OR($C7="n.v.",$C7="—"),D7&lt;&gt;"")</formula>
    </cfRule>
  </conditionalFormatting>
  <conditionalFormatting sqref="J7:J26">
    <cfRule type="expression" priority="3" dxfId="15">
      <formula>AND($I7&lt;&gt;"n.v.",$I7&lt;&gt;"—",J7&lt;&gt;$I7)</formula>
    </cfRule>
    <cfRule type="expression" priority="4" dxfId="15">
      <formula>AND(OR($I7="n.v.",$I7="—"),J7&lt;&gt;"")</formula>
    </cfRule>
  </conditionalFormatting>
  <conditionalFormatting sqref="H7:H26">
    <cfRule type="expression" priority="5" dxfId="15">
      <formula>AND($G7&lt;&gt;"n.v.",$G7&lt;&gt;"—",H7&lt;&gt;$G7)</formula>
    </cfRule>
    <cfRule type="expression" priority="6" dxfId="15">
      <formula>AND(OR($G7="n.v.",$G7="—"),H7&lt;&gt;"")</formula>
    </cfRule>
  </conditionalFormatting>
  <conditionalFormatting sqref="F7:F26">
    <cfRule type="expression" priority="7" dxfId="15">
      <formula>AND($E7&lt;&gt;"n.v.",$E7&lt;&gt;"—",F7&lt;&gt;$E7)</formula>
    </cfRule>
    <cfRule type="expression" priority="8" dxfId="15">
      <formula>AND(OR($E7="n.v.",$E7="—"),F7&lt;&gt;"")</formula>
    </cfRule>
  </conditionalFormatting>
  <conditionalFormatting sqref="L7:L26">
    <cfRule type="expression" priority="9" dxfId="15">
      <formula>AND($K7&lt;&gt;"n.v.",$K7&lt;&gt;"—",L7&lt;&gt;$K7)</formula>
    </cfRule>
    <cfRule type="expression" priority="10" dxfId="15">
      <formula>AND(OR($K7="n.v.",$K7="—"),L7&lt;&gt;"")</formula>
    </cfRule>
  </conditionalFormatting>
  <conditionalFormatting sqref="Y7:Y26">
    <cfRule type="expression" priority="11" dxfId="15">
      <formula>AND($X7&lt;&gt;"n.v.",$X7&lt;&gt;"—",Y7&lt;&gt;$X7)</formula>
    </cfRule>
    <cfRule type="expression" priority="12" dxfId="15">
      <formula>AND(OR($X7="n.v.",$X7="—"),Y7&lt;&gt;"")</formula>
    </cfRule>
  </conditionalFormatting>
  <conditionalFormatting sqref="P7:P26">
    <cfRule type="expression" priority="13" dxfId="40">
      <formula>ISNUMBER(SEARCH("DA MOTIVARE",P7))</formula>
    </cfRule>
  </conditionalFormatting>
  <conditionalFormatting sqref="M7:M26">
    <cfRule type="expression" priority="14" dxfId="39">
      <formula>AND($A7&lt;&gt;"",OR(IF(OR($C7="n.v.",$C7="—"),$D7&lt;&gt;"",$D7&lt;&gt;$C7),IF(OR($I7="n.v.",$I7="—"),$J7&lt;&gt;"",$J7&lt;&gt;$I7),IF(OR($G7="n.v.",$G7="—"),$H7&lt;&gt;"",$H7&lt;&gt;$G7),IF(OR($E7="n.v.",$E7="—"),$F7&lt;&gt;"",$F7&lt;&gt;$E7),IF(OR($K7="n.v.",$K7="—"),$L7&lt;&gt;"",$L7&lt;&gt;$K7),IF(OR($X7="n.v.",$X7="—"),$Y7&lt;&gt;"",$Y7&lt;&gt;$X7),$R7=1),LEN(M7)&lt;10)</formula>
    </cfRule>
  </conditionalFormatting>
  <conditionalFormatting sqref="W7:W26">
    <cfRule type="expression" priority="15" dxfId="41">
      <formula>LEFT(W7,12)="Osservazione"</formula>
    </cfRule>
    <cfRule type="expression" priority="16" dxfId="42">
      <formula>LEFT(W7,16)="Radar, in uscita"</formula>
    </cfRule>
  </conditionalFormatting>
  <conditionalFormatting sqref="E30:E109">
    <cfRule type="expression" priority="17" dxfId="15">
      <formula>AND($D30&lt;&gt;"n.v.",$D30&lt;&gt;"—",E30&lt;&gt;$D30)</formula>
    </cfRule>
    <cfRule type="expression" priority="18" dxfId="15">
      <formula>AND(OR($D30="n.v.",$D30="—"),E30&lt;&gt;"")</formula>
    </cfRule>
  </conditionalFormatting>
  <conditionalFormatting sqref="G30:G109">
    <cfRule type="expression" priority="19" dxfId="15">
      <formula>AND($F30&lt;&gt;"n.v.",$F30&lt;&gt;"—",G30&lt;&gt;$F30)</formula>
    </cfRule>
    <cfRule type="expression" priority="20" dxfId="15">
      <formula>AND(OR($F30="n.v.",$F30="—"),G30&lt;&gt;"")</formula>
    </cfRule>
  </conditionalFormatting>
  <conditionalFormatting sqref="I30:I109">
    <cfRule type="expression" priority="21" dxfId="15">
      <formula>AND($H30&lt;&gt;"n.v.",$H30&lt;&gt;"—",I30&lt;&gt;$H30)</formula>
    </cfRule>
    <cfRule type="expression" priority="22" dxfId="15">
      <formula>AND(OR($H30="n.v.",$H30="—"),I30&lt;&gt;"")</formula>
    </cfRule>
  </conditionalFormatting>
  <conditionalFormatting sqref="J30:J109">
    <cfRule type="expression" priority="23" dxfId="43">
      <formula>OR($J30="Sì",$J30="Si")</formula>
    </cfRule>
  </conditionalFormatting>
  <conditionalFormatting sqref="M30:M109">
    <cfRule type="expression" priority="24" dxfId="39">
      <formula>AND($A30&lt;&gt;"",OR(IF(OR($D30="n.v.",$D30="—"),$E30&lt;&gt;"",$E30&lt;&gt;$D30),IF(OR($F30="n.v.",$F30="—"),$G30&lt;&gt;"",$G30&lt;&gt;$F30),IF(OR($H30="n.v.",$H30="—"),$I30&lt;&gt;"",$I30&lt;&gt;$H30),OR($J30="Sì",$J30="Si")),LEN(M30)&lt;10)</formula>
    </cfRule>
  </conditionalFormatting>
  <conditionalFormatting sqref="E113:E212">
    <cfRule type="expression" priority="25" dxfId="15">
      <formula>AND($C113&lt;&gt;"n.v.",$C113&lt;&gt;"—",E113&lt;&gt;$C113)</formula>
    </cfRule>
    <cfRule type="expression" priority="26" dxfId="15">
      <formula>AND(OR($C113="n.v.",$C113="—"),E113&lt;&gt;"")</formula>
    </cfRule>
  </conditionalFormatting>
  <conditionalFormatting sqref="H113:H212">
    <cfRule type="expression" priority="27" dxfId="15">
      <formula>AND($G113&lt;&gt;"n.v.",$G113&lt;&gt;"—",H113&lt;&gt;$G113)</formula>
    </cfRule>
    <cfRule type="expression" priority="28" dxfId="15">
      <formula>AND(OR($G113="n.v.",$G113="—"),H113&lt;&gt;"")</formula>
    </cfRule>
  </conditionalFormatting>
  <conditionalFormatting sqref="I113:I212">
    <cfRule type="expression" priority="29" dxfId="43">
      <formula>OR($I113="Sì",$I113="Si")</formula>
    </cfRule>
  </conditionalFormatting>
  <conditionalFormatting sqref="M113:M212">
    <cfRule type="expression" priority="30" dxfId="39">
      <formula>AND($A113&lt;&gt;"",OR(IF(OR($C113="n.v.",$C113="—"),$E113&lt;&gt;"",$E113&lt;&gt;$C113),IF(OR($G113="n.v.",$G113="—"),$H113&lt;&gt;"",$H113&lt;&gt;$G113),OR($I113="Sì",$I113="Si")),LEN(M113)&lt;10)</formula>
    </cfRule>
  </conditionalFormatting>
  <conditionalFormatting sqref="E216:E415">
    <cfRule type="expression" priority="31" dxfId="15">
      <formula>AND($C216&lt;&gt;"n.v.",$C216&lt;&gt;"—",E216&lt;&gt;$C216)</formula>
    </cfRule>
    <cfRule type="expression" priority="32" dxfId="15">
      <formula>AND(OR($C216="n.v.",$C216="—"),E216&lt;&gt;"")</formula>
    </cfRule>
  </conditionalFormatting>
  <conditionalFormatting sqref="H216:H415">
    <cfRule type="expression" priority="33" dxfId="15">
      <formula>AND($G216&lt;&gt;"n.v.",$G216&lt;&gt;"—",H216&lt;&gt;$G216)</formula>
    </cfRule>
    <cfRule type="expression" priority="34" dxfId="15">
      <formula>AND(OR($G216="n.v.",$G216="—"),H216&lt;&gt;"")</formula>
    </cfRule>
  </conditionalFormatting>
  <conditionalFormatting sqref="I216:I415">
    <cfRule type="expression" priority="35" dxfId="43">
      <formula>OR($I216="Sì",$I216="Si")</formula>
    </cfRule>
  </conditionalFormatting>
  <conditionalFormatting sqref="M216:M415">
    <cfRule type="expression" priority="36" dxfId="39">
      <formula>AND($A216&lt;&gt;"",OR(IF(OR($C216="n.v.",$C216="—"),$E216&lt;&gt;"",$E216&lt;&gt;$C216),IF(OR($G216="n.v.",$G216="—"),$H216&lt;&gt;"",$H216&lt;&gt;$G216),OR($I216="Sì",$I216="Si")),LEN(M216)&lt;10)</formula>
    </cfRule>
  </conditionalFormatting>
  <conditionalFormatting sqref="O7:O26">
    <cfRule type="expression" priority="37" dxfId="4">
      <formula>LEFT(O7,9)="AGIRE ORA"</formula>
    </cfRule>
    <cfRule type="expression" priority="38" dxfId="5">
      <formula>LEFT(O7,5)="Entro"</formula>
    </cfRule>
    <cfRule type="expression" priority="39" dxfId="44">
      <formula>LEFT(O7,7)="Margine"</formula>
    </cfRule>
  </conditionalFormatting>
  <conditionalFormatting sqref="N7:N26">
    <cfRule type="expression" priority="40" dxfId="15">
      <formula>ISNUMBER(SEARCH("(era",N7))</formula>
    </cfRule>
  </conditionalFormatting>
  <dataValidations count="8">
    <dataValidation sqref="D7:D26 F7:F26 H7:H26 J7:J26" showDropDown="0" showInputMessage="0" showErrorMessage="1" allowBlank="1" error="Un intero da 1 a 5 (la Velocity puo' restare vuota = non valutata)." type="whole" operator="between">
      <formula1>1</formula1>
      <formula2>5</formula2>
    </dataValidation>
    <dataValidation sqref="L7:L26" showDropDown="0" showInputMessage="0" showErrorMessage="1" allowBlank="1" error="Anni di adeguamento: un numero da 0 a 30, oppure vuoto." type="decimal" operator="between">
      <formula1>0</formula1>
      <formula2>30</formula2>
    </dataValidation>
    <dataValidation sqref="Y7:Y26" showDropDown="0" showInputMessage="0" showErrorMessage="0" allowBlank="1" type="list">
      <formula1>"Automatico,Radar,Osservazione"</formula1>
    </dataValidation>
    <dataValidation sqref="J30:J109" showDropDown="0" showInputMessage="0" showErrorMessage="0" allowBlank="1" type="list">
      <formula1>"Sì"</formula1>
    </dataValidation>
    <dataValidation sqref="I113:I212" showDropDown="0" showInputMessage="0" showErrorMessage="0" allowBlank="1" type="list">
      <formula1>"Sì"</formula1>
    </dataValidation>
    <dataValidation sqref="H113:H212" showDropDown="0" showInputMessage="0" showErrorMessage="0" allowBlank="1" type="list">
      <formula1>"3 mesi,6 mesi,12 mesi"</formula1>
    </dataValidation>
    <dataValidation sqref="I216:I415" showDropDown="0" showInputMessage="0" showErrorMessage="0" allowBlank="1" type="list">
      <formula1>"Sì"</formula1>
    </dataValidation>
    <dataValidation sqref="H216:H415" showDropDown="0" showInputMessage="0" showErrorMessage="0" allowBlank="1" type="list">
      <formula1>"Peggiorativo,Migliorativo,Neutro,Non rilevante"</formula1>
    </dataValidation>
  </dataValidations>
  <pageMargins left="0.4" right="0.4" top="1" bottom="1" header="0.5" footer="0.5"/>
  <pageSetup orientation="landscape" paperSize="9" fitToHeight="0" fitToWidth="1"/>
  <headerFooter>
    <oddHeader>&amp;L&amp;A&amp;CUso interno&amp;RHorizon Scan NFR</oddHeader>
    <oddFooter>&amp;L&amp;F&amp;RPagina &amp;P di &amp;N</oddFooter>
    <evenHeader/>
    <evenFooter/>
    <firstHeader/>
    <firstFooter/>
  </headerFooter>
</worksheet>
</file>

<file path=xl/worksheets/sheet16.xml><?xml version="1.0" encoding="utf-8"?>
<worksheet xmlns="http://schemas.openxmlformats.org/spreadsheetml/2006/main">
  <sheetPr>
    <tabColor rgb="002E75B6"/>
    <outlinePr summaryBelow="1" summaryRight="1"/>
    <pageSetUpPr fitToPage="1"/>
  </sheetPr>
  <dimension ref="A1:O75"/>
  <sheetViews>
    <sheetView showGridLines="0" workbookViewId="0">
      <selection activeCell="A1" sqref="A1"/>
    </sheetView>
  </sheetViews>
  <sheetFormatPr baseColWidth="8" defaultRowHeight="15"/>
  <cols>
    <col width="38" customWidth="1" min="1" max="1"/>
    <col width="14" customWidth="1" min="2" max="2"/>
    <col width="26" customWidth="1" min="3" max="3"/>
    <col width="10" customWidth="1" min="5" max="5"/>
    <col width="50" customWidth="1" min="6" max="6"/>
    <col width="10" customWidth="1" min="8" max="8"/>
    <col width="50" customWidth="1" min="9" max="9"/>
    <col width="10" customWidth="1" min="10" max="10"/>
    <col width="18" customWidth="1" min="11" max="11"/>
    <col width="34" customWidth="1" min="12" max="12"/>
    <col width="13" customWidth="1" min="13" max="13"/>
    <col width="13" customWidth="1" min="14" max="14"/>
    <col width="15" customWidth="1" min="15" max="15"/>
  </cols>
  <sheetData>
    <row r="1" ht="28" customHeight="1">
      <c r="A1" s="1">
        <f>"Horizon Scan NFR — Parametri: pesi, soglie, urgenza e anagrafica dei rischi   ·   "&amp;etichettaCiclo</f>
        <v/>
      </c>
      <c r="B1" s="2" t="n"/>
      <c r="C1" s="2" t="n"/>
      <c r="D1" s="2" t="n"/>
      <c r="E1" s="2" t="n"/>
      <c r="F1" s="2" t="n"/>
      <c r="G1" s="2" t="n"/>
      <c r="H1" s="2" t="n"/>
      <c r="I1" s="2" t="n"/>
      <c r="J1" s="2" t="n"/>
      <c r="K1" s="2" t="n"/>
      <c r="L1" s="2" t="n"/>
      <c r="M1" s="2" t="n"/>
      <c r="N1" s="2" t="n"/>
    </row>
    <row r="2" ht="65" customHeight="1">
      <c r="A2" s="123" t="inlineStr">
        <is>
          <r>
            <rPr>
              <rFont val="Calibri"/>
              <b val="1"/>
              <color rgb="007F6000"/>
              <sz val="10"/>
            </rPr>
            <t>CELLE GIALLE = INPUT, decisi dalla funzione di rischio e registrati in DECISIONI.md.</t>
          </r>
          <r>
            <rPr>
              <rFont val="Calibri"/>
              <color rgb="00262626"/>
              <sz val="10"/>
            </rPr>
            <t xml:space="preserve">
Pesi, soglie e parametri dell'urgenza valgono per tutti i cicli, passati compresi. Ciclo e settimana correnti li scrive lo script. Nessuna costante e' nascosta nelle formule. Righe 65-75: la regola del registro unico, chi entra nel radar di Mosca (D-79).</t>
          </r>
        </is>
      </c>
      <c r="H2" s="156" t="inlineStr">
        <is>
          <t>ANAGRAFICA DEI RISCHI NEL RADAR DI MOSCA (registro unico, D-79: lo script vi mette e toglie i rischi con la regola delle righe 65-75; quelli in osservazione stanno solo nel RiskRegister) — colonne H-K: lo script le scrive a ogni ciclo trimestrale dalla valutazione di A1. Colonne gialle L-O: le decide il validatore e restano da un ciclo all'altro (M = anni di adeguamento: li stima A1 e li scrive la validazione, correggibili a mano; O = presidio dei controlli, giudizio della Banca fuori dallo score). Un rischio si toglie solo con il comando 'dismetti': una riga vuota in mezzo toglierebbe dal radar l'ultimo rischio.</t>
        </is>
      </c>
    </row>
    <row r="3" ht="30" customHeight="1">
      <c r="A3" s="98" t="inlineStr">
        <is>
          <t>Pesi dello Score_Composito (D-50)</t>
        </is>
      </c>
      <c r="E3" s="98" t="inlineStr">
        <is>
          <t>Tassonomia interna — categorie di rischio in perimetro (D-74)</t>
        </is>
      </c>
      <c r="H3" s="6" t="inlineStr">
        <is>
          <t>ID</t>
        </is>
      </c>
      <c r="I3" s="6" t="inlineStr">
        <is>
          <t>Nome</t>
        </is>
      </c>
      <c r="J3" s="6" t="inlineStr">
        <is>
          <t>Event_Type</t>
        </is>
      </c>
      <c r="K3" s="6" t="inlineStr">
        <is>
          <t>Driver</t>
        </is>
      </c>
      <c r="L3" s="7" t="inlineStr">
        <is>
          <t>Owner</t>
        </is>
      </c>
      <c r="M3" s="7" t="inlineStr">
        <is>
          <t>Anni_Adeguamento</t>
        </is>
      </c>
      <c r="N3" s="7" t="inlineStr">
        <is>
          <t>Attenzione_Supervisore</t>
        </is>
      </c>
      <c r="O3" s="7" t="inlineStr">
        <is>
          <t>Presidio_Controlli</t>
        </is>
      </c>
    </row>
    <row r="4">
      <c r="A4" t="inlineStr">
        <is>
          <t>Impatto</t>
        </is>
      </c>
      <c r="B4" s="157" t="n">
        <v>0.35</v>
      </c>
      <c r="E4" t="inlineStr">
        <is>
          <t>9.1</t>
        </is>
      </c>
      <c r="F4" t="inlineStr">
        <is>
          <t>Condotta</t>
        </is>
      </c>
      <c r="H4" s="158" t="inlineStr">
        <is>
          <t>NFR-01</t>
        </is>
      </c>
      <c r="I4" s="158" t="inlineStr">
        <is>
          <t>Frodi su pagamenti istantanei abilitate da AI generativa</t>
        </is>
      </c>
      <c r="J4" s="158" t="inlineStr">
        <is>
          <t>9.7</t>
        </is>
      </c>
      <c r="K4" s="158" t="inlineStr">
        <is>
          <t>DRV-AI, DRV-CYB</t>
        </is>
      </c>
      <c r="L4" s="114" t="inlineStr">
        <is>
          <t>Funzione Antifrode</t>
        </is>
      </c>
      <c r="M4" s="114" t="n"/>
      <c r="N4" s="114" t="inlineStr">
        <is>
          <t>Sì</t>
        </is>
      </c>
      <c r="O4" s="114" t="inlineStr">
        <is>
          <t>Parziale</t>
        </is>
      </c>
    </row>
    <row r="5">
      <c r="A5" t="inlineStr">
        <is>
          <t>Probabilita</t>
        </is>
      </c>
      <c r="B5" s="157" t="n">
        <v>0.25</v>
      </c>
      <c r="E5" t="inlineStr">
        <is>
          <t>9.4</t>
        </is>
      </c>
      <c r="F5" t="inlineStr">
        <is>
          <t>Legale</t>
        </is>
      </c>
      <c r="H5" s="158" t="inlineStr">
        <is>
          <t>NFR-02</t>
        </is>
      </c>
      <c r="I5" s="158" t="inlineStr">
        <is>
          <t>Concentrazione su un fornitore cloud critico</t>
        </is>
      </c>
      <c r="J5" s="158" t="inlineStr">
        <is>
          <t>9.9</t>
        </is>
      </c>
      <c r="K5" s="158" t="inlineStr">
        <is>
          <t>DRV-TPR, DRV-CYB</t>
        </is>
      </c>
      <c r="L5" s="114" t="inlineStr">
        <is>
          <t>Funzione ICT &amp; Security Risk</t>
        </is>
      </c>
      <c r="M5" s="114" t="n"/>
      <c r="N5" s="114" t="inlineStr">
        <is>
          <t>Sì</t>
        </is>
      </c>
      <c r="O5" s="114" t="inlineStr">
        <is>
          <t>Non verificato</t>
        </is>
      </c>
    </row>
    <row r="6">
      <c r="A6" t="inlineStr">
        <is>
          <t>Prossimita'</t>
        </is>
      </c>
      <c r="B6" s="157" t="n">
        <v>0.2</v>
      </c>
      <c r="E6" t="inlineStr">
        <is>
          <t>9.5</t>
        </is>
      </c>
      <c r="F6" t="inlineStr">
        <is>
          <t>Fiscale</t>
        </is>
      </c>
      <c r="H6" s="158" t="inlineStr">
        <is>
          <t>NFR-03</t>
        </is>
      </c>
      <c r="I6" s="158" t="inlineStr">
        <is>
          <t>Greenwashing nella commercializzazione di prodotti ESG</t>
        </is>
      </c>
      <c r="J6" s="158" t="inlineStr">
        <is>
          <t>9.1</t>
        </is>
      </c>
      <c r="K6" s="158" t="inlineStr">
        <is>
          <t>DRV-CON, DRV-CLI</t>
        </is>
      </c>
      <c r="L6" s="114" t="inlineStr">
        <is>
          <t>Funzione Compliance</t>
        </is>
      </c>
      <c r="M6" s="114" t="n"/>
      <c r="N6" s="114" t="inlineStr">
        <is>
          <t>No</t>
        </is>
      </c>
      <c r="O6" s="114" t="inlineStr">
        <is>
          <t>Non verificato</t>
        </is>
      </c>
    </row>
    <row r="7">
      <c r="A7" t="inlineStr">
        <is>
          <t>Velocity (solo se valutata)</t>
        </is>
      </c>
      <c r="B7" s="157" t="n">
        <v>0.2</v>
      </c>
      <c r="E7" t="inlineStr">
        <is>
          <t>9.6</t>
        </is>
      </c>
      <c r="F7" t="inlineStr">
        <is>
          <t>Tecnologico</t>
        </is>
      </c>
      <c r="H7" s="158" t="inlineStr">
        <is>
          <t>NFR-04</t>
        </is>
      </c>
      <c r="I7" s="158" t="inlineStr">
        <is>
          <t>Eventi climatici estremi su sedi e data center</t>
        </is>
      </c>
      <c r="J7" s="158" t="inlineStr">
        <is>
          <t>9.8</t>
        </is>
      </c>
      <c r="K7" s="158" t="inlineStr">
        <is>
          <t>DRV-CLI</t>
        </is>
      </c>
      <c r="L7" s="114" t="inlineStr">
        <is>
          <t>Funzione Business Continuity</t>
        </is>
      </c>
      <c r="M7" s="114" t="n"/>
      <c r="N7" s="114" t="inlineStr">
        <is>
          <t>No</t>
        </is>
      </c>
      <c r="O7" s="114" t="inlineStr">
        <is>
          <t>Non verificato</t>
        </is>
      </c>
    </row>
    <row r="8">
      <c r="A8" t="inlineStr">
        <is>
          <t>Somma dei pesi</t>
        </is>
      </c>
      <c r="B8">
        <f>SUM(B4:B7)</f>
        <v/>
      </c>
      <c r="C8">
        <f>IF(ROUND(B8,6)=1,"OK","I PESI NON SOMMANO A 1")</f>
        <v/>
      </c>
      <c r="E8" t="inlineStr">
        <is>
          <t>9.7</t>
        </is>
      </c>
      <c r="F8" t="inlineStr">
        <is>
          <t>Sicurezza informatica</t>
        </is>
      </c>
      <c r="H8" s="158" t="inlineStr">
        <is>
          <t>NFR-05</t>
        </is>
      </c>
      <c r="I8" s="158" t="inlineStr">
        <is>
          <t>Errori di processo nella migrazione del core banking</t>
        </is>
      </c>
      <c r="J8" s="158" t="inlineStr">
        <is>
          <t>9.13</t>
        </is>
      </c>
      <c r="K8" s="158" t="inlineStr">
        <is>
          <t>DRV-TEC</t>
        </is>
      </c>
      <c r="L8" s="114" t="inlineStr">
        <is>
          <t>Funzione Operations</t>
        </is>
      </c>
      <c r="M8" s="114" t="n"/>
      <c r="N8" s="114" t="inlineStr">
        <is>
          <t>No</t>
        </is>
      </c>
      <c r="O8" s="114" t="inlineStr">
        <is>
          <t>Adeguato</t>
        </is>
      </c>
    </row>
    <row r="9">
      <c r="E9" t="inlineStr">
        <is>
          <t>9.8</t>
        </is>
      </c>
      <c r="F9" t="inlineStr">
        <is>
          <t>Sicurezza fisica</t>
        </is>
      </c>
      <c r="H9" s="158" t="inlineStr">
        <is>
          <t>NFR-06</t>
        </is>
      </c>
      <c r="I9" s="158" t="inlineStr">
        <is>
          <t>Esfiltrazione di dati tramite strumenti di AI non autorizzati</t>
        </is>
      </c>
      <c r="J9" s="158" t="inlineStr">
        <is>
          <t>9.7</t>
        </is>
      </c>
      <c r="K9" s="158" t="inlineStr">
        <is>
          <t>DRV-AI, DRV-HUM</t>
        </is>
      </c>
      <c r="L9" s="114" t="inlineStr">
        <is>
          <t>Funzione Sicurezza delle Informazioni</t>
        </is>
      </c>
      <c r="M9" s="114" t="n"/>
      <c r="N9" s="114" t="inlineStr">
        <is>
          <t>No</t>
        </is>
      </c>
      <c r="O9" s="114" t="inlineStr">
        <is>
          <t>Assente</t>
        </is>
      </c>
    </row>
    <row r="10">
      <c r="A10" s="98" t="inlineStr">
        <is>
          <t>Soglie</t>
        </is>
      </c>
      <c r="E10" t="inlineStr">
        <is>
          <t>9.9</t>
        </is>
      </c>
      <c r="F10" t="inlineStr">
        <is>
          <t>Terze parti</t>
        </is>
      </c>
      <c r="H10" s="158" t="inlineStr">
        <is>
          <t>NFR-07</t>
        </is>
      </c>
      <c r="I10" s="158" t="inlineStr">
        <is>
          <t>Ransomware presso un fornitore di servizi di pagamento</t>
        </is>
      </c>
      <c r="J10" s="158" t="inlineStr">
        <is>
          <t>9.9</t>
        </is>
      </c>
      <c r="K10" s="158" t="inlineStr">
        <is>
          <t>DRV-CYB, DRV-TPR</t>
        </is>
      </c>
      <c r="L10" s="114" t="inlineStr">
        <is>
          <t>Funzione ICT &amp; Security Risk</t>
        </is>
      </c>
      <c r="M10" s="114" t="n"/>
      <c r="N10" s="114" t="inlineStr">
        <is>
          <t>Sì</t>
        </is>
      </c>
      <c r="O10" s="114" t="inlineStr">
        <is>
          <t>Parziale</t>
        </is>
      </c>
    </row>
    <row r="11">
      <c r="A11" t="inlineStr">
        <is>
          <t>Soglia di direzione (segnali netti in 4 settimane)</t>
        </is>
      </c>
      <c r="B11" s="114" t="n">
        <v>2</v>
      </c>
      <c r="E11" t="inlineStr">
        <is>
          <t>9.11</t>
        </is>
      </c>
      <c r="F11" t="inlineStr">
        <is>
          <t>Employer</t>
        </is>
      </c>
      <c r="H11" s="158" t="inlineStr">
        <is>
          <t>NFR-08</t>
        </is>
      </c>
      <c r="I11" s="158" t="inlineStr">
        <is>
          <t>Accessi impropri di dipendenti ai dati dei clienti</t>
        </is>
      </c>
      <c r="J11" s="158" t="inlineStr">
        <is>
          <t>9.7</t>
        </is>
      </c>
      <c r="K11" s="158" t="inlineStr">
        <is>
          <t>DRV-HUM, DRV-CON</t>
        </is>
      </c>
      <c r="L11" s="114" t="inlineStr">
        <is>
          <t>Funzione Sicurezza delle Informazioni</t>
        </is>
      </c>
      <c r="M11" s="114" t="n"/>
      <c r="N11" s="114" t="inlineStr">
        <is>
          <t>No</t>
        </is>
      </c>
      <c r="O11" s="114" t="inlineStr">
        <is>
          <t>Non verificato</t>
        </is>
      </c>
    </row>
    <row r="12">
      <c r="A12" t="inlineStr">
        <is>
          <t>Soglia di evidenziazione del Delta composito</t>
        </is>
      </c>
      <c r="B12" s="157" t="n">
        <v>0.3</v>
      </c>
      <c r="E12" t="inlineStr">
        <is>
          <t>9.13</t>
        </is>
      </c>
      <c r="F12" t="inlineStr">
        <is>
          <t>Processo</t>
        </is>
      </c>
      <c r="H12" s="158" t="inlineStr">
        <is>
          <t>NFR-09</t>
        </is>
      </c>
      <c r="I12" s="158" t="inlineStr">
        <is>
          <t>Violazione di sanzioni internazionali tramite triangolazioni</t>
        </is>
      </c>
      <c r="J12" s="158" t="inlineStr">
        <is>
          <t>9.4</t>
        </is>
      </c>
      <c r="K12" s="158" t="inlineStr">
        <is>
          <t>DRV-GEO</t>
        </is>
      </c>
      <c r="L12" s="114" t="inlineStr">
        <is>
          <t>Funzione Compliance</t>
        </is>
      </c>
      <c r="M12" s="114" t="n"/>
      <c r="N12" s="114" t="inlineStr">
        <is>
          <t>Sì</t>
        </is>
      </c>
      <c r="O12" s="114" t="inlineStr">
        <is>
          <t>Non verificato</t>
        </is>
      </c>
    </row>
    <row r="13">
      <c r="H13" s="158" t="inlineStr">
        <is>
          <t>NFR-10</t>
        </is>
      </c>
      <c r="I13" s="158" t="inlineStr">
        <is>
          <t>Informazioni errate ai clienti da assistenti di AI generativa</t>
        </is>
      </c>
      <c r="J13" s="158" t="inlineStr">
        <is>
          <t>9.1</t>
        </is>
      </c>
      <c r="K13" s="158" t="inlineStr">
        <is>
          <t>DRV-AI, DRV-CON</t>
        </is>
      </c>
      <c r="L13" s="114" t="inlineStr">
        <is>
          <t>Funzione Customer Experience</t>
        </is>
      </c>
      <c r="M13" s="114" t="n"/>
      <c r="N13" s="114" t="inlineStr">
        <is>
          <t>No</t>
        </is>
      </c>
      <c r="O13" s="114" t="inlineStr">
        <is>
          <t>Non verificato</t>
        </is>
      </c>
    </row>
    <row r="14">
      <c r="A14" s="98" t="inlineStr">
        <is>
          <t>Cicli del radar</t>
        </is>
      </c>
      <c r="E14" s="98" t="inlineStr">
        <is>
          <t>Driver emergenti</t>
        </is>
      </c>
      <c r="H14" s="158" t="inlineStr">
        <is>
          <t>NFR-11</t>
        </is>
      </c>
      <c r="I14" s="158" t="inlineStr">
        <is>
          <t>Fine del supporto dei sistemi di pagamento legacy</t>
        </is>
      </c>
      <c r="J14" s="158" t="inlineStr">
        <is>
          <t>9.6</t>
        </is>
      </c>
      <c r="K14" s="158" t="inlineStr">
        <is>
          <t>DRV-TEC</t>
        </is>
      </c>
      <c r="L14" s="114" t="inlineStr">
        <is>
          <t>Funzione IT Operations</t>
        </is>
      </c>
      <c r="M14" s="114" t="n">
        <v>3</v>
      </c>
      <c r="N14" s="114" t="inlineStr">
        <is>
          <t>No</t>
        </is>
      </c>
      <c r="O14" s="114" t="inlineStr">
        <is>
          <t>Assente</t>
        </is>
      </c>
    </row>
    <row r="15">
      <c r="A15" t="inlineStr">
        <is>
          <t>Ciclo corrente (scritto dalla scrittura A2)</t>
        </is>
      </c>
      <c r="B15" s="114" t="inlineStr">
        <is>
          <t>2026Q2</t>
        </is>
      </c>
      <c r="E15" t="inlineStr">
        <is>
          <t>DRV-CYB</t>
        </is>
      </c>
      <c r="F15" t="inlineStr">
        <is>
          <t>Cyber</t>
        </is>
      </c>
      <c r="H15" s="158" t="inlineStr">
        <is>
          <t>NFR-12</t>
        </is>
      </c>
      <c r="I15" s="158" t="inlineStr">
        <is>
          <t>Errori operativi nei pagamenti istantanei obbligatori</t>
        </is>
      </c>
      <c r="J15" s="158" t="inlineStr">
        <is>
          <t>9.13</t>
        </is>
      </c>
      <c r="K15" s="158" t="inlineStr">
        <is>
          <t>DRV-TEC</t>
        </is>
      </c>
      <c r="L15" s="114" t="inlineStr">
        <is>
          <t>Funzione Operations</t>
        </is>
      </c>
      <c r="M15" s="114" t="n"/>
      <c r="N15" s="114" t="inlineStr">
        <is>
          <t>No</t>
        </is>
      </c>
      <c r="O15" s="114" t="inlineStr">
        <is>
          <t>Parziale</t>
        </is>
      </c>
    </row>
    <row r="16">
      <c r="A16" t="inlineStr">
        <is>
          <t>Periodo precedente (anche uno straordinario; scritto dallo script)</t>
        </is>
      </c>
      <c r="B16" t="inlineStr">
        <is>
          <t>2026Q1</t>
        </is>
      </c>
      <c r="E16" t="inlineStr">
        <is>
          <t>DRV-TPR</t>
        </is>
      </c>
      <c r="F16" t="inlineStr">
        <is>
          <t>Terze parti</t>
        </is>
      </c>
      <c r="L16" s="114" t="n"/>
      <c r="M16" s="114" t="n"/>
      <c r="N16" s="114" t="n"/>
      <c r="O16" s="114" t="n"/>
    </row>
    <row r="17">
      <c r="A17" t="inlineStr">
        <is>
          <t>Trimestre di due trimestri prima (Delta 6 mesi; scritto dallo script)</t>
        </is>
      </c>
      <c r="B17" t="inlineStr">
        <is>
          <t>2025Q4</t>
        </is>
      </c>
      <c r="E17" t="inlineStr">
        <is>
          <t>DRV-AI</t>
        </is>
      </c>
      <c r="F17" t="inlineStr">
        <is>
          <t>Intelligenza artificiale</t>
        </is>
      </c>
      <c r="L17" s="114" t="n"/>
      <c r="M17" s="114" t="n"/>
      <c r="N17" s="114" t="n"/>
      <c r="O17" s="114" t="n"/>
    </row>
    <row r="18">
      <c r="A18" t="inlineStr">
        <is>
          <t>Data di riferimento del ciclo corrente (scritta dallo script)</t>
        </is>
      </c>
      <c r="B18" s="117" t="n">
        <v>46203</v>
      </c>
      <c r="E18" t="inlineStr">
        <is>
          <t>DRV-CLI</t>
        </is>
      </c>
      <c r="F18" t="inlineStr">
        <is>
          <t>Clima e ambiente</t>
        </is>
      </c>
      <c r="L18" s="114" t="n"/>
      <c r="M18" s="114" t="n"/>
      <c r="N18" s="114" t="n"/>
      <c r="O18" s="114" t="n"/>
    </row>
    <row r="19">
      <c r="A19" s="98" t="inlineStr">
        <is>
          <t>Periodi del trend (dal piu' vecchio; straordinari compresi; scritti dallo script)</t>
        </is>
      </c>
      <c r="E19" t="inlineStr">
        <is>
          <t>DRV-CON</t>
        </is>
      </c>
      <c r="F19" t="inlineStr">
        <is>
          <t>Condotta</t>
        </is>
      </c>
      <c r="L19" s="114" t="n"/>
      <c r="M19" s="114" t="n"/>
      <c r="N19" s="114" t="n"/>
      <c r="O19" s="114" t="n"/>
    </row>
    <row r="20">
      <c r="A20" t="inlineStr">
        <is>
          <t>T-7</t>
        </is>
      </c>
      <c r="B20" t="inlineStr">
        <is>
          <t>2024Q3</t>
        </is>
      </c>
      <c r="E20" t="inlineStr">
        <is>
          <t>DRV-GEO</t>
        </is>
      </c>
      <c r="F20" t="inlineStr">
        <is>
          <t>Geopolitica</t>
        </is>
      </c>
      <c r="L20" s="114" t="n"/>
      <c r="M20" s="114" t="n"/>
      <c r="N20" s="114" t="n"/>
      <c r="O20" s="114" t="n"/>
    </row>
    <row r="21">
      <c r="A21" t="inlineStr">
        <is>
          <t>T-6</t>
        </is>
      </c>
      <c r="B21" t="inlineStr">
        <is>
          <t>2024Q4</t>
        </is>
      </c>
      <c r="E21" t="inlineStr">
        <is>
          <t>DRV-TEC</t>
        </is>
      </c>
      <c r="F21" t="inlineStr">
        <is>
          <t>Debito tecnologico</t>
        </is>
      </c>
      <c r="L21" s="114" t="n"/>
      <c r="M21" s="114" t="n"/>
      <c r="N21" s="114" t="n"/>
      <c r="O21" s="114" t="n"/>
    </row>
    <row r="22">
      <c r="A22" t="inlineStr">
        <is>
          <t>T-5</t>
        </is>
      </c>
      <c r="B22" t="inlineStr">
        <is>
          <t>2025Q1</t>
        </is>
      </c>
      <c r="E22" t="inlineStr">
        <is>
          <t>DRV-HUM</t>
        </is>
      </c>
      <c r="F22" t="inlineStr">
        <is>
          <t>Capitale umano</t>
        </is>
      </c>
      <c r="L22" s="114" t="n"/>
      <c r="M22" s="114" t="n"/>
      <c r="N22" s="114" t="n"/>
      <c r="O22" s="114" t="n"/>
    </row>
    <row r="23">
      <c r="A23" t="inlineStr">
        <is>
          <t>T-4</t>
        </is>
      </c>
      <c r="B23" t="inlineStr">
        <is>
          <t>2025Q2</t>
        </is>
      </c>
      <c r="L23" s="114" t="n"/>
      <c r="M23" s="114" t="n"/>
      <c r="N23" s="114" t="n"/>
      <c r="O23" s="114" t="n"/>
    </row>
    <row r="24">
      <c r="A24" t="inlineStr">
        <is>
          <t>T-3</t>
        </is>
      </c>
      <c r="B24" t="inlineStr">
        <is>
          <t>2025Q3</t>
        </is>
      </c>
    </row>
    <row r="25">
      <c r="A25" t="inlineStr">
        <is>
          <t>T-2</t>
        </is>
      </c>
      <c r="B25" t="inlineStr">
        <is>
          <t>2025Q4</t>
        </is>
      </c>
    </row>
    <row r="26">
      <c r="A26" t="inlineStr">
        <is>
          <t>T-1</t>
        </is>
      </c>
      <c r="B26" t="inlineStr">
        <is>
          <t>2026Q1</t>
        </is>
      </c>
    </row>
    <row r="27">
      <c r="A27" t="inlineStr">
        <is>
          <t>T (corrente)</t>
        </is>
      </c>
      <c r="B27" t="inlineStr">
        <is>
          <t>2026Q2</t>
        </is>
      </c>
    </row>
    <row r="29">
      <c r="A29" s="98" t="inlineStr">
        <is>
          <t>Settimane</t>
        </is>
      </c>
    </row>
    <row r="30">
      <c r="A30" t="inlineStr">
        <is>
          <t>Settimana corrente (lunedi', scritta dalla scrittura A3)</t>
        </is>
      </c>
      <c r="B30" s="159" t="n">
        <v>46202</v>
      </c>
    </row>
    <row r="31">
      <c r="A31" t="inlineStr">
        <is>
          <t>Inizio finestra del badge (4 settimane)</t>
        </is>
      </c>
      <c r="B31" s="117">
        <f>settimanaCorrente-21</f>
        <v/>
      </c>
    </row>
    <row r="33">
      <c r="A33" s="98" t="inlineStr">
        <is>
          <t>Finestra di 12 settimane (dal piu' vecchio)</t>
        </is>
      </c>
    </row>
    <row r="34">
      <c r="B34" s="117">
        <f>settimanaCorrente-7*11</f>
        <v/>
      </c>
    </row>
    <row r="35">
      <c r="B35" s="117">
        <f>settimanaCorrente-7*10</f>
        <v/>
      </c>
    </row>
    <row r="36">
      <c r="B36" s="117">
        <f>settimanaCorrente-7*9</f>
        <v/>
      </c>
    </row>
    <row r="37">
      <c r="B37" s="117">
        <f>settimanaCorrente-7*8</f>
        <v/>
      </c>
    </row>
    <row r="38">
      <c r="B38" s="117">
        <f>settimanaCorrente-7*7</f>
        <v/>
      </c>
    </row>
    <row r="39">
      <c r="B39" s="117">
        <f>settimanaCorrente-7*6</f>
        <v/>
      </c>
    </row>
    <row r="40">
      <c r="B40" s="117">
        <f>settimanaCorrente-7*5</f>
        <v/>
      </c>
    </row>
    <row r="41">
      <c r="B41" s="117">
        <f>settimanaCorrente-7*4</f>
        <v/>
      </c>
    </row>
    <row r="42">
      <c r="B42" s="117">
        <f>settimanaCorrente-7*3</f>
        <v/>
      </c>
    </row>
    <row r="43">
      <c r="B43" s="117">
        <f>settimanaCorrente-7*2</f>
        <v/>
      </c>
    </row>
    <row r="44">
      <c r="B44" s="117">
        <f>settimanaCorrente-7*1</f>
        <v/>
      </c>
    </row>
    <row r="45">
      <c r="B45" s="117">
        <f>settimanaCorrente-7*0</f>
        <v/>
      </c>
    </row>
    <row r="47">
      <c r="A47" s="98" t="inlineStr">
        <is>
          <t>Urgenza — disuguaglianza di Mosca (X + Y &gt; Z = agire ora)</t>
        </is>
      </c>
    </row>
    <row r="48">
      <c r="A48" t="inlineStr">
        <is>
          <t>X: anni per decidere e avviare la mitigazione</t>
        </is>
      </c>
      <c r="B48" s="114" t="n">
        <v>0.25</v>
      </c>
    </row>
    <row r="49">
      <c r="A49" t="inlineStr">
        <is>
          <t>Y di riserva: anni di mitigazione se il rischio non ha azioni</t>
        </is>
      </c>
      <c r="B49" s="114" t="n">
        <v>1</v>
      </c>
    </row>
    <row r="50">
      <c r="A50" s="98" t="inlineStr">
        <is>
          <t>Z: anni prima che il rischio possa manifestarsi, per Prossimita' (meta' della fascia)</t>
        </is>
      </c>
    </row>
    <row r="51">
      <c r="A51" t="inlineStr">
        <is>
          <t>Prossimita 1 — oltre 3 anni</t>
        </is>
      </c>
      <c r="B51" s="114" t="n">
        <v>3.5</v>
      </c>
    </row>
    <row r="52">
      <c r="A52" t="inlineStr">
        <is>
          <t>Prossimita 2 — 2-3 anni</t>
        </is>
      </c>
      <c r="B52" s="114" t="n">
        <v>2.5</v>
      </c>
    </row>
    <row r="53">
      <c r="A53" t="inlineStr">
        <is>
          <t>Prossimita 3 — 1-2 anni</t>
        </is>
      </c>
      <c r="B53" s="114" t="n">
        <v>1.5</v>
      </c>
    </row>
    <row r="54">
      <c r="A54" t="inlineStr">
        <is>
          <t>Prossimita 4 — entro 12 mesi</t>
        </is>
      </c>
      <c r="B54" s="114" t="n">
        <v>0.5</v>
      </c>
    </row>
    <row r="55">
      <c r="A55" t="inlineStr">
        <is>
          <t>Prossimita 5 — in corso o imminente</t>
        </is>
      </c>
      <c r="B55" s="114" t="n">
        <v>0</v>
      </c>
    </row>
    <row r="57">
      <c r="A57" s="98" t="inlineStr">
        <is>
          <t>Etichetta del ciclo (fascia del titolo)</t>
        </is>
      </c>
      <c r="B57">
        <f>IF(cicloCorrente="","nessun ciclo",IF(ISNUMBER(SEARCH("-S",cicloCorrente)),"Ciclo straordinario ","Ciclo ")&amp;cicloCorrente&amp;IF(ISNUMBER(dataRiferimento)," · dati al "&amp;DAY(dataRiferimento)&amp;"/"&amp;RIGHT("0"&amp;MONTH(dataRiferimento),2)&amp;"/"&amp;YEAR(dataRiferimento),"")&amp;" · "&amp;IF(decisioniDaPrendere&gt;0,"da validare","validato"))&amp;" · Uso interno"</f>
        <v/>
      </c>
    </row>
    <row r="59">
      <c r="A59" s="98" t="inlineStr">
        <is>
          <t>Livello di allerta (colore del radar)</t>
        </is>
      </c>
    </row>
    <row r="60">
      <c r="A60" t="inlineStr">
        <is>
          <t>P x I alta da (aggravante A1)</t>
        </is>
      </c>
      <c r="B60" s="160" t="n">
        <v>12</v>
      </c>
    </row>
    <row r="61">
      <c r="A61" t="inlineStr">
        <is>
          <t>Quota dei KRI in ambra o rosso da (aggravante A3)</t>
        </is>
      </c>
      <c r="B61" s="161" t="n">
        <v>0.5</v>
      </c>
    </row>
    <row r="62">
      <c r="A62" t="inlineStr">
        <is>
          <t>Margine stretto: sotto (anni)</t>
        </is>
      </c>
      <c r="B62" s="157" t="n">
        <v>1</v>
      </c>
    </row>
    <row r="63">
      <c r="A63" t="inlineStr">
        <is>
          <t>Segnali forti per l'Attivazione</t>
        </is>
      </c>
      <c r="B63" s="160" t="n">
        <v>2</v>
      </c>
    </row>
    <row r="65">
      <c r="A65" s="98" t="inlineStr">
        <is>
          <t>Registro unico: chi entra nel radar di Mosca (D-79)</t>
        </is>
      </c>
    </row>
    <row r="66">
      <c r="A66" t="inlineStr">
        <is>
          <t>Capienza del radar (fino a 20)</t>
        </is>
      </c>
      <c r="B66" s="114" t="n">
        <v>15</v>
      </c>
      <c r="C66" s="122" t="inlineStr">
        <is>
          <t>rischi con gestione completa: KRI, azioni, urgenza, report, schede</t>
        </is>
      </c>
    </row>
    <row r="67">
      <c r="A67" t="inlineStr">
        <is>
          <t>Soglia di Prossimita' per entrare</t>
        </is>
      </c>
      <c r="B67" s="114" t="n">
        <v>2</v>
      </c>
      <c r="C67" s="122" t="inlineStr">
        <is>
          <t>2 = puo' manifestarsi entro 3 anni</t>
        </is>
      </c>
    </row>
    <row r="68">
      <c r="A68" t="inlineStr">
        <is>
          <t>Soglia di Probabilita' per entrare</t>
        </is>
      </c>
      <c r="B68" s="114" t="n">
        <v>2</v>
      </c>
      <c r="C68" s="122" t="inlineStr">
        <is>
          <t>2 = non solo teorico</t>
        </is>
      </c>
    </row>
    <row r="69">
      <c r="A69" t="inlineStr">
        <is>
          <t>Cicli sotto la soglia prima di uscire</t>
        </is>
      </c>
      <c r="B69" s="114" t="n">
        <v>2</v>
      </c>
      <c r="C69" s="122" t="inlineStr">
        <is>
          <t>1 = esce subito; 2 = un ciclo come "Radar, in uscita"</t>
        </is>
      </c>
    </row>
    <row r="70">
      <c r="A70" t="inlineStr">
        <is>
          <t>Rischi in osservazione al massimo (fisso)</t>
        </is>
      </c>
      <c r="B70" t="n">
        <v>20</v>
      </c>
      <c r="C70" s="122" t="inlineStr">
        <is>
          <t>oltre, A1 lascia fuori i meno rilevanti</t>
        </is>
      </c>
    </row>
    <row r="71" ht="30" customHeight="1">
      <c r="A71" s="4" t="inlineStr">
        <is>
          <t>LA REGOLA (la applica lo script a ogni ciclo e a ogni validazione). 1. Entra nel radar un rischio con Prossimita' e Probabilita' almeno pari alle soglie. 2. Restano sempre nel radar, anche sotto le soglie: un rischio AGIRE ORA, un tema all'attenzione del supervisore (◆), un rischio che il validatore mette nel radar (colonna Decisione sullo stato del foglio Validazione, con la Motivazione); mai nel radar un rischio che il validatore mette in osservazione. 3. Se i candidati sono piu' dei posti: prima le eccezioni, poi i piu' alti per score composito; gli altri restano in osservazione "fuori per capienza". 4. Un rischio del radar sotto la regola resta un ciclo come "Radar, in uscita" (con i cicli prima dell'uscita a 2), poi passa in osservazione; un rischio che sale entra subito, con i KRI e le azioni che A1 scrive. In osservazione: stessa scala e stesso score, niente KRI ne' azioni (fogli Osservazione e Fenomeni).</t>
        </is>
      </c>
    </row>
    <row r="72" ht="30" customHeight="1"/>
    <row r="73" ht="30" customHeight="1"/>
    <row r="74" ht="30" customHeight="1"/>
    <row r="75" ht="30" customHeight="1"/>
  </sheetData>
  <mergeCells count="4">
    <mergeCell ref="A71:C75"/>
    <mergeCell ref="A2:F2"/>
    <mergeCell ref="H2:O2"/>
    <mergeCell ref="A1:N1"/>
  </mergeCells>
  <dataValidations count="8">
    <dataValidation sqref="B66" showDropDown="0" showInputMessage="0" showErrorMessage="1" allowBlank="0" error="Capienza del radar (fino a 20): un intero da 1 a 20." type="whole" operator="between">
      <formula1>1</formula1>
      <formula2>20</formula2>
    </dataValidation>
    <dataValidation sqref="B67" showDropDown="0" showInputMessage="0" showErrorMessage="1" allowBlank="0" error="Soglia di Prossimita' per entrare: un intero da 1 a 5." type="whole" operator="between">
      <formula1>1</formula1>
      <formula2>5</formula2>
    </dataValidation>
    <dataValidation sqref="B68" showDropDown="0" showInputMessage="0" showErrorMessage="1" allowBlank="0" error="Soglia di Probabilita' per entrare: un intero da 1 a 5." type="whole" operator="between">
      <formula1>1</formula1>
      <formula2>5</formula2>
    </dataValidation>
    <dataValidation sqref="B69" showDropDown="0" showInputMessage="0" showErrorMessage="1" allowBlank="0" error="Cicli sotto la soglia prima di uscire: un intero da 1 a 2." type="whole" operator="between">
      <formula1>1</formula1>
      <formula2>2</formula2>
    </dataValidation>
    <dataValidation sqref="M4:M23" showDropDown="0" showInputMessage="0" showErrorMessage="1" allowBlank="1" error="Anni di adeguamento: un numero da 0 a 30, oppure vuoto." type="decimal" operator="between">
      <formula1>0</formula1>
      <formula2>30</formula2>
    </dataValidation>
    <dataValidation sqref="N4:N23" showDropDown="0" showInputMessage="0" showErrorMessage="0" allowBlank="1" type="list">
      <formula1>"Sì,No"</formula1>
    </dataValidation>
    <dataValidation sqref="O4:O23" showDropDown="0" showInputMessage="0" showErrorMessage="0" allowBlank="1" type="list">
      <formula1>"Non verificato,Adeguato,Parziale,Assente"</formula1>
    </dataValidation>
    <dataValidation sqref="J4:J23" showDropDown="0" showInputMessage="0" showErrorMessage="0" allowBlank="1" type="list">
      <formula1>=codiciL1</formula1>
    </dataValidation>
  </dataValidations>
  <pageMargins left="0.4" right="0.4" top="1" bottom="1" header="0.5" footer="0.5"/>
  <pageSetup orientation="landscape" paperSize="9" fitToHeight="0" fitToWidth="1"/>
  <headerFooter>
    <oddHeader>&amp;L&amp;A&amp;CUso interno&amp;RHorizon Scan NFR</oddHeader>
    <oddFooter>&amp;L&amp;F&amp;RPagina &amp;P di &amp;N</oddFooter>
    <evenHeader/>
    <evenFooter/>
    <firstHeader/>
    <firstFooter/>
  </headerFooter>
</worksheet>
</file>

<file path=xl/worksheets/sheet17.xml><?xml version="1.0" encoding="utf-8"?>
<worksheet xmlns="http://schemas.openxmlformats.org/spreadsheetml/2006/main">
  <sheetPr>
    <tabColor rgb="002E75B6"/>
    <outlinePr summaryBelow="1" summaryRight="1"/>
    <pageSetUpPr/>
  </sheetPr>
  <dimension ref="A1:G14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9" customWidth="1" min="2" max="2"/>
    <col width="24" customWidth="1" min="3" max="3"/>
    <col width="38" customWidth="1" min="4" max="4"/>
    <col width="56" customWidth="1" min="5" max="5"/>
    <col width="14" customWidth="1" min="6" max="6"/>
    <col width="22" customWidth="1" min="7" max="7"/>
  </cols>
  <sheetData>
    <row r="1" ht="28" customHeight="1">
      <c r="A1" s="1">
        <f>"Horizon Scan NFR — Dizionario dei dati   ·   "&amp;etichettaCiclo</f>
        <v/>
      </c>
      <c r="B1" s="2" t="n"/>
      <c r="C1" s="2" t="n"/>
      <c r="D1" s="2" t="n"/>
      <c r="E1" s="2" t="n"/>
      <c r="F1" s="2" t="n"/>
      <c r="G1" s="2" t="n"/>
    </row>
    <row r="2" ht="32" customHeight="1">
      <c r="A2" s="89" t="inlineStr">
        <is>
          <r>
            <rPr>
              <rFont val="Calibri"/>
              <b val="1"/>
              <color rgb="00404040"/>
              <sz val="10"/>
            </rPr>
            <t>OGNI DATO DEL WORKBOOK — chi lo scrive e quando (colore del processo), che cosa significa, come si calcola, valori ammessi, un esempio.</t>
          </r>
          <r>
            <rPr>
              <rFont val="Calibri"/>
              <color rgb="00262626"/>
              <sz val="10"/>
            </rPr>
            <t xml:space="preserve">
Le colonne delle tabelle dati vengono dalla mappa dei campi del pacchetto (01_Kernel/mappatura_campi.json): sono sempre quelle in uso.</t>
          </r>
        </is>
      </c>
    </row>
    <row r="4">
      <c r="A4" s="162" t="inlineStr">
        <is>
          <t>Dato</t>
        </is>
      </c>
      <c r="B4" s="162" t="inlineStr">
        <is>
          <t>Dove</t>
        </is>
      </c>
      <c r="C4" s="162" t="inlineStr">
        <is>
          <t>Chi lo scrive, quando</t>
        </is>
      </c>
      <c r="D4" s="162" t="inlineStr">
        <is>
          <t>Che cosa significa</t>
        </is>
      </c>
      <c r="E4" s="162" t="inlineStr">
        <is>
          <t>Come si calcola / regola</t>
        </is>
      </c>
      <c r="F4" s="162" t="inlineStr">
        <is>
          <t>Valori</t>
        </is>
      </c>
      <c r="G4" s="162" t="inlineStr">
        <is>
          <t>Esempio (NFR-01, 2026Q2)</t>
        </is>
      </c>
    </row>
    <row r="5">
      <c r="A5" s="163" t="inlineStr">
        <is>
          <t>RiskRegister — valutazioni dei rischi</t>
        </is>
      </c>
    </row>
    <row r="6" ht="28" customHeight="1">
      <c r="A6" s="134" t="inlineStr">
        <is>
          <t>Ciclo</t>
        </is>
      </c>
      <c r="B6" s="135" t="inlineStr">
        <is>
          <t>RiskRegister</t>
        </is>
      </c>
      <c r="C6" s="164" t="inlineStr">
        <is>
          <t>A1, ciclo trimestrale; validato</t>
        </is>
      </c>
      <c r="D6" s="135" t="inlineStr">
        <is>
          <t>Trimestre valutato (AAAAQn).</t>
        </is>
      </c>
      <c r="E6" s="135" t="inlineStr">
        <is>
          <t>Ciclo da valutare, dalla baseline.</t>
        </is>
      </c>
      <c r="F6" s="135" t="inlineStr">
        <is>
          <t>AAAAQn o AAAAQn-Sk (straordinario)</t>
        </is>
      </c>
      <c r="G6" s="135" t="inlineStr">
        <is>
          <t>2026Q2</t>
        </is>
      </c>
    </row>
    <row r="7" ht="28" customHeight="1">
      <c r="A7" s="134" t="inlineStr">
        <is>
          <t>Data_Riferimento</t>
        </is>
      </c>
      <c r="B7" s="135" t="inlineStr">
        <is>
          <t>RiskRegister</t>
        </is>
      </c>
      <c r="C7" s="164" t="inlineStr">
        <is>
          <t>A1, ciclo trimestrale; validato</t>
        </is>
      </c>
      <c r="D7" s="135" t="inlineStr">
        <is>
          <t>Data fino alla quale sono considerate le fonti (fine del trimestre).</t>
        </is>
      </c>
      <c r="E7" s="135" t="inlineStr">
        <is>
          <t>Fine del trimestre valutato, dalla baseline.</t>
        </is>
      </c>
      <c r="F7" s="135" t="inlineStr">
        <is>
          <t>data</t>
        </is>
      </c>
      <c r="G7" s="135" t="inlineStr">
        <is>
          <t>30/06/2026</t>
        </is>
      </c>
    </row>
    <row r="8" ht="28" customHeight="1">
      <c r="A8" s="134" t="inlineStr">
        <is>
          <t>ID_Rischio</t>
        </is>
      </c>
      <c r="B8" s="135" t="inlineStr">
        <is>
          <t>RiskRegister</t>
        </is>
      </c>
      <c r="C8" s="164" t="inlineStr">
        <is>
          <t>A1, ciclo trimestrale; validato</t>
        </is>
      </c>
      <c r="D8" s="135" t="inlineStr">
        <is>
          <t>Codice stabile del rischio (NFR-nn), uguale in tutti i cicli.</t>
        </is>
      </c>
      <c r="E8" s="135" t="inlineStr">
        <is>
          <t>Dal payload dell'agente, scritto dallo script.</t>
        </is>
      </c>
      <c r="F8" s="135" t="inlineStr">
        <is>
          <t>—</t>
        </is>
      </c>
      <c r="G8" s="135" t="inlineStr">
        <is>
          <t>NFR-01</t>
        </is>
      </c>
    </row>
    <row r="9" ht="28" customHeight="1">
      <c r="A9" s="134" t="inlineStr">
        <is>
          <t>Nome</t>
        </is>
      </c>
      <c r="B9" s="135" t="inlineStr">
        <is>
          <t>RiskRegister</t>
        </is>
      </c>
      <c r="C9" s="164" t="inlineStr">
        <is>
          <t>A1, ciclo trimestrale; validato</t>
        </is>
      </c>
      <c r="D9" s="135" t="inlineStr">
        <is>
          <t>Nome breve del rischio.</t>
        </is>
      </c>
      <c r="E9" s="135" t="inlineStr">
        <is>
          <t>Dal payload dell'agente, scritto dallo script.</t>
        </is>
      </c>
      <c r="F9" s="135" t="inlineStr">
        <is>
          <t>—</t>
        </is>
      </c>
      <c r="G9" s="135" t="inlineStr">
        <is>
          <t>Frodi su pagamenti istantanei abilit…</t>
        </is>
      </c>
    </row>
    <row r="10" ht="88" customHeight="1">
      <c r="A10" s="134" t="inlineStr">
        <is>
          <t>Event_Type</t>
        </is>
      </c>
      <c r="B10" s="135" t="inlineStr">
        <is>
          <t>RiskRegister</t>
        </is>
      </c>
      <c r="C10" s="164" t="inlineStr">
        <is>
          <t>A1, ciclo trimestrale; validato</t>
        </is>
      </c>
      <c r="D10" s="135" t="inlineStr">
        <is>
          <t>Categoria di rischio della tassonomia interna della Banca (9.1 ... 9.13, D-74): il settore del radar. FP = rischio esistente fuori perimetro, da dismettere. Un codice di Basilea (L1-0n) e' di un ciclo precedente al 08/10/2026: A1 lo riclassifica.</t>
        </is>
      </c>
      <c r="E10" s="135" t="inlineStr">
        <is>
          <t>Dal payload dell'agente, scritto dallo script.</t>
        </is>
      </c>
      <c r="F10" s="135" t="inlineStr">
        <is>
          <t>9.1 ... 9.13 (FP fuori perimetro)</t>
        </is>
      </c>
      <c r="G10" s="135" t="inlineStr">
        <is>
          <t>9.7</t>
        </is>
      </c>
    </row>
    <row r="11" ht="28" customHeight="1">
      <c r="A11" s="134" t="inlineStr">
        <is>
          <t>Driver</t>
        </is>
      </c>
      <c r="B11" s="135" t="inlineStr">
        <is>
          <t>RiskRegister</t>
        </is>
      </c>
      <c r="C11" s="164" t="inlineStr">
        <is>
          <t>A1, ciclo trimestrale; validato</t>
        </is>
      </c>
      <c r="D11" s="135" t="inlineStr">
        <is>
          <t>Fattori emergenti che alimentano il rischio (DRV-...).</t>
        </is>
      </c>
      <c r="E11" s="135" t="inlineStr">
        <is>
          <t>Dal payload dell'agente, scritto dallo script.</t>
        </is>
      </c>
      <c r="F11" s="135" t="inlineStr">
        <is>
          <t>—</t>
        </is>
      </c>
      <c r="G11" s="135" t="inlineStr">
        <is>
          <t>DRV-AI, DRV-CYB</t>
        </is>
      </c>
    </row>
    <row r="12" ht="28" customHeight="1">
      <c r="A12" s="134" t="inlineStr">
        <is>
          <t>Impatto</t>
        </is>
      </c>
      <c r="B12" s="135" t="inlineStr">
        <is>
          <t>RiskRegister</t>
        </is>
      </c>
      <c r="C12" s="164" t="inlineStr">
        <is>
          <t>A1, ciclo trimestrale; validato</t>
        </is>
      </c>
      <c r="D12" s="135" t="inlineStr">
        <is>
          <t>1-5: danno se il rischio si manifesta (era Severity, D-57).</t>
        </is>
      </c>
      <c r="E12" s="135" t="inlineStr">
        <is>
          <t>Descrittore della rubrica piu' aderente all'evidenza; al massimo un punto di variazione fra cicli.</t>
        </is>
      </c>
      <c r="F12" s="135" t="inlineStr">
        <is>
          <t>1-5</t>
        </is>
      </c>
      <c r="G12" s="135" t="inlineStr">
        <is>
          <t>4</t>
        </is>
      </c>
    </row>
    <row r="13" ht="52" customHeight="1">
      <c r="A13" s="134" t="inlineStr">
        <is>
          <t>Velocity</t>
        </is>
      </c>
      <c r="B13" s="135" t="inlineStr">
        <is>
          <t>RiskRegister</t>
        </is>
      </c>
      <c r="C13" s="164" t="inlineStr">
        <is>
          <t>A1, ciclo trimestrale; validato</t>
        </is>
      </c>
      <c r="D13" s="135" t="inlineStr">
        <is>
          <t>1-5: rapidita' fra innesco e pieno impatto (5 = entro 1 mese); vuota = non valutata (nessuna fonte ne documenta i tempi).</t>
        </is>
      </c>
      <c r="E13" s="135" t="inlineStr">
        <is>
          <t>Facoltativa: vuota (n.v.) se nessuna fonte documenta i tempi fra innesco e pieno impatto; nello score solo se valutata; da n.v. entra con qualunque valore.</t>
        </is>
      </c>
      <c r="F13" s="135" t="inlineStr">
        <is>
          <t>1-5 o vuota (n.v.)</t>
        </is>
      </c>
      <c r="G13" s="135" t="inlineStr">
        <is>
          <t>5</t>
        </is>
      </c>
    </row>
    <row r="14" ht="28" customHeight="1">
      <c r="A14" s="134" t="inlineStr">
        <is>
          <t>Prossimita</t>
        </is>
      </c>
      <c r="B14" s="135" t="inlineStr">
        <is>
          <t>RiskRegister</t>
        </is>
      </c>
      <c r="C14" s="164" t="inlineStr">
        <is>
          <t>A1, ciclo trimestrale; validato</t>
        </is>
      </c>
      <c r="D14" s="135" t="inlineStr">
        <is>
          <t>1-5: quando puo' manifestarsi (5 = in corso); da' la Z di Mosca.</t>
        </is>
      </c>
      <c r="E14" s="135" t="inlineStr">
        <is>
          <t>Solo il tempo prima che il rischio si manifesti; 4-5 solo con un caso nominato o un evento datato.</t>
        </is>
      </c>
      <c r="F14" s="135" t="inlineStr">
        <is>
          <t>1-5</t>
        </is>
      </c>
      <c r="G14" s="135" t="inlineStr">
        <is>
          <t>4</t>
        </is>
      </c>
    </row>
    <row r="15" ht="52" customHeight="1">
      <c r="A15" s="134" t="inlineStr">
        <is>
          <t>Score_Composito</t>
        </is>
      </c>
      <c r="B15" s="135" t="inlineStr">
        <is>
          <t>RiskRegister</t>
        </is>
      </c>
      <c r="C15" s="165" t="inlineStr">
        <is>
          <t>Formula del foglio</t>
        </is>
      </c>
      <c r="D15" s="135" t="inlineStr">
        <is>
          <t>Media pesata delle dimensioni valutate, pesi di Parametri (Velocity solo se valutata): 1-5, 5 = peggiore.</t>
        </is>
      </c>
      <c r="E15" s="135" t="inlineStr">
        <is>
          <t>Media pesata delle dimensioni valutate con i pesi di Parametri (D-50): senza Velocity i pesi si ridistribuiscono sulle altre tre; 2 decimali; vuoto se manca Impatto, Probabilita o Prossimita.</t>
        </is>
      </c>
      <c r="F15" s="135" t="inlineStr">
        <is>
          <t>1,00-5,00</t>
        </is>
      </c>
      <c r="G15" s="135" t="inlineStr">
        <is>
          <t>3,80</t>
        </is>
      </c>
    </row>
    <row r="16" ht="40" customHeight="1">
      <c r="A16" s="134" t="inlineStr">
        <is>
          <t>Probabilita</t>
        </is>
      </c>
      <c r="B16" s="135" t="inlineStr">
        <is>
          <t>RiskRegister</t>
        </is>
      </c>
      <c r="C16" s="164" t="inlineStr">
        <is>
          <t>A1, ciclo trimestrale; validato</t>
        </is>
      </c>
      <c r="D16" s="135" t="inlineStr">
        <is>
          <t>1-5: plausibilita' che il meccanismo colpisca la Banca (5 = gia' osservato o in rapida accelerazione).</t>
        </is>
      </c>
      <c r="E16" s="135" t="inlineStr">
        <is>
          <t>Plausibilita' secondo i descrittori della rubrica (da Remota a Quasi certa); al massimo un punto fra cicli.</t>
        </is>
      </c>
      <c r="F16" s="135" t="inlineStr">
        <is>
          <t>1-5</t>
        </is>
      </c>
      <c r="G16" s="135" t="inlineStr">
        <is>
          <t>4</t>
        </is>
      </c>
    </row>
    <row r="17" ht="52" customHeight="1">
      <c r="A17" s="134" t="inlineStr">
        <is>
          <t>Anni_Adeguamento</t>
        </is>
      </c>
      <c r="B17" s="135" t="inlineStr">
        <is>
          <t>RiskRegister</t>
        </is>
      </c>
      <c r="C17" s="164" t="inlineStr">
        <is>
          <t>A1, ciclo trimestrale; validato</t>
        </is>
      </c>
      <c r="D17" s="135" t="inlineStr">
        <is>
          <t>Anni di adeguamento strutturale stimati da A1 (vuoto = non serve); il valore validato va nell'anagrafica: Y minima di Mosca (D-60).</t>
        </is>
      </c>
      <c r="E17" s="135" t="inlineStr">
        <is>
          <t>Stima di A1 (D-60); il valore validato va nell'anagrafica, colonna M. Non e' una dimensione: non fa variazioni.</t>
        </is>
      </c>
      <c r="F17" s="135" t="inlineStr">
        <is>
          <t>anni 0-30 o vuoto</t>
        </is>
      </c>
      <c r="G17" s="135" t="n"/>
    </row>
    <row r="18" ht="64" customHeight="1">
      <c r="A18" s="134" t="inlineStr">
        <is>
          <t>Esito</t>
        </is>
      </c>
      <c r="B18" s="135" t="inlineStr">
        <is>
          <t>RiskRegister</t>
        </is>
      </c>
      <c r="C18" s="165" t="inlineStr">
        <is>
          <t>Script, quando scrive il ciclo</t>
        </is>
      </c>
      <c r="D18" s="135" t="inlineStr">
        <is>
          <t>Calcolato dallo script: Nuovo, Variato (cambia Impatto, Probabilita, Prossimita o Velocity) o Confermato.</t>
        </is>
      </c>
      <c r="E18" s="135" t="inlineStr">
        <is>
          <t>Dallo script (D-51): Nuovo se il rischio non e' nella baseline; Variato se cambia Impatto, Probabilita, Prossimita o Velocity (anche da n.v. a un valore); altrimenti Confermato. Ricalcolato dopo la validazione.</t>
        </is>
      </c>
      <c r="F18" s="135" t="inlineStr">
        <is>
          <t>Confermato, Variato, Nuovo</t>
        </is>
      </c>
      <c r="G18" s="135" t="inlineStr">
        <is>
          <t>Variato</t>
        </is>
      </c>
    </row>
    <row r="19" ht="28" customHeight="1">
      <c r="A19" s="134" t="inlineStr">
        <is>
          <t>Descrizione</t>
        </is>
      </c>
      <c r="B19" s="135" t="inlineStr">
        <is>
          <t>RiskRegister</t>
        </is>
      </c>
      <c r="C19" s="164" t="inlineStr">
        <is>
          <t>A1, ciclo trimestrale; validato</t>
        </is>
      </c>
      <c r="D19" s="135" t="inlineStr">
        <is>
          <t>Meccanismo di perdita: che cosa succede, a chi, con quale danno.</t>
        </is>
      </c>
      <c r="E19" s="135" t="inlineStr">
        <is>
          <t>Dal payload dell'agente, scritto dallo script.</t>
        </is>
      </c>
      <c r="F19" s="135" t="inlineStr">
        <is>
          <t>—</t>
        </is>
      </c>
      <c r="G19" s="135" t="inlineStr">
        <is>
          <t>Frodi a danno dei clienti tramite vo…</t>
        </is>
      </c>
    </row>
    <row r="20" ht="76" customHeight="1">
      <c r="A20" s="134" t="inlineStr">
        <is>
          <t>Razionale</t>
        </is>
      </c>
      <c r="B20" s="135" t="inlineStr">
        <is>
          <t>RiskRegister</t>
        </is>
      </c>
      <c r="C20" s="164" t="inlineStr">
        <is>
          <t>A1, ciclo trimestrale; validato</t>
        </is>
      </c>
      <c r="D20" s="135" t="inlineStr">
        <is>
          <t>In parti (D-68): RISCHIO: il fenomeno in termini di rischio; IMPATTO:, PROBABILITA:, PROSSIMITA:, VELOCITY: perche' il valore, con fatti e documenti; ADEGUAMENTO: se ci sono anni di adeguamento.</t>
        </is>
      </c>
      <c r="E20" s="135" t="inlineStr">
        <is>
          <t>Dal payload dell'agente, scritto dallo script.</t>
        </is>
      </c>
      <c r="F20" s="135" t="inlineStr">
        <is>
          <t>—</t>
        </is>
      </c>
      <c r="G20" s="135" t="inlineStr">
        <is>
          <t>Impatto 4 per importi medi in forte …</t>
        </is>
      </c>
    </row>
    <row r="21" ht="40" customHeight="1">
      <c r="A21" s="134" t="inlineStr">
        <is>
          <t>Variazioni</t>
        </is>
      </c>
      <c r="B21" s="135" t="inlineStr">
        <is>
          <t>RiskRegister</t>
        </is>
      </c>
      <c r="C21" s="164" t="inlineStr">
        <is>
          <t>A1, ciclo trimestrale; validato</t>
        </is>
      </c>
      <c r="D21" s="135" t="inlineStr">
        <is>
          <t>Per ogni valore cambiato: da, a (li aggiunge lo script), evidenza datata di A1 (leggibile nelle schede).</t>
        </is>
      </c>
      <c r="E21" s="135" t="inlineStr">
        <is>
          <t>A1 scrive dimensione, evidenza e sua data (dopo il ciclo precedente); da e a li aggiunge lo script dalla baseline. Al massimo un punto per dimensione.</t>
        </is>
      </c>
      <c r="F21" s="135" t="inlineStr">
        <is>
          <t>—</t>
        </is>
      </c>
      <c r="G21" s="135" t="inlineStr">
        <is>
          <t>impatto da 3 a 4: report frodi (2026…</t>
        </is>
      </c>
    </row>
    <row r="22" ht="52" customHeight="1">
      <c r="A22" s="134" t="inlineStr">
        <is>
          <t>Fonti</t>
        </is>
      </c>
      <c r="B22" s="135" t="inlineStr">
        <is>
          <t>RiskRegister</t>
        </is>
      </c>
      <c r="C22" s="164" t="inlineStr">
        <is>
          <t>A1, ciclo trimestrale; validato</t>
        </is>
      </c>
      <c r="D22" s="135" t="inlineStr">
        <is>
          <t>Fonti citate, con data, tipo Interna/Esterna e rilevanza 1-3 per la previsione (D-58; leggibili nelle Schede).</t>
        </is>
      </c>
      <c r="E22" s="135" t="inlineStr">
        <is>
          <t>Per ogni fonte riferimento, data, tipo e rilevanza 1-3 per la previsione (D-58); stesso ente o stesso fatto = una fonte.</t>
        </is>
      </c>
      <c r="F22" s="135" t="inlineStr">
        <is>
          <t>—</t>
        </is>
      </c>
      <c r="G22" s="135" t="inlineStr">
        <is>
          <t>4 fonti, 2 interne</t>
        </is>
      </c>
    </row>
    <row r="23" ht="76" customHeight="1">
      <c r="A23" s="134" t="inlineStr">
        <is>
          <t>Rilievi</t>
        </is>
      </c>
      <c r="B23" s="135" t="inlineStr">
        <is>
          <t>RiskRegister</t>
        </is>
      </c>
      <c r="C23" s="165" t="inlineStr">
        <is>
          <t>Script, quando scrive il ciclo</t>
        </is>
      </c>
      <c r="D23" s="135" t="inlineStr">
        <is>
          <t>Segnalazioni di A5 e dei controlli sul rischio, una per riga; "DA MOTIVARE" = la validazione chiede una Motivazione (D-71). Sono anche nella colonna Segnalazioni del foglio Validazione.</t>
        </is>
      </c>
      <c r="E23" s="135" t="inlineStr">
        <is>
          <t>Segnalazioni di A5 e dei controlli sul rischio, una per riga: gravita' · controllo · origine: testo. ⚑ DA MOTIVARE = la validazione chiede una Motivazione (D-71); BLOCCANTE SUPERATO = registri fino al 2026-10-02 (D-56).</t>
        </is>
      </c>
      <c r="F23" s="135" t="inlineStr">
        <is>
          <t>—</t>
        </is>
      </c>
      <c r="G23" s="135" t="n"/>
    </row>
    <row r="24" ht="28" customHeight="1">
      <c r="A24" s="134" t="inlineStr">
        <is>
          <t>Owner</t>
        </is>
      </c>
      <c r="B24" s="135" t="inlineStr">
        <is>
          <t>RiskRegister</t>
        </is>
      </c>
      <c r="C24" s="165" t="inlineStr">
        <is>
          <t>Script, quando scrive il ciclo</t>
        </is>
      </c>
      <c r="D24" s="135" t="inlineStr">
        <is>
          <t>Funzione responsabile, presa dall'anagrafica (Parametri).</t>
        </is>
      </c>
      <c r="E24" s="135" t="inlineStr">
        <is>
          <t>Copiato dall'anagrafica (Parametri, colonna L) al momento della scrittura.</t>
        </is>
      </c>
      <c r="F24" s="135" t="inlineStr">
        <is>
          <t>—</t>
        </is>
      </c>
      <c r="G24" s="135" t="inlineStr">
        <is>
          <t>Funzione Antifrode</t>
        </is>
      </c>
    </row>
    <row r="25" ht="28" customHeight="1">
      <c r="A25" s="134" t="inlineStr">
        <is>
          <t>Chiave</t>
        </is>
      </c>
      <c r="B25" s="135" t="inlineStr">
        <is>
          <t>RiskRegister</t>
        </is>
      </c>
      <c r="C25" s="165" t="inlineStr">
        <is>
          <t>Formula del foglio</t>
        </is>
      </c>
      <c r="D25" s="135" t="inlineStr">
        <is>
          <t>Ciclo|ID: chiave di ricerca per le viste.</t>
        </is>
      </c>
      <c r="E25" s="135" t="inlineStr">
        <is>
          <t>Ciclo e ID uniti da "|": serve alle viste per trovare la riga.</t>
        </is>
      </c>
      <c r="F25" s="135" t="inlineStr">
        <is>
          <t>—</t>
        </is>
      </c>
      <c r="G25" s="135" t="inlineStr">
        <is>
          <t>2026Q2|NFR-01</t>
        </is>
      </c>
    </row>
    <row r="26" ht="28" customHeight="1">
      <c r="A26" s="134" t="inlineStr">
        <is>
          <t>Data_Scrittura</t>
        </is>
      </c>
      <c r="B26" s="135" t="inlineStr">
        <is>
          <t>RiskRegister</t>
        </is>
      </c>
      <c r="C26" s="165" t="inlineStr">
        <is>
          <t>Script, quando scrive il ciclo</t>
        </is>
      </c>
      <c r="D26" s="135" t="inlineStr">
        <is>
          <t>Giorno in cui lo script ha scritto la riga.</t>
        </is>
      </c>
      <c r="E26" s="135" t="inlineStr">
        <is>
          <t>Data del giorno in cui lo script scrive la riga.</t>
        </is>
      </c>
      <c r="F26" s="135" t="inlineStr">
        <is>
          <t>—</t>
        </is>
      </c>
      <c r="G26" s="135" t="inlineStr">
        <is>
          <t>30/06/2026</t>
        </is>
      </c>
    </row>
    <row r="27" ht="28" customHeight="1">
      <c r="A27" s="134" t="inlineStr">
        <is>
          <t>Approvato_Da</t>
        </is>
      </c>
      <c r="B27" s="135" t="inlineStr">
        <is>
          <t>RiskRegister</t>
        </is>
      </c>
      <c r="C27" s="166" t="inlineStr">
        <is>
          <t>Comando valida, dalla decisione del validatore</t>
        </is>
      </c>
      <c r="D27" s="135" t="inlineStr">
        <is>
          <t>Chi ha validato il ciclo.</t>
        </is>
      </c>
      <c r="E27" s="135" t="inlineStr">
        <is>
          <t>Il nome passato al comando valida (--validatore).</t>
        </is>
      </c>
      <c r="F27" s="135" t="inlineStr">
        <is>
          <t>—</t>
        </is>
      </c>
      <c r="G27" s="135" t="inlineStr">
        <is>
          <t>Comitato Rischi</t>
        </is>
      </c>
    </row>
    <row r="28" ht="40" customHeight="1">
      <c r="A28" s="134" t="inlineStr">
        <is>
          <t>Validazione</t>
        </is>
      </c>
      <c r="B28" s="135" t="inlineStr">
        <is>
          <t>RiskRegister</t>
        </is>
      </c>
      <c r="C28" s="166" t="inlineStr">
        <is>
          <t>Comando valida, dalla decisione del validatore</t>
        </is>
      </c>
      <c r="D28" s="135" t="inlineStr">
        <is>
          <t>Da validare, poi Accettato o Rettificato.</t>
        </is>
      </c>
      <c r="E28" s="135" t="inlineStr">
        <is>
          <t>Da validare alla scrittura; il comando valida scrive Accettato, Rettificato o Respinto (un rischio non si respinge).</t>
        </is>
      </c>
      <c r="F28" s="135" t="inlineStr">
        <is>
          <t>Da validare, Accettato, Rettificato, Respinto</t>
        </is>
      </c>
      <c r="G28" s="135" t="inlineStr">
        <is>
          <t>Accettato</t>
        </is>
      </c>
    </row>
    <row r="29" ht="28" customHeight="1">
      <c r="A29" s="134" t="inlineStr">
        <is>
          <t>Data_Validazione</t>
        </is>
      </c>
      <c r="B29" s="135" t="inlineStr">
        <is>
          <t>RiskRegister</t>
        </is>
      </c>
      <c r="C29" s="166" t="inlineStr">
        <is>
          <t>Comando valida, dalla decisione del validatore</t>
        </is>
      </c>
      <c r="D29" s="135" t="inlineStr">
        <is>
          <t>Giorno della validazione.</t>
        </is>
      </c>
      <c r="E29" s="135" t="inlineStr">
        <is>
          <t>Giorno in cui si lancia il comando valida.</t>
        </is>
      </c>
      <c r="F29" s="135" t="inlineStr">
        <is>
          <t>—</t>
        </is>
      </c>
      <c r="G29" s="135" t="inlineStr">
        <is>
          <t>15/07/2026</t>
        </is>
      </c>
    </row>
    <row r="30" ht="76" customHeight="1">
      <c r="A30" s="134" t="inlineStr">
        <is>
          <t>Periodo_Valutazione</t>
        </is>
      </c>
      <c r="B30" s="135" t="inlineStr">
        <is>
          <t>RiskRegister</t>
        </is>
      </c>
      <c r="C30" s="165" t="inlineStr">
        <is>
          <t>Script, quando scrive il ciclo</t>
        </is>
      </c>
      <c r="D30" s="135" t="inlineStr">
        <is>
          <t>Periodo in cui il rischio e' stato valutato: il Ciclo stesso o, per un rischio non rivalutato in un ciclo straordinario, il periodo da cui la riga e' riportata (D-75). Il Radar_Mosca ne prende le azioni (Y).</t>
        </is>
      </c>
      <c r="E30" s="135" t="inlineStr">
        <is>
          <t>Il Ciclo della riga; in un ciclo straordinario, per un rischio non rivalutato, il periodo da cui la riga e' riportata (D-75).</t>
        </is>
      </c>
      <c r="F30" s="135" t="inlineStr">
        <is>
          <t>—</t>
        </is>
      </c>
      <c r="G30" s="135" t="inlineStr">
        <is>
          <t>2026Q2</t>
        </is>
      </c>
    </row>
    <row r="31" ht="100" customHeight="1">
      <c r="A31" s="134" t="inlineStr">
        <is>
          <t>Stato</t>
        </is>
      </c>
      <c r="B31" s="135" t="inlineStr">
        <is>
          <t>RiskRegister</t>
        </is>
      </c>
      <c r="C31" s="165" t="inlineStr">
        <is>
          <t>Script, quando scrive il ciclo</t>
        </is>
      </c>
      <c r="D31" s="135" t="inlineStr">
        <is>
          <t>Registro unico (D-79): Radar (gestione completa: KRI, azioni, urgenza, report), Radar, in uscita (sotto la regola per il primo ciclo) o Osservazione (stessa scala, niente KRI ne' azioni). Lo calcola lo script con la regola di Parametri; Dismesso dopo il comando dismetti.</t>
        </is>
      </c>
      <c r="E31" s="135" t="inlineStr">
        <is>
          <t>Dallo script con la regola del registro unico (07_Senza_Studio/radar.py, D-79) sui valori proposti alla scrittura e sui valori validati dopo valida: soglie di Prossimita e Probabilita, eccezioni, capienza (Parametri, righe 65-75); Dismesso con il comando dismetti.</t>
        </is>
      </c>
      <c r="F31" s="135" t="inlineStr">
        <is>
          <t>Radar, Radar, in uscita, Osservazione, Dismesso</t>
        </is>
      </c>
      <c r="G31" s="135" t="inlineStr">
        <is>
          <t>Radar</t>
        </is>
      </c>
    </row>
    <row r="32" ht="52" customHeight="1">
      <c r="A32" s="134" t="inlineStr">
        <is>
          <t>Motivo_Stato</t>
        </is>
      </c>
      <c r="B32" s="135" t="inlineStr">
        <is>
          <t>RiskRegister</t>
        </is>
      </c>
      <c r="C32" s="165" t="inlineStr">
        <is>
          <t>Script, quando scrive il ciclo</t>
        </is>
      </c>
      <c r="D32" s="135" t="inlineStr">
        <is>
          <t>Perche' il rischio ha quello stato: soglie di Prossimita e Probabilita, eccezione (AGIRE ORA, supervisore, validatore), capienza del radar.</t>
        </is>
      </c>
      <c r="E32" s="135" t="inlineStr">
        <is>
          <t>Dalla stessa regola: quale soglia manca o quale eccezione vale, la capienza; per Radar, in uscita il primo ciclo sotto la regola.</t>
        </is>
      </c>
      <c r="F32" s="135" t="inlineStr">
        <is>
          <t>—</t>
        </is>
      </c>
      <c r="G32" s="135" t="inlineStr">
        <is>
          <t>Prossimita 4 e Probabilita 4: sopra …</t>
        </is>
      </c>
    </row>
    <row r="33" ht="52" customHeight="1">
      <c r="A33" s="134" t="inlineStr">
        <is>
          <t>Movimento</t>
        </is>
      </c>
      <c r="B33" s="135" t="inlineStr">
        <is>
          <t>RiskRegister</t>
        </is>
      </c>
      <c r="C33" s="165" t="inlineStr">
        <is>
          <t>Script, quando scrive il ciclo</t>
        </is>
      </c>
      <c r="D33" s="135" t="inlineStr">
        <is>
          <t>Entrato (dall'osservazione al radar) o Uscito (dal radar all'osservazione) in questo ciclo; vuoto se lo stato non cambia.</t>
        </is>
      </c>
      <c r="E33" s="135" t="inlineStr">
        <is>
          <t>Dallo script: Entrato se il ciclo prima il rischio era in osservazione e ora e' nel radar; Uscito se era nel radar e ora e' in osservazione.</t>
        </is>
      </c>
      <c r="F33" s="135" t="inlineStr">
        <is>
          <t>Entrato, Uscito o vuoto</t>
        </is>
      </c>
      <c r="G33" s="135" t="n"/>
    </row>
    <row r="34" ht="64" customHeight="1">
      <c r="A34" s="134" t="inlineStr">
        <is>
          <t>Decisione_Stato</t>
        </is>
      </c>
      <c r="B34" s="135" t="inlineStr">
        <is>
          <t>RiskRegister</t>
        </is>
      </c>
      <c r="C34" s="166" t="inlineStr">
        <is>
          <t>Comando valida, dalla decisione del validatore</t>
        </is>
      </c>
      <c r="D34" s="135" t="inlineStr">
        <is>
          <t>Decisione del validatore sullo stato: Automatico (vale la regola), Radar o Osservazione, con la Motivazione nella griglia. Resta da un ciclo all'altro finche' non la cambia.</t>
        </is>
      </c>
      <c r="E34" s="135" t="inlineStr">
        <is>
          <t>Automatico alla scrittura (o la decisione in vigore dal ciclo prima); il comando valida scrive quella della griglia (Radar, Osservazione o Automatico).</t>
        </is>
      </c>
      <c r="F34" s="135" t="inlineStr">
        <is>
          <t>Automatico, Radar, Osservazione</t>
        </is>
      </c>
      <c r="G34" s="135" t="inlineStr">
        <is>
          <t>Automatico</t>
        </is>
      </c>
    </row>
    <row r="35" ht="64" customHeight="1">
      <c r="A35" s="134" t="inlineStr">
        <is>
          <t>Orizzonte_Anni</t>
        </is>
      </c>
      <c r="B35" s="135" t="inlineStr">
        <is>
          <t>RiskRegister</t>
        </is>
      </c>
      <c r="C35" s="164" t="inlineStr">
        <is>
          <t>A1, ciclo trimestrale; validato</t>
        </is>
      </c>
      <c r="D35" s="135" t="inlineStr">
        <is>
          <t>Per un rischio in osservazione: anni stimati prima che possa manifestarsi (la Prossimita non distingue oltre i 3 anni). Nota di A1, fuori dallo score.</t>
        </is>
      </c>
      <c r="E35" s="135" t="inlineStr">
        <is>
          <t>Dal payload dell'agente, scritto dallo script.</t>
        </is>
      </c>
      <c r="F35" s="135" t="inlineStr">
        <is>
          <t>anni 1-30 o vuoto</t>
        </is>
      </c>
      <c r="G35" s="135" t="n"/>
    </row>
    <row r="36" ht="40" customHeight="1">
      <c r="A36" s="134" t="inlineStr">
        <is>
          <t>Segnale_Avvicinamento</t>
        </is>
      </c>
      <c r="B36" s="135" t="inlineStr">
        <is>
          <t>RiskRegister</t>
        </is>
      </c>
      <c r="C36" s="164" t="inlineStr">
        <is>
          <t>A1, ciclo trimestrale; validato</t>
        </is>
      </c>
      <c r="D36" s="135" t="inlineStr">
        <is>
          <t>Per un rischio in osservazione: il fatto osservabile che lo farebbe salire nel radar. Nota di A1.</t>
        </is>
      </c>
      <c r="E36" s="135" t="inlineStr">
        <is>
          <t>Dal payload dell'agente, scritto dallo script.</t>
        </is>
      </c>
      <c r="F36" s="135" t="inlineStr">
        <is>
          <t>—</t>
        </is>
      </c>
      <c r="G36" s="135" t="n"/>
    </row>
    <row r="37" ht="52" customHeight="1">
      <c r="A37" s="134" t="inlineStr">
        <is>
          <t>Ordine_Osservazione</t>
        </is>
      </c>
      <c r="B37" s="135" t="inlineStr">
        <is>
          <t>RiskRegister</t>
        </is>
      </c>
      <c r="C37" s="165" t="inlineStr">
        <is>
          <t>Formula del foglio</t>
        </is>
      </c>
      <c r="D37" s="135" t="inlineStr">
        <is>
          <t>Ordine dei rischi in osservazione del ciclo corrente nelle viste (fogli Osservazione e Fenomeni): per score composito.</t>
        </is>
      </c>
      <c r="E37" s="135" t="inlineStr">
        <is>
          <t>Solo per le righe del ciclo corrente in osservazione: score x 100.000 piu' un decimale dalla riga, per ordinarle dallo score piu' alto (fogli Osservazione e Fenomeni).</t>
        </is>
      </c>
      <c r="F37" s="135" t="inlineStr">
        <is>
          <t>—</t>
        </is>
      </c>
      <c r="G37" s="135" t="n"/>
    </row>
    <row r="38">
      <c r="A38" s="163" t="inlineStr">
        <is>
          <t>Azioni — azioni di mitigazione</t>
        </is>
      </c>
    </row>
    <row r="39" ht="28" customHeight="1">
      <c r="A39" s="134" t="inlineStr">
        <is>
          <t>Ciclo</t>
        </is>
      </c>
      <c r="B39" s="135" t="inlineStr">
        <is>
          <t>Azioni</t>
        </is>
      </c>
      <c r="C39" s="164" t="inlineStr">
        <is>
          <t>A1, ciclo trimestrale; validato</t>
        </is>
      </c>
      <c r="D39" s="135" t="inlineStr">
        <is>
          <t>Trimestre in cui l'azione e' stata proposta.</t>
        </is>
      </c>
      <c r="E39" s="135" t="inlineStr">
        <is>
          <t>Ciclo da valutare, dalla baseline.</t>
        </is>
      </c>
      <c r="F39" s="135" t="inlineStr">
        <is>
          <t>AAAAQn o AAAAQn-Sk (straordinario)</t>
        </is>
      </c>
      <c r="G39" s="135" t="inlineStr">
        <is>
          <t>2026Q2</t>
        </is>
      </c>
    </row>
    <row r="40" ht="28" customHeight="1">
      <c r="A40" s="134" t="inlineStr">
        <is>
          <t>ID_Rischio</t>
        </is>
      </c>
      <c r="B40" s="135" t="inlineStr">
        <is>
          <t>Azioni</t>
        </is>
      </c>
      <c r="C40" s="164" t="inlineStr">
        <is>
          <t>A1, ciclo trimestrale; validato</t>
        </is>
      </c>
      <c r="D40" s="135" t="inlineStr">
        <is>
          <t>Rischio a cui l'azione si riferisce.</t>
        </is>
      </c>
      <c r="E40" s="135" t="inlineStr">
        <is>
          <t>Dal payload dell'agente, scritto dallo script.</t>
        </is>
      </c>
      <c r="F40" s="135" t="inlineStr">
        <is>
          <t>—</t>
        </is>
      </c>
      <c r="G40" s="135" t="inlineStr">
        <is>
          <t>NFR-01</t>
        </is>
      </c>
    </row>
    <row r="41" ht="28" customHeight="1">
      <c r="A41" s="134" t="inlineStr">
        <is>
          <t>ID_Azione</t>
        </is>
      </c>
      <c r="B41" s="135" t="inlineStr">
        <is>
          <t>Azioni</t>
        </is>
      </c>
      <c r="C41" s="165" t="inlineStr">
        <is>
          <t>Script, quando scrive il ciclo</t>
        </is>
      </c>
      <c r="D41" s="135" t="inlineStr">
        <is>
          <t>Codice &lt;ciclo&gt;-&lt;rischio&gt;-A&lt;n&gt;.</t>
        </is>
      </c>
      <c r="E41" s="135" t="inlineStr">
        <is>
          <t>&lt;ciclo&gt;-&lt;rischio&gt;-A&lt;n&gt;, n = posizione dell'azione nel rischio.</t>
        </is>
      </c>
      <c r="F41" s="135" t="inlineStr">
        <is>
          <t>—</t>
        </is>
      </c>
      <c r="G41" s="135" t="inlineStr">
        <is>
          <t>2026Q2-NFR-01-A1</t>
        </is>
      </c>
    </row>
    <row r="42" ht="28" customHeight="1">
      <c r="A42" s="134" t="inlineStr">
        <is>
          <t>Descrizione</t>
        </is>
      </c>
      <c r="B42" s="135" t="inlineStr">
        <is>
          <t>Azioni</t>
        </is>
      </c>
      <c r="C42" s="164" t="inlineStr">
        <is>
          <t>A1, ciclo trimestrale; validato</t>
        </is>
      </c>
      <c r="D42" s="135" t="inlineStr">
        <is>
          <t>Che cosa fare, in concreto.</t>
        </is>
      </c>
      <c r="E42" s="135" t="inlineStr">
        <is>
          <t>Dal payload dell'agente, scritto dallo script.</t>
        </is>
      </c>
      <c r="F42" s="135" t="inlineStr">
        <is>
          <t>—</t>
        </is>
      </c>
      <c r="G42" s="135" t="inlineStr">
        <is>
          <t>Introdurre la verifica fuori banda p…</t>
        </is>
      </c>
    </row>
    <row r="43" ht="28" customHeight="1">
      <c r="A43" s="134" t="inlineStr">
        <is>
          <t>Owner</t>
        </is>
      </c>
      <c r="B43" s="135" t="inlineStr">
        <is>
          <t>Azioni</t>
        </is>
      </c>
      <c r="C43" s="164" t="inlineStr">
        <is>
          <t>A1, ciclo trimestrale; validato</t>
        </is>
      </c>
      <c r="D43" s="135" t="inlineStr">
        <is>
          <t>Funzione che la realizza, mai una persona.</t>
        </is>
      </c>
      <c r="E43" s="135" t="inlineStr">
        <is>
          <t>Dal payload dell'agente, scritto dallo script.</t>
        </is>
      </c>
      <c r="F43" s="135" t="inlineStr">
        <is>
          <t>—</t>
        </is>
      </c>
      <c r="G43" s="135" t="inlineStr">
        <is>
          <t>Funzione Antifrode</t>
        </is>
      </c>
    </row>
    <row r="44" ht="28" customHeight="1">
      <c r="A44" s="134" t="inlineStr">
        <is>
          <t>Orizzonte</t>
        </is>
      </c>
      <c r="B44" s="135" t="inlineStr">
        <is>
          <t>Azioni</t>
        </is>
      </c>
      <c r="C44" s="164" t="inlineStr">
        <is>
          <t>A1, ciclo trimestrale; validato</t>
        </is>
      </c>
      <c r="D44" s="135" t="inlineStr">
        <is>
          <t>Tempo per completarla: 3, 6 o 12 mesi.</t>
        </is>
      </c>
      <c r="E44" s="135" t="inlineStr">
        <is>
          <t>Dal payload dell'agente, scritto dallo script.</t>
        </is>
      </c>
      <c r="F44" s="135" t="inlineStr">
        <is>
          <t>3, 6, 12 mesi</t>
        </is>
      </c>
      <c r="G44" s="135" t="inlineStr">
        <is>
          <t>6 mesi</t>
        </is>
      </c>
    </row>
    <row r="45" ht="40" customHeight="1">
      <c r="A45" s="134" t="inlineStr">
        <is>
          <t>Mesi_Orizzonte</t>
        </is>
      </c>
      <c r="B45" s="135" t="inlineStr">
        <is>
          <t>Azioni</t>
        </is>
      </c>
      <c r="C45" s="165" t="inlineStr">
        <is>
          <t>Formula del foglio</t>
        </is>
      </c>
      <c r="D45" s="135" t="inlineStr">
        <is>
          <t>Orizzonte in mesi: il piu' lungo fra le azioni non respinte e' la Y di Mosca.</t>
        </is>
      </c>
      <c r="E45" s="135" t="inlineStr">
        <is>
          <t>Il numero di mesi dell'orizzonte (3, 6, 12); il piu' lungo fra le azioni non respinte e' la Y di Mosca.</t>
        </is>
      </c>
      <c r="F45" s="135" t="inlineStr">
        <is>
          <t>—</t>
        </is>
      </c>
      <c r="G45" s="135" t="inlineStr">
        <is>
          <t>6</t>
        </is>
      </c>
    </row>
    <row r="46" ht="40" customHeight="1">
      <c r="A46" s="134" t="inlineStr">
        <is>
          <t>Razionale</t>
        </is>
      </c>
      <c r="B46" s="135" t="inlineStr">
        <is>
          <t>Azioni</t>
        </is>
      </c>
      <c r="C46" s="164" t="inlineStr">
        <is>
          <t>A1, ciclo trimestrale; validato</t>
        </is>
      </c>
      <c r="D46" s="135" t="inlineStr">
        <is>
          <t>Perche' l'azione riduce il rischio; dopo EFFETTO: che cosa dovrebbe cambiare (D-68).</t>
        </is>
      </c>
      <c r="E46" s="135" t="inlineStr">
        <is>
          <t>Dal payload dell'agente, scritto dallo script.</t>
        </is>
      </c>
      <c r="F46" s="135" t="inlineStr">
        <is>
          <t>—</t>
        </is>
      </c>
      <c r="G46" s="135" t="inlineStr">
        <is>
          <t>Oggi la verifica fuori banda esclude…</t>
        </is>
      </c>
    </row>
    <row r="47" ht="52" customHeight="1">
      <c r="A47" s="134" t="inlineStr">
        <is>
          <t>Stato</t>
        </is>
      </c>
      <c r="B47" s="135" t="inlineStr">
        <is>
          <t>Azioni</t>
        </is>
      </c>
      <c r="C47" s="166" t="inlineStr">
        <is>
          <t>Comando valida, dalla decisione del validatore</t>
        </is>
      </c>
      <c r="D47" s="135" t="inlineStr">
        <is>
          <t>Proposta, poi Approvata o Respinta (validazione); In corso e Completata a mano; Annullata se il rischio esce.</t>
        </is>
      </c>
      <c r="E47" s="135" t="inlineStr">
        <is>
          <t>Proposta — da valutare; Approvata o Respinta con la validazione; In corso e Completata a mano; Annullata se il rischio esce.</t>
        </is>
      </c>
      <c r="F47" s="135" t="inlineStr">
        <is>
          <t>—</t>
        </is>
      </c>
      <c r="G47" s="135" t="inlineStr">
        <is>
          <t>Approvata</t>
        </is>
      </c>
    </row>
    <row r="48" ht="28" customHeight="1">
      <c r="A48" s="134" t="inlineStr">
        <is>
          <t>Data_Decisione</t>
        </is>
      </c>
      <c r="B48" s="135" t="inlineStr">
        <is>
          <t>Azioni</t>
        </is>
      </c>
      <c r="C48" s="166" t="inlineStr">
        <is>
          <t>Comando valida, dalla decisione del validatore</t>
        </is>
      </c>
      <c r="D48" s="135" t="inlineStr">
        <is>
          <t>Giorno della decisione sull'azione.</t>
        </is>
      </c>
      <c r="E48" s="135" t="inlineStr">
        <is>
          <t>Giorno del comando valida che ha deciso l'azione.</t>
        </is>
      </c>
      <c r="F48" s="135" t="inlineStr">
        <is>
          <t>—</t>
        </is>
      </c>
      <c r="G48" s="135" t="inlineStr">
        <is>
          <t>15/07/2026</t>
        </is>
      </c>
    </row>
    <row r="49" ht="28" customHeight="1">
      <c r="A49" s="134" t="inlineStr">
        <is>
          <t>Decisa_Da</t>
        </is>
      </c>
      <c r="B49" s="135" t="inlineStr">
        <is>
          <t>Azioni</t>
        </is>
      </c>
      <c r="C49" s="166" t="inlineStr">
        <is>
          <t>Comando valida, dalla decisione del validatore</t>
        </is>
      </c>
      <c r="D49" s="135" t="inlineStr">
        <is>
          <t>Chi ha deciso.</t>
        </is>
      </c>
      <c r="E49" s="135" t="inlineStr">
        <is>
          <t>Il nome passato al comando valida (--validatore).</t>
        </is>
      </c>
      <c r="F49" s="135" t="inlineStr">
        <is>
          <t>—</t>
        </is>
      </c>
      <c r="G49" s="135" t="inlineStr">
        <is>
          <t>Comitato Rischi</t>
        </is>
      </c>
    </row>
    <row r="50" ht="40" customHeight="1">
      <c r="A50" s="134" t="inlineStr">
        <is>
          <t>Validazione</t>
        </is>
      </c>
      <c r="B50" s="135" t="inlineStr">
        <is>
          <t>Azioni</t>
        </is>
      </c>
      <c r="C50" s="166" t="inlineStr">
        <is>
          <t>Comando valida, dalla decisione del validatore</t>
        </is>
      </c>
      <c r="D50" s="135" t="inlineStr">
        <is>
          <t>Da validare, poi Accettato, Rettificato o Respinto.</t>
        </is>
      </c>
      <c r="E50" s="135" t="inlineStr">
        <is>
          <t>Da validare alla scrittura; il comando valida scrive Accettato, Rettificato o Respinto (un rischio non si respinge).</t>
        </is>
      </c>
      <c r="F50" s="135" t="inlineStr">
        <is>
          <t>Da validare, Accettato, Rettificato, Respinto</t>
        </is>
      </c>
      <c r="G50" s="135" t="inlineStr">
        <is>
          <t>Accettato</t>
        </is>
      </c>
    </row>
    <row r="51">
      <c r="A51" s="163" t="inlineStr">
        <is>
          <t>KRI — storico degli indicatori</t>
        </is>
      </c>
    </row>
    <row r="52" ht="28" customHeight="1">
      <c r="A52" s="134" t="inlineStr">
        <is>
          <t>Ciclo</t>
        </is>
      </c>
      <c r="B52" s="135" t="inlineStr">
        <is>
          <t>KRI</t>
        </is>
      </c>
      <c r="C52" s="164" t="inlineStr">
        <is>
          <t>A1, ciclo trimestrale; validato</t>
        </is>
      </c>
      <c r="D52" s="135" t="inlineStr">
        <is>
          <t>Ciclo della fotografia: ogni ciclo aggiunge una riga per KRI in vigore.</t>
        </is>
      </c>
      <c r="E52" s="135" t="inlineStr">
        <is>
          <t>Ciclo da valutare, dalla baseline.</t>
        </is>
      </c>
      <c r="F52" s="135" t="inlineStr">
        <is>
          <t>AAAAQn o AAAAQn-Sk (straordinario)</t>
        </is>
      </c>
      <c r="G52" s="135" t="inlineStr">
        <is>
          <t>2026Q2</t>
        </is>
      </c>
    </row>
    <row r="53" ht="40" customHeight="1">
      <c r="A53" s="134" t="inlineStr">
        <is>
          <t>KRI_ID</t>
        </is>
      </c>
      <c r="B53" s="135" t="inlineStr">
        <is>
          <t>KRI</t>
        </is>
      </c>
      <c r="C53" s="165" t="inlineStr">
        <is>
          <t>Script, quando scrive il ciclo</t>
        </is>
      </c>
      <c r="D53" s="135" t="inlineStr">
        <is>
          <t>Codice stabile NFR-nn-Kn: la stessa serie storica in tutti i cicli.</t>
        </is>
      </c>
      <c r="E53" s="135" t="inlineStr">
        <is>
          <t>Riuso del codice se il KRI resta; altrimenti primo progressivo libero del rischio (NFR-nn-Kn), mai riusato.</t>
        </is>
      </c>
      <c r="F53" s="135" t="inlineStr">
        <is>
          <t>—</t>
        </is>
      </c>
      <c r="G53" s="135" t="inlineStr">
        <is>
          <t>NFR-01-K1</t>
        </is>
      </c>
    </row>
    <row r="54" ht="28" customHeight="1">
      <c r="A54" s="134" t="inlineStr">
        <is>
          <t>ID_Rischio</t>
        </is>
      </c>
      <c r="B54" s="135" t="inlineStr">
        <is>
          <t>KRI</t>
        </is>
      </c>
      <c r="C54" s="164" t="inlineStr">
        <is>
          <t>A1, ciclo trimestrale; validato</t>
        </is>
      </c>
      <c r="D54" s="135" t="inlineStr">
        <is>
          <t>Rischio che il KRI misura.</t>
        </is>
      </c>
      <c r="E54" s="135" t="inlineStr">
        <is>
          <t>Dal payload dell'agente, scritto dallo script.</t>
        </is>
      </c>
      <c r="F54" s="135" t="inlineStr">
        <is>
          <t>—</t>
        </is>
      </c>
      <c r="G54" s="135" t="inlineStr">
        <is>
          <t>NFR-01</t>
        </is>
      </c>
    </row>
    <row r="55" ht="28" customHeight="1">
      <c r="A55" s="134" t="inlineStr">
        <is>
          <t>Nome</t>
        </is>
      </c>
      <c r="B55" s="135" t="inlineStr">
        <is>
          <t>KRI</t>
        </is>
      </c>
      <c r="C55" s="164" t="inlineStr">
        <is>
          <t>A1, ciclo trimestrale; validato</t>
        </is>
      </c>
      <c r="D55" s="135" t="inlineStr">
        <is>
          <t>Che cosa misura.</t>
        </is>
      </c>
      <c r="E55" s="135" t="inlineStr">
        <is>
          <t>Dal payload dell'agente, scritto dallo script.</t>
        </is>
      </c>
      <c r="F55" s="135" t="inlineStr">
        <is>
          <t>—</t>
        </is>
      </c>
      <c r="G55" s="135" t="inlineStr">
        <is>
          <t>Tentativi di frode APP per 10.000 bo…</t>
        </is>
      </c>
    </row>
    <row r="56" ht="64" customHeight="1">
      <c r="A56" s="134" t="inlineStr">
        <is>
          <t>Tipo</t>
        </is>
      </c>
      <c r="B56" s="135" t="inlineStr">
        <is>
          <t>KRI</t>
        </is>
      </c>
      <c r="C56" s="164" t="inlineStr">
        <is>
          <t>A1, ciclo trimestrale; validato</t>
        </is>
      </c>
      <c r="D56" s="135" t="inlineStr">
        <is>
          <t>Esposizione (quanto la Banca e' esposta) o Evoluzione (quanto cresce il fenomeno): uno per tipo per rischio (D-64). Vuoto nei KRI scritti prima del 30/09/2026 sera.</t>
        </is>
      </c>
      <c r="E56" s="135" t="inlineStr">
        <is>
          <t>Dal payload dell'agente, scritto dallo script.</t>
        </is>
      </c>
      <c r="F56" s="135" t="inlineStr">
        <is>
          <t>—</t>
        </is>
      </c>
      <c r="G56" s="135" t="inlineStr">
        <is>
          <t>Evoluzione</t>
        </is>
      </c>
    </row>
    <row r="57" ht="28" customHeight="1">
      <c r="A57" s="134" t="inlineStr">
        <is>
          <t>Unita</t>
        </is>
      </c>
      <c r="B57" s="135" t="inlineStr">
        <is>
          <t>KRI</t>
        </is>
      </c>
      <c r="C57" s="164" t="inlineStr">
        <is>
          <t>A1, ciclo trimestrale; validato</t>
        </is>
      </c>
      <c r="D57" s="135" t="inlineStr">
        <is>
          <t>Unita' di misura (n, %, ore, n/10k...).</t>
        </is>
      </c>
      <c r="E57" s="135" t="inlineStr">
        <is>
          <t>Dal payload dell'agente, scritto dallo script.</t>
        </is>
      </c>
      <c r="F57" s="135" t="inlineStr">
        <is>
          <t>—</t>
        </is>
      </c>
      <c r="G57" s="135" t="inlineStr">
        <is>
          <t>n/10k</t>
        </is>
      </c>
    </row>
    <row r="58" ht="28" customHeight="1">
      <c r="A58" s="134" t="inlineStr">
        <is>
          <t>Fonte_Dati</t>
        </is>
      </c>
      <c r="B58" s="135" t="inlineStr">
        <is>
          <t>KRI</t>
        </is>
      </c>
      <c r="C58" s="164" t="inlineStr">
        <is>
          <t>A1, ciclo trimestrale; validato</t>
        </is>
      </c>
      <c r="D58" s="135" t="inlineStr">
        <is>
          <t>Sistema o report interno da cui si prende il valore.</t>
        </is>
      </c>
      <c r="E58" s="135" t="inlineStr">
        <is>
          <t>Dal payload dell'agente, scritto dallo script.</t>
        </is>
      </c>
      <c r="F58" s="135" t="inlineStr">
        <is>
          <t>—</t>
        </is>
      </c>
      <c r="G58" s="135" t="inlineStr">
        <is>
          <t>Sistema antifrode transazionale</t>
        </is>
      </c>
    </row>
    <row r="59" ht="40" customHeight="1">
      <c r="A59" s="134" t="inlineStr">
        <is>
          <t>Soglia_Attenzione</t>
        </is>
      </c>
      <c r="B59" s="135" t="inlineStr">
        <is>
          <t>KRI</t>
        </is>
      </c>
      <c r="C59" s="164" t="inlineStr">
        <is>
          <t>A1, ciclo trimestrale; validato</t>
        </is>
      </c>
      <c r="D59" s="135" t="inlineStr">
        <is>
          <t>Da questo valore in su: Ambra. Vuota = da definire (la fissa il validatore).</t>
        </is>
      </c>
      <c r="E59" s="135" t="inlineStr">
        <is>
          <t>Dal payload dell'agente, scritto dallo script.</t>
        </is>
      </c>
      <c r="F59" s="135" t="inlineStr">
        <is>
          <t>numero o vuota</t>
        </is>
      </c>
      <c r="G59" s="135" t="inlineStr">
        <is>
          <t>3</t>
        </is>
      </c>
    </row>
    <row r="60" ht="28" customHeight="1">
      <c r="A60" s="134" t="inlineStr">
        <is>
          <t>Soglia_Allerta</t>
        </is>
      </c>
      <c r="B60" s="135" t="inlineStr">
        <is>
          <t>KRI</t>
        </is>
      </c>
      <c r="C60" s="164" t="inlineStr">
        <is>
          <t>A1, ciclo trimestrale; validato</t>
        </is>
      </c>
      <c r="D60" s="135" t="inlineStr">
        <is>
          <t>Da questo valore in su: Rosso. Mai sotto la soglia di attenzione.</t>
        </is>
      </c>
      <c r="E60" s="135" t="inlineStr">
        <is>
          <t>Dal payload dell'agente, scritto dallo script.</t>
        </is>
      </c>
      <c r="F60" s="135" t="inlineStr">
        <is>
          <t>numero o vuota</t>
        </is>
      </c>
      <c r="G60" s="135" t="inlineStr">
        <is>
          <t>6</t>
        </is>
      </c>
    </row>
    <row r="61" ht="52" customHeight="1">
      <c r="A61" s="134" t="inlineStr">
        <is>
          <t>Valore_Corrente</t>
        </is>
      </c>
      <c r="B61" s="135" t="inlineStr">
        <is>
          <t>KRI</t>
        </is>
      </c>
      <c r="C61" s="164" t="inlineStr">
        <is>
          <t>A1, ciclo trimestrale; validato</t>
        </is>
      </c>
      <c r="D61" s="135" t="inlineStr">
        <is>
          <t>Valore rilevato per QUESTO ciclo; vuoto se non rilevato (A1 rilegge solo i valori che trova), mai ricopiato.</t>
        </is>
      </c>
      <c r="E61" s="135" t="inlineStr">
        <is>
          <t>Rilevato dalla fonte interna; vuoto se non rilevato, mai ricopiato dal ciclo prima.</t>
        </is>
      </c>
      <c r="F61" s="135" t="inlineStr">
        <is>
          <t>—</t>
        </is>
      </c>
      <c r="G61" s="135" t="inlineStr">
        <is>
          <t>4,20</t>
        </is>
      </c>
    </row>
    <row r="62" ht="28" customHeight="1">
      <c r="A62" s="134" t="inlineStr">
        <is>
          <t>Data_Rilevazione</t>
        </is>
      </c>
      <c r="B62" s="135" t="inlineStr">
        <is>
          <t>KRI</t>
        </is>
      </c>
      <c r="C62" s="165" t="inlineStr">
        <is>
          <t>Script, quando scrive il ciclo</t>
        </is>
      </c>
      <c r="D62" s="135" t="inlineStr">
        <is>
          <t>Data del valore rilevato.</t>
        </is>
      </c>
      <c r="E62" s="135" t="inlineStr">
        <is>
          <t>Data di riferimento del ciclo se c'e' un valore rilevato; vuota altrimenti.</t>
        </is>
      </c>
      <c r="F62" s="135" t="inlineStr">
        <is>
          <t>—</t>
        </is>
      </c>
      <c r="G62" s="135" t="inlineStr">
        <is>
          <t>30/06/2026</t>
        </is>
      </c>
    </row>
    <row r="63" ht="28" customHeight="1">
      <c r="A63" s="134" t="inlineStr">
        <is>
          <t>Fonte_Rilevazione</t>
        </is>
      </c>
      <c r="B63" s="135" t="inlineStr">
        <is>
          <t>KRI</t>
        </is>
      </c>
      <c r="C63" s="164" t="inlineStr">
        <is>
          <t>A1, ciclo trimestrale; validato</t>
        </is>
      </c>
      <c r="D63" s="135" t="inlineStr">
        <is>
          <t>Documento o estrazione da cui viene il valore.</t>
        </is>
      </c>
      <c r="E63" s="135" t="inlineStr">
        <is>
          <t>Dal payload dell'agente, scritto dallo script.</t>
        </is>
      </c>
      <c r="F63" s="135" t="inlineStr">
        <is>
          <t>—</t>
        </is>
      </c>
      <c r="G63" s="135" t="inlineStr">
        <is>
          <t>Sistema antifrode transazionale</t>
        </is>
      </c>
    </row>
    <row r="64" ht="28" customHeight="1">
      <c r="A64" s="134" t="inlineStr">
        <is>
          <t>Nota_Rilevazione</t>
        </is>
      </c>
      <c r="B64" s="135" t="inlineStr">
        <is>
          <t>KRI</t>
        </is>
      </c>
      <c r="C64" s="164" t="inlineStr">
        <is>
          <t>A1, ciclo trimestrale; validato</t>
        </is>
      </c>
      <c r="D64" s="135" t="inlineStr">
        <is>
          <t>Commento alla rilevazione.</t>
        </is>
      </c>
      <c r="E64" s="135" t="inlineStr">
        <is>
          <t>Dal payload dell'agente, scritto dallo script.</t>
        </is>
      </c>
      <c r="F64" s="135" t="inlineStr">
        <is>
          <t>—</t>
        </is>
      </c>
      <c r="G64" s="135" t="inlineStr">
        <is>
          <t>Rilevazione di fine trimestre.</t>
        </is>
      </c>
    </row>
    <row r="65" ht="52" customHeight="1">
      <c r="A65" s="134" t="inlineStr">
        <is>
          <t>Stato</t>
        </is>
      </c>
      <c r="B65" s="135" t="inlineStr">
        <is>
          <t>KRI</t>
        </is>
      </c>
      <c r="C65" s="165" t="inlineStr">
        <is>
          <t>Formula del foglio</t>
        </is>
      </c>
      <c r="D65" s="135" t="inlineStr">
        <is>
          <t>Verde, Ambra o Rosso rispetto alle soglie; Non rilevato senza valore; Soglie da definire se mancano.</t>
        </is>
      </c>
      <c r="E65" s="135" t="inlineStr">
        <is>
          <t>Soglie da definire se ne manca una (le fissa la Banca); SOGLIE INVERTITE se allerta &lt; attenzione; Non rilevato senza valore; Rosso se valore &gt;= allerta; Ambra se &gt;= attenzione; Verde sotto.</t>
        </is>
      </c>
      <c r="F65" s="135" t="inlineStr">
        <is>
          <t>—</t>
        </is>
      </c>
      <c r="G65" s="135" t="inlineStr">
        <is>
          <t>Ambra</t>
        </is>
      </c>
    </row>
    <row r="66" ht="28" customHeight="1">
      <c r="A66" s="134" t="inlineStr">
        <is>
          <t>In_Vigore</t>
        </is>
      </c>
      <c r="B66" s="135" t="inlineStr">
        <is>
          <t>KRI</t>
        </is>
      </c>
      <c r="C66" s="165" t="inlineStr">
        <is>
          <t>Script, quando scrive il ciclo</t>
        </is>
      </c>
      <c r="D66" s="135" t="inlineStr">
        <is>
          <t>Sì; No = il KRI esce in questo ciclo e la serie finisce.</t>
        </is>
      </c>
      <c r="E66" s="135" t="inlineStr">
        <is>
          <t>Sì per i KRI proposti nel ciclo; No nella riga del ciclo in cui un KRI non e' riproposto o e' respinto.</t>
        </is>
      </c>
      <c r="F66" s="135" t="inlineStr">
        <is>
          <t>Sì, No</t>
        </is>
      </c>
      <c r="G66" s="135" t="inlineStr">
        <is>
          <t>Sì</t>
        </is>
      </c>
    </row>
    <row r="67" ht="28" customHeight="1">
      <c r="A67" s="134" t="inlineStr">
        <is>
          <t>Ciclo_Definizione</t>
        </is>
      </c>
      <c r="B67" s="135" t="inlineStr">
        <is>
          <t>KRI</t>
        </is>
      </c>
      <c r="C67" s="165" t="inlineStr">
        <is>
          <t>Script, quando scrive il ciclo</t>
        </is>
      </c>
      <c r="D67" s="135" t="inlineStr">
        <is>
          <t>Ciclo in cui il KRI e' nato.</t>
        </is>
      </c>
      <c r="E67" s="135" t="inlineStr">
        <is>
          <t>Ciclo in cui il KRI e' nato; non cambia quando se ne aggiorna la definizione.</t>
        </is>
      </c>
      <c r="F67" s="135" t="inlineStr">
        <is>
          <t>—</t>
        </is>
      </c>
      <c r="G67" s="135" t="inlineStr">
        <is>
          <t>2025Q4</t>
        </is>
      </c>
    </row>
    <row r="68" ht="28" customHeight="1">
      <c r="A68" s="134" t="inlineStr">
        <is>
          <t>Ciclo_Aggiornamento</t>
        </is>
      </c>
      <c r="B68" s="135" t="inlineStr">
        <is>
          <t>KRI</t>
        </is>
      </c>
      <c r="C68" s="164" t="inlineStr">
        <is>
          <t>A1, ciclo trimestrale; validato</t>
        </is>
      </c>
      <c r="D68" s="135" t="inlineStr">
        <is>
          <t>Ultimo ciclo che ne ha scritto la definizione.</t>
        </is>
      </c>
      <c r="E68" s="135" t="inlineStr">
        <is>
          <t>Dal payload dell'agente, scritto dallo script.</t>
        </is>
      </c>
      <c r="F68" s="135" t="inlineStr">
        <is>
          <t>—</t>
        </is>
      </c>
      <c r="G68" s="135" t="inlineStr">
        <is>
          <t>2025Q4</t>
        </is>
      </c>
    </row>
    <row r="69" ht="40" customHeight="1">
      <c r="A69" s="134" t="inlineStr">
        <is>
          <t>Razionale</t>
        </is>
      </c>
      <c r="B69" s="135" t="inlineStr">
        <is>
          <t>KRI</t>
        </is>
      </c>
      <c r="C69" s="164" t="inlineStr">
        <is>
          <t>A1, ciclo trimestrale; validato</t>
        </is>
      </c>
      <c r="D69" s="135" t="inlineStr">
        <is>
          <t>Perche' il KRI misura il rischio; dopo EFFETTO: andamento atteso e che cosa segnala oltre soglia (D-68).</t>
        </is>
      </c>
      <c r="E69" s="135" t="inlineStr">
        <is>
          <t>Dal payload dell'agente, scritto dallo script.</t>
        </is>
      </c>
      <c r="F69" s="135" t="inlineStr">
        <is>
          <t>—</t>
        </is>
      </c>
      <c r="G69" s="135" t="inlineStr">
        <is>
          <t>KRI di evoluzione del rischio NFR-01…</t>
        </is>
      </c>
    </row>
    <row r="70" ht="28" customHeight="1">
      <c r="A70" s="134" t="inlineStr">
        <is>
          <t>Chiave</t>
        </is>
      </c>
      <c r="B70" s="135" t="inlineStr">
        <is>
          <t>KRI</t>
        </is>
      </c>
      <c r="C70" s="165" t="inlineStr">
        <is>
          <t>Formula del foglio</t>
        </is>
      </c>
      <c r="D70" s="135" t="inlineStr">
        <is>
          <t>Ciclo|KRI_ID: chiave di ricerca per le viste.</t>
        </is>
      </c>
      <c r="E70" s="135" t="inlineStr">
        <is>
          <t>Ciclo e ID uniti da "|": serve alle viste per trovare la riga.</t>
        </is>
      </c>
      <c r="F70" s="135" t="inlineStr">
        <is>
          <t>—</t>
        </is>
      </c>
      <c r="G70" s="135" t="inlineStr">
        <is>
          <t>2026Q2|NFR-01</t>
        </is>
      </c>
    </row>
    <row r="71" ht="40" customHeight="1">
      <c r="A71" s="134" t="inlineStr">
        <is>
          <t>Validazione</t>
        </is>
      </c>
      <c r="B71" s="135" t="inlineStr">
        <is>
          <t>KRI</t>
        </is>
      </c>
      <c r="C71" s="166" t="inlineStr">
        <is>
          <t>Comando valida, dalla decisione del validatore</t>
        </is>
      </c>
      <c r="D71" s="135" t="inlineStr">
        <is>
          <t>Da validare, poi Accettato, Rettificato o Respinto.</t>
        </is>
      </c>
      <c r="E71" s="135" t="inlineStr">
        <is>
          <t>Da validare alla scrittura; il comando valida scrive Accettato, Rettificato o Respinto (un rischio non si respinge).</t>
        </is>
      </c>
      <c r="F71" s="135" t="inlineStr">
        <is>
          <t>Da validare, Accettato, Rettificato, Respinto</t>
        </is>
      </c>
      <c r="G71" s="135" t="inlineStr">
        <is>
          <t>Accettato</t>
        </is>
      </c>
    </row>
    <row r="72">
      <c r="A72" s="163" t="inlineStr">
        <is>
          <t>NewsLog — notizie</t>
        </is>
      </c>
    </row>
    <row r="73" ht="28" customHeight="1">
      <c r="A73" s="134" t="inlineStr">
        <is>
          <t>Data</t>
        </is>
      </c>
      <c r="B73" s="135" t="inlineStr">
        <is>
          <t>NewsLog</t>
        </is>
      </c>
      <c r="C73" s="167" t="inlineStr">
        <is>
          <t>A3, ciclo settimanale</t>
        </is>
      </c>
      <c r="D73" s="135" t="inlineStr">
        <is>
          <t>Data della notizia.</t>
        </is>
      </c>
      <c r="E73" s="135" t="inlineStr">
        <is>
          <t>Dal payload dell'agente, scritto dallo script.</t>
        </is>
      </c>
      <c r="F73" s="135" t="inlineStr">
        <is>
          <t>—</t>
        </is>
      </c>
      <c r="G73" s="135" t="inlineStr">
        <is>
          <t>09/06/2026</t>
        </is>
      </c>
    </row>
    <row r="74" ht="28" customHeight="1">
      <c r="A74" s="134" t="inlineStr">
        <is>
          <t>Settimana</t>
        </is>
      </c>
      <c r="B74" s="135" t="inlineStr">
        <is>
          <t>NewsLog</t>
        </is>
      </c>
      <c r="C74" s="165" t="inlineStr">
        <is>
          <t>Formula del foglio</t>
        </is>
      </c>
      <c r="D74" s="135" t="inlineStr">
        <is>
          <t>Lunedi' della settimana della notizia.</t>
        </is>
      </c>
      <c r="E74" s="135" t="inlineStr">
        <is>
          <t>Lunedi' della settimana della data della notizia.</t>
        </is>
      </c>
      <c r="F74" s="135" t="inlineStr">
        <is>
          <t>—</t>
        </is>
      </c>
      <c r="G74" s="135" t="inlineStr">
        <is>
          <t>08/06/2026</t>
        </is>
      </c>
    </row>
    <row r="75" ht="28" customHeight="1">
      <c r="A75" s="134" t="inlineStr">
        <is>
          <t>ID_Notizia</t>
        </is>
      </c>
      <c r="B75" s="135" t="inlineStr">
        <is>
          <t>NewsLog</t>
        </is>
      </c>
      <c r="C75" s="167" t="inlineStr">
        <is>
          <t>A3, ciclo settimanale</t>
        </is>
      </c>
      <c r="D75" s="135" t="inlineStr">
        <is>
          <t>Codice unico N-AAAAMMGG-nn.</t>
        </is>
      </c>
      <c r="E75" s="135" t="inlineStr">
        <is>
          <t>Dal payload dell'agente, scritto dallo script.</t>
        </is>
      </c>
      <c r="F75" s="135" t="inlineStr">
        <is>
          <t>—</t>
        </is>
      </c>
      <c r="G75" s="135" t="inlineStr">
        <is>
          <t>N-20260609-01</t>
        </is>
      </c>
    </row>
    <row r="76" ht="28" customHeight="1">
      <c r="A76" s="134" t="inlineStr">
        <is>
          <t>Titolo</t>
        </is>
      </c>
      <c r="B76" s="135" t="inlineStr">
        <is>
          <t>NewsLog</t>
        </is>
      </c>
      <c r="C76" s="167" t="inlineStr">
        <is>
          <t>A3, ciclo settimanale</t>
        </is>
      </c>
      <c r="D76" s="135" t="inlineStr">
        <is>
          <t>Titolo della notizia.</t>
        </is>
      </c>
      <c r="E76" s="135" t="inlineStr">
        <is>
          <t>Dal payload dell'agente, scritto dallo script.</t>
        </is>
      </c>
      <c r="F76" s="135" t="inlineStr">
        <is>
          <t>—</t>
        </is>
      </c>
      <c r="G76" s="135" t="inlineStr">
        <is>
          <t>Nuova ondata di frodi con voce clona…</t>
        </is>
      </c>
    </row>
    <row r="77" ht="28" customHeight="1">
      <c r="A77" s="134" t="inlineStr">
        <is>
          <t>Fonte</t>
        </is>
      </c>
      <c r="B77" s="135" t="inlineStr">
        <is>
          <t>NewsLog</t>
        </is>
      </c>
      <c r="C77" s="167" t="inlineStr">
        <is>
          <t>A3, ciclo settimanale</t>
        </is>
      </c>
      <c r="D77" s="135" t="inlineStr">
        <is>
          <t>Testata o ente che la pubblica.</t>
        </is>
      </c>
      <c r="E77" s="135" t="inlineStr">
        <is>
          <t>Dal payload dell'agente, scritto dallo script.</t>
        </is>
      </c>
      <c r="F77" s="135" t="inlineStr">
        <is>
          <t>—</t>
        </is>
      </c>
      <c r="G77" s="135" t="inlineStr">
        <is>
          <t>CERT finanziario nazionale</t>
        </is>
      </c>
    </row>
    <row r="78" ht="28" customHeight="1">
      <c r="A78" s="134" t="inlineStr">
        <is>
          <t>Codice_Fonte</t>
        </is>
      </c>
      <c r="B78" s="135" t="inlineStr">
        <is>
          <t>NewsLog</t>
        </is>
      </c>
      <c r="C78" s="167" t="inlineStr">
        <is>
          <t>A3, ciclo settimanale</t>
        </is>
      </c>
      <c r="D78" s="135" t="inlineStr">
        <is>
          <t>Codice del catalogo fonti (FNT-nn), MAN se raccolta a mano.</t>
        </is>
      </c>
      <c r="E78" s="135" t="inlineStr">
        <is>
          <t>Dal payload dell'agente, scritto dallo script.</t>
        </is>
      </c>
      <c r="F78" s="135" t="inlineStr">
        <is>
          <t>—</t>
        </is>
      </c>
      <c r="G78" s="135" t="inlineStr">
        <is>
          <t>FNT-34</t>
        </is>
      </c>
    </row>
    <row r="79" ht="28" customHeight="1">
      <c r="A79" s="134" t="inlineStr">
        <is>
          <t>Rischio_ID</t>
        </is>
      </c>
      <c r="B79" s="135" t="inlineStr">
        <is>
          <t>NewsLog</t>
        </is>
      </c>
      <c r="C79" s="167" t="inlineStr">
        <is>
          <t>A3, ciclo settimanale</t>
        </is>
      </c>
      <c r="D79" s="135" t="inlineStr">
        <is>
          <t>Rischio toccato; NON PRESIDIATO se nessun rischio censito.</t>
        </is>
      </c>
      <c r="E79" s="135" t="inlineStr">
        <is>
          <t>Rischio indicato da A3; NON PRESIDIATO se la notizia non tocca rischi censiti.</t>
        </is>
      </c>
      <c r="F79" s="135" t="inlineStr">
        <is>
          <t>—</t>
        </is>
      </c>
      <c r="G79" s="135" t="inlineStr">
        <is>
          <t>NFR-01</t>
        </is>
      </c>
    </row>
    <row r="80" ht="40" customHeight="1">
      <c r="A80" s="134" t="inlineStr">
        <is>
          <t>Segnale</t>
        </is>
      </c>
      <c r="B80" s="135" t="inlineStr">
        <is>
          <t>NewsLog</t>
        </is>
      </c>
      <c r="C80" s="167" t="inlineStr">
        <is>
          <t>A3, ciclo settimanale</t>
        </is>
      </c>
      <c r="D80" s="135" t="inlineStr">
        <is>
          <t>Direzione per il rischio: Peggiorativo, Migliorativo, Neutro, Non rilevante.</t>
        </is>
      </c>
      <c r="E80" s="135" t="inlineStr">
        <is>
          <t>Dal payload dell'agente, scritto dallo script.</t>
        </is>
      </c>
      <c r="F80" s="135" t="inlineStr">
        <is>
          <t>Peggiorativo, Migliorativo, Neutro, Non rilevante</t>
        </is>
      </c>
      <c r="G80" s="135" t="inlineStr">
        <is>
          <t>Peggiorativo</t>
        </is>
      </c>
    </row>
    <row r="81" ht="40" customHeight="1">
      <c r="A81" s="134" t="inlineStr">
        <is>
          <t>Imp_9_1</t>
        </is>
      </c>
      <c r="B81" s="135" t="inlineStr">
        <is>
          <t>NewsLog</t>
        </is>
      </c>
      <c r="C81" s="167" t="inlineStr">
        <is>
          <t>A3, ciclo settimanale</t>
        </is>
      </c>
      <c r="D81" s="135" t="inlineStr">
        <is>
          <t>Intensita' 0-3 sulla categoria 9.1 (0 = nessun nesso, 3 = diretto e immediato).</t>
        </is>
      </c>
      <c r="E81" s="135" t="inlineStr">
        <is>
          <t>Dal payload dell'agente, scritto dallo script.</t>
        </is>
      </c>
      <c r="F81" s="135" t="inlineStr">
        <is>
          <t>—</t>
        </is>
      </c>
      <c r="G81" s="135" t="inlineStr">
        <is>
          <t>1</t>
        </is>
      </c>
    </row>
    <row r="82" ht="40" customHeight="1">
      <c r="A82" s="134" t="inlineStr">
        <is>
          <t>Imp_9_4</t>
        </is>
      </c>
      <c r="B82" s="135" t="inlineStr">
        <is>
          <t>NewsLog</t>
        </is>
      </c>
      <c r="C82" s="167" t="inlineStr">
        <is>
          <t>A3, ciclo settimanale</t>
        </is>
      </c>
      <c r="D82" s="135" t="inlineStr">
        <is>
          <t>Intensita' 0-3 sulla categoria 9.4 (0 = nessun nesso, 3 = diretto e immediato).</t>
        </is>
      </c>
      <c r="E82" s="135" t="inlineStr">
        <is>
          <t>Dal payload dell'agente, scritto dallo script.</t>
        </is>
      </c>
      <c r="F82" s="135" t="inlineStr">
        <is>
          <t>—</t>
        </is>
      </c>
      <c r="G82" s="135" t="inlineStr">
        <is>
          <t>0</t>
        </is>
      </c>
    </row>
    <row r="83" ht="40" customHeight="1">
      <c r="A83" s="134" t="inlineStr">
        <is>
          <t>Imp_9_5</t>
        </is>
      </c>
      <c r="B83" s="135" t="inlineStr">
        <is>
          <t>NewsLog</t>
        </is>
      </c>
      <c r="C83" s="167" t="inlineStr">
        <is>
          <t>A3, ciclo settimanale</t>
        </is>
      </c>
      <c r="D83" s="135" t="inlineStr">
        <is>
          <t>Intensita' 0-3 sulla categoria 9.5 (0 = nessun nesso, 3 = diretto e immediato).</t>
        </is>
      </c>
      <c r="E83" s="135" t="inlineStr">
        <is>
          <t>Dal payload dell'agente, scritto dallo script.</t>
        </is>
      </c>
      <c r="F83" s="135" t="inlineStr">
        <is>
          <t>—</t>
        </is>
      </c>
      <c r="G83" s="135" t="inlineStr">
        <is>
          <t>0</t>
        </is>
      </c>
    </row>
    <row r="84" ht="40" customHeight="1">
      <c r="A84" s="134" t="inlineStr">
        <is>
          <t>Imp_9_6</t>
        </is>
      </c>
      <c r="B84" s="135" t="inlineStr">
        <is>
          <t>NewsLog</t>
        </is>
      </c>
      <c r="C84" s="167" t="inlineStr">
        <is>
          <t>A3, ciclo settimanale</t>
        </is>
      </c>
      <c r="D84" s="135" t="inlineStr">
        <is>
          <t>Intensita' 0-3 sulla categoria 9.6 (0 = nessun nesso, 3 = diretto e immediato).</t>
        </is>
      </c>
      <c r="E84" s="135" t="inlineStr">
        <is>
          <t>Dal payload dell'agente, scritto dallo script.</t>
        </is>
      </c>
      <c r="F84" s="135" t="inlineStr">
        <is>
          <t>—</t>
        </is>
      </c>
      <c r="G84" s="135" t="inlineStr">
        <is>
          <t>0</t>
        </is>
      </c>
    </row>
    <row r="85" ht="40" customHeight="1">
      <c r="A85" s="134" t="inlineStr">
        <is>
          <t>Imp_9_7</t>
        </is>
      </c>
      <c r="B85" s="135" t="inlineStr">
        <is>
          <t>NewsLog</t>
        </is>
      </c>
      <c r="C85" s="167" t="inlineStr">
        <is>
          <t>A3, ciclo settimanale</t>
        </is>
      </c>
      <c r="D85" s="135" t="inlineStr">
        <is>
          <t>Intensita' 0-3 sulla categoria 9.7 (0 = nessun nesso, 3 = diretto e immediato).</t>
        </is>
      </c>
      <c r="E85" s="135" t="inlineStr">
        <is>
          <t>Dal payload dell'agente, scritto dallo script.</t>
        </is>
      </c>
      <c r="F85" s="135" t="inlineStr">
        <is>
          <t>—</t>
        </is>
      </c>
      <c r="G85" s="135" t="inlineStr">
        <is>
          <t>3</t>
        </is>
      </c>
    </row>
    <row r="86" ht="40" customHeight="1">
      <c r="A86" s="134" t="inlineStr">
        <is>
          <t>Imp_9_8</t>
        </is>
      </c>
      <c r="B86" s="135" t="inlineStr">
        <is>
          <t>NewsLog</t>
        </is>
      </c>
      <c r="C86" s="167" t="inlineStr">
        <is>
          <t>A3, ciclo settimanale</t>
        </is>
      </c>
      <c r="D86" s="135" t="inlineStr">
        <is>
          <t>Intensita' 0-3 sulla categoria 9.8 (0 = nessun nesso, 3 = diretto e immediato).</t>
        </is>
      </c>
      <c r="E86" s="135" t="inlineStr">
        <is>
          <t>Dal payload dell'agente, scritto dallo script.</t>
        </is>
      </c>
      <c r="F86" s="135" t="inlineStr">
        <is>
          <t>—</t>
        </is>
      </c>
      <c r="G86" s="135" t="inlineStr">
        <is>
          <t>0</t>
        </is>
      </c>
    </row>
    <row r="87" ht="40" customHeight="1">
      <c r="A87" s="134" t="inlineStr">
        <is>
          <t>Imp_9_9</t>
        </is>
      </c>
      <c r="B87" s="135" t="inlineStr">
        <is>
          <t>NewsLog</t>
        </is>
      </c>
      <c r="C87" s="167" t="inlineStr">
        <is>
          <t>A3, ciclo settimanale</t>
        </is>
      </c>
      <c r="D87" s="135" t="inlineStr">
        <is>
          <t>Intensita' 0-3 sulla categoria 9.9 (0 = nessun nesso, 3 = diretto e immediato).</t>
        </is>
      </c>
      <c r="E87" s="135" t="inlineStr">
        <is>
          <t>Dal payload dell'agente, scritto dallo script.</t>
        </is>
      </c>
      <c r="F87" s="135" t="inlineStr">
        <is>
          <t>—</t>
        </is>
      </c>
      <c r="G87" s="135" t="inlineStr">
        <is>
          <t>0</t>
        </is>
      </c>
    </row>
    <row r="88" ht="40" customHeight="1">
      <c r="A88" s="134" t="inlineStr">
        <is>
          <t>Imp_9_11</t>
        </is>
      </c>
      <c r="B88" s="135" t="inlineStr">
        <is>
          <t>NewsLog</t>
        </is>
      </c>
      <c r="C88" s="167" t="inlineStr">
        <is>
          <t>A3, ciclo settimanale</t>
        </is>
      </c>
      <c r="D88" s="135" t="inlineStr">
        <is>
          <t>Intensita' 0-3 sulla categoria 9.11 (0 = nessun nesso, 3 = diretto e immediato).</t>
        </is>
      </c>
      <c r="E88" s="135" t="inlineStr">
        <is>
          <t>Dal payload dell'agente, scritto dallo script.</t>
        </is>
      </c>
      <c r="F88" s="135" t="inlineStr">
        <is>
          <t>—</t>
        </is>
      </c>
      <c r="G88" s="135" t="inlineStr">
        <is>
          <t>0</t>
        </is>
      </c>
    </row>
    <row r="89" ht="40" customHeight="1">
      <c r="A89" s="134" t="inlineStr">
        <is>
          <t>Imp_9_13</t>
        </is>
      </c>
      <c r="B89" s="135" t="inlineStr">
        <is>
          <t>NewsLog</t>
        </is>
      </c>
      <c r="C89" s="167" t="inlineStr">
        <is>
          <t>A3, ciclo settimanale</t>
        </is>
      </c>
      <c r="D89" s="135" t="inlineStr">
        <is>
          <t>Intensita' 0-3 sulla categoria 9.13 (0 = nessun nesso, 3 = diretto e immediato).</t>
        </is>
      </c>
      <c r="E89" s="135" t="inlineStr">
        <is>
          <t>Dal payload dell'agente, scritto dallo script.</t>
        </is>
      </c>
      <c r="F89" s="135" t="inlineStr">
        <is>
          <t>—</t>
        </is>
      </c>
      <c r="G89" s="135" t="inlineStr">
        <is>
          <t>0</t>
        </is>
      </c>
    </row>
    <row r="90" ht="28" customHeight="1">
      <c r="A90" s="134" t="inlineStr">
        <is>
          <t>Sintesi</t>
        </is>
      </c>
      <c r="B90" s="135" t="inlineStr">
        <is>
          <t>NewsLog</t>
        </is>
      </c>
      <c r="C90" s="167" t="inlineStr">
        <is>
          <t>A3, ciclo settimanale</t>
        </is>
      </c>
      <c r="D90" s="135" t="inlineStr">
        <is>
          <t>Che cosa dice la notizia, in breve.</t>
        </is>
      </c>
      <c r="E90" s="135" t="inlineStr">
        <is>
          <t>Dal payload dell'agente, scritto dallo script.</t>
        </is>
      </c>
      <c r="F90" s="135" t="inlineStr">
        <is>
          <t>—</t>
        </is>
      </c>
      <c r="G90" s="135" t="inlineStr">
        <is>
          <t>Allerta del CERT su campagne con voc…</t>
        </is>
      </c>
    </row>
    <row r="91" ht="40" customHeight="1">
      <c r="A91" s="134" t="inlineStr">
        <is>
          <t>Validazione</t>
        </is>
      </c>
      <c r="B91" s="135" t="inlineStr">
        <is>
          <t>NewsLog</t>
        </is>
      </c>
      <c r="C91" s="166" t="inlineStr">
        <is>
          <t>Comando valida, dalla decisione del validatore</t>
        </is>
      </c>
      <c r="D91" s="135" t="inlineStr">
        <is>
          <t>Da validare, poi Accettato, Rettificato o Respinto.</t>
        </is>
      </c>
      <c r="E91" s="135" t="inlineStr">
        <is>
          <t>Da validare alla scrittura; il comando valida scrive Accettato, Rettificato o Respinto (un rischio non si respinge).</t>
        </is>
      </c>
      <c r="F91" s="135" t="inlineStr">
        <is>
          <t>Da validare, Accettato, Rettificato, Respinto</t>
        </is>
      </c>
      <c r="G91" s="135" t="inlineStr">
        <is>
          <t>Accettato</t>
        </is>
      </c>
    </row>
    <row r="92">
      <c r="A92" s="163" t="inlineStr">
        <is>
          <t>Sintesi_Cicli — commenti di A1 e A5</t>
        </is>
      </c>
    </row>
    <row r="93" ht="28" customHeight="1">
      <c r="A93" s="134" t="inlineStr">
        <is>
          <t>Ciclo</t>
        </is>
      </c>
      <c r="B93" s="135" t="inlineStr">
        <is>
          <t>Sintesi_Cicli</t>
        </is>
      </c>
      <c r="C93" s="164" t="inlineStr">
        <is>
          <t>A1, ciclo trimestrale; validato</t>
        </is>
      </c>
      <c r="D93" s="135" t="inlineStr">
        <is>
          <t>Trimestre valutato.</t>
        </is>
      </c>
      <c r="E93" s="135" t="inlineStr">
        <is>
          <t>Ciclo da valutare, dalla baseline.</t>
        </is>
      </c>
      <c r="F93" s="135" t="inlineStr">
        <is>
          <t>AAAAQn o AAAAQn-Sk (straordinario)</t>
        </is>
      </c>
      <c r="G93" s="135" t="inlineStr">
        <is>
          <t>2026Q2</t>
        </is>
      </c>
    </row>
    <row r="94" ht="28" customHeight="1">
      <c r="A94" s="134" t="inlineStr">
        <is>
          <t>Data_Riferimento</t>
        </is>
      </c>
      <c r="B94" s="135" t="inlineStr">
        <is>
          <t>Sintesi_Cicli</t>
        </is>
      </c>
      <c r="C94" s="164" t="inlineStr">
        <is>
          <t>A1, ciclo trimestrale; validato</t>
        </is>
      </c>
      <c r="D94" s="135" t="inlineStr">
        <is>
          <t>Data di riferimento del ciclo.</t>
        </is>
      </c>
      <c r="E94" s="135" t="inlineStr">
        <is>
          <t>Fine del trimestre valutato, dalla baseline.</t>
        </is>
      </c>
      <c r="F94" s="135" t="inlineStr">
        <is>
          <t>data</t>
        </is>
      </c>
      <c r="G94" s="135" t="inlineStr">
        <is>
          <t>30/06/2026</t>
        </is>
      </c>
    </row>
    <row r="95" ht="40" customHeight="1">
      <c r="A95" s="134" t="inlineStr">
        <is>
          <t>Sintesi_A1</t>
        </is>
      </c>
      <c r="B95" s="135" t="inlineStr">
        <is>
          <t>Sintesi_Cicli</t>
        </is>
      </c>
      <c r="C95" s="164" t="inlineStr">
        <is>
          <t>A1, ciclo trimestrale; validato</t>
        </is>
      </c>
      <c r="D95" s="135" t="inlineStr">
        <is>
          <t>Commento per il comitato nella forma MESSAGGIO: ... DECISIONI: ... (il Quadro lo divide in due righe).</t>
        </is>
      </c>
      <c r="E95" s="135" t="inlineStr">
        <is>
          <t>Scritta da A1 nella forma "MESSAGGIO: ... DECISIONI: ...": il Quadro d'insieme la divide in due righe.</t>
        </is>
      </c>
      <c r="F95" s="135" t="inlineStr">
        <is>
          <t>—</t>
        </is>
      </c>
      <c r="G95" s="135" t="inlineStr">
        <is>
          <t>MESSAGGIO: ...</t>
        </is>
      </c>
    </row>
    <row r="96" ht="40" customHeight="1">
      <c r="A96" s="134" t="inlineStr">
        <is>
          <t>Sintesi_A5</t>
        </is>
      </c>
      <c r="B96" s="135" t="inlineStr">
        <is>
          <t>Sintesi_Cicli</t>
        </is>
      </c>
      <c r="C96" s="164" t="inlineStr">
        <is>
          <t>A5, ciclo trimestrale</t>
        </is>
      </c>
      <c r="D96" s="135" t="inlineStr">
        <is>
          <t>Sintesi del challenger A5, se usato (facoltativo, D-71); altrimenti lo dice.</t>
        </is>
      </c>
      <c r="E96" s="135" t="inlineStr">
        <is>
          <t>Dal payload dell'agente, scritto dallo script.</t>
        </is>
      </c>
      <c r="F96" s="135" t="inlineStr">
        <is>
          <t>—</t>
        </is>
      </c>
      <c r="G96" s="135" t="inlineStr">
        <is>
          <t>Controlli superati...</t>
        </is>
      </c>
    </row>
    <row r="97" ht="28" customHeight="1">
      <c r="A97" s="134" t="inlineStr">
        <is>
          <t>Osservazioni_Controlli</t>
        </is>
      </c>
      <c r="B97" s="135" t="inlineStr">
        <is>
          <t>Sintesi_Cicli</t>
        </is>
      </c>
      <c r="C97" s="165" t="inlineStr">
        <is>
          <t>Script, quando scrive il ciclo</t>
        </is>
      </c>
      <c r="D97" s="135" t="inlineStr">
        <is>
          <t>Numero di rilievi non bloccanti (A5 e controlli dello script).</t>
        </is>
      </c>
      <c r="E97" s="135" t="inlineStr">
        <is>
          <t>Conteggio dei rilievi 'Osservazione' di A5 e dei controlli dello script.</t>
        </is>
      </c>
      <c r="F97" s="135" t="inlineStr">
        <is>
          <t>—</t>
        </is>
      </c>
      <c r="G97" s="135" t="inlineStr">
        <is>
          <t>1</t>
        </is>
      </c>
    </row>
    <row r="98" ht="40" customHeight="1">
      <c r="A98" s="134" t="inlineStr">
        <is>
          <t>Rilievi_Ciclo</t>
        </is>
      </c>
      <c r="B98" s="135" t="inlineStr">
        <is>
          <t>Sintesi_Cicli</t>
        </is>
      </c>
      <c r="C98" s="165" t="inlineStr">
        <is>
          <t>Script, quando scrive il ciclo</t>
        </is>
      </c>
      <c r="D98" s="135" t="inlineStr">
        <is>
          <t>Segnalazioni di A5 e dei controlli che riguardano il ciclo, non un rischio.</t>
        </is>
      </c>
      <c r="E98" s="135" t="inlineStr">
        <is>
          <t>Segnalazioni sul ciclo nel suo insieme, stesso formato della colonna Rilievi del registro.</t>
        </is>
      </c>
      <c r="F98" s="135" t="inlineStr">
        <is>
          <t>—</t>
        </is>
      </c>
      <c r="G98" s="135" t="n"/>
    </row>
    <row r="99" ht="40" customHeight="1">
      <c r="A99" s="134" t="inlineStr">
        <is>
          <t>Rilievi_Superati</t>
        </is>
      </c>
      <c r="B99" s="135" t="inlineStr">
        <is>
          <t>Sintesi_Cicli</t>
        </is>
      </c>
      <c r="C99" s="165" t="inlineStr">
        <is>
          <t>Script, quando scrive il ciclo</t>
        </is>
      </c>
      <c r="D99" s="135" t="inlineStr">
        <is>
          <t>Quante segnalazioni sono da motivare in validazione, dai controlli e da A5 (D-71). Vuoto = nessuna.</t>
        </is>
      </c>
      <c r="E99" s="135" t="inlineStr">
        <is>
          <t>Quante segnalazioni sono da motivare in validazione, dai controlli e da A5 (D-71). Fino al 05/10/2026: bloccanti di A5 superati con --procedi-con-rilievi.</t>
        </is>
      </c>
      <c r="F99" s="135" t="inlineStr">
        <is>
          <t>—</t>
        </is>
      </c>
      <c r="G99" s="135" t="n"/>
    </row>
    <row r="100" ht="88" customHeight="1">
      <c r="A100" s="134" t="inlineStr">
        <is>
          <t>Note_Analista</t>
        </is>
      </c>
      <c r="B100" s="135" t="inlineStr">
        <is>
          <t>Sintesi_Cicli</t>
        </is>
      </c>
      <c r="C100" s="165" t="inlineStr">
        <is>
          <t>Script, quando scrive il ciclo</t>
        </is>
      </c>
      <c r="D100" s="135" t="inlineStr">
        <is>
          <t>Note dell'analista del Quadro per quel ciclo (per esempio la sintesi delle spiegazioni discusse con A7), archiviate da trimestrale quando inizia il ciclo dopo; vuota per il ciclo corrente, la cui nota e' nel Quadro (D-72).</t>
        </is>
      </c>
      <c r="E100" s="135" t="inlineStr">
        <is>
          <t>—</t>
        </is>
      </c>
      <c r="F100" s="135" t="inlineStr">
        <is>
          <t>—</t>
        </is>
      </c>
      <c r="G100" s="135" t="n"/>
    </row>
    <row r="101" ht="28" customHeight="1">
      <c r="A101" s="134" t="inlineStr">
        <is>
          <t>Data_Scrittura</t>
        </is>
      </c>
      <c r="B101" s="135" t="inlineStr">
        <is>
          <t>Sintesi_Cicli</t>
        </is>
      </c>
      <c r="C101" s="165" t="inlineStr">
        <is>
          <t>Script, quando scrive il ciclo</t>
        </is>
      </c>
      <c r="D101" s="135" t="inlineStr">
        <is>
          <t>Giorno in cui lo script ha scritto la riga.</t>
        </is>
      </c>
      <c r="E101" s="135" t="inlineStr">
        <is>
          <t>Data del giorno in cui lo script scrive la riga.</t>
        </is>
      </c>
      <c r="F101" s="135" t="inlineStr">
        <is>
          <t>—</t>
        </is>
      </c>
      <c r="G101" s="135" t="inlineStr">
        <is>
          <t>30/06/2026</t>
        </is>
      </c>
    </row>
    <row r="102" ht="64" customHeight="1">
      <c r="A102" s="134" t="inlineStr">
        <is>
          <t>Straordinario</t>
        </is>
      </c>
      <c r="B102" s="135" t="inlineStr">
        <is>
          <t>Sintesi_Cicli</t>
        </is>
      </c>
      <c r="C102" s="165" t="inlineStr">
        <is>
          <t>Script, quando scrive il ciclo</t>
        </is>
      </c>
      <c r="D102" s="135" t="inlineStr">
        <is>
          <t>Solo per un ciclo straordinario (AAAAQn-Sk, D-75): chi l'ha deciso, quando, perche' e quali rischi sono stati rivalutati; vuota per un ciclo trimestrale.</t>
        </is>
      </c>
      <c r="E102" s="135" t="inlineStr">
        <is>
          <t>Scritto dallo script dalla decisione di baseline --straordinario: chi, quando, perche', rischi rivalutati (D-75).</t>
        </is>
      </c>
      <c r="F102" s="135" t="inlineStr">
        <is>
          <t>—</t>
        </is>
      </c>
      <c r="G102" s="135" t="n"/>
    </row>
    <row r="103">
      <c r="A103" s="163" t="inlineStr">
        <is>
          <t>Sintesi_Settimane — sintesi di A3 e flag</t>
        </is>
      </c>
    </row>
    <row r="104" ht="28" customHeight="1">
      <c r="A104" s="134" t="inlineStr">
        <is>
          <t>Settimana</t>
        </is>
      </c>
      <c r="B104" s="135" t="inlineStr">
        <is>
          <t>Sintesi_Settimane</t>
        </is>
      </c>
      <c r="C104" s="167" t="inlineStr">
        <is>
          <t>A3, ciclo settimanale</t>
        </is>
      </c>
      <c r="D104" s="135" t="inlineStr">
        <is>
          <t>Lunedi' della settimana valutata da A3.</t>
        </is>
      </c>
      <c r="E104" s="135" t="inlineStr">
        <is>
          <t>Lunedi' della settimana della data della notizia.</t>
        </is>
      </c>
      <c r="F104" s="135" t="inlineStr">
        <is>
          <t>—</t>
        </is>
      </c>
      <c r="G104" s="135" t="inlineStr">
        <is>
          <t>08/06/2026</t>
        </is>
      </c>
    </row>
    <row r="105" ht="28" customHeight="1">
      <c r="A105" s="134" t="inlineStr">
        <is>
          <t>Notizie</t>
        </is>
      </c>
      <c r="B105" s="135" t="inlineStr">
        <is>
          <t>Sintesi_Settimane</t>
        </is>
      </c>
      <c r="C105" s="165" t="inlineStr">
        <is>
          <t>Script, quando scrive il ciclo</t>
        </is>
      </c>
      <c r="D105" s="135" t="inlineStr">
        <is>
          <t>Notizie valutate da A3 nella settimana.</t>
        </is>
      </c>
      <c r="E105" s="135" t="inlineStr">
        <is>
          <t>—</t>
        </is>
      </c>
      <c r="F105" s="135" t="inlineStr">
        <is>
          <t>—</t>
        </is>
      </c>
      <c r="G105" s="135" t="inlineStr">
        <is>
          <t>3</t>
        </is>
      </c>
    </row>
    <row r="106" ht="52" customHeight="1">
      <c r="A106" s="134" t="inlineStr">
        <is>
          <t>Sintesi_A3</t>
        </is>
      </c>
      <c r="B106" s="135" t="inlineStr">
        <is>
          <t>Sintesi_Settimane</t>
        </is>
      </c>
      <c r="C106" s="167" t="inlineStr">
        <is>
          <t>A3, ciclo settimanale</t>
        </is>
      </c>
      <c r="D106" s="135" t="inlineStr">
        <is>
          <t>Sintesi della settimana scritta da A3: temi, rischi toccati, aree non presidiate. Scritta prima della validazione delle notizie.</t>
        </is>
      </c>
      <c r="E106" s="135" t="inlineStr">
        <is>
          <t>Dal payload dell'agente, scritto dallo script.</t>
        </is>
      </c>
      <c r="F106" s="135" t="inlineStr">
        <is>
          <t>—</t>
        </is>
      </c>
      <c r="G106" s="135" t="inlineStr">
        <is>
          <t>Linee guida europee sul rimborso...</t>
        </is>
      </c>
    </row>
    <row r="107" ht="52" customHeight="1">
      <c r="A107" s="134" t="inlineStr">
        <is>
          <t>Proposta_Straordinario</t>
        </is>
      </c>
      <c r="B107" s="135" t="inlineStr">
        <is>
          <t>Sintesi_Settimane</t>
        </is>
      </c>
      <c r="C107" s="165" t="inlineStr">
        <is>
          <t>Script, quando scrive il ciclo</t>
        </is>
      </c>
      <c r="D107" s="135" t="inlineStr">
        <is>
          <t>Proposta di A3 di un ciclo straordinario (segnale critico, rubrica sezione 6): rischi e motivo. Decide la funzione di rischio (D-75).</t>
        </is>
      </c>
      <c r="E107" s="135" t="inlineStr">
        <is>
          <t>—</t>
        </is>
      </c>
      <c r="F107" s="135" t="inlineStr">
        <is>
          <t>—</t>
        </is>
      </c>
      <c r="G107" s="135" t="n"/>
    </row>
    <row r="108" ht="64" customHeight="1">
      <c r="A108" s="134" t="inlineStr">
        <is>
          <t>Flag_Proposti</t>
        </is>
      </c>
      <c r="B108" s="135" t="inlineStr">
        <is>
          <t>Sintesi_Settimane</t>
        </is>
      </c>
      <c r="C108" s="165" t="inlineStr">
        <is>
          <t>Script, quando scrive il ciclo</t>
        </is>
      </c>
      <c r="D108" s="135" t="inlineStr">
        <is>
          <t>Flag proposti da A3, uno per riga: rischio, direzione, motivazione. Non cambiano score: si portano al prossimo ciclo trimestrale (o, se critici, a un ciclo straordinario, D-41).</t>
        </is>
      </c>
      <c r="E108" s="135" t="inlineStr">
        <is>
          <t>—</t>
        </is>
      </c>
      <c r="F108" s="135" t="inlineStr">
        <is>
          <t>—</t>
        </is>
      </c>
      <c r="G108" s="135" t="inlineStr">
        <is>
          <t>NFR-01 · Peggiorativo: ...</t>
        </is>
      </c>
    </row>
    <row r="109" ht="28" customHeight="1">
      <c r="A109" s="134" t="inlineStr">
        <is>
          <t>Data_Scrittura</t>
        </is>
      </c>
      <c r="B109" s="135" t="inlineStr">
        <is>
          <t>Sintesi_Settimane</t>
        </is>
      </c>
      <c r="C109" s="165" t="inlineStr">
        <is>
          <t>Script, quando scrive il ciclo</t>
        </is>
      </c>
      <c r="D109" s="135" t="inlineStr">
        <is>
          <t>Giorno in cui lo script ha scritto la riga.</t>
        </is>
      </c>
      <c r="E109" s="135" t="inlineStr">
        <is>
          <t>Data del giorno in cui lo script scrive la riga.</t>
        </is>
      </c>
      <c r="F109" s="135" t="inlineStr">
        <is>
          <t>—</t>
        </is>
      </c>
      <c r="G109" s="135" t="inlineStr">
        <is>
          <t>29/06/2026</t>
        </is>
      </c>
    </row>
    <row r="110">
      <c r="A110" s="163" t="inlineStr">
        <is>
          <t>Storico_Validazioni — proposte e decisioni, campo per campo</t>
        </is>
      </c>
    </row>
    <row r="111" ht="28" customHeight="1">
      <c r="A111" s="134" t="inlineStr">
        <is>
          <t>Periodo</t>
        </is>
      </c>
      <c r="B111" s="135" t="inlineStr">
        <is>
          <t>Storico_Validazioni</t>
        </is>
      </c>
      <c r="C111" s="165" t="inlineStr">
        <is>
          <t>Script, quando scrive il ciclo</t>
        </is>
      </c>
      <c r="D111" s="135" t="inlineStr">
        <is>
          <t>Ciclo (AAAAQn) o lunedi' della settimana.</t>
        </is>
      </c>
      <c r="E111" s="135" t="inlineStr">
        <is>
          <t>Ciclo (per il trimestrale) o lunedi' della settimana (per il settimanale) della scrittura.</t>
        </is>
      </c>
      <c r="F111" s="135" t="inlineStr">
        <is>
          <t>—</t>
        </is>
      </c>
      <c r="G111" s="135" t="inlineStr">
        <is>
          <t>2026Q2</t>
        </is>
      </c>
    </row>
    <row r="112" ht="28" customHeight="1">
      <c r="A112" s="134" t="inlineStr">
        <is>
          <t>Oggetto</t>
        </is>
      </c>
      <c r="B112" s="135" t="inlineStr">
        <is>
          <t>Storico_Validazioni</t>
        </is>
      </c>
      <c r="C112" s="165" t="inlineStr">
        <is>
          <t>Script, quando scrive il ciclo</t>
        </is>
      </c>
      <c r="D112" s="135" t="inlineStr">
        <is>
          <t>Rischio, KRI, Azione o Notizia.</t>
        </is>
      </c>
      <c r="E112" s="135" t="inlineStr">
        <is>
          <t>Tipo della riga proposta dall'agente.</t>
        </is>
      </c>
      <c r="F112" s="135" t="inlineStr">
        <is>
          <t>—</t>
        </is>
      </c>
      <c r="G112" s="135" t="inlineStr">
        <is>
          <t>Rischio</t>
        </is>
      </c>
    </row>
    <row r="113" ht="28" customHeight="1">
      <c r="A113" s="134" t="inlineStr">
        <is>
          <t>ID</t>
        </is>
      </c>
      <c r="B113" s="135" t="inlineStr">
        <is>
          <t>Storico_Validazioni</t>
        </is>
      </c>
      <c r="C113" s="165" t="inlineStr">
        <is>
          <t>Script, quando scrive il ciclo</t>
        </is>
      </c>
      <c r="D113" s="135" t="inlineStr">
        <is>
          <t>Codice dell'oggetto.</t>
        </is>
      </c>
      <c r="E113" s="135" t="inlineStr">
        <is>
          <t>Codice dell'oggetto proposto (rischio, KRI, azione, notizia).</t>
        </is>
      </c>
      <c r="F113" s="135" t="inlineStr">
        <is>
          <t>—</t>
        </is>
      </c>
      <c r="G113" s="135" t="inlineStr">
        <is>
          <t>NFR-10</t>
        </is>
      </c>
    </row>
    <row r="114" ht="28" customHeight="1">
      <c r="A114" s="134" t="inlineStr">
        <is>
          <t>Nome</t>
        </is>
      </c>
      <c r="B114" s="135" t="inlineStr">
        <is>
          <t>Storico_Validazioni</t>
        </is>
      </c>
      <c r="C114" s="165" t="inlineStr">
        <is>
          <t>Script, quando scrive il ciclo</t>
        </is>
      </c>
      <c r="D114" s="135" t="inlineStr">
        <is>
          <t>Nome dell'oggetto, per riconoscerlo.</t>
        </is>
      </c>
      <c r="E114" s="135" t="inlineStr">
        <is>
          <t>Copiato dall'oggetto, per riconoscerlo senza cambiare foglio.</t>
        </is>
      </c>
      <c r="F114" s="135" t="inlineStr">
        <is>
          <t>—</t>
        </is>
      </c>
      <c r="G114" s="135" t="inlineStr">
        <is>
          <t>Informazioni errate ai clienti da as…</t>
        </is>
      </c>
    </row>
    <row r="115" ht="52" customHeight="1">
      <c r="A115" s="134" t="inlineStr">
        <is>
          <t>Campo</t>
        </is>
      </c>
      <c r="B115" s="135" t="inlineStr">
        <is>
          <t>Storico_Validazioni</t>
        </is>
      </c>
      <c r="C115" s="165" t="inlineStr">
        <is>
          <t>Script, quando scrive il ciclo</t>
        </is>
      </c>
      <c r="D115" s="135" t="inlineStr">
        <is>
          <t>Valore proposto su cui si e' deciso.</t>
        </is>
      </c>
      <c r="E115" s="135" t="inlineStr">
        <is>
          <t>Uno dei campi validati: 6 per rischio (con la decisione sullo stato, D-79), 3 per KRI, 2 per azione, 2 per notizia (una colonna gialla della griglia ciascuno).</t>
        </is>
      </c>
      <c r="F115" s="135" t="inlineStr">
        <is>
          <t>—</t>
        </is>
      </c>
      <c r="G115" s="135" t="inlineStr">
        <is>
          <t>Probabilita</t>
        </is>
      </c>
    </row>
    <row r="116" ht="40" customHeight="1">
      <c r="A116" s="134" t="inlineStr">
        <is>
          <t>Proposta_Agente</t>
        </is>
      </c>
      <c r="B116" s="135" t="inlineStr">
        <is>
          <t>Storico_Validazioni</t>
        </is>
      </c>
      <c r="C116" s="165" t="inlineStr">
        <is>
          <t>Script, quando scrive il ciclo</t>
        </is>
      </c>
      <c r="D116" s="135" t="inlineStr">
        <is>
          <t>Valore proposto dall'agente; in una riapertura (D-76) il valore validato prima. Non si cancella mai.</t>
        </is>
      </c>
      <c r="E116" s="135" t="inlineStr">
        <is>
          <t>Valore scritto dall'agente, copiato qui alla scrittura; resta per sempre.</t>
        </is>
      </c>
      <c r="F116" s="135" t="inlineStr">
        <is>
          <t>—</t>
        </is>
      </c>
      <c r="G116" s="135" t="inlineStr">
        <is>
          <t>4</t>
        </is>
      </c>
    </row>
    <row r="117" ht="88" customHeight="1">
      <c r="A117" s="134" t="inlineStr">
        <is>
          <t>Decisione</t>
        </is>
      </c>
      <c r="B117" s="135" t="inlineStr">
        <is>
          <t>Storico_Validazioni</t>
        </is>
      </c>
      <c r="C117" s="166" t="inlineStr">
        <is>
          <t>Comando valida, dalla decisione del validatore</t>
        </is>
      </c>
      <c r="D117" s="135" t="inlineStr">
        <is>
          <t>Dal comando valida: Accettato (valore giallo uguale alla proposta), Rettificato (cambiato) o Respinto (Respingi = Si'); in una riapertura del ciclo (comando riapri, D-76) le stesse con il suffisso (riapertura), e Invariato al posto di Accettato.</t>
        </is>
      </c>
      <c r="E117" s="135" t="inlineStr">
        <is>
          <t>Dal comando valida, confrontando la cella gialla della griglia con la proposta: uguale = Accettato, diversa = Rettificato; Respingi = Sì = Respinto per tutti i campi dell'oggetto. Dopo il comando riapri (D-76): Invariato, Rettificato o Respinto (riapertura), dove la proposta e' il valore validato prima.</t>
        </is>
      </c>
      <c r="F117" s="135" t="inlineStr">
        <is>
          <t>Accettato, Rettificato, Respinto</t>
        </is>
      </c>
      <c r="G117" s="135" t="inlineStr">
        <is>
          <t>Rettificato</t>
        </is>
      </c>
    </row>
    <row r="118" ht="64" customHeight="1">
      <c r="A118" s="134" t="inlineStr">
        <is>
          <t>Valore_Validato</t>
        </is>
      </c>
      <c r="B118" s="135" t="inlineStr">
        <is>
          <t>Storico_Validazioni</t>
        </is>
      </c>
      <c r="C118" s="166" t="inlineStr">
        <is>
          <t>Comando valida, dalla decisione del validatore</t>
        </is>
      </c>
      <c r="D118" s="135" t="inlineStr">
        <is>
          <t>Valore deciso dal validatore nella griglia del foglio Validazione (vuoto se Respinto).</t>
        </is>
      </c>
      <c r="E118" s="135" t="inlineStr">
        <is>
          <t>Rischio: intero 1-5 a non piu' di un punto dal ciclo prima (in riapertura senza limite; Velocity anche vuota; da n.v. qualunque valore); KRI: numero, soglie entrambe o nessuna; azione: owner (una funzione) o 3/6/12 mesi.</t>
        </is>
      </c>
      <c r="F118" s="135" t="inlineStr">
        <is>
          <t>—</t>
        </is>
      </c>
      <c r="G118" s="135" t="inlineStr">
        <is>
          <t>3</t>
        </is>
      </c>
    </row>
    <row r="119" ht="64" customHeight="1">
      <c r="A119" s="134" t="inlineStr">
        <is>
          <t>Motivazione</t>
        </is>
      </c>
      <c r="B119" s="135" t="inlineStr">
        <is>
          <t>Storico_Validazioni</t>
        </is>
      </c>
      <c r="C119" s="166" t="inlineStr">
        <is>
          <t>Comando valida, dalla decisione del validatore</t>
        </is>
      </c>
      <c r="D119" s="135" t="inlineStr">
        <is>
          <t>Motivazione della riga della griglia: obbligatoria (almeno 10 caratteri) se un valore cambia, se si respinge o con un rilievo di A5 superato.</t>
        </is>
      </c>
      <c r="E119" s="135" t="inlineStr">
        <is>
          <t>Quella della riga della griglia, riportata su ogni campo dell'oggetto; obbligatoria se un valore cambia, se si respinge e per un rischio con una segnalazione da motivare (⚑): almeno 10 caratteri, con l'evidenza.</t>
        </is>
      </c>
      <c r="F119" s="135" t="inlineStr">
        <is>
          <t>—</t>
        </is>
      </c>
      <c r="G119" s="135" t="inlineStr">
        <is>
          <t>Chatbot in produzione da aprile: nes…</t>
        </is>
      </c>
    </row>
    <row r="120" ht="28" customHeight="1">
      <c r="A120" s="134" t="inlineStr">
        <is>
          <t>Validato_Da</t>
        </is>
      </c>
      <c r="B120" s="135" t="inlineStr">
        <is>
          <t>Storico_Validazioni</t>
        </is>
      </c>
      <c r="C120" s="166" t="inlineStr">
        <is>
          <t>Comando valida, dalla decisione del validatore</t>
        </is>
      </c>
      <c r="D120" s="135" t="inlineStr">
        <is>
          <t>Chi ha validato.</t>
        </is>
      </c>
      <c r="E120" s="135" t="inlineStr">
        <is>
          <t>Il nome passato al comando valida (--validatore).</t>
        </is>
      </c>
      <c r="F120" s="135" t="inlineStr">
        <is>
          <t>—</t>
        </is>
      </c>
      <c r="G120" s="135" t="inlineStr">
        <is>
          <t>Comitato Rischi</t>
        </is>
      </c>
    </row>
    <row r="121" ht="28" customHeight="1">
      <c r="A121" s="134" t="inlineStr">
        <is>
          <t>Data_Validazione</t>
        </is>
      </c>
      <c r="B121" s="135" t="inlineStr">
        <is>
          <t>Storico_Validazioni</t>
        </is>
      </c>
      <c r="C121" s="166" t="inlineStr">
        <is>
          <t>Comando valida, dalla decisione del validatore</t>
        </is>
      </c>
      <c r="D121" s="135" t="inlineStr">
        <is>
          <t>Giorno della validazione.</t>
        </is>
      </c>
      <c r="E121" s="135" t="inlineStr">
        <is>
          <t>Giorno in cui si lancia il comando valida.</t>
        </is>
      </c>
      <c r="F121" s="135" t="inlineStr">
        <is>
          <t>—</t>
        </is>
      </c>
      <c r="G121" s="135" t="inlineStr">
        <is>
          <t>15/07/2026</t>
        </is>
      </c>
    </row>
    <row r="122" ht="28" customHeight="1">
      <c r="A122" s="134" t="inlineStr">
        <is>
          <t>Stato</t>
        </is>
      </c>
      <c r="B122" s="135" t="inlineStr">
        <is>
          <t>Storico_Validazioni</t>
        </is>
      </c>
      <c r="C122" s="166" t="inlineStr">
        <is>
          <t>Comando valida, dalla decisione del validatore</t>
        </is>
      </c>
      <c r="D122" s="135" t="inlineStr">
        <is>
          <t>Da decidere, poi Applicata.</t>
        </is>
      </c>
      <c r="E122" s="135" t="inlineStr">
        <is>
          <t>Da decidere quando la scrive lo script; Applicata dopo il comando valida. Non si tocca a mano.</t>
        </is>
      </c>
      <c r="F122" s="135" t="inlineStr">
        <is>
          <t>—</t>
        </is>
      </c>
      <c r="G122" s="135" t="inlineStr">
        <is>
          <t>Applicata</t>
        </is>
      </c>
    </row>
    <row r="123">
      <c r="A123" s="163" t="inlineStr">
        <is>
          <t>Valori calcolati nelle viste</t>
        </is>
      </c>
    </row>
    <row r="124" ht="28" customHeight="1">
      <c r="A124" s="134" t="inlineStr">
        <is>
          <t>Δ ciclo prima</t>
        </is>
      </c>
      <c r="B124" s="135" t="inlineStr">
        <is>
          <t>Registro, Delta, Classifica</t>
        </is>
      </c>
      <c r="C124" s="165" t="inlineStr">
        <is>
          <t>Formula del foglio</t>
        </is>
      </c>
      <c r="D124" s="135" t="inlineStr">
        <is>
          <t>Variazione dello score sul trimestre precedente.</t>
        </is>
      </c>
      <c r="E124" s="135" t="inlineStr">
        <is>
          <t>Score del ciclo meno score del ciclo prima, stessi pesi (ridistribuiti se la Velocity manca).</t>
        </is>
      </c>
      <c r="F124" s="135" t="inlineStr">
        <is>
          <t>circa -1,5..+1,5</t>
        </is>
      </c>
      <c r="G124" s="135" t="inlineStr">
        <is>
          <t>+0,35</t>
        </is>
      </c>
    </row>
    <row r="125" ht="28" customHeight="1">
      <c r="A125" s="134" t="inlineStr">
        <is>
          <t>Δ 6 mesi</t>
        </is>
      </c>
      <c r="B125" s="135" t="inlineStr">
        <is>
          <t>Registro</t>
        </is>
      </c>
      <c r="C125" s="165" t="inlineStr">
        <is>
          <t>Formula del foglio</t>
        </is>
      </c>
      <c r="D125" s="135" t="inlineStr">
        <is>
          <t>Variazione dello score su due trimestri.</t>
        </is>
      </c>
      <c r="E125" s="135" t="inlineStr">
        <is>
          <t>Score del ciclo meno score di due cicli prima; "nuovo" se allora il rischio non c'era.</t>
        </is>
      </c>
      <c r="F125" s="135" t="inlineStr">
        <is>
          <t>circa -3..+3</t>
        </is>
      </c>
      <c r="G125" s="135" t="inlineStr">
        <is>
          <t>+0,55</t>
        </is>
      </c>
    </row>
    <row r="126" ht="28" customHeight="1">
      <c r="A126" s="134" t="inlineStr">
        <is>
          <t>P x I</t>
        </is>
      </c>
      <c r="B126" s="135" t="inlineStr">
        <is>
          <t>Matrice, Radar_Mosca</t>
        </is>
      </c>
      <c r="C126" s="165" t="inlineStr">
        <is>
          <t>Formula del foglio</t>
        </is>
      </c>
      <c r="D126" s="135" t="inlineStr">
        <is>
          <t>Gravita': probabilita' per impatto.</t>
        </is>
      </c>
      <c r="E126" s="135" t="inlineStr">
        <is>
          <t>Probabilita x Impatto.</t>
        </is>
      </c>
      <c r="F126" s="135" t="inlineStr">
        <is>
          <t>1-25</t>
        </is>
      </c>
      <c r="G126" s="135" t="inlineStr">
        <is>
          <t>16</t>
        </is>
      </c>
    </row>
    <row r="127" ht="28" customHeight="1">
      <c r="A127" s="134" t="inlineStr">
        <is>
          <t>Z</t>
        </is>
      </c>
      <c r="B127" s="135" t="inlineStr">
        <is>
          <t>Radar_Mosca, Registro</t>
        </is>
      </c>
      <c r="C127" s="165" t="inlineStr">
        <is>
          <t>Formula del foglio</t>
        </is>
      </c>
      <c r="D127" s="135" t="inlineStr">
        <is>
          <t>Anni prima che il rischio possa manifestarsi.</t>
        </is>
      </c>
      <c r="E127" s="135" t="inlineStr">
        <is>
          <t>Dalla Prossimita, meta' della fascia: 5 → 0; 4 → 0,5; 3 → 1,5; 2 → 2,5; 1 → 3,5 (Parametri).</t>
        </is>
      </c>
      <c r="F127" s="135" t="inlineStr">
        <is>
          <t>anni</t>
        </is>
      </c>
      <c r="G127" s="135" t="inlineStr">
        <is>
          <t>0,5</t>
        </is>
      </c>
    </row>
    <row r="128" ht="28" customHeight="1">
      <c r="A128" s="134" t="inlineStr">
        <is>
          <t>X</t>
        </is>
      </c>
      <c r="B128" s="135" t="inlineStr">
        <is>
          <t>Radar_Mosca</t>
        </is>
      </c>
      <c r="C128" s="165" t="inlineStr">
        <is>
          <t>Parametro</t>
        </is>
      </c>
      <c r="D128" s="135" t="inlineStr">
        <is>
          <t>Anni per decidere e avviare.</t>
        </is>
      </c>
      <c r="E128" s="135" t="inlineStr">
        <is>
          <t>Costante in Parametri: un trimestre.</t>
        </is>
      </c>
      <c r="F128" s="135" t="inlineStr">
        <is>
          <t>anni</t>
        </is>
      </c>
      <c r="G128" s="135" t="inlineStr">
        <is>
          <t>0,25</t>
        </is>
      </c>
    </row>
    <row r="129" ht="40" customHeight="1">
      <c r="A129" s="134" t="inlineStr">
        <is>
          <t>Y</t>
        </is>
      </c>
      <c r="B129" s="135" t="inlineStr">
        <is>
          <t>Radar_Mosca</t>
        </is>
      </c>
      <c r="C129" s="165" t="inlineStr">
        <is>
          <t>Formula del foglio</t>
        </is>
      </c>
      <c r="D129" s="135" t="inlineStr">
        <is>
          <t>Anni per mitigare.</t>
        </is>
      </c>
      <c r="E129" s="135" t="inlineStr">
        <is>
          <t>Orizzonte piu' lungo delle azioni non respinte (1 anno se non ce ne sono); se maggiori, gli anni di adeguamento.</t>
        </is>
      </c>
      <c r="F129" s="135" t="inlineStr">
        <is>
          <t>anni</t>
        </is>
      </c>
      <c r="G129" s="135" t="inlineStr">
        <is>
          <t>0,5</t>
        </is>
      </c>
    </row>
    <row r="130" ht="28" customHeight="1">
      <c r="A130" s="134" t="inlineStr">
        <is>
          <t>Margine / Urgenza</t>
        </is>
      </c>
      <c r="B130" s="135" t="inlineStr">
        <is>
          <t>Radar_Mosca, Registro, Classifica, Quadro</t>
        </is>
      </c>
      <c r="C130" s="165" t="inlineStr">
        <is>
          <t>Formula del foglio</t>
        </is>
      </c>
      <c r="D130" s="135" t="inlineStr">
        <is>
          <t>Quanto presto agire.</t>
        </is>
      </c>
      <c r="E130" s="135" t="inlineStr">
        <is>
          <t>Margine = Z - (X + Y). Sotto 0: AGIRE ORA; da 0 a 1: entro l'anno; oltre: margine in anni.</t>
        </is>
      </c>
      <c r="F130" s="135" t="inlineStr">
        <is>
          <t>anni</t>
        </is>
      </c>
      <c r="G130" s="135" t="inlineStr">
        <is>
          <t>-0,25 · AGIRE ORA</t>
        </is>
      </c>
    </row>
    <row r="131" ht="64" customHeight="1">
      <c r="A131" s="134" t="inlineStr">
        <is>
          <t>Livello di allerta</t>
        </is>
      </c>
      <c r="B131" s="135" t="inlineStr">
        <is>
          <t>Radar_Mosca (colore), Registro (fondo dell'ID), Quadro, schede</t>
        </is>
      </c>
      <c r="C131" s="165" t="inlineStr">
        <is>
          <t>Formula del foglio</t>
        </is>
      </c>
      <c r="D131" s="135" t="inlineStr">
        <is>
          <t>Che cosa si fa adesso per il rischio (D-63).</t>
        </is>
      </c>
      <c r="E131" s="135" t="inlineStr">
        <is>
          <t>Attivazione con almeno due segnali forti (AGIRE ORA, KRI in rosso, notizie oltre la soglia); Attenzione con uno, o con margine sotto l'anno e un aggravante (P x I alta, presidio assente, KRI in ambra o rosso); Monitoraggio negli altri casi.</t>
        </is>
      </c>
      <c r="F131" s="135" t="inlineStr">
        <is>
          <t>Attivazione, Attenzione, Monitoraggio</t>
        </is>
      </c>
      <c r="G131" s="135" t="inlineStr">
        <is>
          <t>Attenzione</t>
        </is>
      </c>
    </row>
    <row r="132" ht="28" customHeight="1">
      <c r="A132" s="134" t="inlineStr">
        <is>
          <t>KRI R, A, V</t>
        </is>
      </c>
      <c r="B132" s="135" t="inlineStr">
        <is>
          <t>Registro</t>
        </is>
      </c>
      <c r="C132" s="165" t="inlineStr">
        <is>
          <t>Formula del foglio</t>
        </is>
      </c>
      <c r="D132" s="135" t="inlineStr">
        <is>
          <t>Semaforo dei KRI del rischio.</t>
        </is>
      </c>
      <c r="E132" s="135" t="inlineStr">
        <is>
          <t>Conteggio dei KRI in vigore per Stato (quelli con soglie da definire non contano).</t>
        </is>
      </c>
      <c r="F132" s="135" t="inlineStr">
        <is>
          <t>interi</t>
        </is>
      </c>
      <c r="G132" s="135" t="inlineStr">
        <is>
          <t>0, 2, 1</t>
        </is>
      </c>
    </row>
    <row r="133" ht="28" customHeight="1">
      <c r="A133" s="134" t="inlineStr">
        <is>
          <t>Segnali netti</t>
        </is>
      </c>
      <c r="B133" s="135" t="inlineStr">
        <is>
          <t>Registro</t>
        </is>
      </c>
      <c r="C133" s="165" t="inlineStr">
        <is>
          <t>Formula del foglio, dopo il settimanale</t>
        </is>
      </c>
      <c r="D133" s="135" t="inlineStr">
        <is>
          <t>Direzione delle notizie sul rischio nelle ultime 4 settimane.</t>
        </is>
      </c>
      <c r="E133" s="135" t="inlineStr">
        <is>
          <t>Peggiorative meno migliorative; ▲ o ▼ oltre la soglia di Parametri (2). Non cambia lo score.</t>
        </is>
      </c>
      <c r="F133" s="135" t="inlineStr">
        <is>
          <t>intero</t>
        </is>
      </c>
      <c r="G133" s="135" t="inlineStr">
        <is>
          <t>▲ +3</t>
        </is>
      </c>
    </row>
    <row r="134" ht="28" customHeight="1">
      <c r="A134" s="134" t="inlineStr">
        <is>
          <t>Posizione in classifica</t>
        </is>
      </c>
      <c r="B134" s="135" t="inlineStr">
        <is>
          <t>Classifica, Quadro</t>
        </is>
      </c>
      <c r="C134" s="165" t="inlineStr">
        <is>
          <t>Formula del foglio</t>
        </is>
      </c>
      <c r="D134" s="135" t="inlineStr">
        <is>
          <t>Ordine per score composito.</t>
        </is>
      </c>
      <c r="E134" s="135" t="inlineStr">
        <is>
          <t>Dal piu' alto; a parita', ordine dell'anagrafica.</t>
        </is>
      </c>
      <c r="F134" s="135" t="inlineStr">
        <is>
          <t>1..n</t>
        </is>
      </c>
      <c r="G134" s="135" t="inlineStr">
        <is>
          <t>1</t>
        </is>
      </c>
    </row>
    <row r="135" ht="40" customHeight="1">
      <c r="A135" s="134" t="inlineStr">
        <is>
          <t>Perche' lo segnaliamo</t>
        </is>
      </c>
      <c r="B135" s="135" t="inlineStr">
        <is>
          <t>Quadro</t>
        </is>
      </c>
      <c r="C135" s="165" t="inlineStr">
        <is>
          <t>Formula del foglio</t>
        </is>
      </c>
      <c r="D135" s="135" t="inlineStr">
        <is>
          <t>Motivo per cui un rischio e' fra i segnalati.</t>
        </is>
      </c>
      <c r="E135" s="135" t="inlineStr">
        <is>
          <t>Primi tre per score, in attivazione o attenzione, variati o nuovi; con urgenza, supervisore, presidio, KRI rossi, notizie.</t>
        </is>
      </c>
      <c r="F135" s="135" t="inlineStr">
        <is>
          <t>testo</t>
        </is>
      </c>
      <c r="G135" s="135" t="inlineStr">
        <is>
          <t>1° per score...</t>
        </is>
      </c>
    </row>
    <row r="136" ht="28" customHeight="1">
      <c r="A136" s="134" t="inlineStr">
        <is>
          <t>Scadenza</t>
        </is>
      </c>
      <c r="B136" s="135" t="inlineStr">
        <is>
          <t>Piano_azioni</t>
        </is>
      </c>
      <c r="C136" s="165" t="inlineStr">
        <is>
          <t>Formula del foglio</t>
        </is>
      </c>
      <c r="D136" s="135" t="inlineStr">
        <is>
          <t>Quando l'azione dovrebbe essere completata.</t>
        </is>
      </c>
      <c r="E136" s="135" t="inlineStr">
        <is>
          <t>Data della decisione + orizzonte, per le azioni approvate o in corso.</t>
        </is>
      </c>
      <c r="F136" s="135" t="inlineStr">
        <is>
          <t>data</t>
        </is>
      </c>
      <c r="G136" s="135" t="inlineStr">
        <is>
          <t>15/01/2027</t>
        </is>
      </c>
    </row>
    <row r="137" ht="52" customHeight="1">
      <c r="A137" s="134" t="inlineStr">
        <is>
          <t>Score e Margine di Mosca in validazione</t>
        </is>
      </c>
      <c r="B137" s="135" t="inlineStr">
        <is>
          <t>Validazione (righe dei rischi)</t>
        </is>
      </c>
      <c r="C137" s="165" t="inlineStr">
        <is>
          <t>Formula del foglio, mentre si scrive</t>
        </is>
      </c>
      <c r="D137" s="135" t="inlineStr">
        <is>
          <t>Effetto delle celle gialle prima di lanciare valida (D-67).</t>
        </is>
      </c>
      <c r="E137" s="135" t="inlineStr">
        <is>
          <t>Stesse formule del Registro e del Radar_Mosca sui valori gialli e sulle azioni non respinte della griglia; tra parentesi il valore con le sole proposte, se diverso.</t>
        </is>
      </c>
      <c r="F137" s="135" t="inlineStr">
        <is>
          <t>come Score e Margine</t>
        </is>
      </c>
      <c r="G137" s="135" t="inlineStr">
        <is>
          <t>3,40 (era 3,10)</t>
        </is>
      </c>
    </row>
    <row r="138">
      <c r="A138" s="163" t="inlineStr">
        <is>
          <t>Parametri e anagrafica (input)</t>
        </is>
      </c>
    </row>
    <row r="139" ht="28" customHeight="1">
      <c r="A139" s="134" t="inlineStr">
        <is>
          <t>Pesi dello score</t>
        </is>
      </c>
      <c r="B139" s="135" t="inlineStr">
        <is>
          <t>Parametri B4:B8</t>
        </is>
      </c>
      <c r="C139" s="166" t="inlineStr">
        <is>
          <t>Funzione di rischio (DECISIONI D-50)</t>
        </is>
      </c>
      <c r="D139" s="135" t="inlineStr">
        <is>
          <t>Peso di Impatto, Probabilita, Prossimita e Velocity nello score.</t>
        </is>
      </c>
      <c r="E139" s="135" t="inlineStr">
        <is>
          <t>Somma controllata = 1; senza Velocity si ridistribuiscono sulle altre tre.</t>
        </is>
      </c>
      <c r="F139" s="135" t="inlineStr">
        <is>
          <t>0-1</t>
        </is>
      </c>
      <c r="G139" s="135">
        <f>FIXED(pesoImpatto,2)&amp;" / "&amp;FIXED(pesoProbabilita,2)&amp;" / "&amp;FIXED(pesoProssimita,2)&amp;" / "&amp;FIXED(pesoVelocity,2)</f>
        <v/>
      </c>
    </row>
    <row r="140" ht="28" customHeight="1">
      <c r="A140" s="134" t="inlineStr">
        <is>
          <t>Soglia di direzione</t>
        </is>
      </c>
      <c r="B140" s="135" t="inlineStr">
        <is>
          <t>Parametri B11</t>
        </is>
      </c>
      <c r="C140" s="166" t="inlineStr">
        <is>
          <t>Funzione di rischio (D-61)</t>
        </is>
      </c>
      <c r="D140" s="135" t="inlineStr">
        <is>
          <t>Segnali netti oltre cui c'e' una tendenza.</t>
        </is>
      </c>
      <c r="E140" s="135" t="inlineStr">
        <is>
          <t>Confronto con i segnali netti di 4 settimane.</t>
        </is>
      </c>
      <c r="F140" s="135" t="inlineStr">
        <is>
          <t>intero</t>
        </is>
      </c>
      <c r="G140" s="135">
        <f>FIXED(sogliaDirezione,0)</f>
        <v/>
      </c>
    </row>
    <row r="141" ht="28" customHeight="1">
      <c r="A141" s="134" t="inlineStr">
        <is>
          <t>Soglia del Delta</t>
        </is>
      </c>
      <c r="B141" s="135" t="inlineStr">
        <is>
          <t>Parametri B12</t>
        </is>
      </c>
      <c r="C141" s="166" t="inlineStr">
        <is>
          <t>Funzione di rischio (D-61)</t>
        </is>
      </c>
      <c r="D141" s="135" t="inlineStr">
        <is>
          <t>Variazione dello score da guardare.</t>
        </is>
      </c>
      <c r="E141" s="135" t="inlineStr">
        <is>
          <t>Evidenzia |Δ| &gt;= soglia.</t>
        </is>
      </c>
      <c r="F141" s="135" t="inlineStr">
        <is>
          <t>decimale</t>
        </is>
      </c>
      <c r="G141" s="135">
        <f>FIXED(sogliaDelta,2)</f>
        <v/>
      </c>
    </row>
    <row r="142" ht="28" customHeight="1">
      <c r="A142" s="134" t="inlineStr">
        <is>
          <t>Anni per Prossimita (Z)</t>
        </is>
      </c>
      <c r="B142" s="135" t="inlineStr">
        <is>
          <t>Parametri B51:B55</t>
        </is>
      </c>
      <c r="C142" s="166" t="inlineStr">
        <is>
          <t>Funzione di rischio (D-59)</t>
        </is>
      </c>
      <c r="D142" s="135" t="inlineStr">
        <is>
          <t>Tempo prima della manifestazione per livello.</t>
        </is>
      </c>
      <c r="E142" s="135" t="inlineStr">
        <is>
          <t>Letti da Z.</t>
        </is>
      </c>
      <c r="F142" s="135" t="inlineStr">
        <is>
          <t>anni</t>
        </is>
      </c>
      <c r="G142" s="135" t="inlineStr">
        <is>
          <t>3,5 / 2,5 / 1,5 / 0,5 / 0</t>
        </is>
      </c>
    </row>
    <row r="143" ht="40" customHeight="1">
      <c r="A143" s="134" t="inlineStr">
        <is>
          <t>Soglie del livello di allerta</t>
        </is>
      </c>
      <c r="B143" s="135" t="inlineStr">
        <is>
          <t>Parametri B60:B63</t>
        </is>
      </c>
      <c r="C143" s="166" t="inlineStr">
        <is>
          <t>Funzione di rischio (D-63)</t>
        </is>
      </c>
      <c r="D143" s="135" t="inlineStr">
        <is>
          <t>P x I alta, quota di KRI in ambra o rosso, margine stretto, segnali forti per l'Attivazione.</t>
        </is>
      </c>
      <c r="E143" s="135" t="inlineStr">
        <is>
          <t>Lette dal Radar_Mosca.</t>
        </is>
      </c>
      <c r="F143" s="135" t="inlineStr">
        <is>
          <t>numeri</t>
        </is>
      </c>
      <c r="G143" s="135">
        <f>FIXED(livelloPxI,0)&amp;" / "&amp;FIXED(livelloQuotaKRI*100,0)&amp;"% / "&amp;FIXED(livelloMargine,2)&amp;" / "&amp;FIXED(livelloForti,0)</f>
        <v/>
      </c>
    </row>
    <row r="144" ht="28" customHeight="1">
      <c r="A144" s="134" t="inlineStr">
        <is>
          <t>Owner</t>
        </is>
      </c>
      <c r="B144" s="135" t="inlineStr">
        <is>
          <t>Parametri, anagrafica L</t>
        </is>
      </c>
      <c r="C144" s="166" t="inlineStr">
        <is>
          <t>Validatore, a mano</t>
        </is>
      </c>
      <c r="D144" s="135" t="inlineStr">
        <is>
          <t>Funzione responsabile del rischio.</t>
        </is>
      </c>
      <c r="E144" s="135" t="inlineStr">
        <is>
          <t>Resta da un ciclo all'altro; Da assegnare per un rischio nuovo.</t>
        </is>
      </c>
      <c r="F144" s="135" t="inlineStr">
        <is>
          <t>testo</t>
        </is>
      </c>
      <c r="G144" s="135" t="inlineStr">
        <is>
          <t>Funzione Antifrode</t>
        </is>
      </c>
    </row>
    <row r="145" ht="28" customHeight="1">
      <c r="A145" s="134" t="inlineStr">
        <is>
          <t>Anni_Adeguamento</t>
        </is>
      </c>
      <c r="B145" s="135" t="inlineStr">
        <is>
          <t>Parametri, anagrafica M</t>
        </is>
      </c>
      <c r="C145" s="166" t="inlineStr">
        <is>
          <t>Validazione (stima di A1), correggibile a mano</t>
        </is>
      </c>
      <c r="D145" s="135" t="inlineStr">
        <is>
          <t>Durata di un adeguamento strutturale (D-60).</t>
        </is>
      </c>
      <c r="E145" s="135" t="inlineStr">
        <is>
          <t>Diventa la Y minima di Mosca; una stima vuota di A1 non cancella il valore.</t>
        </is>
      </c>
      <c r="F145" s="135" t="inlineStr">
        <is>
          <t>anni o vuoto</t>
        </is>
      </c>
      <c r="G145" s="135" t="inlineStr">
        <is>
          <t>NFR-11: 3</t>
        </is>
      </c>
    </row>
    <row r="146" ht="28" customHeight="1">
      <c r="A146" s="134" t="inlineStr">
        <is>
          <t>Attenzione_Supervisore</t>
        </is>
      </c>
      <c r="B146" s="135" t="inlineStr">
        <is>
          <t>Parametri, anagrafica N</t>
        </is>
      </c>
      <c r="C146" s="166" t="inlineStr">
        <is>
          <t>Validatore, a mano</t>
        </is>
      </c>
      <c r="D146" s="135" t="inlineStr">
        <is>
          <t>Tema nelle priorita' di BCE, EBA o Banca d'Italia.</t>
        </is>
      </c>
      <c r="E146" s="135" t="inlineStr">
        <is>
          <t>◆ nel radar e nelle tabelle; non cambia score, urgenza ne' livello di allerta.</t>
        </is>
      </c>
      <c r="F146" s="135" t="inlineStr">
        <is>
          <t>Sì, No</t>
        </is>
      </c>
      <c r="G146" s="135" t="inlineStr">
        <is>
          <t>Sì</t>
        </is>
      </c>
    </row>
    <row r="147" ht="40" customHeight="1">
      <c r="A147" s="134" t="inlineStr">
        <is>
          <t>Presidio_Controlli</t>
        </is>
      </c>
      <c r="B147" s="135" t="inlineStr">
        <is>
          <t>Parametri, anagrafica O</t>
        </is>
      </c>
      <c r="C147" s="166" t="inlineStr">
        <is>
          <t>Validatore, a mano</t>
        </is>
      </c>
      <c r="D147" s="135" t="inlineStr">
        <is>
          <t>Giudizio della Banca sui controlli esistenti (D-49): gli agenti non li vedono.</t>
        </is>
      </c>
      <c r="E147" s="135" t="inlineStr">
        <is>
          <t>Non verificato per un rischio nuovo; resta da un ciclo all'altro; nel Registro e nelle schede, non nello score.</t>
        </is>
      </c>
      <c r="F147" s="135" t="inlineStr">
        <is>
          <t>Non verificato, Adeguato, Parziale, Assente</t>
        </is>
      </c>
      <c r="G147" s="135" t="inlineStr">
        <is>
          <t>Parziale</t>
        </is>
      </c>
    </row>
  </sheetData>
  <mergeCells count="11">
    <mergeCell ref="A123:G123"/>
    <mergeCell ref="A1:G1"/>
    <mergeCell ref="A110:G110"/>
    <mergeCell ref="A138:G138"/>
    <mergeCell ref="A92:G92"/>
    <mergeCell ref="A38:G38"/>
    <mergeCell ref="A2:G2"/>
    <mergeCell ref="A72:G72"/>
    <mergeCell ref="A103:G103"/>
    <mergeCell ref="A51:G51"/>
    <mergeCell ref="A5:G5"/>
  </mergeCells>
  <pageMargins left="0.75" right="0.75" top="1" bottom="1" header="0.5" footer="0.5"/>
</worksheet>
</file>

<file path=xl/worksheets/sheet18.xml><?xml version="1.0" encoding="utf-8"?>
<worksheet xmlns="http://schemas.openxmlformats.org/spreadsheetml/2006/main">
  <sheetPr>
    <tabColor rgb="00A6A6A6"/>
    <outlinePr summaryBelow="1" summaryRight="1"/>
    <pageSetUpPr/>
  </sheetPr>
  <dimension ref="A1:AF43"/>
  <sheetViews>
    <sheetView showGridLines="1"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50" customWidth="1" min="14" max="14"/>
    <col width="60" customWidth="1" min="15" max="15"/>
    <col width="40" customWidth="1" min="16" max="16"/>
    <col width="40" customWidth="1" min="17" max="17"/>
    <col width="50"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45" customWidth="1" min="27" max="27"/>
    <col width="15" customWidth="1" min="28" max="28"/>
    <col width="15" customWidth="1" min="29" max="29"/>
    <col width="15" customWidth="1" min="30" max="30"/>
    <col width="45" customWidth="1" min="31" max="31"/>
    <col width="15" customWidth="1" min="32" max="32"/>
  </cols>
  <sheetData>
    <row r="1" ht="28" customHeight="1">
      <c r="A1" s="1">
        <f>"Horizon Scan NFR — RiskRegister — valutazioni dei rischi, una riga per rischio per ciclo   ·   "&amp;etichettaCiclo</f>
        <v/>
      </c>
      <c r="B1" s="2" t="n"/>
      <c r="C1" s="2" t="n"/>
      <c r="D1" s="2" t="n"/>
      <c r="E1" s="2" t="n"/>
      <c r="F1" s="2" t="n"/>
      <c r="G1" s="2" t="n"/>
      <c r="H1" s="2" t="n"/>
      <c r="I1" s="2" t="n"/>
      <c r="J1" s="2" t="n"/>
      <c r="K1" s="2" t="n"/>
      <c r="L1" s="2" t="n"/>
    </row>
    <row r="2" ht="126.5" customHeight="1">
      <c r="A2" s="13" t="inlineStr">
        <is>
          <r>
            <rPr>
              <rFont val="Calibri"/>
              <b val="1"/>
              <color rgb="001F4E79"/>
              <sz val="10"/>
            </rPr>
            <t>CICLO TRIMESTRALE — lo script scrive la valutazione di A1 dopo i suoi controlli (e A5, se usato); il comando valida applica le decisioni del validatore. Si scrive con lo script (le viste e la baseline leggono queste righe): a mano solo i testi elencati nel foglio Guida, DOVE SI SCRIVE A MANO; mai ID, numeri, date o righe intere (D-76).</t>
          </r>
          <r>
            <rPr>
              <rFont val="Calibri"/>
              <color rgb="00262626"/>
              <sz val="10"/>
            </rPr>
            <t xml:space="preserve">
Cosa contiene: una riga per rischio per ciclo, solo in aggiunta: la storia di tutte le valutazioni, con i valori VALIDATI (la proposta dell'agente resta nel foglio Storico_Validazioni).
Come si legge: quattro dimensioni intere 1-5 (5 = peggiore; la Velocity puo' mancare) con i descrittori del foglio Metodologia; Score_Composito = media pesata delle dimensioni valutate con i pesi di Parametri; ogni fonte ha una rilevanza 1-3 (colonna Fonti); Anni_Adeguamento = stima di A1. Fra due cicli ogni valore cambia al massimo di un punto e cita un'evidenza datata. Esito e "da/a" delle variazioni li calcola lo script; Rilievi = segnalazioni di A5 e dei controlli sul rischio (⚑ DA MOTIVARE = la validazione chiede una Motivazione), le stesse della colonna Segnalazioni del foglio Validazione. Registro unico (D-79): Stato = Radar (gestione completa), Radar, in uscita (sotto la regola per il primo ciclo) o Osservazione (fuori dal radar, niente KRI ne' azioni), con il motivo; Movimento = Entrato o Uscito dal radar nel ciclo; Decisione_Stato = scelta del validatore (Automatico = vale la regola). Orizzonte_Anni e Segnale_Avvicinamento: note di A1 per i rischi in osservazione.
Colore delle intestazioni = chi scrive la colonna: azzurro l'agente del ciclo trimestrale (A1, A5), verde l'agente settimanale (A3), giallo la validazione, grigio lo script o una formula. Righe grigie = dati di esempio.</t>
          </r>
        </is>
      </c>
    </row>
    <row r="3">
      <c r="A3" s="168" t="inlineStr">
        <is>
          <t>A1 · ciclo trimestrale, poi validato</t>
        </is>
      </c>
      <c r="J3" s="169" t="inlineStr">
        <is>
          <t>Formula · calcolata dal foglio</t>
        </is>
      </c>
      <c r="K3" s="168" t="inlineStr">
        <is>
          <t>A1 · ciclo trimestrale, poi validato</t>
        </is>
      </c>
      <c r="M3" s="169" t="inlineStr">
        <is>
          <t>Script · alla scrittura</t>
        </is>
      </c>
      <c r="N3" s="168" t="inlineStr">
        <is>
          <t>A1 · ciclo trimestrale, poi validato</t>
        </is>
      </c>
      <c r="R3" s="169" t="inlineStr">
        <is>
          <t>Script · alla scrittura</t>
        </is>
      </c>
      <c r="T3" s="169" t="inlineStr">
        <is>
          <t>Formula · calcolata dal foglio</t>
        </is>
      </c>
      <c r="U3" s="169" t="inlineStr">
        <is>
          <t>Script · alla scrittura</t>
        </is>
      </c>
      <c r="V3" s="170" t="inlineStr">
        <is>
          <t>Validazione · comando valida</t>
        </is>
      </c>
      <c r="Y3" s="169" t="inlineStr">
        <is>
          <t>Script · alla scrittura</t>
        </is>
      </c>
      <c r="AC3" s="170" t="inlineStr">
        <is>
          <t>Validazione · comando valida</t>
        </is>
      </c>
      <c r="AD3" s="168" t="inlineStr">
        <is>
          <t>A1 · ciclo trimestrale, poi validato</t>
        </is>
      </c>
      <c r="AF3" s="169" t="inlineStr">
        <is>
          <t>Formula · calcolata dal foglio</t>
        </is>
      </c>
    </row>
    <row r="4" ht="179" customHeight="1">
      <c r="A4" s="171" t="inlineStr">
        <is>
          <t>A1 · Trimestre valutato (AAAAQn).</t>
        </is>
      </c>
      <c r="B4" s="171" t="inlineStr">
        <is>
          <t>A1 · Data fino alla quale sono considerate le fonti (fine del trimestre).</t>
        </is>
      </c>
      <c r="C4" s="171" t="inlineStr">
        <is>
          <t>A1 · Codice stabile del rischio (NFR-nn), uguale in tutti i cicli.</t>
        </is>
      </c>
      <c r="D4" s="171" t="inlineStr">
        <is>
          <t>A1 · Nome breve del rischio.</t>
        </is>
      </c>
      <c r="E4" s="171" t="inlineStr">
        <is>
          <t>A1 · Categoria di rischio della tassonomia interna della Banca (9.1 ... 9.13, D-74): il settore del radar. FP = rischio esistente fuori perimetro, da dismettere. Un codice di Basilea (L1-0n) e' di un ciclo precedente al 08/10/2026: A1 lo riclassifica.</t>
        </is>
      </c>
      <c r="F4" s="171" t="inlineStr">
        <is>
          <t>A1 · Fattori emergenti che alimentano il rischio (DRV-...).</t>
        </is>
      </c>
      <c r="G4" s="171" t="inlineStr">
        <is>
          <t>A1 · 1-5: danno se il rischio si manifesta (era Severity, D-57).</t>
        </is>
      </c>
      <c r="H4" s="171" t="inlineStr">
        <is>
          <t>A1 · 1-5: rapidita' fra innesco e pieno impatto (5 = entro 1 mese); vuota = non valutata (nessuna fonte ne documenta i tempi).</t>
        </is>
      </c>
      <c r="I4" s="171" t="inlineStr">
        <is>
          <t>A1 · 1-5: quando puo' manifestarsi (5 = in corso); da' la Z di Mosca.</t>
        </is>
      </c>
      <c r="J4" s="171" t="inlineStr">
        <is>
          <t>Formula · Media pesata delle dimensioni valutate, pesi di Parametri (Velocity solo se valutata): 1-5, 5 = peggiore.</t>
        </is>
      </c>
      <c r="K4" s="171" t="inlineStr">
        <is>
          <t>A1 · 1-5: plausibilita' che il meccanismo colpisca la Banca (5 = gia' osservato o in rapida accelerazione).</t>
        </is>
      </c>
      <c r="L4" s="171" t="inlineStr">
        <is>
          <t>A1 · Anni di adeguamento strutturale stimati da A1 (vuoto = non serve); il valore validato va nell'anagrafica: Y minima di Mosca (D-60).</t>
        </is>
      </c>
      <c r="M4" s="171" t="inlineStr">
        <is>
          <t>Script · Calcolato dallo script: Nuovo, Variato (cambia Impatto, Probabilita, Prossimita o Velocity) o Confermato.</t>
        </is>
      </c>
      <c r="N4" s="171" t="inlineStr">
        <is>
          <t>A1 · Meccanismo di perdita: che cosa succede, a chi, con quale danno.</t>
        </is>
      </c>
      <c r="O4" s="171" t="inlineStr">
        <is>
          <t>A1 · In parti (D-68): RISCHIO: il fenomeno in termini di rischio; IMPATTO:, PROBABILITA:, PROSSIMITA:, VELOCITY: perche' il valore, con fatti e documenti; ADEGUAMENTO: se ci sono anni di adeguamento.</t>
        </is>
      </c>
      <c r="P4" s="171" t="inlineStr">
        <is>
          <t>A1 · Per ogni valore cambiato: da, a (li aggiunge lo script), evidenza datata di A1 (leggibile nelle schede).</t>
        </is>
      </c>
      <c r="Q4" s="171" t="inlineStr">
        <is>
          <t>A1 · Fonti citate, con data, tipo Interna/Esterna e rilevanza 1-3 per la previsione (D-58; leggibili nelle Schede).</t>
        </is>
      </c>
      <c r="R4" s="171" t="inlineStr">
        <is>
          <t>Script · Segnalazioni di A5 e dei controlli sul rischio, una per riga; "DA MOTIVARE" = la validazione chiede una Motivazione (D-71). Sono anche nella colonna Segnalazioni del foglio Validazione.</t>
        </is>
      </c>
      <c r="S4" s="171" t="inlineStr">
        <is>
          <t>Script · Funzione responsabile, presa dall'anagrafica (Parametri).</t>
        </is>
      </c>
      <c r="T4" s="171" t="inlineStr">
        <is>
          <t>Formula · Ciclo|ID: chiave di ricerca per le viste.</t>
        </is>
      </c>
      <c r="U4" s="171" t="inlineStr">
        <is>
          <t>Script · Giorno in cui lo script ha scritto la riga.</t>
        </is>
      </c>
      <c r="V4" s="171" t="inlineStr">
        <is>
          <t>Validazione · Chi ha validato il ciclo.</t>
        </is>
      </c>
      <c r="W4" s="171" t="inlineStr">
        <is>
          <t>Validazione · Da validare, poi Accettato o Rettificato.</t>
        </is>
      </c>
      <c r="X4" s="171" t="inlineStr">
        <is>
          <t>Validazione · Giorno della validazione.</t>
        </is>
      </c>
      <c r="Y4" s="171" t="inlineStr">
        <is>
          <t>Script · Periodo in cui il rischio e' stato valutato: il Ciclo stesso o, per un rischio non rivalutato in un ciclo straordinario, il periodo da cui la riga e' riportata (D-75). Il Radar_Mosca ne prende le azioni (Y).</t>
        </is>
      </c>
      <c r="Z4" s="171" t="inlineStr">
        <is>
          <t>Script · Registro unico (D-79): Radar (gestione completa: KRI, azioni, urgenza, report), Radar, in uscita (sotto la regola per il primo ciclo) o Osservazione (stessa scala, niente KRI ne' azioni). Lo calcola lo script con la regola di Parametri; Dismesso dopo il comando dismetti.</t>
        </is>
      </c>
      <c r="AA4" s="171" t="inlineStr">
        <is>
          <t>Script · Perche' il rischio ha quello stato: soglie di Prossimita e Probabilita, eccezione (AGIRE ORA, supervisore, validatore), capienza del radar.</t>
        </is>
      </c>
      <c r="AB4" s="171" t="inlineStr">
        <is>
          <t>Script · Entrato (dall'osservazione al radar) o Uscito (dal radar all'osservazione) in questo ciclo; vuoto se lo stato non cambia.</t>
        </is>
      </c>
      <c r="AC4" s="171" t="inlineStr">
        <is>
          <t>Validazione · Decisione del validatore sullo stato: Automatico (vale la regola), Radar o Osservazione, con la Motivazione nella griglia. Resta da un ciclo all'altro finche' non la cambia.</t>
        </is>
      </c>
      <c r="AD4" s="171" t="inlineStr">
        <is>
          <t>A1 · Per un rischio in osservazione: anni stimati prima che possa manifestarsi (la Prossimita non distingue oltre i 3 anni). Nota di A1, fuori dallo score.</t>
        </is>
      </c>
      <c r="AE4" s="171" t="inlineStr">
        <is>
          <t>A1 · Per un rischio in osservazione: il fatto osservabile che lo farebbe salire nel radar. Nota di A1.</t>
        </is>
      </c>
      <c r="AF4" s="171" t="inlineStr">
        <is>
          <t>Formula · Ordine dei rischi in osservazione del ciclo corrente nelle viste (fogli Osservazione e Fenomeni): per score composito.</t>
        </is>
      </c>
    </row>
    <row r="5">
      <c r="A5" s="172" t="inlineStr">
        <is>
          <t>Ciclo</t>
        </is>
      </c>
      <c r="B5" s="172" t="inlineStr">
        <is>
          <t>Data_Riferimento</t>
        </is>
      </c>
      <c r="C5" s="172" t="inlineStr">
        <is>
          <t>ID_Rischio</t>
        </is>
      </c>
      <c r="D5" s="172" t="inlineStr">
        <is>
          <t>Nome</t>
        </is>
      </c>
      <c r="E5" s="172" t="inlineStr">
        <is>
          <t>Event_Type</t>
        </is>
      </c>
      <c r="F5" s="172" t="inlineStr">
        <is>
          <t>Driver</t>
        </is>
      </c>
      <c r="G5" s="172" t="inlineStr">
        <is>
          <t>Impatto</t>
        </is>
      </c>
      <c r="H5" s="172" t="inlineStr">
        <is>
          <t>Velocity</t>
        </is>
      </c>
      <c r="I5" s="172" t="inlineStr">
        <is>
          <t>Prossimita</t>
        </is>
      </c>
      <c r="J5" s="99" t="inlineStr">
        <is>
          <t>Score_Composito</t>
        </is>
      </c>
      <c r="K5" s="172" t="inlineStr">
        <is>
          <t>Probabilita</t>
        </is>
      </c>
      <c r="L5" s="172" t="inlineStr">
        <is>
          <t>Anni_Adeguamento</t>
        </is>
      </c>
      <c r="M5" s="99" t="inlineStr">
        <is>
          <t>Esito</t>
        </is>
      </c>
      <c r="N5" s="172" t="inlineStr">
        <is>
          <t>Descrizione</t>
        </is>
      </c>
      <c r="O5" s="172" t="inlineStr">
        <is>
          <t>Razionale</t>
        </is>
      </c>
      <c r="P5" s="172" t="inlineStr">
        <is>
          <t>Variazioni</t>
        </is>
      </c>
      <c r="Q5" s="172" t="inlineStr">
        <is>
          <t>Fonti</t>
        </is>
      </c>
      <c r="R5" s="99" t="inlineStr">
        <is>
          <t>Rilievi</t>
        </is>
      </c>
      <c r="S5" s="99" t="inlineStr">
        <is>
          <t>Owner</t>
        </is>
      </c>
      <c r="T5" s="99" t="inlineStr">
        <is>
          <t>Chiave</t>
        </is>
      </c>
      <c r="U5" s="99" t="inlineStr">
        <is>
          <t>Data_Scrittura</t>
        </is>
      </c>
      <c r="V5" s="97" t="inlineStr">
        <is>
          <t>Approvato_Da</t>
        </is>
      </c>
      <c r="W5" s="97" t="inlineStr">
        <is>
          <t>Validazione</t>
        </is>
      </c>
      <c r="X5" s="97" t="inlineStr">
        <is>
          <t>Data_Validazione</t>
        </is>
      </c>
      <c r="Y5" s="99" t="inlineStr">
        <is>
          <t>Periodo_Valutazione</t>
        </is>
      </c>
      <c r="Z5" s="99" t="inlineStr">
        <is>
          <t>Stato</t>
        </is>
      </c>
      <c r="AA5" s="99" t="inlineStr">
        <is>
          <t>Motivo_Stato</t>
        </is>
      </c>
      <c r="AB5" s="99" t="inlineStr">
        <is>
          <t>Movimento</t>
        </is>
      </c>
      <c r="AC5" s="97" t="inlineStr">
        <is>
          <t>Decisione_Stato</t>
        </is>
      </c>
      <c r="AD5" s="172" t="inlineStr">
        <is>
          <t>Orizzonte_Anni</t>
        </is>
      </c>
      <c r="AE5" s="172" t="inlineStr">
        <is>
          <t>Segnale_Avvicinamento</t>
        </is>
      </c>
      <c r="AF5" s="99" t="inlineStr">
        <is>
          <t>Ordine_Osservazione</t>
        </is>
      </c>
    </row>
    <row r="6">
      <c r="A6" s="158" t="inlineStr">
        <is>
          <t>2025Q4</t>
        </is>
      </c>
      <c r="B6" s="173" t="n">
        <v>46022</v>
      </c>
      <c r="C6" s="158" t="inlineStr">
        <is>
          <t>NFR-01</t>
        </is>
      </c>
      <c r="D6" s="158" t="inlineStr">
        <is>
          <t>Frodi su pagamenti istantanei abilitate da AI generativa</t>
        </is>
      </c>
      <c r="E6" s="158" t="inlineStr">
        <is>
          <t>9.7</t>
        </is>
      </c>
      <c r="F6" s="158" t="inlineStr">
        <is>
          <t>DRV-AI, DRV-CYB</t>
        </is>
      </c>
      <c r="G6" s="158" t="n">
        <v>3</v>
      </c>
      <c r="H6" s="158" t="n">
        <v>4</v>
      </c>
      <c r="I6" s="158" t="n">
        <v>3</v>
      </c>
      <c r="J6" s="174">
        <f>IF(COUNT(G6,I6,K6)&lt;3,"",ROUND((pesoImpatto*G6+pesoProbabilita*K6+pesoProssimita*I6+IF(ISNUMBER(H6),pesoVelocity*H6,0))/(pesoImpatto+pesoProbabilita+pesoProssimita+IF(ISNUMBER(H6),pesoVelocity,0)),2))</f>
        <v/>
      </c>
      <c r="K6" s="158" t="n">
        <v>4</v>
      </c>
      <c r="L6" s="158" t="n"/>
      <c r="M6" s="158" t="inlineStr">
        <is>
          <t>Confermato</t>
        </is>
      </c>
      <c r="N6" s="175" t="inlineStr">
        <is>
          <t>Frodi a danno dei clienti tramite voci o video sintetici che inducono bonifici istantanei irrevocabili verso conti di terzi.</t>
        </is>
      </c>
      <c r="O6" s="175" t="inlineStr">
        <is>
          <t>Impatto 4 per importi medi in forte crescita su pagamenti irrevocabili; velocity 5 perche' i fondi escono dal conto del beneficiario entro un'ora; prossimita' 4 per casi gia' osservati in banche comparabili.</t>
        </is>
      </c>
      <c r="P6" s="175" t="inlineStr">
        <is>
          <t>[]</t>
        </is>
      </c>
      <c r="Q6" s="175" t="inlineStr">
        <is>
          <t>[{"riferimento": "Analisi interna sulle frodi da ingegneria sociale", "data": "2025-10-20", "tipo": "Interna", "rilevanza": 3}]</t>
        </is>
      </c>
      <c r="R6" s="175" t="n"/>
      <c r="S6" s="158" t="inlineStr">
        <is>
          <t>Funzione Antifrode</t>
        </is>
      </c>
      <c r="T6" s="158">
        <f>A6&amp;"|"&amp;C6</f>
        <v/>
      </c>
      <c r="U6" s="173" t="n">
        <v>46022</v>
      </c>
      <c r="V6" s="158" t="inlineStr">
        <is>
          <t>Comitato Rischi</t>
        </is>
      </c>
      <c r="W6" s="158" t="inlineStr">
        <is>
          <t>Accettato</t>
        </is>
      </c>
      <c r="X6" s="173" t="n">
        <v>46037</v>
      </c>
      <c r="Y6" s="158" t="inlineStr">
        <is>
          <t>2025Q4</t>
        </is>
      </c>
      <c r="Z6" s="158" t="inlineStr">
        <is>
          <t>Radar</t>
        </is>
      </c>
      <c r="AA6" s="175" t="inlineStr">
        <is>
          <t>Prossimita 3 e Probabilita 4: sopra la soglia; posto garantito: tema del supervisore</t>
        </is>
      </c>
      <c r="AB6" s="158" t="n"/>
      <c r="AC6" s="158" t="inlineStr">
        <is>
          <t>Automatico</t>
        </is>
      </c>
      <c r="AD6" s="158" t="n"/>
      <c r="AE6" s="175" t="n"/>
      <c r="AF6" s="158">
        <f>IF(AND(A6=cicloCorrente,Z6="Osservazione"),N(J6)*100000+1-ROW()/1000000,"")</f>
        <v/>
      </c>
    </row>
    <row r="7">
      <c r="A7" s="158" t="inlineStr">
        <is>
          <t>2025Q4</t>
        </is>
      </c>
      <c r="B7" s="173" t="n">
        <v>46022</v>
      </c>
      <c r="C7" s="158" t="inlineStr">
        <is>
          <t>NFR-02</t>
        </is>
      </c>
      <c r="D7" s="158" t="inlineStr">
        <is>
          <t>Concentrazione su un fornitore cloud critico</t>
        </is>
      </c>
      <c r="E7" s="158" t="inlineStr">
        <is>
          <t>9.9</t>
        </is>
      </c>
      <c r="F7" s="158" t="inlineStr">
        <is>
          <t>DRV-TPR, DRV-CYB</t>
        </is>
      </c>
      <c r="G7" s="158" t="n">
        <v>4</v>
      </c>
      <c r="H7" s="158" t="n">
        <v>4</v>
      </c>
      <c r="I7" s="158" t="n">
        <v>3</v>
      </c>
      <c r="J7" s="174">
        <f>IF(COUNT(G7,I7,K7)&lt;3,"",ROUND((pesoImpatto*G7+pesoProbabilita*K7+pesoProssimita*I7+IF(ISNUMBER(H7),pesoVelocity*H7,0))/(pesoImpatto+pesoProbabilita+pesoProssimita+IF(ISNUMBER(H7),pesoVelocity,0)),2))</f>
        <v/>
      </c>
      <c r="K7" s="158" t="n">
        <v>2</v>
      </c>
      <c r="L7" s="158" t="n"/>
      <c r="M7" s="158" t="inlineStr">
        <is>
          <t>Confermato</t>
        </is>
      </c>
      <c r="N7" s="175" t="inlineStr">
        <is>
          <t>Indisponibilita' prolungata del fornitore cloud che ospita servizi critici, senza alternativa attivabile nei tempi di ripristino.</t>
        </is>
      </c>
      <c r="O7" s="175" t="inlineStr">
        <is>
          <t>Impatto 4 per servizi critici ospitati su un solo fornitore; velocity 4 perche' un'interruzione e' immediata; prossimita' 3 senza incidenti gravi recenti.</t>
        </is>
      </c>
      <c r="P7" s="175" t="inlineStr">
        <is>
          <t>[]</t>
        </is>
      </c>
      <c r="Q7" s="175" t="inlineStr">
        <is>
          <t>[{"riferimento": "Contratto e piano di uscita del fornitore cloud", "data": "2025-09-30", "tipo": "Interna", "rilevanza": 2}]</t>
        </is>
      </c>
      <c r="R7" s="175" t="n"/>
      <c r="S7" s="158" t="inlineStr">
        <is>
          <t>Funzione ICT &amp; Security Risk</t>
        </is>
      </c>
      <c r="T7" s="158">
        <f>A7&amp;"|"&amp;C7</f>
        <v/>
      </c>
      <c r="U7" s="173" t="n">
        <v>46022</v>
      </c>
      <c r="V7" s="158" t="inlineStr">
        <is>
          <t>Comitato Rischi</t>
        </is>
      </c>
      <c r="W7" s="158" t="inlineStr">
        <is>
          <t>Accettato</t>
        </is>
      </c>
      <c r="X7" s="173" t="n">
        <v>46037</v>
      </c>
      <c r="Y7" s="158" t="inlineStr">
        <is>
          <t>2025Q4</t>
        </is>
      </c>
      <c r="Z7" s="158" t="inlineStr">
        <is>
          <t>Radar</t>
        </is>
      </c>
      <c r="AA7" s="175" t="inlineStr">
        <is>
          <t>Prossimita 3 e Probabilita 2: sopra la soglia; posto garantito: tema del supervisore</t>
        </is>
      </c>
      <c r="AB7" s="158" t="n"/>
      <c r="AC7" s="158" t="inlineStr">
        <is>
          <t>Automatico</t>
        </is>
      </c>
      <c r="AD7" s="158" t="n"/>
      <c r="AE7" s="175" t="n"/>
      <c r="AF7" s="158">
        <f>IF(AND(A7=cicloCorrente,Z7="Osservazione"),N(J7)*100000+1-ROW()/1000000,"")</f>
        <v/>
      </c>
    </row>
    <row r="8">
      <c r="A8" s="158" t="inlineStr">
        <is>
          <t>2025Q4</t>
        </is>
      </c>
      <c r="B8" s="173" t="n">
        <v>46022</v>
      </c>
      <c r="C8" s="158" t="inlineStr">
        <is>
          <t>NFR-03</t>
        </is>
      </c>
      <c r="D8" s="158" t="inlineStr">
        <is>
          <t>Greenwashing nella commercializzazione di prodotti ESG</t>
        </is>
      </c>
      <c r="E8" s="158" t="inlineStr">
        <is>
          <t>9.1</t>
        </is>
      </c>
      <c r="F8" s="158" t="inlineStr">
        <is>
          <t>DRV-CON, DRV-CLI</t>
        </is>
      </c>
      <c r="G8" s="158" t="n">
        <v>3</v>
      </c>
      <c r="H8" s="158" t="n">
        <v>2</v>
      </c>
      <c r="I8" s="158" t="n">
        <v>3</v>
      </c>
      <c r="J8" s="174">
        <f>IF(COUNT(G8,I8,K8)&lt;3,"",ROUND((pesoImpatto*G8+pesoProbabilita*K8+pesoProssimita*I8+IF(ISNUMBER(H8),pesoVelocity*H8,0))/(pesoImpatto+pesoProbabilita+pesoProssimita+IF(ISNUMBER(H8),pesoVelocity,0)),2))</f>
        <v/>
      </c>
      <c r="K8" s="158" t="n">
        <v>3</v>
      </c>
      <c r="L8" s="158" t="n"/>
      <c r="M8" s="158" t="inlineStr">
        <is>
          <t>Confermato</t>
        </is>
      </c>
      <c r="N8" s="175" t="inlineStr">
        <is>
          <t>Claim ambientali non sostanziati nella documentazione di prodotti di investimento ESG, con rischio di sanzioni e rimborsi.</t>
        </is>
      </c>
      <c r="O8" s="175" t="inlineStr">
        <is>
          <t>Impatto 3 per sanzioni e rimborsi possibili su una clientela ampia; velocity 2 perche' l'esposizione emerge con ispezioni o reclami; prossimita' 3 per orientamenti europei gia' in vigore.</t>
        </is>
      </c>
      <c r="P8" s="175" t="inlineStr">
        <is>
          <t>[]</t>
        </is>
      </c>
      <c r="Q8" s="175" t="inlineStr">
        <is>
          <t>[{"riferimento": "Orientamenti dell'autorita' europea sui nomi dei fondi ESG", "data": "2025-11-14", "tipo": "Esterna", "rilevanza": 3}]</t>
        </is>
      </c>
      <c r="R8" s="175" t="n"/>
      <c r="S8" s="158" t="inlineStr">
        <is>
          <t>Funzione Compliance</t>
        </is>
      </c>
      <c r="T8" s="158">
        <f>A8&amp;"|"&amp;C8</f>
        <v/>
      </c>
      <c r="U8" s="173" t="n">
        <v>46022</v>
      </c>
      <c r="V8" s="158" t="inlineStr">
        <is>
          <t>Comitato Rischi</t>
        </is>
      </c>
      <c r="W8" s="158" t="inlineStr">
        <is>
          <t>Accettato</t>
        </is>
      </c>
      <c r="X8" s="173" t="n">
        <v>46037</v>
      </c>
      <c r="Y8" s="158" t="inlineStr">
        <is>
          <t>2025Q4</t>
        </is>
      </c>
      <c r="Z8" s="158" t="inlineStr">
        <is>
          <t>Radar</t>
        </is>
      </c>
      <c r="AA8" s="175" t="inlineStr">
        <is>
          <t>Prossimita 3 e Probabilita 3: sopra la soglia</t>
        </is>
      </c>
      <c r="AB8" s="158" t="n"/>
      <c r="AC8" s="158" t="inlineStr">
        <is>
          <t>Automatico</t>
        </is>
      </c>
      <c r="AD8" s="158" t="n"/>
      <c r="AE8" s="175" t="n"/>
      <c r="AF8" s="158">
        <f>IF(AND(A8=cicloCorrente,Z8="Osservazione"),N(J8)*100000+1-ROW()/1000000,"")</f>
        <v/>
      </c>
    </row>
    <row r="9">
      <c r="A9" s="158" t="inlineStr">
        <is>
          <t>2025Q4</t>
        </is>
      </c>
      <c r="B9" s="173" t="n">
        <v>46022</v>
      </c>
      <c r="C9" s="158" t="inlineStr">
        <is>
          <t>NFR-04</t>
        </is>
      </c>
      <c r="D9" s="158" t="inlineStr">
        <is>
          <t>Eventi climatici estremi su sedi e data center</t>
        </is>
      </c>
      <c r="E9" s="158" t="inlineStr">
        <is>
          <t>9.8</t>
        </is>
      </c>
      <c r="F9" s="158" t="inlineStr">
        <is>
          <t>DRV-CLI</t>
        </is>
      </c>
      <c r="G9" s="158" t="n">
        <v>3</v>
      </c>
      <c r="H9" s="158" t="n">
        <v>2</v>
      </c>
      <c r="I9" s="158" t="n">
        <v>2</v>
      </c>
      <c r="J9" s="174">
        <f>IF(COUNT(G9,I9,K9)&lt;3,"",ROUND((pesoImpatto*G9+pesoProbabilita*K9+pesoProssimita*I9+IF(ISNUMBER(H9),pesoVelocity*H9,0))/(pesoImpatto+pesoProbabilita+pesoProssimita+IF(ISNUMBER(H9),pesoVelocity,0)),2))</f>
        <v/>
      </c>
      <c r="K9" s="158" t="n">
        <v>3</v>
      </c>
      <c r="L9" s="158" t="n"/>
      <c r="M9" s="158" t="inlineStr">
        <is>
          <t>Confermato</t>
        </is>
      </c>
      <c r="N9" s="175" t="inlineStr">
        <is>
          <t>Alluvioni o ondate di calore che rendono inagibili sedi operative o degradano il data center secondario.</t>
        </is>
      </c>
      <c r="O9" s="175" t="inlineStr">
        <is>
          <t>Impatto 3 per degrado di sedi e del sito secondario; velocity 2; prossimita' 3 dopo l'alluvione di maggio su filiali della Banca.</t>
        </is>
      </c>
      <c r="P9" s="175" t="inlineStr">
        <is>
          <t>[]</t>
        </is>
      </c>
      <c r="Q9" s="175" t="inlineStr">
        <is>
          <t>[{"riferimento": "Mappa del rischio idrogeologico delle sedi — BCM", "data": "2025-10-30", "tipo": "Interna", "rilevanza": 2}]</t>
        </is>
      </c>
      <c r="R9" s="175" t="n"/>
      <c r="S9" s="158" t="inlineStr">
        <is>
          <t>Funzione Business Continuity</t>
        </is>
      </c>
      <c r="T9" s="158">
        <f>A9&amp;"|"&amp;C9</f>
        <v/>
      </c>
      <c r="U9" s="173" t="n">
        <v>46022</v>
      </c>
      <c r="V9" s="158" t="inlineStr">
        <is>
          <t>Comitato Rischi</t>
        </is>
      </c>
      <c r="W9" s="158" t="inlineStr">
        <is>
          <t>Accettato</t>
        </is>
      </c>
      <c r="X9" s="173" t="n">
        <v>46037</v>
      </c>
      <c r="Y9" s="158" t="inlineStr">
        <is>
          <t>2025Q4</t>
        </is>
      </c>
      <c r="Z9" s="158" t="inlineStr">
        <is>
          <t>Radar</t>
        </is>
      </c>
      <c r="AA9" s="175" t="inlineStr">
        <is>
          <t>Prossimita 2 e Probabilita 3: sopra la soglia</t>
        </is>
      </c>
      <c r="AB9" s="158" t="n"/>
      <c r="AC9" s="158" t="inlineStr">
        <is>
          <t>Automatico</t>
        </is>
      </c>
      <c r="AD9" s="158" t="n"/>
      <c r="AE9" s="175" t="n"/>
      <c r="AF9" s="158">
        <f>IF(AND(A9=cicloCorrente,Z9="Osservazione"),N(J9)*100000+1-ROW()/1000000,"")</f>
        <v/>
      </c>
    </row>
    <row r="10">
      <c r="A10" s="158" t="inlineStr">
        <is>
          <t>2025Q4</t>
        </is>
      </c>
      <c r="B10" s="173" t="n">
        <v>46022</v>
      </c>
      <c r="C10" s="158" t="inlineStr">
        <is>
          <t>NFR-05</t>
        </is>
      </c>
      <c r="D10" s="158" t="inlineStr">
        <is>
          <t>Errori di processo nella migrazione del core banking</t>
        </is>
      </c>
      <c r="E10" s="158" t="inlineStr">
        <is>
          <t>9.13</t>
        </is>
      </c>
      <c r="F10" s="158" t="inlineStr">
        <is>
          <t>DRV-TEC</t>
        </is>
      </c>
      <c r="G10" s="158" t="n">
        <v>3</v>
      </c>
      <c r="H10" s="158" t="n">
        <v>3</v>
      </c>
      <c r="I10" s="158" t="n">
        <v>4</v>
      </c>
      <c r="J10" s="174">
        <f>IF(COUNT(G10,I10,K10)&lt;3,"",ROUND((pesoImpatto*G10+pesoProbabilita*K10+pesoProssimita*I10+IF(ISNUMBER(H10),pesoVelocity*H10,0))/(pesoImpatto+pesoProbabilita+pesoProssimita+IF(ISNUMBER(H10),pesoVelocity,0)),2))</f>
        <v/>
      </c>
      <c r="K10" s="158" t="n">
        <v>3</v>
      </c>
      <c r="L10" s="158" t="n"/>
      <c r="M10" s="158" t="inlineStr">
        <is>
          <t>Confermato</t>
        </is>
      </c>
      <c r="N10" s="175" t="inlineStr">
        <is>
          <t>Errori di conversione dati e controlli di processo non ridisegnati durante la migrazione a ondate del sistema core.</t>
        </is>
      </c>
      <c r="O10" s="175" t="inlineStr">
        <is>
          <t>Impatto 3 per errori contabili e disservizi limitati nel tempo; velocity 3; prossimita' 3 perche' la wave 2 e' nel 2027.</t>
        </is>
      </c>
      <c r="P10" s="175" t="inlineStr">
        <is>
          <t>[]</t>
        </is>
      </c>
      <c r="Q10" s="175" t="inlineStr">
        <is>
          <t>[{"riferimento": "Piano di migrazione del core banking — PMO", "data": "2025-09-15", "tipo": "Interna", "rilevanza": 3}]</t>
        </is>
      </c>
      <c r="R10" s="175" t="n"/>
      <c r="S10" s="158" t="inlineStr">
        <is>
          <t>Funzione Operations</t>
        </is>
      </c>
      <c r="T10" s="158">
        <f>A10&amp;"|"&amp;C10</f>
        <v/>
      </c>
      <c r="U10" s="173" t="n">
        <v>46022</v>
      </c>
      <c r="V10" s="158" t="inlineStr">
        <is>
          <t>Comitato Rischi</t>
        </is>
      </c>
      <c r="W10" s="158" t="inlineStr">
        <is>
          <t>Accettato</t>
        </is>
      </c>
      <c r="X10" s="173" t="n">
        <v>46037</v>
      </c>
      <c r="Y10" s="158" t="inlineStr">
        <is>
          <t>2025Q4</t>
        </is>
      </c>
      <c r="Z10" s="158" t="inlineStr">
        <is>
          <t>Radar</t>
        </is>
      </c>
      <c r="AA10" s="175" t="inlineStr">
        <is>
          <t>Prossimita 4 e Probabilita 3: sopra la soglia; posto garantito: AGIRE ORA (radar di Mosca)</t>
        </is>
      </c>
      <c r="AB10" s="158" t="n"/>
      <c r="AC10" s="158" t="inlineStr">
        <is>
          <t>Automatico</t>
        </is>
      </c>
      <c r="AD10" s="158" t="n"/>
      <c r="AE10" s="175" t="n"/>
      <c r="AF10" s="158">
        <f>IF(AND(A10=cicloCorrente,Z10="Osservazione"),N(J10)*100000+1-ROW()/1000000,"")</f>
        <v/>
      </c>
    </row>
    <row r="11">
      <c r="A11" s="158" t="inlineStr">
        <is>
          <t>2025Q4</t>
        </is>
      </c>
      <c r="B11" s="173" t="n">
        <v>46022</v>
      </c>
      <c r="C11" s="158" t="inlineStr">
        <is>
          <t>NFR-07</t>
        </is>
      </c>
      <c r="D11" s="158" t="inlineStr">
        <is>
          <t>Ransomware presso un fornitore di servizi di pagamento</t>
        </is>
      </c>
      <c r="E11" s="158" t="inlineStr">
        <is>
          <t>9.9</t>
        </is>
      </c>
      <c r="F11" s="158" t="inlineStr">
        <is>
          <t>DRV-CYB, DRV-TPR</t>
        </is>
      </c>
      <c r="G11" s="158" t="n">
        <v>4</v>
      </c>
      <c r="H11" s="158" t="n">
        <v>5</v>
      </c>
      <c r="I11" s="158" t="n">
        <v>3</v>
      </c>
      <c r="J11" s="174">
        <f>IF(COUNT(G11,I11,K11)&lt;3,"",ROUND((pesoImpatto*G11+pesoProbabilita*K11+pesoProssimita*I11+IF(ISNUMBER(H11),pesoVelocity*H11,0))/(pesoImpatto+pesoProbabilita+pesoProssimita+IF(ISNUMBER(H11),pesoVelocity,0)),2))</f>
        <v/>
      </c>
      <c r="K11" s="158" t="n">
        <v>3</v>
      </c>
      <c r="L11" s="158" t="n"/>
      <c r="M11" s="158" t="inlineStr">
        <is>
          <t>Confermato</t>
        </is>
      </c>
      <c r="N11" s="175" t="inlineStr">
        <is>
          <t>Blocco prolungato dei pagamenti per un attacco ransomware al fornitore esterno che gestisce il gateway di pagamento della Banca.</t>
        </is>
      </c>
      <c r="O11" s="175" t="inlineStr">
        <is>
          <t>Impatto 4 perche' i pagamenti si fermano; velocity 5 perche' il blocco e' immediato; prossimita' 3 per attacchi a processori europei.</t>
        </is>
      </c>
      <c r="P11" s="175" t="inlineStr">
        <is>
          <t>[]</t>
        </is>
      </c>
      <c r="Q11" s="175" t="inlineStr">
        <is>
          <t>[{"riferimento": "Registro DORA: fornitore del gateway di pagamento classificato critico", "data": "2025-10-15", "tipo": "Interna", "rilevanza": 2}]</t>
        </is>
      </c>
      <c r="R11" s="175" t="n"/>
      <c r="S11" s="158" t="inlineStr">
        <is>
          <t>Funzione ICT &amp; Security Risk</t>
        </is>
      </c>
      <c r="T11" s="158">
        <f>A11&amp;"|"&amp;C11</f>
        <v/>
      </c>
      <c r="U11" s="173" t="n">
        <v>46022</v>
      </c>
      <c r="V11" s="158" t="inlineStr">
        <is>
          <t>Comitato Rischi</t>
        </is>
      </c>
      <c r="W11" s="158" t="inlineStr">
        <is>
          <t>Accettato</t>
        </is>
      </c>
      <c r="X11" s="173" t="n">
        <v>46037</v>
      </c>
      <c r="Y11" s="158" t="inlineStr">
        <is>
          <t>2025Q4</t>
        </is>
      </c>
      <c r="Z11" s="158" t="inlineStr">
        <is>
          <t>Radar</t>
        </is>
      </c>
      <c r="AA11" s="175" t="inlineStr">
        <is>
          <t>Prossimita 3 e Probabilita 3: sopra la soglia; posto garantito: tema del supervisore</t>
        </is>
      </c>
      <c r="AB11" s="158" t="n"/>
      <c r="AC11" s="158" t="inlineStr">
        <is>
          <t>Automatico</t>
        </is>
      </c>
      <c r="AD11" s="158" t="n"/>
      <c r="AE11" s="175" t="n"/>
      <c r="AF11" s="158">
        <f>IF(AND(A11=cicloCorrente,Z11="Osservazione"),N(J11)*100000+1-ROW()/1000000,"")</f>
        <v/>
      </c>
    </row>
    <row r="12">
      <c r="A12" s="158" t="inlineStr">
        <is>
          <t>2025Q4</t>
        </is>
      </c>
      <c r="B12" s="173" t="n">
        <v>46022</v>
      </c>
      <c r="C12" s="158" t="inlineStr">
        <is>
          <t>NFR-08</t>
        </is>
      </c>
      <c r="D12" s="158" t="inlineStr">
        <is>
          <t>Accessi impropri di dipendenti ai dati dei clienti</t>
        </is>
      </c>
      <c r="E12" s="158" t="inlineStr">
        <is>
          <t>9.7</t>
        </is>
      </c>
      <c r="F12" s="158" t="inlineStr">
        <is>
          <t>DRV-HUM, DRV-CON</t>
        </is>
      </c>
      <c r="G12" s="158" t="n">
        <v>3</v>
      </c>
      <c r="H12" s="158" t="n">
        <v>3</v>
      </c>
      <c r="I12" s="158" t="n">
        <v>3</v>
      </c>
      <c r="J12" s="174">
        <f>IF(COUNT(G12,I12,K12)&lt;3,"",ROUND((pesoImpatto*G12+pesoProbabilita*K12+pesoProssimita*I12+IF(ISNUMBER(H12),pesoVelocity*H12,0))/(pesoImpatto+pesoProbabilita+pesoProssimita+IF(ISNUMBER(H12),pesoVelocity,0)),2))</f>
        <v/>
      </c>
      <c r="K12" s="158" t="n">
        <v>2</v>
      </c>
      <c r="L12" s="158" t="n"/>
      <c r="M12" s="158" t="inlineStr">
        <is>
          <t>Confermato</t>
        </is>
      </c>
      <c r="N12" s="175" t="inlineStr">
        <is>
          <t>Dipendenti che consultano o estraggono dati di clienti senza motivo di servizio, per curiosita' o a favore di terzi.</t>
        </is>
      </c>
      <c r="O12" s="175" t="inlineStr">
        <is>
          <t>Impatto 3 per violazione di dati di clientela ampia; velocity 3; prossimita' 3 per casi sanzionati nel settore.</t>
        </is>
      </c>
      <c r="P12" s="175" t="inlineStr">
        <is>
          <t>[]</t>
        </is>
      </c>
      <c r="Q12" s="175" t="inlineStr">
        <is>
          <t>[{"riferimento": "Esiti del monitoraggio degli accessi ai dati clienti — SOC", "data": "2025-11-10", "tipo": "Interna", "rilevanza": 3}]</t>
        </is>
      </c>
      <c r="R12" s="175" t="n"/>
      <c r="S12" s="158" t="inlineStr">
        <is>
          <t>Funzione Sicurezza delle Informazioni</t>
        </is>
      </c>
      <c r="T12" s="158">
        <f>A12&amp;"|"&amp;C12</f>
        <v/>
      </c>
      <c r="U12" s="173" t="n">
        <v>46022</v>
      </c>
      <c r="V12" s="158" t="inlineStr">
        <is>
          <t>Comitato Rischi</t>
        </is>
      </c>
      <c r="W12" s="158" t="inlineStr">
        <is>
          <t>Accettato</t>
        </is>
      </c>
      <c r="X12" s="173" t="n">
        <v>46037</v>
      </c>
      <c r="Y12" s="158" t="inlineStr">
        <is>
          <t>2025Q4</t>
        </is>
      </c>
      <c r="Z12" s="158" t="inlineStr">
        <is>
          <t>Radar</t>
        </is>
      </c>
      <c r="AA12" s="175" t="inlineStr">
        <is>
          <t>Prossimita 3 e Probabilita 2: sopra la soglia</t>
        </is>
      </c>
      <c r="AB12" s="158" t="n"/>
      <c r="AC12" s="158" t="inlineStr">
        <is>
          <t>Automatico</t>
        </is>
      </c>
      <c r="AD12" s="158" t="n"/>
      <c r="AE12" s="175" t="n"/>
      <c r="AF12" s="158">
        <f>IF(AND(A12=cicloCorrente,Z12="Osservazione"),N(J12)*100000+1-ROW()/1000000,"")</f>
        <v/>
      </c>
    </row>
    <row r="13">
      <c r="A13" s="158" t="inlineStr">
        <is>
          <t>2025Q4</t>
        </is>
      </c>
      <c r="B13" s="173" t="n">
        <v>46022</v>
      </c>
      <c r="C13" s="158" t="inlineStr">
        <is>
          <t>NFR-11</t>
        </is>
      </c>
      <c r="D13" s="158" t="inlineStr">
        <is>
          <t>Fine del supporto dei sistemi di pagamento legacy</t>
        </is>
      </c>
      <c r="E13" s="158" t="inlineStr">
        <is>
          <t>9.6</t>
        </is>
      </c>
      <c r="F13" s="158" t="inlineStr">
        <is>
          <t>DRV-TEC</t>
        </is>
      </c>
      <c r="G13" s="158" t="n">
        <v>3</v>
      </c>
      <c r="H13" s="158" t="n">
        <v>2</v>
      </c>
      <c r="I13" s="158" t="n">
        <v>3</v>
      </c>
      <c r="J13" s="174">
        <f>IF(COUNT(G13,I13,K13)&lt;3,"",ROUND((pesoImpatto*G13+pesoProbabilita*K13+pesoProssimita*I13+IF(ISNUMBER(H13),pesoVelocity*H13,0))/(pesoImpatto+pesoProbabilita+pesoProssimita+IF(ISNUMBER(H13),pesoVelocity,0)),2))</f>
        <v/>
      </c>
      <c r="K13" s="158" t="n">
        <v>3</v>
      </c>
      <c r="L13" s="158" t="n">
        <v>3</v>
      </c>
      <c r="M13" s="158" t="inlineStr">
        <is>
          <t>Confermato</t>
        </is>
      </c>
      <c r="N13" s="175" t="inlineStr">
        <is>
          <t>Componenti del sistema di pagamento fuori supporto del produttore, senza patch di sicurezza e con competenze interne in riduzione.</t>
        </is>
      </c>
      <c r="O13" s="175" t="inlineStr">
        <is>
          <t>Impatto 3 per disservizi sui pagamenti; velocity 2; prossimita' 3 per fine supporto annunciata.</t>
        </is>
      </c>
      <c r="P13" s="175" t="inlineStr">
        <is>
          <t>[]</t>
        </is>
      </c>
      <c r="Q13" s="175" t="inlineStr">
        <is>
          <t>[{"riferimento": "Inventario delle componenti fuori supporto — IT", "data": "2025-09-30", "tipo": "Interna", "rilevanza": 3}]</t>
        </is>
      </c>
      <c r="R13" s="175" t="n"/>
      <c r="S13" s="158" t="inlineStr">
        <is>
          <t>Funzione IT Operations</t>
        </is>
      </c>
      <c r="T13" s="158">
        <f>A13&amp;"|"&amp;C13</f>
        <v/>
      </c>
      <c r="U13" s="173" t="n">
        <v>46022</v>
      </c>
      <c r="V13" s="158" t="inlineStr">
        <is>
          <t>Comitato Rischi</t>
        </is>
      </c>
      <c r="W13" s="158" t="inlineStr">
        <is>
          <t>Accettato</t>
        </is>
      </c>
      <c r="X13" s="173" t="n">
        <v>46037</v>
      </c>
      <c r="Y13" s="158" t="inlineStr">
        <is>
          <t>2025Q4</t>
        </is>
      </c>
      <c r="Z13" s="158" t="inlineStr">
        <is>
          <t>Radar</t>
        </is>
      </c>
      <c r="AA13" s="175" t="inlineStr">
        <is>
          <t>Prossimita 3 e Probabilita 3: sopra la soglia; posto garantito: AGIRE ORA (radar di Mosca)</t>
        </is>
      </c>
      <c r="AB13" s="158" t="n"/>
      <c r="AC13" s="158" t="inlineStr">
        <is>
          <t>Automatico</t>
        </is>
      </c>
      <c r="AD13" s="158" t="n"/>
      <c r="AE13" s="175" t="n"/>
      <c r="AF13" s="158">
        <f>IF(AND(A13=cicloCorrente,Z13="Osservazione"),N(J13)*100000+1-ROW()/1000000,"")</f>
        <v/>
      </c>
    </row>
    <row r="14">
      <c r="A14" s="158" t="inlineStr">
        <is>
          <t>2025Q4</t>
        </is>
      </c>
      <c r="B14" s="173" t="n">
        <v>46022</v>
      </c>
      <c r="C14" s="158" t="inlineStr">
        <is>
          <t>NFR-12</t>
        </is>
      </c>
      <c r="D14" s="158" t="inlineStr">
        <is>
          <t>Errori operativi nei pagamenti istantanei obbligatori</t>
        </is>
      </c>
      <c r="E14" s="158" t="inlineStr">
        <is>
          <t>9.13</t>
        </is>
      </c>
      <c r="F14" s="158" t="inlineStr">
        <is>
          <t>DRV-TEC</t>
        </is>
      </c>
      <c r="G14" s="158" t="n">
        <v>3</v>
      </c>
      <c r="H14" s="158" t="n">
        <v>4</v>
      </c>
      <c r="I14" s="158" t="n">
        <v>3</v>
      </c>
      <c r="J14" s="174">
        <f>IF(COUNT(G14,I14,K14)&lt;3,"",ROUND((pesoImpatto*G14+pesoProbabilita*K14+pesoProssimita*I14+IF(ISNUMBER(H14),pesoVelocity*H14,0))/(pesoImpatto+pesoProbabilita+pesoProssimita+IF(ISNUMBER(H14),pesoVelocity,0)),2))</f>
        <v/>
      </c>
      <c r="K14" s="158" t="n">
        <v>4</v>
      </c>
      <c r="L14" s="158" t="n"/>
      <c r="M14" s="158" t="inlineStr">
        <is>
          <t>Confermato</t>
        </is>
      </c>
      <c r="N14" s="175" t="inlineStr">
        <is>
          <t>Errori di riconciliazione e rimborsi indebiti dopo l'obbligo di offrire i bonifici istantanei a tutta la clientela.</t>
        </is>
      </c>
      <c r="O14" s="175" t="inlineStr">
        <is>
          <t>Impatto 3 per rimborsi indebiti e disservizi; velocity 4 perche' gli errori si propagano in giornata; prossimita' 4 dopo i primi casi interni di maggio.</t>
        </is>
      </c>
      <c r="P14" s="175" t="inlineStr">
        <is>
          <t>[]</t>
        </is>
      </c>
      <c r="Q14" s="175" t="inlineStr">
        <is>
          <t>[{"riferimento": "Piano di adeguamento al regolamento sui bonifici istantanei", "data": "2025-10-01", "tipo": "Interna", "rilevanza": 2}]</t>
        </is>
      </c>
      <c r="R14" s="175" t="n"/>
      <c r="S14" s="158" t="inlineStr">
        <is>
          <t>Funzione Operations</t>
        </is>
      </c>
      <c r="T14" s="158">
        <f>A14&amp;"|"&amp;C14</f>
        <v/>
      </c>
      <c r="U14" s="173" t="n">
        <v>46022</v>
      </c>
      <c r="V14" s="158" t="inlineStr">
        <is>
          <t>Comitato Rischi</t>
        </is>
      </c>
      <c r="W14" s="158" t="inlineStr">
        <is>
          <t>Accettato</t>
        </is>
      </c>
      <c r="X14" s="173" t="n">
        <v>46037</v>
      </c>
      <c r="Y14" s="158" t="inlineStr">
        <is>
          <t>2025Q4</t>
        </is>
      </c>
      <c r="Z14" s="158" t="inlineStr">
        <is>
          <t>Radar</t>
        </is>
      </c>
      <c r="AA14" s="175" t="inlineStr">
        <is>
          <t>Prossimita 3 e Probabilita 4: sopra la soglia</t>
        </is>
      </c>
      <c r="AB14" s="158" t="n"/>
      <c r="AC14" s="158" t="inlineStr">
        <is>
          <t>Automatico</t>
        </is>
      </c>
      <c r="AD14" s="158" t="n"/>
      <c r="AE14" s="175" t="n"/>
      <c r="AF14" s="158">
        <f>IF(AND(A14=cicloCorrente,Z14="Osservazione"),N(J14)*100000+1-ROW()/1000000,"")</f>
        <v/>
      </c>
    </row>
    <row r="15">
      <c r="A15" s="158" t="inlineStr">
        <is>
          <t>2026Q1</t>
        </is>
      </c>
      <c r="B15" s="173" t="n">
        <v>46112</v>
      </c>
      <c r="C15" s="158" t="inlineStr">
        <is>
          <t>NFR-01</t>
        </is>
      </c>
      <c r="D15" s="158" t="inlineStr">
        <is>
          <t>Frodi su pagamenti istantanei abilitate da AI generativa</t>
        </is>
      </c>
      <c r="E15" s="158" t="inlineStr">
        <is>
          <t>9.7</t>
        </is>
      </c>
      <c r="F15" s="158" t="inlineStr">
        <is>
          <t>DRV-AI, DRV-CYB</t>
        </is>
      </c>
      <c r="G15" s="158" t="n">
        <v>3</v>
      </c>
      <c r="H15" s="158" t="n">
        <v>4</v>
      </c>
      <c r="I15" s="158" t="n">
        <v>4</v>
      </c>
      <c r="J15" s="174">
        <f>IF(COUNT(G15,I15,K15)&lt;3,"",ROUND((pesoImpatto*G15+pesoProbabilita*K15+pesoProssimita*I15+IF(ISNUMBER(H15),pesoVelocity*H15,0))/(pesoImpatto+pesoProbabilita+pesoProssimita+IF(ISNUMBER(H15),pesoVelocity,0)),2))</f>
        <v/>
      </c>
      <c r="K15" s="158" t="n">
        <v>4</v>
      </c>
      <c r="L15" s="158" t="n"/>
      <c r="M15" s="158" t="inlineStr">
        <is>
          <t>Variato</t>
        </is>
      </c>
      <c r="N15" s="175" t="inlineStr">
        <is>
          <t>Frodi a danno dei clienti tramite voci o video sintetici che inducono bonifici istantanei irrevocabili verso conti di terzi.</t>
        </is>
      </c>
      <c r="O15" s="175" t="inlineStr">
        <is>
          <t>Impatto 4 per importi medi in forte crescita su pagamenti irrevocabili; velocity 5 perche' i fondi escono dal conto del beneficiario entro un'ora; prossimita' 4 per casi gia' osservati in banche comparabili.</t>
        </is>
      </c>
      <c r="P15" s="175" t="inlineStr">
        <is>
          <t>[{"dimensione": "prossimita", "da": 3, "a": 4, "evidenza": "Primi casi di frode con voce sintetica presso due banche italiane comparabili, riportati dalla threat intelligence di settore.", "data_evidenza": "2026-02-12"}]</t>
        </is>
      </c>
      <c r="Q15" s="175" t="inlineStr">
        <is>
          <t>[{"riferimento": "Analisi interna sulle frodi da ingegneria sociale", "data": "2025-10-20", "tipo": "Interna", "rilevanza": 3}]</t>
        </is>
      </c>
      <c r="R15" s="175" t="n"/>
      <c r="S15" s="158" t="inlineStr">
        <is>
          <t>Funzione Antifrode</t>
        </is>
      </c>
      <c r="T15" s="158">
        <f>A15&amp;"|"&amp;C15</f>
        <v/>
      </c>
      <c r="U15" s="173" t="n">
        <v>46112</v>
      </c>
      <c r="V15" s="158" t="inlineStr">
        <is>
          <t>Comitato Rischi</t>
        </is>
      </c>
      <c r="W15" s="158" t="inlineStr">
        <is>
          <t>Accettato</t>
        </is>
      </c>
      <c r="X15" s="173" t="n">
        <v>46127</v>
      </c>
      <c r="Y15" s="158" t="inlineStr">
        <is>
          <t>2026Q1</t>
        </is>
      </c>
      <c r="Z15" s="158" t="inlineStr">
        <is>
          <t>Radar</t>
        </is>
      </c>
      <c r="AA15" s="175" t="inlineStr">
        <is>
          <t>Prossimita 4 e Probabilita 4: sopra la soglia; posto garantito: AGIRE ORA (radar di Mosca)</t>
        </is>
      </c>
      <c r="AB15" s="158" t="n"/>
      <c r="AC15" s="158" t="inlineStr">
        <is>
          <t>Automatico</t>
        </is>
      </c>
      <c r="AD15" s="158" t="n"/>
      <c r="AE15" s="175" t="n"/>
      <c r="AF15" s="158">
        <f>IF(AND(A15=cicloCorrente,Z15="Osservazione"),N(J15)*100000+1-ROW()/1000000,"")</f>
        <v/>
      </c>
    </row>
    <row r="16">
      <c r="A16" s="158" t="inlineStr">
        <is>
          <t>2026Q1</t>
        </is>
      </c>
      <c r="B16" s="173" t="n">
        <v>46112</v>
      </c>
      <c r="C16" s="158" t="inlineStr">
        <is>
          <t>NFR-02</t>
        </is>
      </c>
      <c r="D16" s="158" t="inlineStr">
        <is>
          <t>Concentrazione su un fornitore cloud critico</t>
        </is>
      </c>
      <c r="E16" s="158" t="inlineStr">
        <is>
          <t>9.9</t>
        </is>
      </c>
      <c r="F16" s="158" t="inlineStr">
        <is>
          <t>DRV-TPR, DRV-CYB</t>
        </is>
      </c>
      <c r="G16" s="158" t="n">
        <v>4</v>
      </c>
      <c r="H16" s="158" t="n">
        <v>4</v>
      </c>
      <c r="I16" s="158" t="n">
        <v>3</v>
      </c>
      <c r="J16" s="174">
        <f>IF(COUNT(G16,I16,K16)&lt;3,"",ROUND((pesoImpatto*G16+pesoProbabilita*K16+pesoProssimita*I16+IF(ISNUMBER(H16),pesoVelocity*H16,0))/(pesoImpatto+pesoProbabilita+pesoProssimita+IF(ISNUMBER(H16),pesoVelocity,0)),2))</f>
        <v/>
      </c>
      <c r="K16" s="158" t="n">
        <v>2</v>
      </c>
      <c r="L16" s="158" t="n"/>
      <c r="M16" s="158" t="inlineStr">
        <is>
          <t>Confermato</t>
        </is>
      </c>
      <c r="N16" s="175" t="inlineStr">
        <is>
          <t>Indisponibilita' prolungata del fornitore cloud che ospita servizi critici, senza alternativa attivabile nei tempi di ripristino.</t>
        </is>
      </c>
      <c r="O16" s="175" t="inlineStr">
        <is>
          <t>Impatto 4 per servizi critici ospitati su un solo fornitore; velocity 4 perche' un'interruzione e' immediata; prossimita' 3 senza incidenti gravi recenti.</t>
        </is>
      </c>
      <c r="P16" s="175" t="inlineStr">
        <is>
          <t>[]</t>
        </is>
      </c>
      <c r="Q16" s="175" t="inlineStr">
        <is>
          <t>[{"riferimento": "Contratto e piano di uscita del fornitore cloud", "data": "2025-09-30", "tipo": "Interna", "rilevanza": 2}, {"riferimento": "Registro delle informazioni DORA — servizi ICT critici", "data": "2026-03-20", "tipo": "Interna", "rilevanza": 3}]</t>
        </is>
      </c>
      <c r="R16" s="175" t="n"/>
      <c r="S16" s="158" t="inlineStr">
        <is>
          <t>Funzione ICT &amp; Security Risk</t>
        </is>
      </c>
      <c r="T16" s="158">
        <f>A16&amp;"|"&amp;C16</f>
        <v/>
      </c>
      <c r="U16" s="173" t="n">
        <v>46112</v>
      </c>
      <c r="V16" s="158" t="inlineStr">
        <is>
          <t>Comitato Rischi</t>
        </is>
      </c>
      <c r="W16" s="158" t="inlineStr">
        <is>
          <t>Accettato</t>
        </is>
      </c>
      <c r="X16" s="173" t="n">
        <v>46127</v>
      </c>
      <c r="Y16" s="158" t="inlineStr">
        <is>
          <t>2026Q1</t>
        </is>
      </c>
      <c r="Z16" s="158" t="inlineStr">
        <is>
          <t>Radar</t>
        </is>
      </c>
      <c r="AA16" s="175" t="inlineStr">
        <is>
          <t>Prossimita 3 e Probabilita 2: sopra la soglia; posto garantito: tema del supervisore</t>
        </is>
      </c>
      <c r="AB16" s="158" t="n"/>
      <c r="AC16" s="158" t="inlineStr">
        <is>
          <t>Automatico</t>
        </is>
      </c>
      <c r="AD16" s="158" t="n"/>
      <c r="AE16" s="175" t="n"/>
      <c r="AF16" s="158">
        <f>IF(AND(A16=cicloCorrente,Z16="Osservazione"),N(J16)*100000+1-ROW()/1000000,"")</f>
        <v/>
      </c>
    </row>
    <row r="17">
      <c r="A17" s="158" t="inlineStr">
        <is>
          <t>2026Q1</t>
        </is>
      </c>
      <c r="B17" s="173" t="n">
        <v>46112</v>
      </c>
      <c r="C17" s="158" t="inlineStr">
        <is>
          <t>NFR-03</t>
        </is>
      </c>
      <c r="D17" s="158" t="inlineStr">
        <is>
          <t>Greenwashing nella commercializzazione di prodotti ESG</t>
        </is>
      </c>
      <c r="E17" s="158" t="inlineStr">
        <is>
          <t>9.1</t>
        </is>
      </c>
      <c r="F17" s="158" t="inlineStr">
        <is>
          <t>DRV-CON, DRV-CLI</t>
        </is>
      </c>
      <c r="G17" s="158" t="n">
        <v>3</v>
      </c>
      <c r="H17" s="158" t="n">
        <v>2</v>
      </c>
      <c r="I17" s="158" t="n">
        <v>3</v>
      </c>
      <c r="J17" s="174">
        <f>IF(COUNT(G17,I17,K17)&lt;3,"",ROUND((pesoImpatto*G17+pesoProbabilita*K17+pesoProssimita*I17+IF(ISNUMBER(H17),pesoVelocity*H17,0))/(pesoImpatto+pesoProbabilita+pesoProssimita+IF(ISNUMBER(H17),pesoVelocity,0)),2))</f>
        <v/>
      </c>
      <c r="K17" s="158" t="n">
        <v>3</v>
      </c>
      <c r="L17" s="158" t="n"/>
      <c r="M17" s="158" t="inlineStr">
        <is>
          <t>Confermato</t>
        </is>
      </c>
      <c r="N17" s="175" t="inlineStr">
        <is>
          <t>Claim ambientali non sostanziati nella documentazione di prodotti di investimento ESG, con rischio di sanzioni e rimborsi.</t>
        </is>
      </c>
      <c r="O17" s="175" t="inlineStr">
        <is>
          <t>Impatto 3 per sanzioni e rimborsi possibili su una clientela ampia; velocity 2 perche' l'esposizione emerge con ispezioni o reclami; prossimita' 3 per orientamenti europei gia' in vigore.</t>
        </is>
      </c>
      <c r="P17" s="175" t="inlineStr">
        <is>
          <t>[]</t>
        </is>
      </c>
      <c r="Q17" s="175" t="inlineStr">
        <is>
          <t>[{"riferimento": "Orientamenti dell'autorita' europea sui nomi dei fondi ESG", "data": "2025-11-14", "tipo": "Esterna", "rilevanza": 3}, {"riferimento": "Verifica interna dei claim ambientali — Compliance", "data": "2026-02-18", "tipo": "Interna", "rilevanza": 2}]</t>
        </is>
      </c>
      <c r="R17" s="175" t="n"/>
      <c r="S17" s="158" t="inlineStr">
        <is>
          <t>Funzione Compliance</t>
        </is>
      </c>
      <c r="T17" s="158">
        <f>A17&amp;"|"&amp;C17</f>
        <v/>
      </c>
      <c r="U17" s="173" t="n">
        <v>46112</v>
      </c>
      <c r="V17" s="158" t="inlineStr">
        <is>
          <t>Comitato Rischi</t>
        </is>
      </c>
      <c r="W17" s="158" t="inlineStr">
        <is>
          <t>Accettato</t>
        </is>
      </c>
      <c r="X17" s="173" t="n">
        <v>46127</v>
      </c>
      <c r="Y17" s="158" t="inlineStr">
        <is>
          <t>2026Q1</t>
        </is>
      </c>
      <c r="Z17" s="158" t="inlineStr">
        <is>
          <t>Radar</t>
        </is>
      </c>
      <c r="AA17" s="175" t="inlineStr">
        <is>
          <t>Prossimita 3 e Probabilita 3: sopra la soglia</t>
        </is>
      </c>
      <c r="AB17" s="158" t="n"/>
      <c r="AC17" s="158" t="inlineStr">
        <is>
          <t>Automatico</t>
        </is>
      </c>
      <c r="AD17" s="158" t="n"/>
      <c r="AE17" s="175" t="n"/>
      <c r="AF17" s="158">
        <f>IF(AND(A17=cicloCorrente,Z17="Osservazione"),N(J17)*100000+1-ROW()/1000000,"")</f>
        <v/>
      </c>
    </row>
    <row r="18">
      <c r="A18" s="158" t="inlineStr">
        <is>
          <t>2026Q1</t>
        </is>
      </c>
      <c r="B18" s="173" t="n">
        <v>46112</v>
      </c>
      <c r="C18" s="158" t="inlineStr">
        <is>
          <t>NFR-04</t>
        </is>
      </c>
      <c r="D18" s="158" t="inlineStr">
        <is>
          <t>Eventi climatici estremi su sedi e data center</t>
        </is>
      </c>
      <c r="E18" s="158" t="inlineStr">
        <is>
          <t>9.8</t>
        </is>
      </c>
      <c r="F18" s="158" t="inlineStr">
        <is>
          <t>DRV-CLI</t>
        </is>
      </c>
      <c r="G18" s="158" t="n">
        <v>3</v>
      </c>
      <c r="H18" s="158" t="n">
        <v>2</v>
      </c>
      <c r="I18" s="158" t="n">
        <v>2</v>
      </c>
      <c r="J18" s="174">
        <f>IF(COUNT(G18,I18,K18)&lt;3,"",ROUND((pesoImpatto*G18+pesoProbabilita*K18+pesoProssimita*I18+IF(ISNUMBER(H18),pesoVelocity*H18,0))/(pesoImpatto+pesoProbabilita+pesoProssimita+IF(ISNUMBER(H18),pesoVelocity,0)),2))</f>
        <v/>
      </c>
      <c r="K18" s="158" t="n">
        <v>3</v>
      </c>
      <c r="L18" s="158" t="n"/>
      <c r="M18" s="158" t="inlineStr">
        <is>
          <t>Confermato</t>
        </is>
      </c>
      <c r="N18" s="175" t="inlineStr">
        <is>
          <t>Alluvioni o ondate di calore che rendono inagibili sedi operative o degradano il data center secondario.</t>
        </is>
      </c>
      <c r="O18" s="175" t="inlineStr">
        <is>
          <t>Impatto 3 per degrado di sedi e del sito secondario; velocity 2; prossimita' 3 dopo l'alluvione di maggio su filiali della Banca.</t>
        </is>
      </c>
      <c r="P18" s="175" t="inlineStr">
        <is>
          <t>[]</t>
        </is>
      </c>
      <c r="Q18" s="175" t="inlineStr">
        <is>
          <t>[{"riferimento": "Mappa del rischio idrogeologico delle sedi — BCM", "data": "2025-10-30", "tipo": "Interna", "rilevanza": 2}]</t>
        </is>
      </c>
      <c r="R18" s="175" t="n"/>
      <c r="S18" s="158" t="inlineStr">
        <is>
          <t>Funzione Business Continuity</t>
        </is>
      </c>
      <c r="T18" s="158">
        <f>A18&amp;"|"&amp;C18</f>
        <v/>
      </c>
      <c r="U18" s="173" t="n">
        <v>46112</v>
      </c>
      <c r="V18" s="158" t="inlineStr">
        <is>
          <t>Comitato Rischi</t>
        </is>
      </c>
      <c r="W18" s="158" t="inlineStr">
        <is>
          <t>Accettato</t>
        </is>
      </c>
      <c r="X18" s="173" t="n">
        <v>46127</v>
      </c>
      <c r="Y18" s="158" t="inlineStr">
        <is>
          <t>2026Q1</t>
        </is>
      </c>
      <c r="Z18" s="158" t="inlineStr">
        <is>
          <t>Radar</t>
        </is>
      </c>
      <c r="AA18" s="175" t="inlineStr">
        <is>
          <t>Prossimita 2 e Probabilita 3: sopra la soglia</t>
        </is>
      </c>
      <c r="AB18" s="158" t="n"/>
      <c r="AC18" s="158" t="inlineStr">
        <is>
          <t>Automatico</t>
        </is>
      </c>
      <c r="AD18" s="158" t="n"/>
      <c r="AE18" s="175" t="n"/>
      <c r="AF18" s="158">
        <f>IF(AND(A18=cicloCorrente,Z18="Osservazione"),N(J18)*100000+1-ROW()/1000000,"")</f>
        <v/>
      </c>
    </row>
    <row r="19">
      <c r="A19" s="158" t="inlineStr">
        <is>
          <t>2026Q1</t>
        </is>
      </c>
      <c r="B19" s="173" t="n">
        <v>46112</v>
      </c>
      <c r="C19" s="158" t="inlineStr">
        <is>
          <t>NFR-05</t>
        </is>
      </c>
      <c r="D19" s="158" t="inlineStr">
        <is>
          <t>Errori di processo nella migrazione del core banking</t>
        </is>
      </c>
      <c r="E19" s="158" t="inlineStr">
        <is>
          <t>9.13</t>
        </is>
      </c>
      <c r="F19" s="158" t="inlineStr">
        <is>
          <t>DRV-TEC</t>
        </is>
      </c>
      <c r="G19" s="158" t="n">
        <v>3</v>
      </c>
      <c r="H19" s="158" t="n">
        <v>3</v>
      </c>
      <c r="I19" s="158" t="n">
        <v>4</v>
      </c>
      <c r="J19" s="174">
        <f>IF(COUNT(G19,I19,K19)&lt;3,"",ROUND((pesoImpatto*G19+pesoProbabilita*K19+pesoProssimita*I19+IF(ISNUMBER(H19),pesoVelocity*H19,0))/(pesoImpatto+pesoProbabilita+pesoProssimita+IF(ISNUMBER(H19),pesoVelocity,0)),2))</f>
        <v/>
      </c>
      <c r="K19" s="158" t="n">
        <v>3</v>
      </c>
      <c r="L19" s="158" t="n"/>
      <c r="M19" s="158" t="inlineStr">
        <is>
          <t>Confermato</t>
        </is>
      </c>
      <c r="N19" s="175" t="inlineStr">
        <is>
          <t>Errori di conversione dati e controlli di processo non ridisegnati durante la migrazione a ondate del sistema core.</t>
        </is>
      </c>
      <c r="O19" s="175" t="inlineStr">
        <is>
          <t>Impatto 3 per errori contabili e disservizi limitati nel tempo; velocity 3; prossimita' 3 perche' la wave 2 e' nel 2027.</t>
        </is>
      </c>
      <c r="P19" s="175" t="inlineStr">
        <is>
          <t>[]</t>
        </is>
      </c>
      <c r="Q19" s="175" t="inlineStr">
        <is>
          <t>[{"riferimento": "Piano di migrazione del core banking — PMO", "data": "2025-09-15", "tipo": "Interna", "rilevanza": 3}]</t>
        </is>
      </c>
      <c r="R19" s="175" t="n"/>
      <c r="S19" s="158" t="inlineStr">
        <is>
          <t>Funzione Operations</t>
        </is>
      </c>
      <c r="T19" s="158">
        <f>A19&amp;"|"&amp;C19</f>
        <v/>
      </c>
      <c r="U19" s="173" t="n">
        <v>46112</v>
      </c>
      <c r="V19" s="158" t="inlineStr">
        <is>
          <t>Comitato Rischi</t>
        </is>
      </c>
      <c r="W19" s="158" t="inlineStr">
        <is>
          <t>Accettato</t>
        </is>
      </c>
      <c r="X19" s="173" t="n">
        <v>46127</v>
      </c>
      <c r="Y19" s="158" t="inlineStr">
        <is>
          <t>2026Q1</t>
        </is>
      </c>
      <c r="Z19" s="158" t="inlineStr">
        <is>
          <t>Radar</t>
        </is>
      </c>
      <c r="AA19" s="175" t="inlineStr">
        <is>
          <t>Prossimita 4 e Probabilita 3: sopra la soglia; posto garantito: AGIRE ORA (radar di Mosca)</t>
        </is>
      </c>
      <c r="AB19" s="158" t="n"/>
      <c r="AC19" s="158" t="inlineStr">
        <is>
          <t>Automatico</t>
        </is>
      </c>
      <c r="AD19" s="158" t="n"/>
      <c r="AE19" s="175" t="n"/>
      <c r="AF19" s="158">
        <f>IF(AND(A19=cicloCorrente,Z19="Osservazione"),N(J19)*100000+1-ROW()/1000000,"")</f>
        <v/>
      </c>
    </row>
    <row r="20">
      <c r="A20" s="158" t="inlineStr">
        <is>
          <t>2026Q1</t>
        </is>
      </c>
      <c r="B20" s="173" t="n">
        <v>46112</v>
      </c>
      <c r="C20" s="158" t="inlineStr">
        <is>
          <t>NFR-06</t>
        </is>
      </c>
      <c r="D20" s="158" t="inlineStr">
        <is>
          <t>Esfiltrazione di dati tramite strumenti di AI non autorizzati</t>
        </is>
      </c>
      <c r="E20" s="158" t="inlineStr">
        <is>
          <t>9.7</t>
        </is>
      </c>
      <c r="F20" s="158" t="inlineStr">
        <is>
          <t>DRV-AI, DRV-HUM</t>
        </is>
      </c>
      <c r="G20" s="158" t="n">
        <v>3</v>
      </c>
      <c r="H20" s="158" t="n">
        <v>3</v>
      </c>
      <c r="I20" s="158" t="n">
        <v>3</v>
      </c>
      <c r="J20" s="174">
        <f>IF(COUNT(G20,I20,K20)&lt;3,"",ROUND((pesoImpatto*G20+pesoProbabilita*K20+pesoProssimita*I20+IF(ISNUMBER(H20),pesoVelocity*H20,0))/(pesoImpatto+pesoProbabilita+pesoProssimita+IF(ISNUMBER(H20),pesoVelocity,0)),2))</f>
        <v/>
      </c>
      <c r="K20" s="158" t="n">
        <v>3</v>
      </c>
      <c r="L20" s="158" t="n"/>
      <c r="M20" s="158" t="inlineStr">
        <is>
          <t>Nuovo</t>
        </is>
      </c>
      <c r="N20" s="175" t="inlineStr">
        <is>
          <t>Dipendenti che trasferiscono intenzionalmente dati riservati su servizi di AI generativa esterni per uso personale o a favore di terzi.</t>
        </is>
      </c>
      <c r="O20" s="175" t="inlineStr">
        <is>
          <t>Impatto 3 per possibile perdita di dati riservati; velocity 3; prossimita' 3 per tentativi rilevati dal DLP.</t>
        </is>
      </c>
      <c r="P20" s="175" t="inlineStr">
        <is>
          <t>[]</t>
        </is>
      </c>
      <c r="Q20" s="175" t="inlineStr">
        <is>
          <t>[{"riferimento": "Log DLP: tentativi di caricamento verso servizi AI esterni", "data": "2026-03-15", "tipo": "Interna", "rilevanza": 3}, {"riferimento": "Survey interna sull'uso di strumenti di AI generativa", "data": "2026-02-10", "tipo": "Interna", "rilevanza": 2}]</t>
        </is>
      </c>
      <c r="R20" s="175" t="n"/>
      <c r="S20" s="158" t="inlineStr">
        <is>
          <t>Funzione Sicurezza delle Informazioni</t>
        </is>
      </c>
      <c r="T20" s="158">
        <f>A20&amp;"|"&amp;C20</f>
        <v/>
      </c>
      <c r="U20" s="173" t="n">
        <v>46112</v>
      </c>
      <c r="V20" s="158" t="inlineStr">
        <is>
          <t>Comitato Rischi</t>
        </is>
      </c>
      <c r="W20" s="158" t="inlineStr">
        <is>
          <t>Accettato</t>
        </is>
      </c>
      <c r="X20" s="173" t="n">
        <v>46127</v>
      </c>
      <c r="Y20" s="158" t="inlineStr">
        <is>
          <t>2026Q1</t>
        </is>
      </c>
      <c r="Z20" s="158" t="inlineStr">
        <is>
          <t>Radar</t>
        </is>
      </c>
      <c r="AA20" s="175" t="inlineStr">
        <is>
          <t>Prossimita 3 e Probabilita 3: sopra la soglia</t>
        </is>
      </c>
      <c r="AB20" s="158" t="n"/>
      <c r="AC20" s="158" t="inlineStr">
        <is>
          <t>Automatico</t>
        </is>
      </c>
      <c r="AD20" s="158" t="n"/>
      <c r="AE20" s="175" t="n"/>
      <c r="AF20" s="158">
        <f>IF(AND(A20=cicloCorrente,Z20="Osservazione"),N(J20)*100000+1-ROW()/1000000,"")</f>
        <v/>
      </c>
    </row>
    <row r="21">
      <c r="A21" s="158" t="inlineStr">
        <is>
          <t>2026Q1</t>
        </is>
      </c>
      <c r="B21" s="173" t="n">
        <v>46112</v>
      </c>
      <c r="C21" s="158" t="inlineStr">
        <is>
          <t>NFR-07</t>
        </is>
      </c>
      <c r="D21" s="158" t="inlineStr">
        <is>
          <t>Ransomware presso un fornitore di servizi di pagamento</t>
        </is>
      </c>
      <c r="E21" s="158" t="inlineStr">
        <is>
          <t>9.9</t>
        </is>
      </c>
      <c r="F21" s="158" t="inlineStr">
        <is>
          <t>DRV-CYB, DRV-TPR</t>
        </is>
      </c>
      <c r="G21" s="158" t="n">
        <v>4</v>
      </c>
      <c r="H21" s="158" t="n">
        <v>5</v>
      </c>
      <c r="I21" s="158" t="n">
        <v>3</v>
      </c>
      <c r="J21" s="174">
        <f>IF(COUNT(G21,I21,K21)&lt;3,"",ROUND((pesoImpatto*G21+pesoProbabilita*K21+pesoProssimita*I21+IF(ISNUMBER(H21),pesoVelocity*H21,0))/(pesoImpatto+pesoProbabilita+pesoProssimita+IF(ISNUMBER(H21),pesoVelocity,0)),2))</f>
        <v/>
      </c>
      <c r="K21" s="158" t="n">
        <v>3</v>
      </c>
      <c r="L21" s="158" t="n"/>
      <c r="M21" s="158" t="inlineStr">
        <is>
          <t>Confermato</t>
        </is>
      </c>
      <c r="N21" s="175" t="inlineStr">
        <is>
          <t>Blocco prolungato dei pagamenti per un attacco ransomware al fornitore esterno che gestisce il gateway di pagamento della Banca.</t>
        </is>
      </c>
      <c r="O21" s="175" t="inlineStr">
        <is>
          <t>Impatto 4 perche' i pagamenti si fermano; velocity 5 perche' il blocco e' immediato; prossimita' 3 per attacchi a processori europei.</t>
        </is>
      </c>
      <c r="P21" s="175" t="inlineStr">
        <is>
          <t>[]</t>
        </is>
      </c>
      <c r="Q21" s="175" t="inlineStr">
        <is>
          <t>[{"riferimento": "Registro DORA: fornitore del gateway di pagamento classificato critico", "data": "2025-10-15", "tipo": "Interna", "rilevanza": 2}, {"riferimento": "Attacco ransomware a un processore di pagamenti europeo", "data": "2026-02-20", "tipo": "Esterna", "rilevanza": 3}]</t>
        </is>
      </c>
      <c r="R21" s="175" t="n"/>
      <c r="S21" s="158" t="inlineStr">
        <is>
          <t>Funzione ICT &amp; Security Risk</t>
        </is>
      </c>
      <c r="T21" s="158">
        <f>A21&amp;"|"&amp;C21</f>
        <v/>
      </c>
      <c r="U21" s="173" t="n">
        <v>46112</v>
      </c>
      <c r="V21" s="158" t="inlineStr">
        <is>
          <t>Comitato Rischi</t>
        </is>
      </c>
      <c r="W21" s="158" t="inlineStr">
        <is>
          <t>Accettato</t>
        </is>
      </c>
      <c r="X21" s="173" t="n">
        <v>46127</v>
      </c>
      <c r="Y21" s="158" t="inlineStr">
        <is>
          <t>2026Q1</t>
        </is>
      </c>
      <c r="Z21" s="158" t="inlineStr">
        <is>
          <t>Radar</t>
        </is>
      </c>
      <c r="AA21" s="175" t="inlineStr">
        <is>
          <t>Prossimita 3 e Probabilita 3: sopra la soglia; posto garantito: tema del supervisore</t>
        </is>
      </c>
      <c r="AB21" s="158" t="n"/>
      <c r="AC21" s="158" t="inlineStr">
        <is>
          <t>Automatico</t>
        </is>
      </c>
      <c r="AD21" s="158" t="n"/>
      <c r="AE21" s="175" t="n"/>
      <c r="AF21" s="158">
        <f>IF(AND(A21=cicloCorrente,Z21="Osservazione"),N(J21)*100000+1-ROW()/1000000,"")</f>
        <v/>
      </c>
    </row>
    <row r="22">
      <c r="A22" s="158" t="inlineStr">
        <is>
          <t>2026Q1</t>
        </is>
      </c>
      <c r="B22" s="173" t="n">
        <v>46112</v>
      </c>
      <c r="C22" s="158" t="inlineStr">
        <is>
          <t>NFR-08</t>
        </is>
      </c>
      <c r="D22" s="158" t="inlineStr">
        <is>
          <t>Accessi impropri di dipendenti ai dati dei clienti</t>
        </is>
      </c>
      <c r="E22" s="158" t="inlineStr">
        <is>
          <t>9.7</t>
        </is>
      </c>
      <c r="F22" s="158" t="inlineStr">
        <is>
          <t>DRV-HUM, DRV-CON</t>
        </is>
      </c>
      <c r="G22" s="158" t="n">
        <v>3</v>
      </c>
      <c r="H22" s="158" t="n">
        <v>3</v>
      </c>
      <c r="I22" s="158" t="n">
        <v>3</v>
      </c>
      <c r="J22" s="174">
        <f>IF(COUNT(G22,I22,K22)&lt;3,"",ROUND((pesoImpatto*G22+pesoProbabilita*K22+pesoProssimita*I22+IF(ISNUMBER(H22),pesoVelocity*H22,0))/(pesoImpatto+pesoProbabilita+pesoProssimita+IF(ISNUMBER(H22),pesoVelocity,0)),2))</f>
        <v/>
      </c>
      <c r="K22" s="158" t="n">
        <v>2</v>
      </c>
      <c r="L22" s="158" t="n"/>
      <c r="M22" s="158" t="inlineStr">
        <is>
          <t>Confermato</t>
        </is>
      </c>
      <c r="N22" s="175" t="inlineStr">
        <is>
          <t>Dipendenti che consultano o estraggono dati di clienti senza motivo di servizio, per curiosita' o a favore di terzi.</t>
        </is>
      </c>
      <c r="O22" s="175" t="inlineStr">
        <is>
          <t>Impatto 3 per violazione di dati di clientela ampia; velocity 3; prossimita' 3 per casi sanzionati nel settore.</t>
        </is>
      </c>
      <c r="P22" s="175" t="inlineStr">
        <is>
          <t>[]</t>
        </is>
      </c>
      <c r="Q22" s="175" t="inlineStr">
        <is>
          <t>[{"riferimento": "Esiti del monitoraggio degli accessi ai dati clienti — SOC", "data": "2025-11-10", "tipo": "Interna", "rilevanza": 3}]</t>
        </is>
      </c>
      <c r="R22" s="175" t="n"/>
      <c r="S22" s="158" t="inlineStr">
        <is>
          <t>Funzione Sicurezza delle Informazioni</t>
        </is>
      </c>
      <c r="T22" s="158">
        <f>A22&amp;"|"&amp;C22</f>
        <v/>
      </c>
      <c r="U22" s="173" t="n">
        <v>46112</v>
      </c>
      <c r="V22" s="158" t="inlineStr">
        <is>
          <t>Comitato Rischi</t>
        </is>
      </c>
      <c r="W22" s="158" t="inlineStr">
        <is>
          <t>Accettato</t>
        </is>
      </c>
      <c r="X22" s="173" t="n">
        <v>46127</v>
      </c>
      <c r="Y22" s="158" t="inlineStr">
        <is>
          <t>2026Q1</t>
        </is>
      </c>
      <c r="Z22" s="158" t="inlineStr">
        <is>
          <t>Radar</t>
        </is>
      </c>
      <c r="AA22" s="175" t="inlineStr">
        <is>
          <t>Prossimita 3 e Probabilita 2: sopra la soglia</t>
        </is>
      </c>
      <c r="AB22" s="158" t="n"/>
      <c r="AC22" s="158" t="inlineStr">
        <is>
          <t>Automatico</t>
        </is>
      </c>
      <c r="AD22" s="158" t="n"/>
      <c r="AE22" s="175" t="n"/>
      <c r="AF22" s="158">
        <f>IF(AND(A22=cicloCorrente,Z22="Osservazione"),N(J22)*100000+1-ROW()/1000000,"")</f>
        <v/>
      </c>
    </row>
    <row r="23">
      <c r="A23" s="158" t="inlineStr">
        <is>
          <t>2026Q1</t>
        </is>
      </c>
      <c r="B23" s="173" t="n">
        <v>46112</v>
      </c>
      <c r="C23" s="158" t="inlineStr">
        <is>
          <t>NFR-09</t>
        </is>
      </c>
      <c r="D23" s="158" t="inlineStr">
        <is>
          <t>Violazione di sanzioni internazionali tramite triangolazioni</t>
        </is>
      </c>
      <c r="E23" s="158" t="inlineStr">
        <is>
          <t>9.4</t>
        </is>
      </c>
      <c r="F23" s="158" t="inlineStr">
        <is>
          <t>DRV-GEO</t>
        </is>
      </c>
      <c r="G23" s="158" t="n">
        <v>4</v>
      </c>
      <c r="H23" s="158" t="n">
        <v>3</v>
      </c>
      <c r="I23" s="158" t="n">
        <v>2</v>
      </c>
      <c r="J23" s="174">
        <f>IF(COUNT(G23,I23,K23)&lt;3,"",ROUND((pesoImpatto*G23+pesoProbabilita*K23+pesoProssimita*I23+IF(ISNUMBER(H23),pesoVelocity*H23,0))/(pesoImpatto+pesoProbabilita+pesoProssimita+IF(ISNUMBER(H23),pesoVelocity,0)),2))</f>
        <v/>
      </c>
      <c r="K23" s="158" t="n">
        <v>2</v>
      </c>
      <c r="L23" s="158" t="n"/>
      <c r="M23" s="158" t="inlineStr">
        <is>
          <t>Nuovo</t>
        </is>
      </c>
      <c r="N23" s="175" t="inlineStr">
        <is>
          <t>Pagamenti di clientela corporate verso controparti sanzionate interposte in paesi terzi, non intercettati dal filtro sanzioni.</t>
        </is>
      </c>
      <c r="O23" s="175" t="inlineStr">
        <is>
          <t>Impatto 4 per sanzioni e danno reputazionale nazionale; velocity 3; prossimita' 2 per precursori solo in altri paesi.</t>
        </is>
      </c>
      <c r="P23" s="175" t="inlineStr">
        <is>
          <t>[]</t>
        </is>
      </c>
      <c r="Q23" s="175" t="inlineStr">
        <is>
          <t>[{"riferimento": "Nuovo pacchetto di sanzioni UE con obblighi di due diligence rafforzata", "data": "2026-02-24", "tipo": "Esterna", "rilevanza": 3}, {"riferimento": "Analisi dei flussi verso paesi di transito — Compliance", "data": "2026-03-12", "tipo": "Interna", "rilevanza": 2}]</t>
        </is>
      </c>
      <c r="R23" s="175" t="n"/>
      <c r="S23" s="158" t="inlineStr">
        <is>
          <t>Funzione Compliance</t>
        </is>
      </c>
      <c r="T23" s="158">
        <f>A23&amp;"|"&amp;C23</f>
        <v/>
      </c>
      <c r="U23" s="173" t="n">
        <v>46112</v>
      </c>
      <c r="V23" s="158" t="inlineStr">
        <is>
          <t>Comitato Rischi</t>
        </is>
      </c>
      <c r="W23" s="158" t="inlineStr">
        <is>
          <t>Accettato</t>
        </is>
      </c>
      <c r="X23" s="173" t="n">
        <v>46127</v>
      </c>
      <c r="Y23" s="158" t="inlineStr">
        <is>
          <t>2026Q1</t>
        </is>
      </c>
      <c r="Z23" s="158" t="inlineStr">
        <is>
          <t>Radar</t>
        </is>
      </c>
      <c r="AA23" s="175" t="inlineStr">
        <is>
          <t>Prossimita 2 e Probabilita 2: sopra la soglia; posto garantito: tema del supervisore</t>
        </is>
      </c>
      <c r="AB23" s="158" t="n"/>
      <c r="AC23" s="158" t="inlineStr">
        <is>
          <t>Automatico</t>
        </is>
      </c>
      <c r="AD23" s="158" t="n"/>
      <c r="AE23" s="175" t="n"/>
      <c r="AF23" s="158">
        <f>IF(AND(A23=cicloCorrente,Z23="Osservazione"),N(J23)*100000+1-ROW()/1000000,"")</f>
        <v/>
      </c>
    </row>
    <row r="24">
      <c r="A24" s="158" t="inlineStr">
        <is>
          <t>2026Q1</t>
        </is>
      </c>
      <c r="B24" s="173" t="n">
        <v>46112</v>
      </c>
      <c r="C24" s="158" t="inlineStr">
        <is>
          <t>NFR-10</t>
        </is>
      </c>
      <c r="D24" s="158" t="inlineStr">
        <is>
          <t>Informazioni errate ai clienti da assistenti di AI generativa</t>
        </is>
      </c>
      <c r="E24" s="158" t="inlineStr">
        <is>
          <t>9.1</t>
        </is>
      </c>
      <c r="F24" s="158" t="inlineStr">
        <is>
          <t>DRV-AI, DRV-CON</t>
        </is>
      </c>
      <c r="G24" s="158" t="n">
        <v>3</v>
      </c>
      <c r="H24" s="158" t="n"/>
      <c r="I24" s="158" t="n">
        <v>3</v>
      </c>
      <c r="J24" s="174">
        <f>IF(COUNT(G24,I24,K24)&lt;3,"",ROUND((pesoImpatto*G24+pesoProbabilita*K24+pesoProssimita*I24+IF(ISNUMBER(H24),pesoVelocity*H24,0))/(pesoImpatto+pesoProbabilita+pesoProssimita+IF(ISNUMBER(H24),pesoVelocity,0)),2))</f>
        <v/>
      </c>
      <c r="K24" s="158" t="n">
        <v>3</v>
      </c>
      <c r="L24" s="158" t="n"/>
      <c r="M24" s="158" t="inlineStr">
        <is>
          <t>Nuovo</t>
        </is>
      </c>
      <c r="N24" s="175" t="inlineStr">
        <is>
          <t>Chatbot di assistenza basati su AI generativa che danno ai clienti informazioni errate su condizioni, costi o diritti, con reclami e rimborsi.</t>
        </is>
      </c>
      <c r="O24" s="175" t="inlineStr">
        <is>
          <t>Impatto 3 per reclami e rimborsi su clientela ampia; velocity non valutata: nessuna fonte documenta i tempi fra una risposta errata e il danno; prossimita' 3 per casi nel settore europeo.</t>
        </is>
      </c>
      <c r="P24" s="175" t="inlineStr">
        <is>
          <t>[]</t>
        </is>
      </c>
      <c r="Q24" s="175" t="inlineStr">
        <is>
          <t>[{"riferimento": "Piano di rilascio del chatbot di assistenza con AI generativa", "data": "2026-01-20", "tipo": "Interna", "rilevanza": 2}, {"riferimento": "Sanzione a una compagnia aerea per risposte errate del proprio chatbot", "data": "2026-02-15", "tipo": "Esterna", "rilevanza": 2}]</t>
        </is>
      </c>
      <c r="R24" s="175" t="n"/>
      <c r="S24" s="158" t="inlineStr">
        <is>
          <t>Funzione Customer Experience</t>
        </is>
      </c>
      <c r="T24" s="158">
        <f>A24&amp;"|"&amp;C24</f>
        <v/>
      </c>
      <c r="U24" s="173" t="n">
        <v>46112</v>
      </c>
      <c r="V24" s="158" t="inlineStr">
        <is>
          <t>Comitato Rischi</t>
        </is>
      </c>
      <c r="W24" s="158" t="inlineStr">
        <is>
          <t>Accettato</t>
        </is>
      </c>
      <c r="X24" s="173" t="n">
        <v>46127</v>
      </c>
      <c r="Y24" s="158" t="inlineStr">
        <is>
          <t>2026Q1</t>
        </is>
      </c>
      <c r="Z24" s="158" t="inlineStr">
        <is>
          <t>Radar</t>
        </is>
      </c>
      <c r="AA24" s="175" t="inlineStr">
        <is>
          <t>Prossimita 3 e Probabilita 3: sopra la soglia</t>
        </is>
      </c>
      <c r="AB24" s="158" t="n"/>
      <c r="AC24" s="158" t="inlineStr">
        <is>
          <t>Automatico</t>
        </is>
      </c>
      <c r="AD24" s="158" t="n"/>
      <c r="AE24" s="175" t="n"/>
      <c r="AF24" s="158">
        <f>IF(AND(A24=cicloCorrente,Z24="Osservazione"),N(J24)*100000+1-ROW()/1000000,"")</f>
        <v/>
      </c>
    </row>
    <row r="25">
      <c r="A25" s="158" t="inlineStr">
        <is>
          <t>2026Q1</t>
        </is>
      </c>
      <c r="B25" s="173" t="n">
        <v>46112</v>
      </c>
      <c r="C25" s="158" t="inlineStr">
        <is>
          <t>NFR-11</t>
        </is>
      </c>
      <c r="D25" s="158" t="inlineStr">
        <is>
          <t>Fine del supporto dei sistemi di pagamento legacy</t>
        </is>
      </c>
      <c r="E25" s="158" t="inlineStr">
        <is>
          <t>9.6</t>
        </is>
      </c>
      <c r="F25" s="158" t="inlineStr">
        <is>
          <t>DRV-TEC</t>
        </is>
      </c>
      <c r="G25" s="158" t="n">
        <v>3</v>
      </c>
      <c r="H25" s="158" t="n">
        <v>2</v>
      </c>
      <c r="I25" s="158" t="n">
        <v>3</v>
      </c>
      <c r="J25" s="174">
        <f>IF(COUNT(G25,I25,K25)&lt;3,"",ROUND((pesoImpatto*G25+pesoProbabilita*K25+pesoProssimita*I25+IF(ISNUMBER(H25),pesoVelocity*H25,0))/(pesoImpatto+pesoProbabilita+pesoProssimita+IF(ISNUMBER(H25),pesoVelocity,0)),2))</f>
        <v/>
      </c>
      <c r="K25" s="158" t="n">
        <v>3</v>
      </c>
      <c r="L25" s="158" t="n">
        <v>3</v>
      </c>
      <c r="M25" s="158" t="inlineStr">
        <is>
          <t>Confermato</t>
        </is>
      </c>
      <c r="N25" s="175" t="inlineStr">
        <is>
          <t>Componenti del sistema di pagamento fuori supporto del produttore, senza patch di sicurezza e con competenze interne in riduzione.</t>
        </is>
      </c>
      <c r="O25" s="175" t="inlineStr">
        <is>
          <t>Impatto 3 per disservizi sui pagamenti; velocity 2; prossimita' 3 per fine supporto annunciata.</t>
        </is>
      </c>
      <c r="P25" s="175" t="inlineStr">
        <is>
          <t>[]</t>
        </is>
      </c>
      <c r="Q25" s="175" t="inlineStr">
        <is>
          <t>[{"riferimento": "Inventario delle componenti fuori supporto — IT", "data": "2025-09-30", "tipo": "Interna", "rilevanza": 3}, {"riferimento": "Comunicazione del produttore sulla fine del supporto esteso", "data": "2026-01-31", "tipo": "Esterna", "rilevanza": 3}]</t>
        </is>
      </c>
      <c r="R25" s="175" t="n"/>
      <c r="S25" s="158" t="inlineStr">
        <is>
          <t>Funzione IT Operations</t>
        </is>
      </c>
      <c r="T25" s="158">
        <f>A25&amp;"|"&amp;C25</f>
        <v/>
      </c>
      <c r="U25" s="173" t="n">
        <v>46112</v>
      </c>
      <c r="V25" s="158" t="inlineStr">
        <is>
          <t>Comitato Rischi</t>
        </is>
      </c>
      <c r="W25" s="158" t="inlineStr">
        <is>
          <t>Accettato</t>
        </is>
      </c>
      <c r="X25" s="173" t="n">
        <v>46127</v>
      </c>
      <c r="Y25" s="158" t="inlineStr">
        <is>
          <t>2026Q1</t>
        </is>
      </c>
      <c r="Z25" s="158" t="inlineStr">
        <is>
          <t>Radar</t>
        </is>
      </c>
      <c r="AA25" s="175" t="inlineStr">
        <is>
          <t>Prossimita 3 e Probabilita 3: sopra la soglia; posto garantito: AGIRE ORA (radar di Mosca)</t>
        </is>
      </c>
      <c r="AB25" s="158" t="n"/>
      <c r="AC25" s="158" t="inlineStr">
        <is>
          <t>Automatico</t>
        </is>
      </c>
      <c r="AD25" s="158" t="n"/>
      <c r="AE25" s="175" t="n"/>
      <c r="AF25" s="158">
        <f>IF(AND(A25=cicloCorrente,Z25="Osservazione"),N(J25)*100000+1-ROW()/1000000,"")</f>
        <v/>
      </c>
    </row>
    <row r="26">
      <c r="A26" s="158" t="inlineStr">
        <is>
          <t>2026Q1</t>
        </is>
      </c>
      <c r="B26" s="173" t="n">
        <v>46112</v>
      </c>
      <c r="C26" s="158" t="inlineStr">
        <is>
          <t>NFR-12</t>
        </is>
      </c>
      <c r="D26" s="158" t="inlineStr">
        <is>
          <t>Errori operativi nei pagamenti istantanei obbligatori</t>
        </is>
      </c>
      <c r="E26" s="158" t="inlineStr">
        <is>
          <t>9.13</t>
        </is>
      </c>
      <c r="F26" s="158" t="inlineStr">
        <is>
          <t>DRV-TEC</t>
        </is>
      </c>
      <c r="G26" s="158" t="n">
        <v>3</v>
      </c>
      <c r="H26" s="158" t="n">
        <v>4</v>
      </c>
      <c r="I26" s="158" t="n">
        <v>3</v>
      </c>
      <c r="J26" s="174">
        <f>IF(COUNT(G26,I26,K26)&lt;3,"",ROUND((pesoImpatto*G26+pesoProbabilita*K26+pesoProssimita*I26+IF(ISNUMBER(H26),pesoVelocity*H26,0))/(pesoImpatto+pesoProbabilita+pesoProssimita+IF(ISNUMBER(H26),pesoVelocity,0)),2))</f>
        <v/>
      </c>
      <c r="K26" s="158" t="n">
        <v>4</v>
      </c>
      <c r="L26" s="158" t="n"/>
      <c r="M26" s="158" t="inlineStr">
        <is>
          <t>Confermato</t>
        </is>
      </c>
      <c r="N26" s="175" t="inlineStr">
        <is>
          <t>Errori di riconciliazione e rimborsi indebiti dopo l'obbligo di offrire i bonifici istantanei a tutta la clientela.</t>
        </is>
      </c>
      <c r="O26" s="175" t="inlineStr">
        <is>
          <t>Impatto 3 per rimborsi indebiti e disservizi; velocity 4 perche' gli errori si propagano in giornata; prossimita' 4 dopo i primi casi interni di maggio.</t>
        </is>
      </c>
      <c r="P26" s="175" t="inlineStr">
        <is>
          <t>[]</t>
        </is>
      </c>
      <c r="Q26" s="175" t="inlineStr">
        <is>
          <t>[{"riferimento": "Piano di adeguamento al regolamento sui bonifici istantanei", "data": "2025-10-01", "tipo": "Interna", "rilevanza": 2}]</t>
        </is>
      </c>
      <c r="R26" s="175" t="n"/>
      <c r="S26" s="158" t="inlineStr">
        <is>
          <t>Funzione Operations</t>
        </is>
      </c>
      <c r="T26" s="158">
        <f>A26&amp;"|"&amp;C26</f>
        <v/>
      </c>
      <c r="U26" s="173" t="n">
        <v>46112</v>
      </c>
      <c r="V26" s="158" t="inlineStr">
        <is>
          <t>Comitato Rischi</t>
        </is>
      </c>
      <c r="W26" s="158" t="inlineStr">
        <is>
          <t>Accettato</t>
        </is>
      </c>
      <c r="X26" s="173" t="n">
        <v>46127</v>
      </c>
      <c r="Y26" s="158" t="inlineStr">
        <is>
          <t>2026Q1</t>
        </is>
      </c>
      <c r="Z26" s="158" t="inlineStr">
        <is>
          <t>Radar</t>
        </is>
      </c>
      <c r="AA26" s="175" t="inlineStr">
        <is>
          <t>Prossimita 3 e Probabilita 4: sopra la soglia</t>
        </is>
      </c>
      <c r="AB26" s="158" t="n"/>
      <c r="AC26" s="158" t="inlineStr">
        <is>
          <t>Automatico</t>
        </is>
      </c>
      <c r="AD26" s="158" t="n"/>
      <c r="AE26" s="175" t="n"/>
      <c r="AF26" s="158">
        <f>IF(AND(A26=cicloCorrente,Z26="Osservazione"),N(J26)*100000+1-ROW()/1000000,"")</f>
        <v/>
      </c>
    </row>
    <row r="27">
      <c r="A27" s="158" t="inlineStr">
        <is>
          <t>2026Q1</t>
        </is>
      </c>
      <c r="B27" s="173" t="n">
        <v>46112</v>
      </c>
      <c r="C27" s="158" t="inlineStr">
        <is>
          <t>NFR-13</t>
        </is>
      </c>
      <c r="D27" s="158" t="inlineStr">
        <is>
          <t>Rottura della crittografia dei pagamenti con il calcolo quantistico</t>
        </is>
      </c>
      <c r="E27" s="158" t="inlineStr">
        <is>
          <t>9.7</t>
        </is>
      </c>
      <c r="F27" s="158" t="inlineStr">
        <is>
          <t>DRV-TEC, DRV-CYB</t>
        </is>
      </c>
      <c r="G27" s="158" t="n">
        <v>5</v>
      </c>
      <c r="H27" s="158" t="n"/>
      <c r="I27" s="158" t="n">
        <v>1</v>
      </c>
      <c r="J27" s="174">
        <f>IF(COUNT(G27,I27,K27)&lt;3,"",ROUND((pesoImpatto*G27+pesoProbabilita*K27+pesoProssimita*I27+IF(ISNUMBER(H27),pesoVelocity*H27,0))/(pesoImpatto+pesoProbabilita+pesoProssimita+IF(ISNUMBER(H27),pesoVelocity,0)),2))</f>
        <v/>
      </c>
      <c r="K27" s="158" t="n">
        <v>1</v>
      </c>
      <c r="L27" s="158" t="n"/>
      <c r="M27" s="158" t="inlineStr">
        <is>
          <t>Nuovo</t>
        </is>
      </c>
      <c r="N27" s="175" t="inlineStr">
        <is>
          <t>Un calcolatore quantistico abbastanza potente renderebbe decifrabili le firme e le comunicazioni che proteggono pagamenti e accessi della Banca; dati intercettati oggi potrebbero essere letti domani. Danno: frodi, violazione di dati, sostituzione d'urgenza della crittografia.</t>
        </is>
      </c>
      <c r="O27" s="175" t="inlineStr">
        <is>
          <t>Impatto 5 perche' toccherebbe tutti i canali; Probabilita 1 e Prossimita 1: nessun calcolatore oggi ha la capacita' necessaria e nessun caso e' documentato; velocity non valutata: nessuna fonte sui tempi.</t>
        </is>
      </c>
      <c r="P27" s="175" t="inlineStr">
        <is>
          <t>[]</t>
        </is>
      </c>
      <c r="Q27" s="175" t="inlineStr">
        <is>
          <t>[{"riferimento": "Rapporto sulla crittografia post-quantistica di un'agenzia europea per la cybersicurezza", "data": "2026-02-10", "tipo": "Esterna", "rilevanza": 2}]</t>
        </is>
      </c>
      <c r="R27" s="175" t="n"/>
      <c r="S27" s="158" t="inlineStr">
        <is>
          <t>Funzione Sicurezza delle Informazioni</t>
        </is>
      </c>
      <c r="T27" s="158">
        <f>A27&amp;"|"&amp;C27</f>
        <v/>
      </c>
      <c r="U27" s="173" t="n">
        <v>46112</v>
      </c>
      <c r="V27" s="158" t="inlineStr">
        <is>
          <t>Comitato Rischi</t>
        </is>
      </c>
      <c r="W27" s="158" t="inlineStr">
        <is>
          <t>Accettato</t>
        </is>
      </c>
      <c r="X27" s="173" t="n">
        <v>46127</v>
      </c>
      <c r="Y27" s="158" t="inlineStr">
        <is>
          <t>2026Q1</t>
        </is>
      </c>
      <c r="Z27" s="158" t="inlineStr">
        <is>
          <t>Osservazione</t>
        </is>
      </c>
      <c r="AA27" s="175" t="inlineStr">
        <is>
          <t>Prossimita 1 sotto la soglia 2; Probabilita 1 sotto la soglia 2</t>
        </is>
      </c>
      <c r="AB27" s="158" t="n"/>
      <c r="AC27" s="158" t="inlineStr">
        <is>
          <t>Automatico</t>
        </is>
      </c>
      <c r="AD27" s="158" t="n">
        <v>10</v>
      </c>
      <c r="AE27" s="175" t="inlineStr">
        <is>
          <t>Annuncio verificato di un calcolatore in grado di rompere RSA-2048, o una scadenza regolamentare per la migrazione post-quantistica dei sistemi di pagamento.</t>
        </is>
      </c>
      <c r="AF27" s="158">
        <f>IF(AND(A27=cicloCorrente,Z27="Osservazione"),N(J27)*100000+1-ROW()/1000000,"")</f>
        <v/>
      </c>
    </row>
    <row r="28">
      <c r="A28" s="158" t="inlineStr">
        <is>
          <t>2026Q1</t>
        </is>
      </c>
      <c r="B28" s="173" t="n">
        <v>46112</v>
      </c>
      <c r="C28" s="158" t="inlineStr">
        <is>
          <t>NFR-14</t>
        </is>
      </c>
      <c r="D28" s="158" t="inlineStr">
        <is>
          <t>Interruzione di cavi sottomarini per una crisi geopolitica</t>
        </is>
      </c>
      <c r="E28" s="158" t="inlineStr">
        <is>
          <t>9.6</t>
        </is>
      </c>
      <c r="F28" s="158" t="inlineStr">
        <is>
          <t>DRV-GEO, DRV-TPR</t>
        </is>
      </c>
      <c r="G28" s="158" t="n">
        <v>4</v>
      </c>
      <c r="H28" s="158" t="n">
        <v>4</v>
      </c>
      <c r="I28" s="158" t="n">
        <v>1</v>
      </c>
      <c r="J28" s="174">
        <f>IF(COUNT(G28,I28,K28)&lt;3,"",ROUND((pesoImpatto*G28+pesoProbabilita*K28+pesoProssimita*I28+IF(ISNUMBER(H28),pesoVelocity*H28,0))/(pesoImpatto+pesoProbabilita+pesoProssimita+IF(ISNUMBER(H28),pesoVelocity,0)),2))</f>
        <v/>
      </c>
      <c r="K28" s="158" t="n">
        <v>1</v>
      </c>
      <c r="L28" s="158" t="n"/>
      <c r="M28" s="158" t="inlineStr">
        <is>
          <t>Nuovo</t>
        </is>
      </c>
      <c r="N28" s="175" t="inlineStr">
        <is>
          <t>Il taglio di piu' cavi sottomarini nel Mediterraneo degraderebbe la connettivita' verso i data center del fornitore cloud e i circuiti di pagamento internazionali. Danno: indisponibilita' dei servizi e dei pagamenti esteri per giorni.</t>
        </is>
      </c>
      <c r="O28" s="175" t="inlineStr">
        <is>
          <t>Impatto 4 per servizi e pagamenti esteri fermi per giorni; velocity 4 perche' il taglio e' immediato; Probabilita 2 dopo i danneggiamenti nel Mar Baltico e nel Mar Rosso; Prossimita 1: nessun caso sulle rotte italiane.</t>
        </is>
      </c>
      <c r="P28" s="175" t="inlineStr">
        <is>
          <t>[]</t>
        </is>
      </c>
      <c r="Q28" s="175" t="inlineStr">
        <is>
          <t>[]</t>
        </is>
      </c>
      <c r="R28" s="175" t="n"/>
      <c r="S28" s="158" t="inlineStr">
        <is>
          <t>Funzione ICT &amp; Security Risk</t>
        </is>
      </c>
      <c r="T28" s="158">
        <f>A28&amp;"|"&amp;C28</f>
        <v/>
      </c>
      <c r="U28" s="173" t="n">
        <v>46112</v>
      </c>
      <c r="V28" s="158" t="inlineStr">
        <is>
          <t>Comitato Rischi</t>
        </is>
      </c>
      <c r="W28" s="158" t="inlineStr">
        <is>
          <t>Accettato</t>
        </is>
      </c>
      <c r="X28" s="173" t="n">
        <v>46127</v>
      </c>
      <c r="Y28" s="158" t="inlineStr">
        <is>
          <t>2026Q1</t>
        </is>
      </c>
      <c r="Z28" s="158" t="inlineStr">
        <is>
          <t>Osservazione</t>
        </is>
      </c>
      <c r="AA28" s="175" t="inlineStr">
        <is>
          <t>Prossimita 1 sotto la soglia 2; Probabilita 1 sotto la soglia 2</t>
        </is>
      </c>
      <c r="AB28" s="158" t="n"/>
      <c r="AC28" s="158" t="inlineStr">
        <is>
          <t>Automatico</t>
        </is>
      </c>
      <c r="AD28" s="158" t="n">
        <v>5</v>
      </c>
      <c r="AE28" s="175" t="inlineStr">
        <is>
          <t>Danneggiamento doloso di un cavo che serve l'Italia, o un'esercitazione delle autorita' sul ripristino della connettivita'.</t>
        </is>
      </c>
      <c r="AF28" s="158">
        <f>IF(AND(A28=cicloCorrente,Z28="Osservazione"),N(J28)*100000+1-ROW()/1000000,"")</f>
        <v/>
      </c>
    </row>
    <row r="29">
      <c r="A29" s="158" t="inlineStr">
        <is>
          <t>2026Q2</t>
        </is>
      </c>
      <c r="B29" s="173" t="n">
        <v>46203</v>
      </c>
      <c r="C29" s="158" t="inlineStr">
        <is>
          <t>NFR-01</t>
        </is>
      </c>
      <c r="D29" s="158" t="inlineStr">
        <is>
          <t>Frodi su pagamenti istantanei abilitate da AI generativa</t>
        </is>
      </c>
      <c r="E29" s="158" t="inlineStr">
        <is>
          <t>9.7</t>
        </is>
      </c>
      <c r="F29" s="158" t="inlineStr">
        <is>
          <t>DRV-AI, DRV-CYB</t>
        </is>
      </c>
      <c r="G29" s="158" t="n">
        <v>4</v>
      </c>
      <c r="H29" s="158" t="n">
        <v>5</v>
      </c>
      <c r="I29" s="158" t="n">
        <v>4</v>
      </c>
      <c r="J29" s="174">
        <f>IF(COUNT(G29,I29,K29)&lt;3,"",ROUND((pesoImpatto*G29+pesoProbabilita*K29+pesoProssimita*I29+IF(ISNUMBER(H29),pesoVelocity*H29,0))/(pesoImpatto+pesoProbabilita+pesoProssimita+IF(ISNUMBER(H29),pesoVelocity,0)),2))</f>
        <v/>
      </c>
      <c r="K29" s="158" t="n">
        <v>4</v>
      </c>
      <c r="L29" s="158" t="n"/>
      <c r="M29" s="158" t="inlineStr">
        <is>
          <t>Variato</t>
        </is>
      </c>
      <c r="N29" s="175" t="inlineStr">
        <is>
          <t>Frodi a danno dei clienti tramite voci o video sintetici che inducono bonifici istantanei irrevocabili verso conti di terzi.</t>
        </is>
      </c>
      <c r="O29" s="175" t="inlineStr">
        <is>
          <t>Impatto 4 per importi medi in forte crescita su pagamenti irrevocabili; velocity 5 perche' i fondi escono dal conto del beneficiario entro un'ora; prossimita' 4 per casi gia' osservati in banche comparabili.</t>
        </is>
      </c>
      <c r="P29" s="175" t="inlineStr">
        <is>
          <t>[{"dimensione": "impatto", "da": 3, "a": 4, "evidenza": "Il report trimestrale frodi documenta importi medi per caso triplicati sui bonifici istantanei rispetto al trimestre precedente.", "data_evidenza": "2026-06-10"}, {"dimensione": "velocity", "da": 4, "a": 5, "evidenza": "Il report trimestrale frodi documenta che i fondi escono dal conto del beneficiario entro un'ora dal bonifico istantaneo.", "data_evidenza": "2026-06-10"}]</t>
        </is>
      </c>
      <c r="Q29" s="175" t="inlineStr">
        <is>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t>
        </is>
      </c>
      <c r="R29" s="175" t="n"/>
      <c r="S29" s="158" t="inlineStr">
        <is>
          <t>Funzione Antifrode</t>
        </is>
      </c>
      <c r="T29" s="158">
        <f>A29&amp;"|"&amp;C29</f>
        <v/>
      </c>
      <c r="U29" s="173" t="n">
        <v>46203</v>
      </c>
      <c r="V29" s="158" t="inlineStr">
        <is>
          <t>Comitato Rischi</t>
        </is>
      </c>
      <c r="W29" s="158" t="inlineStr">
        <is>
          <t>Accettato</t>
        </is>
      </c>
      <c r="X29" s="173" t="n">
        <v>46218</v>
      </c>
      <c r="Y29" s="158" t="inlineStr">
        <is>
          <t>2026Q2</t>
        </is>
      </c>
      <c r="Z29" s="158" t="inlineStr">
        <is>
          <t>Radar</t>
        </is>
      </c>
      <c r="AA29" s="175" t="inlineStr">
        <is>
          <t>Prossimita 4 e Probabilita 4: sopra la soglia; posto garantito: AGIRE ORA (radar di Mosca)</t>
        </is>
      </c>
      <c r="AB29" s="158" t="n"/>
      <c r="AC29" s="158" t="inlineStr">
        <is>
          <t>Automatico</t>
        </is>
      </c>
      <c r="AD29" s="158" t="n"/>
      <c r="AE29" s="175" t="n"/>
      <c r="AF29" s="158">
        <f>IF(AND(A29=cicloCorrente,Z29="Osservazione"),N(J29)*100000+1-ROW()/1000000,"")</f>
        <v/>
      </c>
    </row>
    <row r="30">
      <c r="A30" s="158" t="inlineStr">
        <is>
          <t>2026Q2</t>
        </is>
      </c>
      <c r="B30" s="173" t="n">
        <v>46203</v>
      </c>
      <c r="C30" s="158" t="inlineStr">
        <is>
          <t>NFR-02</t>
        </is>
      </c>
      <c r="D30" s="158" t="inlineStr">
        <is>
          <t>Concentrazione su un fornitore cloud critico</t>
        </is>
      </c>
      <c r="E30" s="158" t="inlineStr">
        <is>
          <t>9.9</t>
        </is>
      </c>
      <c r="F30" s="158" t="inlineStr">
        <is>
          <t>DRV-TPR, DRV-CYB</t>
        </is>
      </c>
      <c r="G30" s="158" t="n">
        <v>4</v>
      </c>
      <c r="H30" s="158" t="n">
        <v>4</v>
      </c>
      <c r="I30" s="158" t="n">
        <v>3</v>
      </c>
      <c r="J30" s="174">
        <f>IF(COUNT(G30,I30,K30)&lt;3,"",ROUND((pesoImpatto*G30+pesoProbabilita*K30+pesoProssimita*I30+IF(ISNUMBER(H30),pesoVelocity*H30,0))/(pesoImpatto+pesoProbabilita+pesoProssimita+IF(ISNUMBER(H30),pesoVelocity,0)),2))</f>
        <v/>
      </c>
      <c r="K30" s="158" t="n">
        <v>2</v>
      </c>
      <c r="L30" s="158" t="n"/>
      <c r="M30" s="158" t="inlineStr">
        <is>
          <t>Confermato</t>
        </is>
      </c>
      <c r="N30" s="175" t="inlineStr">
        <is>
          <t>Indisponibilita' prolungata del fornitore cloud che ospita servizi critici, senza alternativa attivabile nei tempi di ripristino.</t>
        </is>
      </c>
      <c r="O30" s="175" t="inlineStr">
        <is>
          <t>Impatto 4 per servizi critici ospitati su un solo fornitore; velocity 4 perche' un'interruzione e' immediata; prossimita' 3 senza incidenti gravi recenti.</t>
        </is>
      </c>
      <c r="P30" s="175" t="inlineStr">
        <is>
          <t>[]</t>
        </is>
      </c>
      <c r="Q30" s="175" t="inlineStr">
        <is>
          <t>[{"riferimento": "Contratto e piano di uscita del fornitore cloud", "data": "2025-09-30", "tipo": "Interna", "rilevanza": 2}, {"riferimento": "Registro delle informazioni DORA — servizi ICT critici", "data": "2026-03-20", "tipo": "Interna", "rilevanza": 3}, {"riferimento": "Esito del test di exit strategy sul fornitore cloud", "data": "2026-05-12", "tipo": "Interna", "rilevanza": 3}]</t>
        </is>
      </c>
      <c r="R30" s="175" t="n"/>
      <c r="S30" s="158" t="inlineStr">
        <is>
          <t>Funzione ICT &amp; Security Risk</t>
        </is>
      </c>
      <c r="T30" s="158">
        <f>A30&amp;"|"&amp;C30</f>
        <v/>
      </c>
      <c r="U30" s="173" t="n">
        <v>46203</v>
      </c>
      <c r="V30" s="158" t="inlineStr">
        <is>
          <t>Comitato Rischi</t>
        </is>
      </c>
      <c r="W30" s="158" t="inlineStr">
        <is>
          <t>Accettato</t>
        </is>
      </c>
      <c r="X30" s="173" t="n">
        <v>46218</v>
      </c>
      <c r="Y30" s="158" t="inlineStr">
        <is>
          <t>2026Q2</t>
        </is>
      </c>
      <c r="Z30" s="158" t="inlineStr">
        <is>
          <t>Radar</t>
        </is>
      </c>
      <c r="AA30" s="175" t="inlineStr">
        <is>
          <t>Prossimita 3 e Probabilita 2: sopra la soglia; posto garantito: tema del supervisore</t>
        </is>
      </c>
      <c r="AB30" s="158" t="n"/>
      <c r="AC30" s="158" t="inlineStr">
        <is>
          <t>Automatico</t>
        </is>
      </c>
      <c r="AD30" s="158" t="n"/>
      <c r="AE30" s="175" t="n"/>
      <c r="AF30" s="158">
        <f>IF(AND(A30=cicloCorrente,Z30="Osservazione"),N(J30)*100000+1-ROW()/1000000,"")</f>
        <v/>
      </c>
    </row>
    <row r="31">
      <c r="A31" s="158" t="inlineStr">
        <is>
          <t>2026Q2</t>
        </is>
      </c>
      <c r="B31" s="173" t="n">
        <v>46203</v>
      </c>
      <c r="C31" s="158" t="inlineStr">
        <is>
          <t>NFR-03</t>
        </is>
      </c>
      <c r="D31" s="158" t="inlineStr">
        <is>
          <t>Greenwashing nella commercializzazione di prodotti ESG</t>
        </is>
      </c>
      <c r="E31" s="158" t="inlineStr">
        <is>
          <t>9.1</t>
        </is>
      </c>
      <c r="F31" s="158" t="inlineStr">
        <is>
          <t>DRV-CON, DRV-CLI</t>
        </is>
      </c>
      <c r="G31" s="158" t="n">
        <v>3</v>
      </c>
      <c r="H31" s="158" t="n">
        <v>2</v>
      </c>
      <c r="I31" s="158" t="n">
        <v>3</v>
      </c>
      <c r="J31" s="174">
        <f>IF(COUNT(G31,I31,K31)&lt;3,"",ROUND((pesoImpatto*G31+pesoProbabilita*K31+pesoProssimita*I31+IF(ISNUMBER(H31),pesoVelocity*H31,0))/(pesoImpatto+pesoProbabilita+pesoProssimita+IF(ISNUMBER(H31),pesoVelocity,0)),2))</f>
        <v/>
      </c>
      <c r="K31" s="158" t="n">
        <v>3</v>
      </c>
      <c r="L31" s="158" t="n"/>
      <c r="M31" s="158" t="inlineStr">
        <is>
          <t>Confermato</t>
        </is>
      </c>
      <c r="N31" s="175" t="inlineStr">
        <is>
          <t>Claim ambientali non sostanziati nella documentazione di prodotti di investimento ESG, con rischio di sanzioni e rimborsi.</t>
        </is>
      </c>
      <c r="O31" s="175" t="inlineStr">
        <is>
          <t>Impatto 3 per sanzioni e rimborsi possibili su una clientela ampia; velocity 2 perche' l'esposizione emerge con ispezioni o reclami; prossimita' 3 per orientamenti europei gia' in vigore.</t>
        </is>
      </c>
      <c r="P31" s="175" t="inlineStr">
        <is>
          <t>[]</t>
        </is>
      </c>
      <c r="Q31" s="175" t="inlineStr">
        <is>
          <t>[{"riferimento": "Orientamenti dell'autorita' europea sui nomi dei fondi ESG", "data": "2025-11-14", "tipo": "Esterna", "rilevanza": 3}, {"riferimento": "Verifica interna dei claim ambientali — Compliance", "data": "2026-02-18", "tipo": "Interna", "rilevanza": 2}]</t>
        </is>
      </c>
      <c r="R31" s="175" t="n"/>
      <c r="S31" s="158" t="inlineStr">
        <is>
          <t>Funzione Compliance</t>
        </is>
      </c>
      <c r="T31" s="158">
        <f>A31&amp;"|"&amp;C31</f>
        <v/>
      </c>
      <c r="U31" s="173" t="n">
        <v>46203</v>
      </c>
      <c r="V31" s="158" t="inlineStr">
        <is>
          <t>Comitato Rischi</t>
        </is>
      </c>
      <c r="W31" s="158" t="inlineStr">
        <is>
          <t>Accettato</t>
        </is>
      </c>
      <c r="X31" s="173" t="n">
        <v>46218</v>
      </c>
      <c r="Y31" s="158" t="inlineStr">
        <is>
          <t>2026Q2</t>
        </is>
      </c>
      <c r="Z31" s="158" t="inlineStr">
        <is>
          <t>Radar</t>
        </is>
      </c>
      <c r="AA31" s="175" t="inlineStr">
        <is>
          <t>Prossimita 3 e Probabilita 3: sopra la soglia</t>
        </is>
      </c>
      <c r="AB31" s="158" t="n"/>
      <c r="AC31" s="158" t="inlineStr">
        <is>
          <t>Automatico</t>
        </is>
      </c>
      <c r="AD31" s="158" t="n"/>
      <c r="AE31" s="175" t="n"/>
      <c r="AF31" s="158">
        <f>IF(AND(A31=cicloCorrente,Z31="Osservazione"),N(J31)*100000+1-ROW()/1000000,"")</f>
        <v/>
      </c>
    </row>
    <row r="32">
      <c r="A32" s="158" t="inlineStr">
        <is>
          <t>2026Q2</t>
        </is>
      </c>
      <c r="B32" s="173" t="n">
        <v>46203</v>
      </c>
      <c r="C32" s="158" t="inlineStr">
        <is>
          <t>NFR-04</t>
        </is>
      </c>
      <c r="D32" s="158" t="inlineStr">
        <is>
          <t>Eventi climatici estremi su sedi e data center</t>
        </is>
      </c>
      <c r="E32" s="158" t="inlineStr">
        <is>
          <t>9.8</t>
        </is>
      </c>
      <c r="F32" s="158" t="inlineStr">
        <is>
          <t>DRV-CLI</t>
        </is>
      </c>
      <c r="G32" s="158" t="n">
        <v>3</v>
      </c>
      <c r="H32" s="158" t="n">
        <v>2</v>
      </c>
      <c r="I32" s="158" t="n">
        <v>3</v>
      </c>
      <c r="J32" s="174">
        <f>IF(COUNT(G32,I32,K32)&lt;3,"",ROUND((pesoImpatto*G32+pesoProbabilita*K32+pesoProssimita*I32+IF(ISNUMBER(H32),pesoVelocity*H32,0))/(pesoImpatto+pesoProbabilita+pesoProssimita+IF(ISNUMBER(H32),pesoVelocity,0)),2))</f>
        <v/>
      </c>
      <c r="K32" s="158" t="n">
        <v>3</v>
      </c>
      <c r="L32" s="158" t="n"/>
      <c r="M32" s="158" t="inlineStr">
        <is>
          <t>Variato</t>
        </is>
      </c>
      <c r="N32" s="175" t="inlineStr">
        <is>
          <t>Alluvioni o ondate di calore che rendono inagibili sedi operative o degradano il data center secondario.</t>
        </is>
      </c>
      <c r="O32" s="175" t="inlineStr">
        <is>
          <t>Impatto 3 per degrado di sedi e del sito secondario; velocity 2; prossimita' 3 dopo l'alluvione di maggio su filiali della Banca.</t>
        </is>
      </c>
      <c r="P32" s="175" t="inlineStr">
        <is>
          <t>[{"dimensione": "prossimita", "da": 2, "a": 3, "evidenza": "Alluvione in Emilia-Romagna del maggio 2026 con chiusura di due filiali della Banca per tre giorni.", "data_evidenza": "2026-05-06"}]</t>
        </is>
      </c>
      <c r="Q32" s="175" t="inlineStr">
        <is>
          <t>[{"riferimento": "Mappa del rischio idrogeologico delle sedi — BCM", "data": "2025-10-30", "tipo": "Interna", "rilevanza": 2}, {"riferimento": "Alluvione in Emilia-Romagna con chiusura di due filiali", "data": "2026-05-06", "tipo": "Esterna", "rilevanza": 3}]</t>
        </is>
      </c>
      <c r="R32" s="175" t="n"/>
      <c r="S32" s="158" t="inlineStr">
        <is>
          <t>Funzione Business Continuity</t>
        </is>
      </c>
      <c r="T32" s="158">
        <f>A32&amp;"|"&amp;C32</f>
        <v/>
      </c>
      <c r="U32" s="173" t="n">
        <v>46203</v>
      </c>
      <c r="V32" s="158" t="inlineStr">
        <is>
          <t>Comitato Rischi</t>
        </is>
      </c>
      <c r="W32" s="158" t="inlineStr">
        <is>
          <t>Accettato</t>
        </is>
      </c>
      <c r="X32" s="173" t="n">
        <v>46218</v>
      </c>
      <c r="Y32" s="158" t="inlineStr">
        <is>
          <t>2026Q2</t>
        </is>
      </c>
      <c r="Z32" s="158" t="inlineStr">
        <is>
          <t>Radar</t>
        </is>
      </c>
      <c r="AA32" s="175" t="inlineStr">
        <is>
          <t>Prossimita 3 e Probabilita 3: sopra la soglia</t>
        </is>
      </c>
      <c r="AB32" s="158" t="n"/>
      <c r="AC32" s="158" t="inlineStr">
        <is>
          <t>Automatico</t>
        </is>
      </c>
      <c r="AD32" s="158" t="n"/>
      <c r="AE32" s="175" t="n"/>
      <c r="AF32" s="158">
        <f>IF(AND(A32=cicloCorrente,Z32="Osservazione"),N(J32)*100000+1-ROW()/1000000,"")</f>
        <v/>
      </c>
    </row>
    <row r="33">
      <c r="A33" s="158" t="inlineStr">
        <is>
          <t>2026Q2</t>
        </is>
      </c>
      <c r="B33" s="173" t="n">
        <v>46203</v>
      </c>
      <c r="C33" s="158" t="inlineStr">
        <is>
          <t>NFR-05</t>
        </is>
      </c>
      <c r="D33" s="158" t="inlineStr">
        <is>
          <t>Errori di processo nella migrazione del core banking</t>
        </is>
      </c>
      <c r="E33" s="158" t="inlineStr">
        <is>
          <t>9.13</t>
        </is>
      </c>
      <c r="F33" s="158" t="inlineStr">
        <is>
          <t>DRV-TEC</t>
        </is>
      </c>
      <c r="G33" s="158" t="n">
        <v>3</v>
      </c>
      <c r="H33" s="158" t="n">
        <v>3</v>
      </c>
      <c r="I33" s="158" t="n">
        <v>3</v>
      </c>
      <c r="J33" s="174">
        <f>IF(COUNT(G33,I33,K33)&lt;3,"",ROUND((pesoImpatto*G33+pesoProbabilita*K33+pesoProssimita*I33+IF(ISNUMBER(H33),pesoVelocity*H33,0))/(pesoImpatto+pesoProbabilita+pesoProssimita+IF(ISNUMBER(H33),pesoVelocity,0)),2))</f>
        <v/>
      </c>
      <c r="K33" s="158" t="n">
        <v>3</v>
      </c>
      <c r="L33" s="158" t="n"/>
      <c r="M33" s="158" t="inlineStr">
        <is>
          <t>Variato</t>
        </is>
      </c>
      <c r="N33" s="175" t="inlineStr">
        <is>
          <t>Errori di conversione dati e controlli di processo non ridisegnati durante la migrazione a ondate del sistema core.</t>
        </is>
      </c>
      <c r="O33" s="175" t="inlineStr">
        <is>
          <t>Impatto 3 per errori contabili e disservizi limitati nel tempo; velocity 3; prossimita' 3 perche' la wave 2 e' nel 2027.</t>
        </is>
      </c>
      <c r="P33" s="175" t="inlineStr">
        <is>
          <t>[{"dimensione": "prossimita", "da": 4, "a": 3, "evidenza": "Wave 1 completata il 4 maggio 2026; la wave 2 e' pianificata per il 2027, quindi il prossimo punto di esposizione si allontana.", "data_evidenza": "2026-05-04"}]</t>
        </is>
      </c>
      <c r="Q33" s="175" t="inlineStr">
        <is>
          <t>[{"riferimento": "Piano di migrazione del core banking — PMO", "data": "2025-09-15", "tipo": "Interna", "rilevanza": 3}, {"riferimento": "Chiusura della wave 1 di migrazione — PMO", "data": "2026-05-04", "tipo": "Interna", "rilevanza": 3}, {"riferimento": "Relazione di audit sui controlli di riconciliazione post-migrazione", "data": "2026-05-20", "tipo": "Interna", "rilevanza": 3}]</t>
        </is>
      </c>
      <c r="R33" s="175" t="n"/>
      <c r="S33" s="158" t="inlineStr">
        <is>
          <t>Funzione Operations</t>
        </is>
      </c>
      <c r="T33" s="158">
        <f>A33&amp;"|"&amp;C33</f>
        <v/>
      </c>
      <c r="U33" s="173" t="n">
        <v>46203</v>
      </c>
      <c r="V33" s="158" t="inlineStr">
        <is>
          <t>Comitato Rischi</t>
        </is>
      </c>
      <c r="W33" s="158" t="inlineStr">
        <is>
          <t>Accettato</t>
        </is>
      </c>
      <c r="X33" s="173" t="n">
        <v>46218</v>
      </c>
      <c r="Y33" s="158" t="inlineStr">
        <is>
          <t>2026Q2</t>
        </is>
      </c>
      <c r="Z33" s="158" t="inlineStr">
        <is>
          <t>Radar</t>
        </is>
      </c>
      <c r="AA33" s="175" t="inlineStr">
        <is>
          <t>Prossimita 3 e Probabilita 3: sopra la soglia</t>
        </is>
      </c>
      <c r="AB33" s="158" t="n"/>
      <c r="AC33" s="158" t="inlineStr">
        <is>
          <t>Automatico</t>
        </is>
      </c>
      <c r="AD33" s="158" t="n"/>
      <c r="AE33" s="175" t="n"/>
      <c r="AF33" s="158">
        <f>IF(AND(A33=cicloCorrente,Z33="Osservazione"),N(J33)*100000+1-ROW()/1000000,"")</f>
        <v/>
      </c>
    </row>
    <row r="34">
      <c r="A34" s="158" t="inlineStr">
        <is>
          <t>2026Q2</t>
        </is>
      </c>
      <c r="B34" s="173" t="n">
        <v>46203</v>
      </c>
      <c r="C34" s="158" t="inlineStr">
        <is>
          <t>NFR-06</t>
        </is>
      </c>
      <c r="D34" s="158" t="inlineStr">
        <is>
          <t>Esfiltrazione di dati tramite strumenti di AI non autorizzati</t>
        </is>
      </c>
      <c r="E34" s="158" t="inlineStr">
        <is>
          <t>9.7</t>
        </is>
      </c>
      <c r="F34" s="158" t="inlineStr">
        <is>
          <t>DRV-AI, DRV-HUM</t>
        </is>
      </c>
      <c r="G34" s="158" t="n">
        <v>3</v>
      </c>
      <c r="H34" s="158" t="n">
        <v>3</v>
      </c>
      <c r="I34" s="158" t="n">
        <v>3</v>
      </c>
      <c r="J34" s="174">
        <f>IF(COUNT(G34,I34,K34)&lt;3,"",ROUND((pesoImpatto*G34+pesoProbabilita*K34+pesoProssimita*I34+IF(ISNUMBER(H34),pesoVelocity*H34,0))/(pesoImpatto+pesoProbabilita+pesoProssimita+IF(ISNUMBER(H34),pesoVelocity,0)),2))</f>
        <v/>
      </c>
      <c r="K34" s="158" t="n">
        <v>3</v>
      </c>
      <c r="L34" s="158" t="n"/>
      <c r="M34" s="158" t="inlineStr">
        <is>
          <t>Confermato</t>
        </is>
      </c>
      <c r="N34" s="175" t="inlineStr">
        <is>
          <t>Dipendenti che trasferiscono intenzionalmente dati riservati su servizi di AI generativa esterni per uso personale o a favore di terzi.</t>
        </is>
      </c>
      <c r="O34" s="175" t="inlineStr">
        <is>
          <t>Impatto 3 per possibile perdita di dati riservati; velocity 3; prossimita' 3 per tentativi rilevati dal DLP.</t>
        </is>
      </c>
      <c r="P34" s="175" t="inlineStr">
        <is>
          <t>[]</t>
        </is>
      </c>
      <c r="Q34" s="175" t="inlineStr">
        <is>
          <t>[{"riferimento": "Log DLP: tentativi di caricamento verso servizi AI esterni", "data": "2026-03-15", "tipo": "Interna", "rilevanza": 3}, {"riferimento": "Survey interna sull'uso di strumenti di AI generativa", "data": "2026-02-10", "tipo": "Interna", "rilevanza": 2}]</t>
        </is>
      </c>
      <c r="R34" s="175" t="n"/>
      <c r="S34" s="158" t="inlineStr">
        <is>
          <t>Funzione Sicurezza delle Informazioni</t>
        </is>
      </c>
      <c r="T34" s="158">
        <f>A34&amp;"|"&amp;C34</f>
        <v/>
      </c>
      <c r="U34" s="173" t="n">
        <v>46203</v>
      </c>
      <c r="V34" s="158" t="inlineStr">
        <is>
          <t>Comitato Rischi</t>
        </is>
      </c>
      <c r="W34" s="158" t="inlineStr">
        <is>
          <t>Accettato</t>
        </is>
      </c>
      <c r="X34" s="173" t="n">
        <v>46218</v>
      </c>
      <c r="Y34" s="158" t="inlineStr">
        <is>
          <t>2026Q2</t>
        </is>
      </c>
      <c r="Z34" s="158" t="inlineStr">
        <is>
          <t>Radar</t>
        </is>
      </c>
      <c r="AA34" s="175" t="inlineStr">
        <is>
          <t>Prossimita 3 e Probabilita 3: sopra la soglia</t>
        </is>
      </c>
      <c r="AB34" s="158" t="n"/>
      <c r="AC34" s="158" t="inlineStr">
        <is>
          <t>Automatico</t>
        </is>
      </c>
      <c r="AD34" s="158" t="n"/>
      <c r="AE34" s="175" t="n"/>
      <c r="AF34" s="158">
        <f>IF(AND(A34=cicloCorrente,Z34="Osservazione"),N(J34)*100000+1-ROW()/1000000,"")</f>
        <v/>
      </c>
    </row>
    <row r="35">
      <c r="A35" s="158" t="inlineStr">
        <is>
          <t>2026Q2</t>
        </is>
      </c>
      <c r="B35" s="173" t="n">
        <v>46203</v>
      </c>
      <c r="C35" s="158" t="inlineStr">
        <is>
          <t>NFR-07</t>
        </is>
      </c>
      <c r="D35" s="158" t="inlineStr">
        <is>
          <t>Ransomware presso un fornitore di servizi di pagamento</t>
        </is>
      </c>
      <c r="E35" s="158" t="inlineStr">
        <is>
          <t>9.9</t>
        </is>
      </c>
      <c r="F35" s="158" t="inlineStr">
        <is>
          <t>DRV-CYB, DRV-TPR</t>
        </is>
      </c>
      <c r="G35" s="158" t="n">
        <v>4</v>
      </c>
      <c r="H35" s="158" t="n">
        <v>5</v>
      </c>
      <c r="I35" s="158" t="n">
        <v>3</v>
      </c>
      <c r="J35" s="174">
        <f>IF(COUNT(G35,I35,K35)&lt;3,"",ROUND((pesoImpatto*G35+pesoProbabilita*K35+pesoProssimita*I35+IF(ISNUMBER(H35),pesoVelocity*H35,0))/(pesoImpatto+pesoProbabilita+pesoProssimita+IF(ISNUMBER(H35),pesoVelocity,0)),2))</f>
        <v/>
      </c>
      <c r="K35" s="158" t="n">
        <v>3</v>
      </c>
      <c r="L35" s="158" t="n"/>
      <c r="M35" s="158" t="inlineStr">
        <is>
          <t>Confermato</t>
        </is>
      </c>
      <c r="N35" s="175" t="inlineStr">
        <is>
          <t>Blocco prolungato dei pagamenti per un attacco ransomware al fornitore esterno che gestisce il gateway di pagamento della Banca.</t>
        </is>
      </c>
      <c r="O35" s="175" t="inlineStr">
        <is>
          <t>Impatto 4 perche' i pagamenti si fermano; velocity 5 perche' il blocco e' immediato; prossimita' 3 per attacchi a processori europei.</t>
        </is>
      </c>
      <c r="P35" s="175" t="inlineStr">
        <is>
          <t>[]</t>
        </is>
      </c>
      <c r="Q35" s="175" t="inlineStr">
        <is>
          <t>[{"riferimento": "Registro DORA: fornitore del gateway di pagamento classificato critico", "data": "2025-10-15", "tipo": "Interna", "rilevanza": 2}, {"riferimento": "Attacco ransomware a un processore di pagamenti europeo", "data": "2026-02-20", "tipo": "Esterna", "rilevanza": 3}]</t>
        </is>
      </c>
      <c r="R35" s="175" t="n"/>
      <c r="S35" s="158" t="inlineStr">
        <is>
          <t>Funzione ICT &amp; Security Risk</t>
        </is>
      </c>
      <c r="T35" s="158">
        <f>A35&amp;"|"&amp;C35</f>
        <v/>
      </c>
      <c r="U35" s="173" t="n">
        <v>46203</v>
      </c>
      <c r="V35" s="158" t="inlineStr">
        <is>
          <t>Comitato Rischi</t>
        </is>
      </c>
      <c r="W35" s="158" t="inlineStr">
        <is>
          <t>Accettato</t>
        </is>
      </c>
      <c r="X35" s="173" t="n">
        <v>46218</v>
      </c>
      <c r="Y35" s="158" t="inlineStr">
        <is>
          <t>2026Q2</t>
        </is>
      </c>
      <c r="Z35" s="158" t="inlineStr">
        <is>
          <t>Radar</t>
        </is>
      </c>
      <c r="AA35" s="175" t="inlineStr">
        <is>
          <t>Prossimita 3 e Probabilita 3: sopra la soglia; posto garantito: tema del supervisore</t>
        </is>
      </c>
      <c r="AB35" s="158" t="n"/>
      <c r="AC35" s="158" t="inlineStr">
        <is>
          <t>Automatico</t>
        </is>
      </c>
      <c r="AD35" s="158" t="n"/>
      <c r="AE35" s="175" t="n"/>
      <c r="AF35" s="158">
        <f>IF(AND(A35=cicloCorrente,Z35="Osservazione"),N(J35)*100000+1-ROW()/1000000,"")</f>
        <v/>
      </c>
    </row>
    <row r="36">
      <c r="A36" s="158" t="inlineStr">
        <is>
          <t>2026Q2</t>
        </is>
      </c>
      <c r="B36" s="173" t="n">
        <v>46203</v>
      </c>
      <c r="C36" s="158" t="inlineStr">
        <is>
          <t>NFR-08</t>
        </is>
      </c>
      <c r="D36" s="158" t="inlineStr">
        <is>
          <t>Accessi impropri di dipendenti ai dati dei clienti</t>
        </is>
      </c>
      <c r="E36" s="158" t="inlineStr">
        <is>
          <t>9.7</t>
        </is>
      </c>
      <c r="F36" s="158" t="inlineStr">
        <is>
          <t>DRV-HUM, DRV-CON</t>
        </is>
      </c>
      <c r="G36" s="158" t="n">
        <v>3</v>
      </c>
      <c r="H36" s="158" t="n">
        <v>3</v>
      </c>
      <c r="I36" s="158" t="n">
        <v>3</v>
      </c>
      <c r="J36" s="174">
        <f>IF(COUNT(G36,I36,K36)&lt;3,"",ROUND((pesoImpatto*G36+pesoProbabilita*K36+pesoProssimita*I36+IF(ISNUMBER(H36),pesoVelocity*H36,0))/(pesoImpatto+pesoProbabilita+pesoProssimita+IF(ISNUMBER(H36),pesoVelocity,0)),2))</f>
        <v/>
      </c>
      <c r="K36" s="158" t="n">
        <v>2</v>
      </c>
      <c r="L36" s="158" t="n"/>
      <c r="M36" s="158" t="inlineStr">
        <is>
          <t>Confermato</t>
        </is>
      </c>
      <c r="N36" s="175" t="inlineStr">
        <is>
          <t>Dipendenti che consultano o estraggono dati di clienti senza motivo di servizio, per curiosita' o a favore di terzi.</t>
        </is>
      </c>
      <c r="O36" s="175" t="inlineStr">
        <is>
          <t>Impatto 3 per violazione di dati di clientela ampia; velocity 3; prossimita' 3 per casi sanzionati nel settore.</t>
        </is>
      </c>
      <c r="P36" s="175" t="inlineStr">
        <is>
          <t>[]</t>
        </is>
      </c>
      <c r="Q36" s="175" t="inlineStr">
        <is>
          <t>[{"riferimento": "Esiti del monitoraggio degli accessi ai dati clienti — SOC", "data": "2025-11-10", "tipo": "Interna", "rilevanza": 3}, {"riferimento": "Provvedimento dell'autorita' privacy su accessi abusivi in una banca", "data": "2026-04-08", "tipo": "Esterna", "rilevanza": 3}]</t>
        </is>
      </c>
      <c r="R36" s="175" t="n"/>
      <c r="S36" s="158" t="inlineStr">
        <is>
          <t>Funzione Sicurezza delle Informazioni</t>
        </is>
      </c>
      <c r="T36" s="158">
        <f>A36&amp;"|"&amp;C36</f>
        <v/>
      </c>
      <c r="U36" s="173" t="n">
        <v>46203</v>
      </c>
      <c r="V36" s="158" t="inlineStr">
        <is>
          <t>Comitato Rischi</t>
        </is>
      </c>
      <c r="W36" s="158" t="inlineStr">
        <is>
          <t>Accettato</t>
        </is>
      </c>
      <c r="X36" s="173" t="n">
        <v>46218</v>
      </c>
      <c r="Y36" s="158" t="inlineStr">
        <is>
          <t>2026Q2</t>
        </is>
      </c>
      <c r="Z36" s="158" t="inlineStr">
        <is>
          <t>Radar</t>
        </is>
      </c>
      <c r="AA36" s="175" t="inlineStr">
        <is>
          <t>Prossimita 3 e Probabilita 2: sopra la soglia</t>
        </is>
      </c>
      <c r="AB36" s="158" t="n"/>
      <c r="AC36" s="158" t="inlineStr">
        <is>
          <t>Automatico</t>
        </is>
      </c>
      <c r="AD36" s="158" t="n"/>
      <c r="AE36" s="175" t="n"/>
      <c r="AF36" s="158">
        <f>IF(AND(A36=cicloCorrente,Z36="Osservazione"),N(J36)*100000+1-ROW()/1000000,"")</f>
        <v/>
      </c>
    </row>
    <row r="37">
      <c r="A37" s="158" t="inlineStr">
        <is>
          <t>2026Q2</t>
        </is>
      </c>
      <c r="B37" s="173" t="n">
        <v>46203</v>
      </c>
      <c r="C37" s="158" t="inlineStr">
        <is>
          <t>NFR-09</t>
        </is>
      </c>
      <c r="D37" s="158" t="inlineStr">
        <is>
          <t>Violazione di sanzioni internazionali tramite triangolazioni</t>
        </is>
      </c>
      <c r="E37" s="158" t="inlineStr">
        <is>
          <t>9.4</t>
        </is>
      </c>
      <c r="F37" s="158" t="inlineStr">
        <is>
          <t>DRV-GEO</t>
        </is>
      </c>
      <c r="G37" s="158" t="n">
        <v>4</v>
      </c>
      <c r="H37" s="158" t="n">
        <v>3</v>
      </c>
      <c r="I37" s="158" t="n">
        <v>2</v>
      </c>
      <c r="J37" s="174">
        <f>IF(COUNT(G37,I37,K37)&lt;3,"",ROUND((pesoImpatto*G37+pesoProbabilita*K37+pesoProssimita*I37+IF(ISNUMBER(H37),pesoVelocity*H37,0))/(pesoImpatto+pesoProbabilita+pesoProssimita+IF(ISNUMBER(H37),pesoVelocity,0)),2))</f>
        <v/>
      </c>
      <c r="K37" s="158" t="n">
        <v>2</v>
      </c>
      <c r="L37" s="158" t="n"/>
      <c r="M37" s="158" t="inlineStr">
        <is>
          <t>Confermato</t>
        </is>
      </c>
      <c r="N37" s="175" t="inlineStr">
        <is>
          <t>Pagamenti di clientela corporate verso controparti sanzionate interposte in paesi terzi, non intercettati dal filtro sanzioni.</t>
        </is>
      </c>
      <c r="O37" s="175" t="inlineStr">
        <is>
          <t>Impatto 4 per sanzioni e danno reputazionale nazionale; velocity 3; prossimita' 2 per precursori solo in altri paesi.</t>
        </is>
      </c>
      <c r="P37" s="175" t="inlineStr">
        <is>
          <t>[]</t>
        </is>
      </c>
      <c r="Q37" s="175" t="inlineStr">
        <is>
          <t>[{"riferimento": "Nuovo pacchetto di sanzioni UE con obblighi di due diligence rafforzata", "data": "2026-02-24", "tipo": "Esterna", "rilevanza": 3}, {"riferimento": "Analisi dei flussi verso paesi di transito — Compliance", "data": "2026-03-12", "tipo": "Interna", "rilevanza": 2}]</t>
        </is>
      </c>
      <c r="R37" s="175" t="n"/>
      <c r="S37" s="158" t="inlineStr">
        <is>
          <t>Funzione Compliance</t>
        </is>
      </c>
      <c r="T37" s="158">
        <f>A37&amp;"|"&amp;C37</f>
        <v/>
      </c>
      <c r="U37" s="173" t="n">
        <v>46203</v>
      </c>
      <c r="V37" s="158" t="inlineStr">
        <is>
          <t>Comitato Rischi</t>
        </is>
      </c>
      <c r="W37" s="158" t="inlineStr">
        <is>
          <t>Accettato</t>
        </is>
      </c>
      <c r="X37" s="173" t="n">
        <v>46218</v>
      </c>
      <c r="Y37" s="158" t="inlineStr">
        <is>
          <t>2026Q2</t>
        </is>
      </c>
      <c r="Z37" s="158" t="inlineStr">
        <is>
          <t>Radar</t>
        </is>
      </c>
      <c r="AA37" s="175" t="inlineStr">
        <is>
          <t>Prossimita 2 e Probabilita 2: sopra la soglia; posto garantito: tema del supervisore</t>
        </is>
      </c>
      <c r="AB37" s="158" t="n"/>
      <c r="AC37" s="158" t="inlineStr">
        <is>
          <t>Automatico</t>
        </is>
      </c>
      <c r="AD37" s="158" t="n"/>
      <c r="AE37" s="175" t="n"/>
      <c r="AF37" s="158">
        <f>IF(AND(A37=cicloCorrente,Z37="Osservazione"),N(J37)*100000+1-ROW()/1000000,"")</f>
        <v/>
      </c>
    </row>
    <row r="38">
      <c r="A38" s="158" t="inlineStr">
        <is>
          <t>2026Q2</t>
        </is>
      </c>
      <c r="B38" s="173" t="n">
        <v>46203</v>
      </c>
      <c r="C38" s="158" t="inlineStr">
        <is>
          <t>NFR-10</t>
        </is>
      </c>
      <c r="D38" s="158" t="inlineStr">
        <is>
          <t>Informazioni errate ai clienti da assistenti di AI generativa</t>
        </is>
      </c>
      <c r="E38" s="158" t="inlineStr">
        <is>
          <t>9.1</t>
        </is>
      </c>
      <c r="F38" s="158" t="inlineStr">
        <is>
          <t>DRV-AI, DRV-CON</t>
        </is>
      </c>
      <c r="G38" s="158" t="n">
        <v>3</v>
      </c>
      <c r="H38" s="158" t="n"/>
      <c r="I38" s="158" t="n">
        <v>3</v>
      </c>
      <c r="J38" s="174">
        <f>IF(COUNT(G38,I38,K38)&lt;3,"",ROUND((pesoImpatto*G38+pesoProbabilita*K38+pesoProssimita*I38+IF(ISNUMBER(H38),pesoVelocity*H38,0))/(pesoImpatto+pesoProbabilita+pesoProssimita+IF(ISNUMBER(H38),pesoVelocity,0)),2))</f>
        <v/>
      </c>
      <c r="K38" s="158" t="n">
        <v>3</v>
      </c>
      <c r="L38" s="158" t="n"/>
      <c r="M38" s="158" t="inlineStr">
        <is>
          <t>Confermato</t>
        </is>
      </c>
      <c r="N38" s="175" t="inlineStr">
        <is>
          <t>Chatbot di assistenza basati su AI generativa che danno ai clienti informazioni errate su condizioni, costi o diritti, con reclami e rimborsi.</t>
        </is>
      </c>
      <c r="O38" s="175" t="inlineStr">
        <is>
          <t>Impatto 3 per reclami e rimborsi su clientela ampia; velocity non valutata: nessuna fonte documenta i tempi fra una risposta errata e il danno; prossimita' 3 per casi nel settore europeo.</t>
        </is>
      </c>
      <c r="P38" s="175" t="inlineStr">
        <is>
          <t>[]</t>
        </is>
      </c>
      <c r="Q38" s="175" t="inlineStr">
        <is>
          <t>[{"riferimento": "Piano di rilascio del chatbot di assistenza con AI generativa", "data": "2026-01-20", "tipo": "Interna", "rilevanza": 2}, {"riferimento": "Sanzione a una compagnia aerea per risposte errate del proprio chatbot", "data": "2026-02-15", "tipo": "Esterna", "rilevanza": 2}]</t>
        </is>
      </c>
      <c r="R38" s="175" t="n"/>
      <c r="S38" s="158" t="inlineStr">
        <is>
          <t>Funzione Customer Experience</t>
        </is>
      </c>
      <c r="T38" s="158">
        <f>A38&amp;"|"&amp;C38</f>
        <v/>
      </c>
      <c r="U38" s="173" t="n">
        <v>46203</v>
      </c>
      <c r="V38" s="158" t="inlineStr">
        <is>
          <t>Comitato Rischi</t>
        </is>
      </c>
      <c r="W38" s="158" t="inlineStr">
        <is>
          <t>Rettificato</t>
        </is>
      </c>
      <c r="X38" s="173" t="n">
        <v>46218</v>
      </c>
      <c r="Y38" s="158" t="inlineStr">
        <is>
          <t>2026Q2</t>
        </is>
      </c>
      <c r="Z38" s="158" t="inlineStr">
        <is>
          <t>Radar</t>
        </is>
      </c>
      <c r="AA38" s="175" t="inlineStr">
        <is>
          <t>Prossimita 3 e Probabilita 3: sopra la soglia</t>
        </is>
      </c>
      <c r="AB38" s="158" t="n"/>
      <c r="AC38" s="158" t="inlineStr">
        <is>
          <t>Automatico</t>
        </is>
      </c>
      <c r="AD38" s="158" t="n"/>
      <c r="AE38" s="175" t="n"/>
      <c r="AF38" s="158">
        <f>IF(AND(A38=cicloCorrente,Z38="Osservazione"),N(J38)*100000+1-ROW()/1000000,"")</f>
        <v/>
      </c>
    </row>
    <row r="39">
      <c r="A39" s="158" t="inlineStr">
        <is>
          <t>2026Q2</t>
        </is>
      </c>
      <c r="B39" s="173" t="n">
        <v>46203</v>
      </c>
      <c r="C39" s="158" t="inlineStr">
        <is>
          <t>NFR-11</t>
        </is>
      </c>
      <c r="D39" s="158" t="inlineStr">
        <is>
          <t>Fine del supporto dei sistemi di pagamento legacy</t>
        </is>
      </c>
      <c r="E39" s="158" t="inlineStr">
        <is>
          <t>9.6</t>
        </is>
      </c>
      <c r="F39" s="158" t="inlineStr">
        <is>
          <t>DRV-TEC</t>
        </is>
      </c>
      <c r="G39" s="158" t="n">
        <v>3</v>
      </c>
      <c r="H39" s="158" t="n">
        <v>2</v>
      </c>
      <c r="I39" s="158" t="n">
        <v>3</v>
      </c>
      <c r="J39" s="174">
        <f>IF(COUNT(G39,I39,K39)&lt;3,"",ROUND((pesoImpatto*G39+pesoProbabilita*K39+pesoProssimita*I39+IF(ISNUMBER(H39),pesoVelocity*H39,0))/(pesoImpatto+pesoProbabilita+pesoProssimita+IF(ISNUMBER(H39),pesoVelocity,0)),2))</f>
        <v/>
      </c>
      <c r="K39" s="158" t="n">
        <v>3</v>
      </c>
      <c r="L39" s="158" t="n">
        <v>3</v>
      </c>
      <c r="M39" s="158" t="inlineStr">
        <is>
          <t>Confermato</t>
        </is>
      </c>
      <c r="N39" s="175" t="inlineStr">
        <is>
          <t>Componenti del sistema di pagamento fuori supporto del produttore, senza patch di sicurezza e con competenze interne in riduzione.</t>
        </is>
      </c>
      <c r="O39" s="175" t="inlineStr">
        <is>
          <t>Impatto 3 per disservizi sui pagamenti; velocity 2; prossimita' 3 per fine supporto annunciata.</t>
        </is>
      </c>
      <c r="P39" s="175" t="inlineStr">
        <is>
          <t>[]</t>
        </is>
      </c>
      <c r="Q39" s="175" t="inlineStr">
        <is>
          <t>[{"riferimento": "Inventario delle componenti fuori supporto — IT", "data": "2025-09-30", "tipo": "Interna", "rilevanza": 3}, {"riferimento": "Comunicazione del produttore sulla fine del supporto esteso", "data": "2026-01-31", "tipo": "Esterna", "rilevanza": 3}]</t>
        </is>
      </c>
      <c r="R39" s="175" t="n"/>
      <c r="S39" s="158" t="inlineStr">
        <is>
          <t>Funzione IT Operations</t>
        </is>
      </c>
      <c r="T39" s="158">
        <f>A39&amp;"|"&amp;C39</f>
        <v/>
      </c>
      <c r="U39" s="173" t="n">
        <v>46203</v>
      </c>
      <c r="V39" s="158" t="inlineStr">
        <is>
          <t>Comitato Rischi</t>
        </is>
      </c>
      <c r="W39" s="158" t="inlineStr">
        <is>
          <t>Accettato</t>
        </is>
      </c>
      <c r="X39" s="173" t="n">
        <v>46218</v>
      </c>
      <c r="Y39" s="158" t="inlineStr">
        <is>
          <t>2026Q2</t>
        </is>
      </c>
      <c r="Z39" s="158" t="inlineStr">
        <is>
          <t>Radar</t>
        </is>
      </c>
      <c r="AA39" s="175" t="inlineStr">
        <is>
          <t>Prossimita 3 e Probabilita 3: sopra la soglia; posto garantito: AGIRE ORA (radar di Mosca)</t>
        </is>
      </c>
      <c r="AB39" s="158" t="n"/>
      <c r="AC39" s="158" t="inlineStr">
        <is>
          <t>Automatico</t>
        </is>
      </c>
      <c r="AD39" s="158" t="n"/>
      <c r="AE39" s="175" t="n"/>
      <c r="AF39" s="158">
        <f>IF(AND(A39=cicloCorrente,Z39="Osservazione"),N(J39)*100000+1-ROW()/1000000,"")</f>
        <v/>
      </c>
    </row>
    <row r="40">
      <c r="A40" s="158" t="inlineStr">
        <is>
          <t>2026Q2</t>
        </is>
      </c>
      <c r="B40" s="173" t="n">
        <v>46203</v>
      </c>
      <c r="C40" s="158" t="inlineStr">
        <is>
          <t>NFR-12</t>
        </is>
      </c>
      <c r="D40" s="158" t="inlineStr">
        <is>
          <t>Errori operativi nei pagamenti istantanei obbligatori</t>
        </is>
      </c>
      <c r="E40" s="158" t="inlineStr">
        <is>
          <t>9.13</t>
        </is>
      </c>
      <c r="F40" s="158" t="inlineStr">
        <is>
          <t>DRV-TEC</t>
        </is>
      </c>
      <c r="G40" s="158" t="n">
        <v>3</v>
      </c>
      <c r="H40" s="158" t="n">
        <v>4</v>
      </c>
      <c r="I40" s="158" t="n">
        <v>4</v>
      </c>
      <c r="J40" s="174">
        <f>IF(COUNT(G40,I40,K40)&lt;3,"",ROUND((pesoImpatto*G40+pesoProbabilita*K40+pesoProssimita*I40+IF(ISNUMBER(H40),pesoVelocity*H40,0))/(pesoImpatto+pesoProbabilita+pesoProssimita+IF(ISNUMBER(H40),pesoVelocity,0)),2))</f>
        <v/>
      </c>
      <c r="K40" s="158" t="n">
        <v>4</v>
      </c>
      <c r="L40" s="158" t="n"/>
      <c r="M40" s="158" t="inlineStr">
        <is>
          <t>Variato</t>
        </is>
      </c>
      <c r="N40" s="175" t="inlineStr">
        <is>
          <t>Errori di riconciliazione e rimborsi indebiti dopo l'obbligo di offrire i bonifici istantanei a tutta la clientela.</t>
        </is>
      </c>
      <c r="O40" s="175" t="inlineStr">
        <is>
          <t>Impatto 3 per rimborsi indebiti e disservizi; velocity 4 perche' gli errori si propagano in giornata; prossimita' 4 dopo i primi casi interni di maggio.</t>
        </is>
      </c>
      <c r="P40" s="175" t="inlineStr">
        <is>
          <t>[{"dimensione": "prossimita", "da": 3, "a": 4, "evidenza": "Il report operativo di maggio registra i primi rimborsi indebiti e differenze di riconciliazione sui bonifici istantanei presso la Banca.", "data_evidenza": "2026-05-15"}]</t>
        </is>
      </c>
      <c r="Q40" s="175" t="inlineStr">
        <is>
          <t>[{"riferimento": "Piano di adeguamento al regolamento sui bonifici istantanei", "data": "2025-10-01", "tipo": "Interna", "rilevanza": 2}, {"riferimento": "Report operativo dei pagamenti istantanei — maggio", "data": "2026-05-15", "tipo": "Interna", "rilevanza": 3}]</t>
        </is>
      </c>
      <c r="R40" s="175" t="inlineStr">
        <is>
          <t>⚑ DA MOTIVARE · C4 · A5: Prossimita 4: il report operativo di maggio documenta rimborsi indebiti, ma non un caso nominato fuori dalla Banca.</t>
        </is>
      </c>
      <c r="S40" s="158" t="inlineStr">
        <is>
          <t>Funzione Operations</t>
        </is>
      </c>
      <c r="T40" s="158">
        <f>A40&amp;"|"&amp;C40</f>
        <v/>
      </c>
      <c r="U40" s="173" t="n">
        <v>46203</v>
      </c>
      <c r="V40" s="158" t="inlineStr">
        <is>
          <t>Comitato Rischi</t>
        </is>
      </c>
      <c r="W40" s="158" t="inlineStr">
        <is>
          <t>Accettato</t>
        </is>
      </c>
      <c r="X40" s="173" t="n">
        <v>46218</v>
      </c>
      <c r="Y40" s="158" t="inlineStr">
        <is>
          <t>2026Q2</t>
        </is>
      </c>
      <c r="Z40" s="158" t="inlineStr">
        <is>
          <t>Radar</t>
        </is>
      </c>
      <c r="AA40" s="175" t="inlineStr">
        <is>
          <t>Prossimita 4 e Probabilita 4: sopra la soglia</t>
        </is>
      </c>
      <c r="AB40" s="158" t="n"/>
      <c r="AC40" s="158" t="inlineStr">
        <is>
          <t>Automatico</t>
        </is>
      </c>
      <c r="AD40" s="158" t="n"/>
      <c r="AE40" s="175" t="n"/>
      <c r="AF40" s="158">
        <f>IF(AND(A40=cicloCorrente,Z40="Osservazione"),N(J40)*100000+1-ROW()/1000000,"")</f>
        <v/>
      </c>
    </row>
    <row r="41">
      <c r="A41" s="158" t="inlineStr">
        <is>
          <t>2026Q2</t>
        </is>
      </c>
      <c r="B41" s="173" t="n">
        <v>46203</v>
      </c>
      <c r="C41" s="158" t="inlineStr">
        <is>
          <t>NFR-13</t>
        </is>
      </c>
      <c r="D41" s="158" t="inlineStr">
        <is>
          <t>Rottura della crittografia dei pagamenti con il calcolo quantistico</t>
        </is>
      </c>
      <c r="E41" s="158" t="inlineStr">
        <is>
          <t>9.7</t>
        </is>
      </c>
      <c r="F41" s="158" t="inlineStr">
        <is>
          <t>DRV-TEC, DRV-CYB</t>
        </is>
      </c>
      <c r="G41" s="158" t="n">
        <v>5</v>
      </c>
      <c r="H41" s="158" t="n"/>
      <c r="I41" s="158" t="n">
        <v>1</v>
      </c>
      <c r="J41" s="174">
        <f>IF(COUNT(G41,I41,K41)&lt;3,"",ROUND((pesoImpatto*G41+pesoProbabilita*K41+pesoProssimita*I41+IF(ISNUMBER(H41),pesoVelocity*H41,0))/(pesoImpatto+pesoProbabilita+pesoProssimita+IF(ISNUMBER(H41),pesoVelocity,0)),2))</f>
        <v/>
      </c>
      <c r="K41" s="158" t="n">
        <v>1</v>
      </c>
      <c r="L41" s="158" t="n"/>
      <c r="M41" s="158" t="inlineStr">
        <is>
          <t>Confermato</t>
        </is>
      </c>
      <c r="N41" s="175" t="inlineStr">
        <is>
          <t>Un calcolatore quantistico abbastanza potente renderebbe decifrabili le firme e le comunicazioni che proteggono pagamenti e accessi della Banca; dati intercettati oggi potrebbero essere letti domani. Danno: frodi, violazione di dati, sostituzione d'urgenza della crittografia.</t>
        </is>
      </c>
      <c r="O41" s="175" t="inlineStr">
        <is>
          <t>Impatto 5 perche' toccherebbe tutti i canali; Probabilita 1 e Prossimita 1: nessun calcolatore oggi ha la capacita' necessaria e nessun caso e' documentato; velocity non valutata: nessuna fonte sui tempi.</t>
        </is>
      </c>
      <c r="P41" s="175" t="inlineStr">
        <is>
          <t>[]</t>
        </is>
      </c>
      <c r="Q41" s="175" t="inlineStr">
        <is>
          <t>[{"riferimento": "Rapporto sulla crittografia post-quantistica di un'agenzia europea per la cybersicurezza", "data": "2026-02-10", "tipo": "Esterna", "rilevanza": 2}]</t>
        </is>
      </c>
      <c r="R41" s="175" t="n"/>
      <c r="S41" s="158" t="inlineStr">
        <is>
          <t>Funzione Sicurezza delle Informazioni</t>
        </is>
      </c>
      <c r="T41" s="158">
        <f>A41&amp;"|"&amp;C41</f>
        <v/>
      </c>
      <c r="U41" s="173" t="n">
        <v>46203</v>
      </c>
      <c r="V41" s="158" t="inlineStr">
        <is>
          <t>Comitato Rischi</t>
        </is>
      </c>
      <c r="W41" s="158" t="inlineStr">
        <is>
          <t>Accettato</t>
        </is>
      </c>
      <c r="X41" s="173" t="n">
        <v>46127</v>
      </c>
      <c r="Y41" s="158" t="inlineStr">
        <is>
          <t>2026Q1</t>
        </is>
      </c>
      <c r="Z41" s="158" t="inlineStr">
        <is>
          <t>Osservazione</t>
        </is>
      </c>
      <c r="AA41" s="175" t="inlineStr">
        <is>
          <t>Prossimita 1 sotto la soglia 2; Probabilita 1 sotto la soglia 2</t>
        </is>
      </c>
      <c r="AB41" s="158" t="n"/>
      <c r="AC41" s="158" t="inlineStr">
        <is>
          <t>Automatico</t>
        </is>
      </c>
      <c r="AD41" s="158" t="n">
        <v>10</v>
      </c>
      <c r="AE41" s="175" t="inlineStr">
        <is>
          <t>Annuncio verificato di un calcolatore in grado di rompere RSA-2048, o una scadenza regolamentare per la migrazione post-quantistica dei sistemi di pagamento.</t>
        </is>
      </c>
      <c r="AF41" s="158">
        <f>IF(AND(A41=cicloCorrente,Z41="Osservazione"),N(J41)*100000+1-ROW()/1000000,"")</f>
        <v/>
      </c>
    </row>
    <row r="42">
      <c r="A42" s="158" t="inlineStr">
        <is>
          <t>2026Q2</t>
        </is>
      </c>
      <c r="B42" s="173" t="n">
        <v>46203</v>
      </c>
      <c r="C42" s="158" t="inlineStr">
        <is>
          <t>NFR-14</t>
        </is>
      </c>
      <c r="D42" s="158" t="inlineStr">
        <is>
          <t>Interruzione di cavi sottomarini per una crisi geopolitica</t>
        </is>
      </c>
      <c r="E42" s="158" t="inlineStr">
        <is>
          <t>9.6</t>
        </is>
      </c>
      <c r="F42" s="158" t="inlineStr">
        <is>
          <t>DRV-GEO, DRV-TPR</t>
        </is>
      </c>
      <c r="G42" s="158" t="n">
        <v>4</v>
      </c>
      <c r="H42" s="158" t="n">
        <v>4</v>
      </c>
      <c r="I42" s="158" t="n">
        <v>1</v>
      </c>
      <c r="J42" s="174">
        <f>IF(COUNT(G42,I42,K42)&lt;3,"",ROUND((pesoImpatto*G42+pesoProbabilita*K42+pesoProssimita*I42+IF(ISNUMBER(H42),pesoVelocity*H42,0))/(pesoImpatto+pesoProbabilita+pesoProssimita+IF(ISNUMBER(H42),pesoVelocity,0)),2))</f>
        <v/>
      </c>
      <c r="K42" s="158" t="n">
        <v>2</v>
      </c>
      <c r="L42" s="158" t="n"/>
      <c r="M42" s="158" t="inlineStr">
        <is>
          <t>Variato</t>
        </is>
      </c>
      <c r="N42" s="175" t="inlineStr">
        <is>
          <t>Il taglio di piu' cavi sottomarini nel Mediterraneo degraderebbe la connettivita' verso i data center del fornitore cloud e i circuiti di pagamento internazionali. Danno: indisponibilita' dei servizi e dei pagamenti esteri per giorni.</t>
        </is>
      </c>
      <c r="O42" s="175" t="inlineStr">
        <is>
          <t>Impatto 4 per servizi e pagamenti esteri fermi per giorni; velocity 4 perche' il taglio e' immediato; Probabilita 2 dopo i danneggiamenti nel Mar Baltico e nel Mar Rosso; Prossimita 1: nessun caso sulle rotte italiane.</t>
        </is>
      </c>
      <c r="P42" s="175" t="inlineStr">
        <is>
          <t>[{"dimensione": "probabilita", "da": 1, "a": 2, "evidenza": "Il rapporto sulla resilienza delle infrastrutture critiche sottomarine documenta tre danneggiamenti dolosi di cavi europei in un anno.", "data_evidenza": "2026-05-20"}]</t>
        </is>
      </c>
      <c r="Q42" s="175" t="inlineStr">
        <is>
          <t>[{"riferimento": "Rapporto sulla resilienza delle infrastrutture critiche sottomarine", "data": "2026-05-20", "tipo": "Esterna", "rilevanza": 3}]</t>
        </is>
      </c>
      <c r="R42" s="175" t="n"/>
      <c r="S42" s="158" t="inlineStr">
        <is>
          <t>Funzione ICT &amp; Security Risk</t>
        </is>
      </c>
      <c r="T42" s="158">
        <f>A42&amp;"|"&amp;C42</f>
        <v/>
      </c>
      <c r="U42" s="173" t="n">
        <v>46203</v>
      </c>
      <c r="V42" s="158" t="inlineStr">
        <is>
          <t>Comitato Rischi</t>
        </is>
      </c>
      <c r="W42" s="158" t="inlineStr">
        <is>
          <t>Accettato</t>
        </is>
      </c>
      <c r="X42" s="173" t="n">
        <v>46218</v>
      </c>
      <c r="Y42" s="158" t="inlineStr">
        <is>
          <t>2026Q2</t>
        </is>
      </c>
      <c r="Z42" s="158" t="inlineStr">
        <is>
          <t>Osservazione</t>
        </is>
      </c>
      <c r="AA42" s="175" t="inlineStr">
        <is>
          <t>Prossimita 1 sotto la soglia 2</t>
        </is>
      </c>
      <c r="AB42" s="158" t="n"/>
      <c r="AC42" s="158" t="inlineStr">
        <is>
          <t>Automatico</t>
        </is>
      </c>
      <c r="AD42" s="158" t="n">
        <v>5</v>
      </c>
      <c r="AE42" s="175" t="inlineStr">
        <is>
          <t>Danneggiamento doloso di un cavo che serve l'Italia, o un'esercitazione delle autorita' sul ripristino della connettivita'.</t>
        </is>
      </c>
      <c r="AF42" s="158">
        <f>IF(AND(A42=cicloCorrente,Z42="Osservazione"),N(J42)*100000+1-ROW()/1000000,"")</f>
        <v/>
      </c>
    </row>
    <row r="43">
      <c r="A43" s="158" t="inlineStr">
        <is>
          <t>2026Q2</t>
        </is>
      </c>
      <c r="B43" s="173" t="n">
        <v>46203</v>
      </c>
      <c r="C43" s="158" t="inlineStr">
        <is>
          <t>NFR-15</t>
        </is>
      </c>
      <c r="D43" s="158" t="inlineStr">
        <is>
          <t>Responsabilita' per decisioni di agenti di IA autonomi verso i clienti</t>
        </is>
      </c>
      <c r="E43" s="158" t="inlineStr">
        <is>
          <t>9.4</t>
        </is>
      </c>
      <c r="F43" s="158" t="inlineStr">
        <is>
          <t>DRV-AI, DRV-CON</t>
        </is>
      </c>
      <c r="G43" s="158" t="n">
        <v>3</v>
      </c>
      <c r="H43" s="158" t="n"/>
      <c r="I43" s="158" t="n">
        <v>2</v>
      </c>
      <c r="J43" s="174">
        <f>IF(COUNT(G43,I43,K43)&lt;3,"",ROUND((pesoImpatto*G43+pesoProbabilita*K43+pesoProssimita*I43+IF(ISNUMBER(H43),pesoVelocity*H43,0))/(pesoImpatto+pesoProbabilita+pesoProssimita+IF(ISNUMBER(H43),pesoVelocity,0)),2))</f>
        <v/>
      </c>
      <c r="K43" s="158" t="n">
        <v>1</v>
      </c>
      <c r="L43" s="158" t="n"/>
      <c r="M43" s="158" t="inlineStr">
        <is>
          <t>Nuovo</t>
        </is>
      </c>
      <c r="N43" s="175" t="inlineStr">
        <is>
          <t>Agenti di IA che agiscono per conto dei clienti (pagamenti, investimenti) potrebbero eseguire operazioni non volute; la ripartizione della responsabilita' fra cliente, fornitore dell'agente e Banca non e' definita. Danno: rimborsi e contenzioso.</t>
        </is>
      </c>
      <c r="O43" s="175" t="inlineStr">
        <is>
          <t>Impatto 3 per rimborsi e contenzioso; Prossimita 2 per sperimentazioni presso grandi piattaforme di pagamento; Probabilita 1: nessun caso in banca; velocity non valutata.</t>
        </is>
      </c>
      <c r="P43" s="175" t="inlineStr">
        <is>
          <t>[]</t>
        </is>
      </c>
      <c r="Q43" s="175" t="inlineStr">
        <is>
          <t>[{"riferimento": "Comunicato di una piattaforma di pagamento sugli acquisti delegati ad agenti di IA", "data": "2026-06-03", "tipo": "Esterna", "rilevanza": 2}]</t>
        </is>
      </c>
      <c r="R43" s="175" t="n"/>
      <c r="S43" s="158" t="inlineStr">
        <is>
          <t>Funzione Customer Experience</t>
        </is>
      </c>
      <c r="T43" s="158">
        <f>A43&amp;"|"&amp;C43</f>
        <v/>
      </c>
      <c r="U43" s="173" t="n">
        <v>46203</v>
      </c>
      <c r="V43" s="158" t="inlineStr">
        <is>
          <t>Comitato Rischi</t>
        </is>
      </c>
      <c r="W43" s="158" t="inlineStr">
        <is>
          <t>Accettato</t>
        </is>
      </c>
      <c r="X43" s="173" t="n">
        <v>46218</v>
      </c>
      <c r="Y43" s="158" t="inlineStr">
        <is>
          <t>2026Q2</t>
        </is>
      </c>
      <c r="Z43" s="158" t="inlineStr">
        <is>
          <t>Osservazione</t>
        </is>
      </c>
      <c r="AA43" s="175" t="inlineStr">
        <is>
          <t>Probabilita 1 sotto la soglia 2</t>
        </is>
      </c>
      <c r="AB43" s="158" t="n"/>
      <c r="AC43" s="158" t="inlineStr">
        <is>
          <t>Automatico</t>
        </is>
      </c>
      <c r="AD43" s="158" t="n">
        <v>4</v>
      </c>
      <c r="AE43" s="175" t="inlineStr">
        <is>
          <t>Primo contenzioso o orientamento di un'autorita' europea su un'operazione bancaria disposta da un agente di IA.</t>
        </is>
      </c>
      <c r="AF43" s="158">
        <f>IF(AND(A43=cicloCorrente,Z43="Osservazione"),N(J43)*100000+1-ROW()/1000000,"")</f>
        <v/>
      </c>
    </row>
  </sheetData>
  <mergeCells count="9">
    <mergeCell ref="AD3:AE3"/>
    <mergeCell ref="A2:L2"/>
    <mergeCell ref="A1:L1"/>
    <mergeCell ref="N3:Q3"/>
    <mergeCell ref="R3:S3"/>
    <mergeCell ref="A3:I3"/>
    <mergeCell ref="V3:X3"/>
    <mergeCell ref="Y3:AB3"/>
    <mergeCell ref="K3:L3"/>
  </mergeCells>
  <dataValidations count="4">
    <dataValidation sqref="E6:E20000" showDropDown="0" showInputMessage="0" showErrorMessage="0" allowBlank="1" type="list">
      <formula1>=codiciL1</formula1>
    </dataValidation>
    <dataValidation sqref="M6:M20000" showDropDown="0" showInputMessage="0" showErrorMessage="0" allowBlank="1" type="list">
      <formula1>"Confermato,Variato,Nuovo"</formula1>
    </dataValidation>
    <dataValidation sqref="Z6:Z20000" showDropDown="0" showInputMessage="0" showErrorMessage="0" allowBlank="1" type="list">
      <formula1>"Radar,Radar, in uscita,Osservazione,Dismesso"</formula1>
    </dataValidation>
    <dataValidation sqref="AC6:AC20000" showDropDown="0" showInputMessage="0" showErrorMessage="0" allowBlank="1" type="list">
      <formula1>"Automatico,Radar,Osservazione"</formula1>
    </dataValidation>
  </dataValidations>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tabColor rgb="00A6A6A6"/>
    <outlinePr summaryBelow="1" summaryRight="1"/>
    <pageSetUpPr/>
  </sheetPr>
  <dimension ref="A1:L17"/>
  <sheetViews>
    <sheetView showGridLines="1" workbookViewId="0">
      <selection activeCell="A1" sqref="A1"/>
    </sheetView>
  </sheetViews>
  <sheetFormatPr baseColWidth="8" defaultRowHeight="15"/>
  <cols>
    <col width="15" customWidth="1" min="1" max="1"/>
    <col width="15" customWidth="1" min="2" max="2"/>
    <col width="15" customWidth="1" min="3" max="3"/>
    <col width="50" customWidth="1" min="4" max="4"/>
    <col width="15" customWidth="1" min="5" max="5"/>
    <col width="15" customWidth="1" min="6" max="6"/>
    <col width="15" customWidth="1" min="7" max="7"/>
    <col width="50" customWidth="1" min="8" max="8"/>
    <col width="15" customWidth="1" min="9" max="9"/>
    <col width="15" customWidth="1" min="10" max="10"/>
    <col width="15" customWidth="1" min="11" max="11"/>
    <col width="15" customWidth="1" min="12" max="12"/>
  </cols>
  <sheetData>
    <row r="1" ht="28" customHeight="1">
      <c r="A1" s="1">
        <f>"Horizon Scan NFR — Azioni — azioni di mitigazione proposte e loro stato   ·   "&amp;etichettaCiclo</f>
        <v/>
      </c>
      <c r="B1" s="2" t="n"/>
      <c r="C1" s="2" t="n"/>
      <c r="D1" s="2" t="n"/>
      <c r="E1" s="2" t="n"/>
      <c r="F1" s="2" t="n"/>
      <c r="G1" s="2" t="n"/>
      <c r="H1" s="2" t="n"/>
      <c r="I1" s="2" t="n"/>
      <c r="J1" s="2" t="n"/>
      <c r="K1" s="2" t="n"/>
      <c r="L1" s="2" t="n"/>
    </row>
    <row r="2" ht="72.5" customHeight="1">
      <c r="A2" s="13" t="inlineStr">
        <is>
          <r>
            <rPr>
              <rFont val="Calibri"/>
              <b val="1"/>
              <color rgb="001F4E79"/>
              <sz val="10"/>
            </rPr>
            <t>CICLO TRIMESTRALE — A1 propone da 1 a 5 azioni per rischio; la validazione e' la delibera (Accettato o Rettificato = Approvata, Respinto = Respinta).</t>
          </r>
          <r>
            <rPr>
              <rFont val="Calibri"/>
              <color rgb="00262626"/>
              <sz val="10"/>
            </rPr>
            <t xml:space="preserve">
Mesi_Orizzonte alimenta la Y di Mosca: l'orizzonte piu' lungo fra le azioni del ciclo non respinte. Le azioni non Completate, Respinte o Annullate passano ad A1 come aperte nel ciclo dopo. Vista d'insieme: Piano_azioni.
Modifiche a mano: la colonna Stato di un'azione approvata (In corso, Completata), quando l'owner lo comunica, e i testi Descrizione e Razionale (D-76). Owner e orizzonte di un'azione gia' decisa: comando riapri e validazione. Il resto si scrive solo con lo script.
Colore delle intestazioni = chi scrive la colonna: azzurro l'agente del ciclo trimestrale (A1, A5), verde l'agente settimanale (A3), giallo la validazione, grigio lo script o una formula. Righe grigie = dati di esempio.</t>
          </r>
        </is>
      </c>
    </row>
    <row r="3">
      <c r="A3" s="168" t="inlineStr">
        <is>
          <t>A1 · ciclo trimestrale, poi validato</t>
        </is>
      </c>
      <c r="C3" s="169" t="inlineStr">
        <is>
          <t>Script · alla scrittura</t>
        </is>
      </c>
      <c r="D3" s="168" t="inlineStr">
        <is>
          <t>A1 · ciclo trimestrale, poi validato</t>
        </is>
      </c>
      <c r="G3" s="169" t="inlineStr">
        <is>
          <t>Formula · calcolata dal foglio</t>
        </is>
      </c>
      <c r="H3" s="168" t="inlineStr">
        <is>
          <t>A1 · ciclo trimestrale, poi validato</t>
        </is>
      </c>
      <c r="I3" s="170" t="inlineStr">
        <is>
          <t>Validazione · comando valida</t>
        </is>
      </c>
    </row>
    <row r="4" ht="80" customHeight="1">
      <c r="A4" s="171" t="inlineStr">
        <is>
          <t>A1 · Trimestre in cui l'azione e' stata proposta.</t>
        </is>
      </c>
      <c r="B4" s="171" t="inlineStr">
        <is>
          <t>A1 · Rischio a cui l'azione si riferisce.</t>
        </is>
      </c>
      <c r="C4" s="171" t="inlineStr">
        <is>
          <t>Script · Codice &lt;ciclo&gt;-&lt;rischio&gt;-A&lt;n&gt;.</t>
        </is>
      </c>
      <c r="D4" s="171" t="inlineStr">
        <is>
          <t>A1 · Che cosa fare, in concreto.</t>
        </is>
      </c>
      <c r="E4" s="171" t="inlineStr">
        <is>
          <t>A1 · Funzione che la realizza, mai una persona.</t>
        </is>
      </c>
      <c r="F4" s="171" t="inlineStr">
        <is>
          <t>A1 · Tempo per completarla: 3, 6 o 12 mesi.</t>
        </is>
      </c>
      <c r="G4" s="171" t="inlineStr">
        <is>
          <t>Formula · Orizzonte in mesi: il piu' lungo fra le azioni non respinte e' la Y di Mosca.</t>
        </is>
      </c>
      <c r="H4" s="171" t="inlineStr">
        <is>
          <t>A1 · Perche' l'azione riduce il rischio; dopo EFFETTO: che cosa dovrebbe cambiare (D-68).</t>
        </is>
      </c>
      <c r="I4" s="171" t="inlineStr">
        <is>
          <t>Validazione · Proposta, poi Approvata o Respinta (validazione); In corso e Completata a mano; Annullata se il rischio esce.</t>
        </is>
      </c>
      <c r="J4" s="171" t="inlineStr">
        <is>
          <t>Validazione · Giorno della decisione sull'azione.</t>
        </is>
      </c>
      <c r="K4" s="171" t="inlineStr">
        <is>
          <t>Validazione · Chi ha deciso.</t>
        </is>
      </c>
      <c r="L4" s="171" t="inlineStr">
        <is>
          <t>Validazione · Da validare, poi Accettato, Rettificato o Respinto.</t>
        </is>
      </c>
    </row>
    <row r="5">
      <c r="A5" s="172" t="inlineStr">
        <is>
          <t>Ciclo</t>
        </is>
      </c>
      <c r="B5" s="172" t="inlineStr">
        <is>
          <t>ID_Rischio</t>
        </is>
      </c>
      <c r="C5" s="99" t="inlineStr">
        <is>
          <t>ID_Azione</t>
        </is>
      </c>
      <c r="D5" s="172" t="inlineStr">
        <is>
          <t>Descrizione</t>
        </is>
      </c>
      <c r="E5" s="172" t="inlineStr">
        <is>
          <t>Owner</t>
        </is>
      </c>
      <c r="F5" s="172" t="inlineStr">
        <is>
          <t>Orizzonte</t>
        </is>
      </c>
      <c r="G5" s="99" t="inlineStr">
        <is>
          <t>Mesi_Orizzonte</t>
        </is>
      </c>
      <c r="H5" s="172" t="inlineStr">
        <is>
          <t>Razionale</t>
        </is>
      </c>
      <c r="I5" s="97" t="inlineStr">
        <is>
          <t>Stato</t>
        </is>
      </c>
      <c r="J5" s="97" t="inlineStr">
        <is>
          <t>Data_Decisione</t>
        </is>
      </c>
      <c r="K5" s="97" t="inlineStr">
        <is>
          <t>Decisa_Da</t>
        </is>
      </c>
      <c r="L5" s="97" t="inlineStr">
        <is>
          <t>Validazione</t>
        </is>
      </c>
    </row>
    <row r="6">
      <c r="A6" s="158" t="inlineStr">
        <is>
          <t>2026Q2</t>
        </is>
      </c>
      <c r="B6" s="158" t="inlineStr">
        <is>
          <t>NFR-01</t>
        </is>
      </c>
      <c r="C6" s="158" t="inlineStr">
        <is>
          <t>2026Q2-NFR-01-A1</t>
        </is>
      </c>
      <c r="D6" s="175" t="inlineStr">
        <is>
          <t>Introdurre la verifica fuori banda per bonifici istantanei sopra soglia verso beneficiari nuovi.</t>
        </is>
      </c>
      <c r="E6" s="158" t="inlineStr">
        <is>
          <t>Funzione Antifrode</t>
        </is>
      </c>
      <c r="F6" s="158" t="inlineStr">
        <is>
          <t>6 mesi</t>
        </is>
      </c>
      <c r="G6" s="158">
        <f>IFERROR(VALUE(LEFT(F6,FIND(" ",F6)-1)),"")</f>
        <v/>
      </c>
      <c r="H6" s="175" t="inlineStr">
        <is>
          <t>Oggi la verifica fuori banda esclude i bonifici istantanei: e' il punto debole che l'azione chiude.</t>
        </is>
      </c>
      <c r="I6" s="158" t="inlineStr">
        <is>
          <t>Approvata</t>
        </is>
      </c>
      <c r="J6" s="173" t="n">
        <v>46218</v>
      </c>
      <c r="K6" s="158" t="inlineStr">
        <is>
          <t>Comitato Rischi</t>
        </is>
      </c>
      <c r="L6" s="158" t="inlineStr">
        <is>
          <t>Accettato</t>
        </is>
      </c>
    </row>
    <row r="7">
      <c r="A7" s="158" t="inlineStr">
        <is>
          <t>2026Q2</t>
        </is>
      </c>
      <c r="B7" s="158" t="inlineStr">
        <is>
          <t>NFR-02</t>
        </is>
      </c>
      <c r="C7" s="158" t="inlineStr">
        <is>
          <t>2026Q2-NFR-02-A1</t>
        </is>
      </c>
      <c r="D7" s="175" t="inlineStr">
        <is>
          <t>Eseguire il test completo di exit strategy sui due servizi critici non ancora coperti.</t>
        </is>
      </c>
      <c r="E7" s="158" t="inlineStr">
        <is>
          <t>Funzione ICT &amp; Security Risk</t>
        </is>
      </c>
      <c r="F7" s="158" t="inlineStr">
        <is>
          <t>12 mesi</t>
        </is>
      </c>
      <c r="G7" s="158">
        <f>IFERROR(VALUE(LEFT(F7,FIND(" ",F7)-1)),"")</f>
        <v/>
      </c>
      <c r="H7" s="175" t="inlineStr">
        <is>
          <t>Finche' la exit strategy non e' testata su tutti i servizi critici, un guasto del fornitore non ha alternativa.</t>
        </is>
      </c>
      <c r="I7" s="158" t="inlineStr">
        <is>
          <t>Approvata</t>
        </is>
      </c>
      <c r="J7" s="173" t="n">
        <v>46218</v>
      </c>
      <c r="K7" s="158" t="inlineStr">
        <is>
          <t>Comitato Rischi</t>
        </is>
      </c>
      <c r="L7" s="158" t="inlineStr">
        <is>
          <t>Accettato</t>
        </is>
      </c>
    </row>
    <row r="8">
      <c r="A8" s="158" t="inlineStr">
        <is>
          <t>2026Q2</t>
        </is>
      </c>
      <c r="B8" s="158" t="inlineStr">
        <is>
          <t>NFR-03</t>
        </is>
      </c>
      <c r="C8" s="158" t="inlineStr">
        <is>
          <t>2026Q2-NFR-03-A1</t>
        </is>
      </c>
      <c r="D8" s="175" t="inlineStr">
        <is>
          <t>Revisione indipendente dei claim ambientali di tutti i prodotti ESG in catalogo.</t>
        </is>
      </c>
      <c r="E8" s="158" t="inlineStr">
        <is>
          <t>Funzione Compliance</t>
        </is>
      </c>
      <c r="F8" s="158" t="inlineStr">
        <is>
          <t>6 mesi</t>
        </is>
      </c>
      <c r="G8" s="158">
        <f>IFERROR(VALUE(LEFT(F8,FIND(" ",F8)-1)),"")</f>
        <v/>
      </c>
      <c r="H8" s="175" t="inlineStr">
        <is>
          <t>Sostanzia i claim prima che un'ispezione o un reclamo li contesti.</t>
        </is>
      </c>
      <c r="I8" s="158" t="inlineStr">
        <is>
          <t>Approvata</t>
        </is>
      </c>
      <c r="J8" s="173" t="n">
        <v>46218</v>
      </c>
      <c r="K8" s="158" t="inlineStr">
        <is>
          <t>Comitato Rischi</t>
        </is>
      </c>
      <c r="L8" s="158" t="inlineStr">
        <is>
          <t>Accettato</t>
        </is>
      </c>
    </row>
    <row r="9">
      <c r="A9" s="158" t="inlineStr">
        <is>
          <t>2026Q2</t>
        </is>
      </c>
      <c r="B9" s="158" t="inlineStr">
        <is>
          <t>NFR-04</t>
        </is>
      </c>
      <c r="C9" s="158" t="inlineStr">
        <is>
          <t>2026Q2-NFR-04-A1</t>
        </is>
      </c>
      <c r="D9" s="175" t="inlineStr">
        <is>
          <t>Redigere piani di continuita' specifici per le due sedi critiche in aree a rischio.</t>
        </is>
      </c>
      <c r="E9" s="158" t="inlineStr">
        <is>
          <t>Funzione Business Continuity</t>
        </is>
      </c>
      <c r="F9" s="158" t="inlineStr">
        <is>
          <t>12 mesi</t>
        </is>
      </c>
      <c r="G9" s="158">
        <f>IFERROR(VALUE(LEFT(F9,FIND(" ",F9)-1)),"")</f>
        <v/>
      </c>
      <c r="H9" s="175" t="inlineStr">
        <is>
          <t>Il KRI NFR-04-K1 mostra due sedi senza piano: e' il punto scoperto principale.</t>
        </is>
      </c>
      <c r="I9" s="158" t="inlineStr">
        <is>
          <t>Approvata</t>
        </is>
      </c>
      <c r="J9" s="173" t="n">
        <v>46218</v>
      </c>
      <c r="K9" s="158" t="inlineStr">
        <is>
          <t>Comitato Rischi</t>
        </is>
      </c>
      <c r="L9" s="158" t="inlineStr">
        <is>
          <t>Accettato</t>
        </is>
      </c>
    </row>
    <row r="10">
      <c r="A10" s="158" t="inlineStr">
        <is>
          <t>2026Q2</t>
        </is>
      </c>
      <c r="B10" s="158" t="inlineStr">
        <is>
          <t>NFR-05</t>
        </is>
      </c>
      <c r="C10" s="158" t="inlineStr">
        <is>
          <t>2026Q2-NFR-05-A1</t>
        </is>
      </c>
      <c r="D10" s="175" t="inlineStr">
        <is>
          <t>Monitoraggio giornaliero degli incidenti post-migrazione con escalation entro 4 ore.</t>
        </is>
      </c>
      <c r="E10" s="158" t="inlineStr">
        <is>
          <t>Funzione Operations</t>
        </is>
      </c>
      <c r="F10" s="158" t="inlineStr">
        <is>
          <t>3 mesi</t>
        </is>
      </c>
      <c r="G10" s="158">
        <f>IFERROR(VALUE(LEFT(F10,FIND(" ",F10)-1)),"")</f>
        <v/>
      </c>
      <c r="H10" s="175" t="inlineStr">
        <is>
          <t>Intercetta gli errori prima che si propaghino alle scritture contabili.</t>
        </is>
      </c>
      <c r="I10" s="158" t="inlineStr">
        <is>
          <t>Respinta</t>
        </is>
      </c>
      <c r="J10" s="173" t="n">
        <v>46218</v>
      </c>
      <c r="K10" s="158" t="inlineStr">
        <is>
          <t>Comitato Rischi</t>
        </is>
      </c>
      <c r="L10" s="158" t="inlineStr">
        <is>
          <t>Respinto</t>
        </is>
      </c>
    </row>
    <row r="11">
      <c r="A11" s="158" t="inlineStr">
        <is>
          <t>2026Q2</t>
        </is>
      </c>
      <c r="B11" s="158" t="inlineStr">
        <is>
          <t>NFR-06</t>
        </is>
      </c>
      <c r="C11" s="158" t="inlineStr">
        <is>
          <t>2026Q2-NFR-06-A1</t>
        </is>
      </c>
      <c r="D11" s="175" t="inlineStr">
        <is>
          <t>Estendere il DLP a tutti i servizi di AI generativa e bloccare quelli non autorizzati.</t>
        </is>
      </c>
      <c r="E11" s="158" t="inlineStr">
        <is>
          <t>Funzione Sicurezza delle Informazioni</t>
        </is>
      </c>
      <c r="F11" s="158" t="inlineStr">
        <is>
          <t>3 mesi</t>
        </is>
      </c>
      <c r="G11" s="158">
        <f>IFERROR(VALUE(LEFT(F11,FIND(" ",F11)-1)),"")</f>
        <v/>
      </c>
      <c r="H11" s="175" t="inlineStr">
        <is>
          <t>Il DLP copre solo parte dei servizi di AI generativa: l'azione estende il presidio.</t>
        </is>
      </c>
      <c r="I11" s="158" t="inlineStr">
        <is>
          <t>Approvata</t>
        </is>
      </c>
      <c r="J11" s="173" t="n">
        <v>46218</v>
      </c>
      <c r="K11" s="158" t="inlineStr">
        <is>
          <t>Comitato Rischi</t>
        </is>
      </c>
      <c r="L11" s="158" t="inlineStr">
        <is>
          <t>Accettato</t>
        </is>
      </c>
    </row>
    <row r="12">
      <c r="A12" s="158" t="inlineStr">
        <is>
          <t>2026Q2</t>
        </is>
      </c>
      <c r="B12" s="158" t="inlineStr">
        <is>
          <t>NFR-07</t>
        </is>
      </c>
      <c r="C12" s="158" t="inlineStr">
        <is>
          <t>2026Q2-NFR-07-A1</t>
        </is>
      </c>
      <c r="D12" s="175" t="inlineStr">
        <is>
          <t>Test congiunto di ripristino da ransomware con il fornitore del gateway di pagamento.</t>
        </is>
      </c>
      <c r="E12" s="158" t="inlineStr">
        <is>
          <t>Funzione ICT &amp; Security Risk</t>
        </is>
      </c>
      <c r="F12" s="158" t="inlineStr">
        <is>
          <t>6 mesi</t>
        </is>
      </c>
      <c r="G12" s="158">
        <f>IFERROR(VALUE(LEFT(F12,FIND(" ",F12)-1)),"")</f>
        <v/>
      </c>
      <c r="H12" s="175" t="inlineStr">
        <is>
          <t>Il ripristino da ransomware non e' mai stato testato con il fornitore.</t>
        </is>
      </c>
      <c r="I12" s="158" t="inlineStr">
        <is>
          <t>Approvata</t>
        </is>
      </c>
      <c r="J12" s="173" t="n">
        <v>46218</v>
      </c>
      <c r="K12" s="158" t="inlineStr">
        <is>
          <t>Comitato Rischi</t>
        </is>
      </c>
      <c r="L12" s="158" t="inlineStr">
        <is>
          <t>Accettato</t>
        </is>
      </c>
    </row>
    <row r="13">
      <c r="A13" s="158" t="inlineStr">
        <is>
          <t>2026Q2</t>
        </is>
      </c>
      <c r="B13" s="158" t="inlineStr">
        <is>
          <t>NFR-08</t>
        </is>
      </c>
      <c r="C13" s="158" t="inlineStr">
        <is>
          <t>2026Q2-NFR-08-A1</t>
        </is>
      </c>
      <c r="D13" s="175" t="inlineStr">
        <is>
          <t>Revisione trimestrale automatica degli accessi ai dati clienti senza pratica associata.</t>
        </is>
      </c>
      <c r="E13" s="158" t="inlineStr">
        <is>
          <t>Funzione Sicurezza delle Informazioni</t>
        </is>
      </c>
      <c r="F13" s="158" t="inlineStr">
        <is>
          <t>3 mesi</t>
        </is>
      </c>
      <c r="G13" s="158">
        <f>IFERROR(VALUE(LEFT(F13,FIND(" ",F13)-1)),"")</f>
        <v/>
      </c>
      <c r="H13" s="175" t="inlineStr">
        <is>
          <t>Oggi la revisione degli accessi e' annuale e a campione.</t>
        </is>
      </c>
      <c r="I13" s="158" t="inlineStr">
        <is>
          <t>Approvata</t>
        </is>
      </c>
      <c r="J13" s="173" t="n">
        <v>46218</v>
      </c>
      <c r="K13" s="158" t="inlineStr">
        <is>
          <t>Comitato Rischi</t>
        </is>
      </c>
      <c r="L13" s="158" t="inlineStr">
        <is>
          <t>Accettato</t>
        </is>
      </c>
    </row>
    <row r="14">
      <c r="A14" s="158" t="inlineStr">
        <is>
          <t>2026Q2</t>
        </is>
      </c>
      <c r="B14" s="158" t="inlineStr">
        <is>
          <t>NFR-09</t>
        </is>
      </c>
      <c r="C14" s="158" t="inlineStr">
        <is>
          <t>2026Q2-NFR-09-A1</t>
        </is>
      </c>
      <c r="D14" s="175" t="inlineStr">
        <is>
          <t>Estendere lo screening sanzioni alle controparti indirette dei pagamenti verso paesi di transito.</t>
        </is>
      </c>
      <c r="E14" s="158" t="inlineStr">
        <is>
          <t>Funzione Compliance</t>
        </is>
      </c>
      <c r="F14" s="158" t="inlineStr">
        <is>
          <t>12 mesi</t>
        </is>
      </c>
      <c r="G14" s="158">
        <f>IFERROR(VALUE(LEFT(F14,FIND(" ",F14)-1)),"")</f>
        <v/>
      </c>
      <c r="H14" s="175" t="inlineStr">
        <is>
          <t>Chiude la lacuna sulle triangolazioni, oggi non coperte dal filtro.</t>
        </is>
      </c>
      <c r="I14" s="158" t="inlineStr">
        <is>
          <t>Approvata</t>
        </is>
      </c>
      <c r="J14" s="173" t="n">
        <v>46218</v>
      </c>
      <c r="K14" s="158" t="inlineStr">
        <is>
          <t>Comitato Rischi</t>
        </is>
      </c>
      <c r="L14" s="158" t="inlineStr">
        <is>
          <t>Accettato</t>
        </is>
      </c>
    </row>
    <row r="15">
      <c r="A15" s="158" t="inlineStr">
        <is>
          <t>2026Q2</t>
        </is>
      </c>
      <c r="B15" s="158" t="inlineStr">
        <is>
          <t>NFR-10</t>
        </is>
      </c>
      <c r="C15" s="158" t="inlineStr">
        <is>
          <t>2026Q2-NFR-10-A1</t>
        </is>
      </c>
      <c r="D15" s="175" t="inlineStr">
        <is>
          <t>Campionamento settimanale delle risposte del chatbot con verifica umana.</t>
        </is>
      </c>
      <c r="E15" s="158" t="inlineStr">
        <is>
          <t>Funzione Customer Experience</t>
        </is>
      </c>
      <c r="F15" s="158" t="inlineStr">
        <is>
          <t>3 mesi</t>
        </is>
      </c>
      <c r="G15" s="158">
        <f>IFERROR(VALUE(LEFT(F15,FIND(" ",F15)-1)),"")</f>
        <v/>
      </c>
      <c r="H15" s="175" t="inlineStr">
        <is>
          <t>Riduce la probabilita' che informazioni errate raggiungano molti clienti.</t>
        </is>
      </c>
      <c r="I15" s="158" t="inlineStr">
        <is>
          <t>Approvata</t>
        </is>
      </c>
      <c r="J15" s="173" t="n">
        <v>46218</v>
      </c>
      <c r="K15" s="158" t="inlineStr">
        <is>
          <t>Comitato Rischi</t>
        </is>
      </c>
      <c r="L15" s="158" t="inlineStr">
        <is>
          <t>Accettato</t>
        </is>
      </c>
    </row>
    <row r="16">
      <c r="A16" s="158" t="inlineStr">
        <is>
          <t>2026Q2</t>
        </is>
      </c>
      <c r="B16" s="158" t="inlineStr">
        <is>
          <t>NFR-11</t>
        </is>
      </c>
      <c r="C16" s="158" t="inlineStr">
        <is>
          <t>2026Q2-NFR-11-A1</t>
        </is>
      </c>
      <c r="D16" s="175" t="inlineStr">
        <is>
          <t>Piano di sostituzione delle componenti fuori supporto del sistema di pagamento.</t>
        </is>
      </c>
      <c r="E16" s="158" t="inlineStr">
        <is>
          <t>Funzione IT Operations</t>
        </is>
      </c>
      <c r="F16" s="158" t="inlineStr">
        <is>
          <t>12 mesi</t>
        </is>
      </c>
      <c r="G16" s="158">
        <f>IFERROR(VALUE(LEFT(F16,FIND(" ",F16)-1)),"")</f>
        <v/>
      </c>
      <c r="H16" s="175" t="inlineStr">
        <is>
          <t>Oggi non ci sono patch per le componenti fuori supporto.</t>
        </is>
      </c>
      <c r="I16" s="158" t="inlineStr">
        <is>
          <t>Approvata</t>
        </is>
      </c>
      <c r="J16" s="173" t="n">
        <v>46218</v>
      </c>
      <c r="K16" s="158" t="inlineStr">
        <is>
          <t>Comitato Rischi</t>
        </is>
      </c>
      <c r="L16" s="158" t="inlineStr">
        <is>
          <t>Accettato</t>
        </is>
      </c>
    </row>
    <row r="17">
      <c r="A17" s="158" t="inlineStr">
        <is>
          <t>2026Q2</t>
        </is>
      </c>
      <c r="B17" s="158" t="inlineStr">
        <is>
          <t>NFR-12</t>
        </is>
      </c>
      <c r="C17" s="158" t="inlineStr">
        <is>
          <t>2026Q2-NFR-12-A1</t>
        </is>
      </c>
      <c r="D17" s="175" t="inlineStr">
        <is>
          <t>Controllo giornaliero automatico delle differenze di riconciliazione sui bonifici istantanei.</t>
        </is>
      </c>
      <c r="E17" s="158" t="inlineStr">
        <is>
          <t>Funzione Operations</t>
        </is>
      </c>
      <c r="F17" s="158" t="inlineStr">
        <is>
          <t>3 mesi</t>
        </is>
      </c>
      <c r="G17" s="158">
        <f>IFERROR(VALUE(LEFT(F17,FIND(" ",F17)-1)),"")</f>
        <v/>
      </c>
      <c r="H17" s="175" t="inlineStr">
        <is>
          <t>La riconciliazione oggi e' settimanale: gli errori emergono troppo tardi.</t>
        </is>
      </c>
      <c r="I17" s="158" t="inlineStr">
        <is>
          <t>Approvata</t>
        </is>
      </c>
      <c r="J17" s="173" t="n">
        <v>46218</v>
      </c>
      <c r="K17" s="158" t="inlineStr">
        <is>
          <t>Comitato Rischi</t>
        </is>
      </c>
      <c r="L17" s="158" t="inlineStr">
        <is>
          <t>Accettato</t>
        </is>
      </c>
    </row>
  </sheetData>
  <mergeCells count="5">
    <mergeCell ref="I3:L3"/>
    <mergeCell ref="A2:H2"/>
    <mergeCell ref="A1:L1"/>
    <mergeCell ref="D3:F3"/>
    <mergeCell ref="A3:B3"/>
  </mergeCells>
  <dataValidations count="1">
    <dataValidation sqref="I6:I20000" showDropDown="0" showInputMessage="0" showErrorMessage="0" allowBlank="1" type="list">
      <formula1>"Proposta — da valutare,Approvata,Respinta,In corso,Completata,Annullata"</formula1>
    </dataValidation>
  </dataValidations>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tabColor rgb="00A6A6A6"/>
    <outlinePr summaryBelow="1" summaryRight="1"/>
    <pageSetUpPr/>
  </sheetPr>
  <dimension ref="A1:T71"/>
  <sheetViews>
    <sheetView showGridLines="1" workbookViewId="0">
      <selection activeCell="A1" sqref="A1"/>
    </sheetView>
  </sheetViews>
  <sheetFormatPr baseColWidth="8" defaultRowHeight="15"/>
  <cols>
    <col width="15" customWidth="1" min="1" max="1"/>
    <col width="15" customWidth="1" min="2" max="2"/>
    <col width="15" customWidth="1" min="3" max="3"/>
    <col width="40" customWidth="1" min="4" max="4"/>
    <col width="15" customWidth="1" min="5" max="5"/>
    <col width="15" customWidth="1" min="6" max="6"/>
    <col width="30" customWidth="1" min="7" max="7"/>
    <col width="15" customWidth="1" min="8" max="8"/>
    <col width="15" customWidth="1" min="9" max="9"/>
    <col width="15" customWidth="1" min="10" max="10"/>
    <col width="15" customWidth="1" min="11" max="11"/>
    <col width="15" customWidth="1" min="12" max="12"/>
    <col width="40" customWidth="1" min="13" max="13"/>
    <col width="15" customWidth="1" min="14" max="14"/>
    <col width="15" customWidth="1" min="15" max="15"/>
    <col width="15" customWidth="1" min="16" max="16"/>
    <col width="15" customWidth="1" min="17" max="17"/>
    <col width="50" customWidth="1" min="18" max="18"/>
    <col width="15" customWidth="1" min="19" max="19"/>
    <col width="15" customWidth="1" min="20" max="20"/>
  </cols>
  <sheetData>
    <row r="1" ht="28" customHeight="1">
      <c r="A1" s="1">
        <f>"Horizon Scan NFR — KRI — storico degli indicatori, una riga per KRI per ciclo   ·   "&amp;etichettaCiclo</f>
        <v/>
      </c>
      <c r="B1" s="2" t="n"/>
      <c r="C1" s="2" t="n"/>
      <c r="D1" s="2" t="n"/>
      <c r="E1" s="2" t="n"/>
      <c r="F1" s="2" t="n"/>
      <c r="G1" s="2" t="n"/>
      <c r="H1" s="2" t="n"/>
      <c r="I1" s="2" t="n"/>
      <c r="J1" s="2" t="n"/>
      <c r="K1" s="2" t="n"/>
      <c r="L1" s="2" t="n"/>
    </row>
    <row r="2" ht="86" customHeight="1">
      <c r="A2" s="13" t="inlineStr">
        <is>
          <r>
            <rPr>
              <rFont val="Calibri"/>
              <b val="1"/>
              <color rgb="001F4E79"/>
              <sz val="10"/>
            </rPr>
            <t>CICLO TRIMESTRALE — A1 propone due KRI per rischio, uno di esposizione e uno di evoluzione (colonna Tipo, D-64; con le soglie solo se una fonte le sostiene) e rilegge i valori che trova; la validazione puo' rettificare valori e soglie o respingere un KRI. Si scrive con lo script (le viste e la baseline leggono queste righe): a mano solo i testi elencati nel foglio Guida, DOVE SI SCRIVE A MANO; mai ID, numeri, date o righe intere (D-76).</t>
          </r>
          <r>
            <rPr>
              <rFont val="Calibri"/>
              <color rgb="00262626"/>
              <sz val="10"/>
            </rPr>
            <t xml:space="preserve">
Cosa contiene: lo STORICO, una riga per KRI per ciclo (la fotografia del ciclo). Valore_Corrente e' il valore rilevato in quel ciclo: vuoto se non rilevato, mai ricopiato. In_Vigore = No: il KRI esce in quel ciclo.
Come si legge: valori crescenti = peggio (un indicatore 'piu' alto e' meglio' si esprime come complemento). Stato: Verde sotto la soglia di attenzione, Ambra fino all'allerta, Rosso oltre; Soglie da definire: le fissa il validatore (rettifica di entrambe le soglie); SOGLIE INVERTITE va rettificato. I KRI del ciclo e la storia di uno: foglio Indicatori.
Colore delle intestazioni = chi scrive la colonna: azzurro l'agente del ciclo trimestrale (A1, A5), verde l'agente settimanale (A3), giallo la validazione, grigio lo script o una formula. Righe grigie = dati di esempio.</t>
          </r>
        </is>
      </c>
    </row>
    <row r="3">
      <c r="A3" s="168" t="inlineStr">
        <is>
          <t>A1 · ciclo trimestrale, poi validato</t>
        </is>
      </c>
      <c r="B3" s="169" t="inlineStr">
        <is>
          <t>Script · alla scrittura</t>
        </is>
      </c>
      <c r="C3" s="168" t="inlineStr">
        <is>
          <t>A1 · ciclo trimestrale, poi validato</t>
        </is>
      </c>
      <c r="K3" s="169" t="inlineStr">
        <is>
          <t>Script · alla scrittura</t>
        </is>
      </c>
      <c r="L3" s="168" t="inlineStr">
        <is>
          <t>A1 · ciclo trimestrale, poi validato</t>
        </is>
      </c>
      <c r="N3" s="169" t="inlineStr">
        <is>
          <t>Formula · calcolata dal foglio</t>
        </is>
      </c>
      <c r="O3" s="169" t="inlineStr">
        <is>
          <t>Script · alla scrittura</t>
        </is>
      </c>
      <c r="Q3" s="168" t="inlineStr">
        <is>
          <t>A1 · ciclo trimestrale, poi validato</t>
        </is>
      </c>
      <c r="S3" s="169" t="inlineStr">
        <is>
          <t>Formula · calcolata dal foglio</t>
        </is>
      </c>
      <c r="T3" s="170" t="inlineStr">
        <is>
          <t>Validazione · comando valida</t>
        </is>
      </c>
    </row>
    <row r="4" ht="113" customHeight="1">
      <c r="A4" s="171" t="inlineStr">
        <is>
          <t>A1 · Ciclo della fotografia: ogni ciclo aggiunge una riga per KRI in vigore.</t>
        </is>
      </c>
      <c r="B4" s="171" t="inlineStr">
        <is>
          <t>Script · Codice stabile NFR-nn-Kn: la stessa serie storica in tutti i cicli.</t>
        </is>
      </c>
      <c r="C4" s="171" t="inlineStr">
        <is>
          <t>A1 · Rischio che il KRI misura.</t>
        </is>
      </c>
      <c r="D4" s="171" t="inlineStr">
        <is>
          <t>A1 · Che cosa misura.</t>
        </is>
      </c>
      <c r="E4" s="171" t="inlineStr">
        <is>
          <t>A1 · Esposizione (quanto la Banca e' esposta) o Evoluzione (quanto cresce il fenomeno): uno per tipo per rischio (D-64). Vuoto nei KRI scritti prima del 30/09/2026 sera.</t>
        </is>
      </c>
      <c r="F4" s="171" t="inlineStr">
        <is>
          <t>A1 · Unita' di misura (n, %, ore, n/10k...).</t>
        </is>
      </c>
      <c r="G4" s="171" t="inlineStr">
        <is>
          <t>A1 · Sistema o report interno da cui si prende il valore.</t>
        </is>
      </c>
      <c r="H4" s="171" t="inlineStr">
        <is>
          <t>A1 · Da questo valore in su: Ambra. Vuota = da definire (la fissa il validatore).</t>
        </is>
      </c>
      <c r="I4" s="171" t="inlineStr">
        <is>
          <t>A1 · Da questo valore in su: Rosso. Mai sotto la soglia di attenzione.</t>
        </is>
      </c>
      <c r="J4" s="171" t="inlineStr">
        <is>
          <t>A1 · Valore rilevato per QUESTO ciclo; vuoto se non rilevato (A1 rilegge solo i valori che trova), mai ricopiato.</t>
        </is>
      </c>
      <c r="K4" s="171" t="inlineStr">
        <is>
          <t>Script · Data del valore rilevato.</t>
        </is>
      </c>
      <c r="L4" s="171" t="inlineStr">
        <is>
          <t>A1 · Documento o estrazione da cui viene il valore.</t>
        </is>
      </c>
      <c r="M4" s="171" t="inlineStr">
        <is>
          <t>A1 · Commento alla rilevazione.</t>
        </is>
      </c>
      <c r="N4" s="171" t="inlineStr">
        <is>
          <t>Formula · Verde, Ambra o Rosso rispetto alle soglie; Non rilevato senza valore; Soglie da definire se mancano.</t>
        </is>
      </c>
      <c r="O4" s="171" t="inlineStr">
        <is>
          <t>Script · Sì; No = il KRI esce in questo ciclo e la serie finisce.</t>
        </is>
      </c>
      <c r="P4" s="171" t="inlineStr">
        <is>
          <t>Script · Ciclo in cui il KRI e' nato.</t>
        </is>
      </c>
      <c r="Q4" s="171" t="inlineStr">
        <is>
          <t>A1 · Ultimo ciclo che ne ha scritto la definizione.</t>
        </is>
      </c>
      <c r="R4" s="171" t="inlineStr">
        <is>
          <t>A1 · Perche' il KRI misura il rischio; dopo EFFETTO: andamento atteso e che cosa segnala oltre soglia (D-68).</t>
        </is>
      </c>
      <c r="S4" s="171" t="inlineStr">
        <is>
          <t>Formula · Ciclo|KRI_ID: chiave di ricerca per le viste.</t>
        </is>
      </c>
      <c r="T4" s="171" t="inlineStr">
        <is>
          <t>Validazione · Da validare, poi Accettato, Rettificato o Respinto.</t>
        </is>
      </c>
    </row>
    <row r="5">
      <c r="A5" s="172" t="inlineStr">
        <is>
          <t>Ciclo</t>
        </is>
      </c>
      <c r="B5" s="99" t="inlineStr">
        <is>
          <t>KRI_ID</t>
        </is>
      </c>
      <c r="C5" s="172" t="inlineStr">
        <is>
          <t>ID_Rischio</t>
        </is>
      </c>
      <c r="D5" s="172" t="inlineStr">
        <is>
          <t>Nome</t>
        </is>
      </c>
      <c r="E5" s="172" t="inlineStr">
        <is>
          <t>Tipo</t>
        </is>
      </c>
      <c r="F5" s="172" t="inlineStr">
        <is>
          <t>Unita</t>
        </is>
      </c>
      <c r="G5" s="172" t="inlineStr">
        <is>
          <t>Fonte_Dati</t>
        </is>
      </c>
      <c r="H5" s="172" t="inlineStr">
        <is>
          <t>Soglia_Attenzione</t>
        </is>
      </c>
      <c r="I5" s="172" t="inlineStr">
        <is>
          <t>Soglia_Allerta</t>
        </is>
      </c>
      <c r="J5" s="172" t="inlineStr">
        <is>
          <t>Valore_Corrente</t>
        </is>
      </c>
      <c r="K5" s="99" t="inlineStr">
        <is>
          <t>Data_Rilevazione</t>
        </is>
      </c>
      <c r="L5" s="172" t="inlineStr">
        <is>
          <t>Fonte_Rilevazione</t>
        </is>
      </c>
      <c r="M5" s="172" t="inlineStr">
        <is>
          <t>Nota_Rilevazione</t>
        </is>
      </c>
      <c r="N5" s="99" t="inlineStr">
        <is>
          <t>Stato</t>
        </is>
      </c>
      <c r="O5" s="99" t="inlineStr">
        <is>
          <t>In_Vigore</t>
        </is>
      </c>
      <c r="P5" s="99" t="inlineStr">
        <is>
          <t>Ciclo_Definizione</t>
        </is>
      </c>
      <c r="Q5" s="172" t="inlineStr">
        <is>
          <t>Ciclo_Aggiornamento</t>
        </is>
      </c>
      <c r="R5" s="172" t="inlineStr">
        <is>
          <t>Razionale</t>
        </is>
      </c>
      <c r="S5" s="99" t="inlineStr">
        <is>
          <t>Chiave</t>
        </is>
      </c>
      <c r="T5" s="97" t="inlineStr">
        <is>
          <t>Validazione</t>
        </is>
      </c>
    </row>
    <row r="6">
      <c r="A6" s="158" t="inlineStr">
        <is>
          <t>2025Q4</t>
        </is>
      </c>
      <c r="B6" s="158" t="inlineStr">
        <is>
          <t>NFR-01-K1</t>
        </is>
      </c>
      <c r="C6" s="158" t="inlineStr">
        <is>
          <t>NFR-01</t>
        </is>
      </c>
      <c r="D6" s="175" t="inlineStr">
        <is>
          <t>Tentativi di frode APP per 10.000 bonifici istantanei</t>
        </is>
      </c>
      <c r="E6" s="158" t="inlineStr">
        <is>
          <t>Evoluzione</t>
        </is>
      </c>
      <c r="F6" s="158" t="inlineStr">
        <is>
          <t>n/10k</t>
        </is>
      </c>
      <c r="G6" s="158" t="inlineStr">
        <is>
          <t>Sistema antifrode transazionale</t>
        </is>
      </c>
      <c r="H6" s="158" t="n">
        <v>3</v>
      </c>
      <c r="I6" s="158" t="n">
        <v>6</v>
      </c>
      <c r="J6" s="158" t="n">
        <v>2.1</v>
      </c>
      <c r="K6" s="173" t="n">
        <v>46022</v>
      </c>
      <c r="L6" s="158" t="inlineStr">
        <is>
          <t>Sistema antifrode transazionale</t>
        </is>
      </c>
      <c r="M6" s="175" t="inlineStr">
        <is>
          <t>Rilevazione di fine trimestre.</t>
        </is>
      </c>
      <c r="N6" s="158">
        <f>IF(OR(H6="",I6=""),"Soglie da definire",IF(I6&lt;H6,"SOGLIE INVERTITE — correggere",IF(J6="","Non rilevato",IF(J6&gt;=I6,"Rosso",IF(J6&gt;=H6,"Ambra","Verde")))))</f>
        <v/>
      </c>
      <c r="O6" s="158" t="inlineStr">
        <is>
          <t>Sì</t>
        </is>
      </c>
      <c r="P6" s="158" t="inlineStr">
        <is>
          <t>2025Q4</t>
        </is>
      </c>
      <c r="Q6" s="158" t="inlineStr">
        <is>
          <t>2025Q4</t>
        </is>
      </c>
      <c r="R6" s="175" t="inlineStr">
        <is>
          <t>KRI di evoluzione del rischio NFR-01: quanto cresce il fenomeno; valori crescenti indicano peggioramento.</t>
        </is>
      </c>
      <c r="S6" s="158">
        <f>A6&amp;"|"&amp;B6</f>
        <v/>
      </c>
      <c r="T6" s="158" t="inlineStr">
        <is>
          <t>Accettato</t>
        </is>
      </c>
    </row>
    <row r="7">
      <c r="A7" s="158" t="inlineStr">
        <is>
          <t>2025Q4</t>
        </is>
      </c>
      <c r="B7" s="158" t="inlineStr">
        <is>
          <t>NFR-01-K3</t>
        </is>
      </c>
      <c r="C7" s="158" t="inlineStr">
        <is>
          <t>NFR-01</t>
        </is>
      </c>
      <c r="D7" s="175" t="inlineStr">
        <is>
          <t>Tempo medio di blocco di un beneficiario fraudolento</t>
        </is>
      </c>
      <c r="E7" s="158" t="inlineStr">
        <is>
          <t>Esposizione</t>
        </is>
      </c>
      <c r="F7" s="158" t="inlineStr">
        <is>
          <t>ore</t>
        </is>
      </c>
      <c r="G7" s="158" t="inlineStr">
        <is>
          <t>Log del sistema di pagamento</t>
        </is>
      </c>
      <c r="H7" s="158" t="n">
        <v>4</v>
      </c>
      <c r="I7" s="158" t="n">
        <v>12</v>
      </c>
      <c r="J7" s="158" t="n">
        <v>5</v>
      </c>
      <c r="K7" s="173" t="n">
        <v>46022</v>
      </c>
      <c r="L7" s="158" t="inlineStr">
        <is>
          <t>Log del sistema di pagamento</t>
        </is>
      </c>
      <c r="M7" s="175" t="inlineStr">
        <is>
          <t>Rilevazione di fine trimestre.</t>
        </is>
      </c>
      <c r="N7" s="158">
        <f>IF(OR(H7="",I7=""),"Soglie da definire",IF(I7&lt;H7,"SOGLIE INVERTITE — correggere",IF(J7="","Non rilevato",IF(J7&gt;=I7,"Rosso",IF(J7&gt;=H7,"Ambra","Verde")))))</f>
        <v/>
      </c>
      <c r="O7" s="158" t="inlineStr">
        <is>
          <t>Sì</t>
        </is>
      </c>
      <c r="P7" s="158" t="inlineStr">
        <is>
          <t>2025Q4</t>
        </is>
      </c>
      <c r="Q7" s="158" t="inlineStr">
        <is>
          <t>2025Q4</t>
        </is>
      </c>
      <c r="R7" s="175" t="inlineStr">
        <is>
          <t>KRI di esposizione del rischio NFR-01: quanto la Banca e' esposta; valori crescenti indicano peggioramento.</t>
        </is>
      </c>
      <c r="S7" s="158">
        <f>A7&amp;"|"&amp;B7</f>
        <v/>
      </c>
      <c r="T7" s="158" t="inlineStr">
        <is>
          <t>Accettato</t>
        </is>
      </c>
    </row>
    <row r="8">
      <c r="A8" s="158" t="inlineStr">
        <is>
          <t>2025Q4</t>
        </is>
      </c>
      <c r="B8" s="158" t="inlineStr">
        <is>
          <t>NFR-02-K1</t>
        </is>
      </c>
      <c r="C8" s="158" t="inlineStr">
        <is>
          <t>NFR-02</t>
        </is>
      </c>
      <c r="D8" s="175" t="inlineStr">
        <is>
          <t>Quota di servizi critici sul fornitore cloud principale</t>
        </is>
      </c>
      <c r="E8" s="158" t="inlineStr">
        <is>
          <t>Esposizione</t>
        </is>
      </c>
      <c r="F8" s="158" t="inlineStr">
        <is>
          <t>%</t>
        </is>
      </c>
      <c r="G8" s="158" t="inlineStr">
        <is>
          <t>Registro delle informazioni DORA</t>
        </is>
      </c>
      <c r="H8" s="158" t="n">
        <v>60</v>
      </c>
      <c r="I8" s="158" t="n">
        <v>75</v>
      </c>
      <c r="J8" s="158" t="n">
        <v>74</v>
      </c>
      <c r="K8" s="173" t="n">
        <v>46022</v>
      </c>
      <c r="L8" s="158" t="inlineStr">
        <is>
          <t>Registro delle informazioni DORA</t>
        </is>
      </c>
      <c r="M8" s="175" t="inlineStr">
        <is>
          <t>Rilevazione di fine trimestre.</t>
        </is>
      </c>
      <c r="N8" s="158">
        <f>IF(OR(H8="",I8=""),"Soglie da definire",IF(I8&lt;H8,"SOGLIE INVERTITE — correggere",IF(J8="","Non rilevato",IF(J8&gt;=I8,"Rosso",IF(J8&gt;=H8,"Ambra","Verde")))))</f>
        <v/>
      </c>
      <c r="O8" s="158" t="inlineStr">
        <is>
          <t>Sì</t>
        </is>
      </c>
      <c r="P8" s="158" t="inlineStr">
        <is>
          <t>2025Q4</t>
        </is>
      </c>
      <c r="Q8" s="158" t="inlineStr">
        <is>
          <t>2025Q4</t>
        </is>
      </c>
      <c r="R8" s="175" t="inlineStr">
        <is>
          <t>KRI di esposizione del rischio NFR-02: quanto la Banca e' esposta; valori crescenti indicano peggioramento.</t>
        </is>
      </c>
      <c r="S8" s="158">
        <f>A8&amp;"|"&amp;B8</f>
        <v/>
      </c>
      <c r="T8" s="158" t="inlineStr">
        <is>
          <t>Accettato</t>
        </is>
      </c>
    </row>
    <row r="9">
      <c r="A9" s="158" t="inlineStr">
        <is>
          <t>2025Q4</t>
        </is>
      </c>
      <c r="B9" s="158" t="inlineStr">
        <is>
          <t>NFR-02-K2</t>
        </is>
      </c>
      <c r="C9" s="158" t="inlineStr">
        <is>
          <t>NFR-02</t>
        </is>
      </c>
      <c r="D9" s="175" t="inlineStr">
        <is>
          <t>Incidenti dei fornitori cloud critici con impatto sui servizi nel trimestre</t>
        </is>
      </c>
      <c r="E9" s="158" t="inlineStr">
        <is>
          <t>Evoluzione</t>
        </is>
      </c>
      <c r="F9" s="158" t="inlineStr">
        <is>
          <t>n</t>
        </is>
      </c>
      <c r="G9" s="158" t="inlineStr">
        <is>
          <t>Incident management ICT</t>
        </is>
      </c>
      <c r="H9" s="158" t="n">
        <v>2</v>
      </c>
      <c r="I9" s="158" t="n">
        <v>4</v>
      </c>
      <c r="J9" s="158" t="n">
        <v>2</v>
      </c>
      <c r="K9" s="173" t="n">
        <v>46022</v>
      </c>
      <c r="L9" s="158" t="inlineStr">
        <is>
          <t>Incident management ICT</t>
        </is>
      </c>
      <c r="M9" s="175" t="inlineStr">
        <is>
          <t>Rilevazione di fine trimestre.</t>
        </is>
      </c>
      <c r="N9" s="158">
        <f>IF(OR(H9="",I9=""),"Soglie da definire",IF(I9&lt;H9,"SOGLIE INVERTITE — correggere",IF(J9="","Non rilevato",IF(J9&gt;=I9,"Rosso",IF(J9&gt;=H9,"Ambra","Verde")))))</f>
        <v/>
      </c>
      <c r="O9" s="158" t="inlineStr">
        <is>
          <t>Sì</t>
        </is>
      </c>
      <c r="P9" s="158" t="inlineStr">
        <is>
          <t>2025Q4</t>
        </is>
      </c>
      <c r="Q9" s="158" t="inlineStr">
        <is>
          <t>2025Q4</t>
        </is>
      </c>
      <c r="R9" s="175" t="inlineStr">
        <is>
          <t>KRI di evoluzione del rischio NFR-02: quanto cresce il fenomeno; valori crescenti indicano peggioramento.</t>
        </is>
      </c>
      <c r="S9" s="158">
        <f>A9&amp;"|"&amp;B9</f>
        <v/>
      </c>
      <c r="T9" s="158" t="inlineStr">
        <is>
          <t>Accettato</t>
        </is>
      </c>
    </row>
    <row r="10">
      <c r="A10" s="158" t="inlineStr">
        <is>
          <t>2025Q4</t>
        </is>
      </c>
      <c r="B10" s="158" t="inlineStr">
        <is>
          <t>NFR-03-K1</t>
        </is>
      </c>
      <c r="C10" s="158" t="inlineStr">
        <is>
          <t>NFR-03</t>
        </is>
      </c>
      <c r="D10" s="175" t="inlineStr">
        <is>
          <t>Reclami su prodotti ESG ogni 1.000 contratti</t>
        </is>
      </c>
      <c r="E10" s="158" t="inlineStr">
        <is>
          <t>Evoluzione</t>
        </is>
      </c>
      <c r="F10" s="158" t="inlineStr">
        <is>
          <t>n/1000</t>
        </is>
      </c>
      <c r="G10" s="158" t="inlineStr">
        <is>
          <t>Sistema di gestione reclami</t>
        </is>
      </c>
      <c r="H10" s="158" t="n">
        <v>1.5</v>
      </c>
      <c r="I10" s="158" t="n">
        <v>3</v>
      </c>
      <c r="J10" s="158" t="n">
        <v>0.6</v>
      </c>
      <c r="K10" s="173" t="n">
        <v>46022</v>
      </c>
      <c r="L10" s="158" t="inlineStr">
        <is>
          <t>Sistema di gestione reclami</t>
        </is>
      </c>
      <c r="M10" s="175" t="inlineStr">
        <is>
          <t>Rilevazione di fine trimestre.</t>
        </is>
      </c>
      <c r="N10" s="158">
        <f>IF(OR(H10="",I10=""),"Soglie da definire",IF(I10&lt;H10,"SOGLIE INVERTITE — correggere",IF(J10="","Non rilevato",IF(J10&gt;=I10,"Rosso",IF(J10&gt;=H10,"Ambra","Verde")))))</f>
        <v/>
      </c>
      <c r="O10" s="158" t="inlineStr">
        <is>
          <t>Sì</t>
        </is>
      </c>
      <c r="P10" s="158" t="inlineStr">
        <is>
          <t>2025Q4</t>
        </is>
      </c>
      <c r="Q10" s="158" t="inlineStr">
        <is>
          <t>2025Q4</t>
        </is>
      </c>
      <c r="R10" s="175" t="inlineStr">
        <is>
          <t>KRI di evoluzione del rischio NFR-03: quanto cresce il fenomeno; valori crescenti indicano peggioramento.</t>
        </is>
      </c>
      <c r="S10" s="158">
        <f>A10&amp;"|"&amp;B10</f>
        <v/>
      </c>
      <c r="T10" s="158" t="inlineStr">
        <is>
          <t>Accettato</t>
        </is>
      </c>
    </row>
    <row r="11">
      <c r="A11" s="158" t="inlineStr">
        <is>
          <t>2025Q4</t>
        </is>
      </c>
      <c r="B11" s="158" t="inlineStr">
        <is>
          <t>NFR-03-K2</t>
        </is>
      </c>
      <c r="C11" s="158" t="inlineStr">
        <is>
          <t>NFR-03</t>
        </is>
      </c>
      <c r="D11" s="175" t="inlineStr">
        <is>
          <t>Quota di prodotti ESG senza revisione dei claim nell'anno</t>
        </is>
      </c>
      <c r="E11" s="158" t="inlineStr">
        <is>
          <t>Esposizione</t>
        </is>
      </c>
      <c r="F11" s="158" t="inlineStr">
        <is>
          <t>%</t>
        </is>
      </c>
      <c r="G11" s="158" t="inlineStr">
        <is>
          <t>Inventario prodotti — Compliance</t>
        </is>
      </c>
      <c r="H11" s="158" t="n">
        <v>20</v>
      </c>
      <c r="I11" s="158" t="n">
        <v>40</v>
      </c>
      <c r="J11" s="158" t="n">
        <v>55</v>
      </c>
      <c r="K11" s="173" t="n">
        <v>46022</v>
      </c>
      <c r="L11" s="158" t="inlineStr">
        <is>
          <t>Inventario prodotti — Compliance</t>
        </is>
      </c>
      <c r="M11" s="175" t="inlineStr">
        <is>
          <t>Rilevazione di fine trimestre.</t>
        </is>
      </c>
      <c r="N11" s="158">
        <f>IF(OR(H11="",I11=""),"Soglie da definire",IF(I11&lt;H11,"SOGLIE INVERTITE — correggere",IF(J11="","Non rilevato",IF(J11&gt;=I11,"Rosso",IF(J11&gt;=H11,"Ambra","Verde")))))</f>
        <v/>
      </c>
      <c r="O11" s="158" t="inlineStr">
        <is>
          <t>Sì</t>
        </is>
      </c>
      <c r="P11" s="158" t="inlineStr">
        <is>
          <t>2025Q4</t>
        </is>
      </c>
      <c r="Q11" s="158" t="inlineStr">
        <is>
          <t>2025Q4</t>
        </is>
      </c>
      <c r="R11" s="175" t="inlineStr">
        <is>
          <t>KRI di esposizione del rischio NFR-03: quanto la Banca e' esposta; valori crescenti indicano peggioramento.</t>
        </is>
      </c>
      <c r="S11" s="158">
        <f>A11&amp;"|"&amp;B11</f>
        <v/>
      </c>
      <c r="T11" s="158" t="inlineStr">
        <is>
          <t>Accettato</t>
        </is>
      </c>
    </row>
    <row r="12">
      <c r="A12" s="158" t="inlineStr">
        <is>
          <t>2025Q4</t>
        </is>
      </c>
      <c r="B12" s="158" t="inlineStr">
        <is>
          <t>NFR-04-K1</t>
        </is>
      </c>
      <c r="C12" s="158" t="inlineStr">
        <is>
          <t>NFR-04</t>
        </is>
      </c>
      <c r="D12" s="175" t="inlineStr">
        <is>
          <t>Sedi critiche in aree a rischio idrogeologico senza piano specifico</t>
        </is>
      </c>
      <c r="E12" s="158" t="inlineStr">
        <is>
          <t>Esposizione</t>
        </is>
      </c>
      <c r="F12" s="158" t="inlineStr">
        <is>
          <t>n</t>
        </is>
      </c>
      <c r="G12" s="158" t="inlineStr">
        <is>
          <t>Mappatura BCM delle sedi</t>
        </is>
      </c>
      <c r="H12" s="158" t="n">
        <v>1</v>
      </c>
      <c r="I12" s="158" t="n">
        <v>3</v>
      </c>
      <c r="J12" s="158" t="n">
        <v>2</v>
      </c>
      <c r="K12" s="173" t="n">
        <v>46022</v>
      </c>
      <c r="L12" s="158" t="inlineStr">
        <is>
          <t>Mappatura BCM delle sedi</t>
        </is>
      </c>
      <c r="M12" s="175" t="inlineStr">
        <is>
          <t>Rilevazione di fine trimestre.</t>
        </is>
      </c>
      <c r="N12" s="158">
        <f>IF(OR(H12="",I12=""),"Soglie da definire",IF(I12&lt;H12,"SOGLIE INVERTITE — correggere",IF(J12="","Non rilevato",IF(J12&gt;=I12,"Rosso",IF(J12&gt;=H12,"Ambra","Verde")))))</f>
        <v/>
      </c>
      <c r="O12" s="158" t="inlineStr">
        <is>
          <t>Sì</t>
        </is>
      </c>
      <c r="P12" s="158" t="inlineStr">
        <is>
          <t>2025Q4</t>
        </is>
      </c>
      <c r="Q12" s="158" t="inlineStr">
        <is>
          <t>2025Q4</t>
        </is>
      </c>
      <c r="R12" s="175" t="inlineStr">
        <is>
          <t>KRI di esposizione del rischio NFR-04: quanto la Banca e' esposta; valori crescenti indicano peggioramento.</t>
        </is>
      </c>
      <c r="S12" s="158">
        <f>A12&amp;"|"&amp;B12</f>
        <v/>
      </c>
      <c r="T12" s="158" t="inlineStr">
        <is>
          <t>Accettato</t>
        </is>
      </c>
    </row>
    <row r="13">
      <c r="A13" s="158" t="inlineStr">
        <is>
          <t>2025Q4</t>
        </is>
      </c>
      <c r="B13" s="158" t="inlineStr">
        <is>
          <t>NFR-04-K2</t>
        </is>
      </c>
      <c r="C13" s="158" t="inlineStr">
        <is>
          <t>NFR-04</t>
        </is>
      </c>
      <c r="D13" s="175" t="inlineStr">
        <is>
          <t>Giorni di indisponibilita' di sedi per eventi climatici</t>
        </is>
      </c>
      <c r="E13" s="158" t="inlineStr">
        <is>
          <t>Evoluzione</t>
        </is>
      </c>
      <c r="F13" s="158" t="inlineStr">
        <is>
          <t>giorni</t>
        </is>
      </c>
      <c r="G13" s="158" t="inlineStr">
        <is>
          <t>Registro incidenti BCM</t>
        </is>
      </c>
      <c r="H13" s="158" t="n">
        <v>2</v>
      </c>
      <c r="I13" s="158" t="n">
        <v>5</v>
      </c>
      <c r="J13" s="158" t="n">
        <v>0</v>
      </c>
      <c r="K13" s="173" t="n">
        <v>46022</v>
      </c>
      <c r="L13" s="158" t="inlineStr">
        <is>
          <t>Registro incidenti BCM</t>
        </is>
      </c>
      <c r="M13" s="175" t="inlineStr">
        <is>
          <t>Rilevazione di fine trimestre.</t>
        </is>
      </c>
      <c r="N13" s="158">
        <f>IF(OR(H13="",I13=""),"Soglie da definire",IF(I13&lt;H13,"SOGLIE INVERTITE — correggere",IF(J13="","Non rilevato",IF(J13&gt;=I13,"Rosso",IF(J13&gt;=H13,"Ambra","Verde")))))</f>
        <v/>
      </c>
      <c r="O13" s="158" t="inlineStr">
        <is>
          <t>Sì</t>
        </is>
      </c>
      <c r="P13" s="158" t="inlineStr">
        <is>
          <t>2025Q4</t>
        </is>
      </c>
      <c r="Q13" s="158" t="inlineStr">
        <is>
          <t>2025Q4</t>
        </is>
      </c>
      <c r="R13" s="175" t="inlineStr">
        <is>
          <t>KRI di evoluzione del rischio NFR-04: quanto cresce il fenomeno; valori crescenti indicano peggioramento.</t>
        </is>
      </c>
      <c r="S13" s="158">
        <f>A13&amp;"|"&amp;B13</f>
        <v/>
      </c>
      <c r="T13" s="158" t="inlineStr">
        <is>
          <t>Accettato</t>
        </is>
      </c>
    </row>
    <row r="14">
      <c r="A14" s="158" t="inlineStr">
        <is>
          <t>2025Q4</t>
        </is>
      </c>
      <c r="B14" s="158" t="inlineStr">
        <is>
          <t>NFR-05-K2</t>
        </is>
      </c>
      <c r="C14" s="158" t="inlineStr">
        <is>
          <t>NFR-05</t>
        </is>
      </c>
      <c r="D14" s="175" t="inlineStr">
        <is>
          <t>Incidenti di produzione legati alla migrazione</t>
        </is>
      </c>
      <c r="E14" s="158" t="inlineStr">
        <is>
          <t>Evoluzione</t>
        </is>
      </c>
      <c r="F14" s="158" t="inlineStr">
        <is>
          <t>n</t>
        </is>
      </c>
      <c r="G14" s="158" t="inlineStr">
        <is>
          <t>Incident management IT</t>
        </is>
      </c>
      <c r="H14" s="158" t="n">
        <v>3</v>
      </c>
      <c r="I14" s="158" t="n">
        <v>6</v>
      </c>
      <c r="J14" s="158" t="n">
        <v>4</v>
      </c>
      <c r="K14" s="173" t="n">
        <v>46022</v>
      </c>
      <c r="L14" s="158" t="inlineStr">
        <is>
          <t>Incident management IT</t>
        </is>
      </c>
      <c r="M14" s="175" t="inlineStr">
        <is>
          <t>Rilevazione di fine trimestre.</t>
        </is>
      </c>
      <c r="N14" s="158">
        <f>IF(OR(H14="",I14=""),"Soglie da definire",IF(I14&lt;H14,"SOGLIE INVERTITE — correggere",IF(J14="","Non rilevato",IF(J14&gt;=I14,"Rosso",IF(J14&gt;=H14,"Ambra","Verde")))))</f>
        <v/>
      </c>
      <c r="O14" s="158" t="inlineStr">
        <is>
          <t>Sì</t>
        </is>
      </c>
      <c r="P14" s="158" t="inlineStr">
        <is>
          <t>2025Q4</t>
        </is>
      </c>
      <c r="Q14" s="158" t="inlineStr">
        <is>
          <t>2025Q4</t>
        </is>
      </c>
      <c r="R14" s="175" t="inlineStr">
        <is>
          <t>KRI di evoluzione del rischio NFR-05: quanto cresce il fenomeno; valori crescenti indicano peggioramento.</t>
        </is>
      </c>
      <c r="S14" s="158">
        <f>A14&amp;"|"&amp;B14</f>
        <v/>
      </c>
      <c r="T14" s="158" t="inlineStr">
        <is>
          <t>Accettato</t>
        </is>
      </c>
    </row>
    <row r="15">
      <c r="A15" s="158" t="inlineStr">
        <is>
          <t>2025Q4</t>
        </is>
      </c>
      <c r="B15" s="158" t="inlineStr">
        <is>
          <t>NFR-05-K3</t>
        </is>
      </c>
      <c r="C15" s="158" t="inlineStr">
        <is>
          <t>NFR-05</t>
        </is>
      </c>
      <c r="D15" s="175" t="inlineStr">
        <is>
          <t>Quota di controlli di processo non ridisegnati sul nuovo core</t>
        </is>
      </c>
      <c r="E15" s="158" t="inlineStr">
        <is>
          <t>Esposizione</t>
        </is>
      </c>
      <c r="F15" s="158" t="inlineStr">
        <is>
          <t>%</t>
        </is>
      </c>
      <c r="G15" s="158" t="inlineStr">
        <is>
          <t>Piano di migrazione — PMO</t>
        </is>
      </c>
      <c r="H15" s="158" t="n">
        <v>30</v>
      </c>
      <c r="I15" s="158" t="n">
        <v>60</v>
      </c>
      <c r="J15" s="158" t="n">
        <v>55</v>
      </c>
      <c r="K15" s="173" t="n">
        <v>46022</v>
      </c>
      <c r="L15" s="158" t="inlineStr">
        <is>
          <t>Piano di migrazione — PMO</t>
        </is>
      </c>
      <c r="M15" s="175" t="inlineStr">
        <is>
          <t>Rilevazione di fine trimestre.</t>
        </is>
      </c>
      <c r="N15" s="158">
        <f>IF(OR(H15="",I15=""),"Soglie da definire",IF(I15&lt;H15,"SOGLIE INVERTITE — correggere",IF(J15="","Non rilevato",IF(J15&gt;=I15,"Rosso",IF(J15&gt;=H15,"Ambra","Verde")))))</f>
        <v/>
      </c>
      <c r="O15" s="158" t="inlineStr">
        <is>
          <t>Sì</t>
        </is>
      </c>
      <c r="P15" s="158" t="inlineStr">
        <is>
          <t>2025Q4</t>
        </is>
      </c>
      <c r="Q15" s="158" t="inlineStr">
        <is>
          <t>2025Q4</t>
        </is>
      </c>
      <c r="R15" s="175" t="inlineStr">
        <is>
          <t>KRI di esposizione del rischio NFR-05: quanto la Banca e' esposta; valori crescenti indicano peggioramento.</t>
        </is>
      </c>
      <c r="S15" s="158">
        <f>A15&amp;"|"&amp;B15</f>
        <v/>
      </c>
      <c r="T15" s="158" t="inlineStr">
        <is>
          <t>Accettato</t>
        </is>
      </c>
    </row>
    <row r="16">
      <c r="A16" s="158" t="inlineStr">
        <is>
          <t>2025Q4</t>
        </is>
      </c>
      <c r="B16" s="158" t="inlineStr">
        <is>
          <t>NFR-07-K1</t>
        </is>
      </c>
      <c r="C16" s="158" t="inlineStr">
        <is>
          <t>NFR-07</t>
        </is>
      </c>
      <c r="D16" s="175" t="inlineStr">
        <is>
          <t>Fornitori di pagamento critici senza test di ripristino da ransomware</t>
        </is>
      </c>
      <c r="E16" s="158" t="inlineStr">
        <is>
          <t>Esposizione</t>
        </is>
      </c>
      <c r="F16" s="158" t="inlineStr">
        <is>
          <t>n</t>
        </is>
      </c>
      <c r="G16" s="158" t="inlineStr">
        <is>
          <t>Registro delle informazioni DORA</t>
        </is>
      </c>
      <c r="H16" s="158" t="n">
        <v>1</v>
      </c>
      <c r="I16" s="158" t="n">
        <v>2</v>
      </c>
      <c r="J16" s="158" t="n">
        <v>2</v>
      </c>
      <c r="K16" s="173" t="n">
        <v>46022</v>
      </c>
      <c r="L16" s="158" t="inlineStr">
        <is>
          <t>Registro delle informazioni DORA</t>
        </is>
      </c>
      <c r="M16" s="175" t="inlineStr">
        <is>
          <t>Rilevazione di fine trimestre.</t>
        </is>
      </c>
      <c r="N16" s="158">
        <f>IF(OR(H16="",I16=""),"Soglie da definire",IF(I16&lt;H16,"SOGLIE INVERTITE — correggere",IF(J16="","Non rilevato",IF(J16&gt;=I16,"Rosso",IF(J16&gt;=H16,"Ambra","Verde")))))</f>
        <v/>
      </c>
      <c r="O16" s="158" t="inlineStr">
        <is>
          <t>Sì</t>
        </is>
      </c>
      <c r="P16" s="158" t="inlineStr">
        <is>
          <t>2025Q4</t>
        </is>
      </c>
      <c r="Q16" s="158" t="inlineStr">
        <is>
          <t>2025Q4</t>
        </is>
      </c>
      <c r="R16" s="175" t="inlineStr">
        <is>
          <t>KRI di esposizione del rischio NFR-07: quanto la Banca e' esposta; valori crescenti indicano peggioramento.</t>
        </is>
      </c>
      <c r="S16" s="158">
        <f>A16&amp;"|"&amp;B16</f>
        <v/>
      </c>
      <c r="T16" s="158" t="inlineStr">
        <is>
          <t>Accettato</t>
        </is>
      </c>
    </row>
    <row r="17">
      <c r="A17" s="158" t="inlineStr">
        <is>
          <t>2025Q4</t>
        </is>
      </c>
      <c r="B17" s="158" t="inlineStr">
        <is>
          <t>NFR-07-K2</t>
        </is>
      </c>
      <c r="C17" s="158" t="inlineStr">
        <is>
          <t>NFR-07</t>
        </is>
      </c>
      <c r="D17" s="175" t="inlineStr">
        <is>
          <t>Ore di indisponibilita' del gateway di pagamento nel trimestre</t>
        </is>
      </c>
      <c r="E17" s="158" t="inlineStr">
        <is>
          <t>Evoluzione</t>
        </is>
      </c>
      <c r="F17" s="158" t="inlineStr">
        <is>
          <t>ore</t>
        </is>
      </c>
      <c r="G17" s="158" t="inlineStr">
        <is>
          <t>Incident management ICT</t>
        </is>
      </c>
      <c r="H17" s="158" t="n">
        <v>4</v>
      </c>
      <c r="I17" s="158" t="n">
        <v>12</v>
      </c>
      <c r="J17" s="158" t="n">
        <v>1.5</v>
      </c>
      <c r="K17" s="173" t="n">
        <v>46022</v>
      </c>
      <c r="L17" s="158" t="inlineStr">
        <is>
          <t>Incident management ICT</t>
        </is>
      </c>
      <c r="M17" s="175" t="inlineStr">
        <is>
          <t>Rilevazione di fine trimestre.</t>
        </is>
      </c>
      <c r="N17" s="158">
        <f>IF(OR(H17="",I17=""),"Soglie da definire",IF(I17&lt;H17,"SOGLIE INVERTITE — correggere",IF(J17="","Non rilevato",IF(J17&gt;=I17,"Rosso",IF(J17&gt;=H17,"Ambra","Verde")))))</f>
        <v/>
      </c>
      <c r="O17" s="158" t="inlineStr">
        <is>
          <t>Sì</t>
        </is>
      </c>
      <c r="P17" s="158" t="inlineStr">
        <is>
          <t>2025Q4</t>
        </is>
      </c>
      <c r="Q17" s="158" t="inlineStr">
        <is>
          <t>2025Q4</t>
        </is>
      </c>
      <c r="R17" s="175" t="inlineStr">
        <is>
          <t>KRI di evoluzione del rischio NFR-07: quanto cresce il fenomeno; valori crescenti indicano peggioramento.</t>
        </is>
      </c>
      <c r="S17" s="158">
        <f>A17&amp;"|"&amp;B17</f>
        <v/>
      </c>
      <c r="T17" s="158" t="inlineStr">
        <is>
          <t>Accettato</t>
        </is>
      </c>
    </row>
    <row r="18">
      <c r="A18" s="158" t="inlineStr">
        <is>
          <t>2025Q4</t>
        </is>
      </c>
      <c r="B18" s="158" t="inlineStr">
        <is>
          <t>NFR-08-K1</t>
        </is>
      </c>
      <c r="C18" s="158" t="inlineStr">
        <is>
          <t>NFR-08</t>
        </is>
      </c>
      <c r="D18" s="175" t="inlineStr">
        <is>
          <t>Accessi ai dati clienti senza pratica associata</t>
        </is>
      </c>
      <c r="E18" s="158" t="inlineStr">
        <is>
          <t>Evoluzione</t>
        </is>
      </c>
      <c r="F18" s="158" t="inlineStr">
        <is>
          <t>n/mese</t>
        </is>
      </c>
      <c r="G18" s="158" t="inlineStr">
        <is>
          <t>Log applicativi e SOC</t>
        </is>
      </c>
      <c r="H18" s="158" t="n">
        <v>20</v>
      </c>
      <c r="I18" s="158" t="n">
        <v>50</v>
      </c>
      <c r="J18" s="158" t="n">
        <v>35</v>
      </c>
      <c r="K18" s="173" t="n">
        <v>46022</v>
      </c>
      <c r="L18" s="158" t="inlineStr">
        <is>
          <t>Log applicativi e SOC</t>
        </is>
      </c>
      <c r="M18" s="175" t="inlineStr">
        <is>
          <t>Rilevazione di fine trimestre.</t>
        </is>
      </c>
      <c r="N18" s="158">
        <f>IF(OR(H18="",I18=""),"Soglie da definire",IF(I18&lt;H18,"SOGLIE INVERTITE — correggere",IF(J18="","Non rilevato",IF(J18&gt;=I18,"Rosso",IF(J18&gt;=H18,"Ambra","Verde")))))</f>
        <v/>
      </c>
      <c r="O18" s="158" t="inlineStr">
        <is>
          <t>Sì</t>
        </is>
      </c>
      <c r="P18" s="158" t="inlineStr">
        <is>
          <t>2025Q4</t>
        </is>
      </c>
      <c r="Q18" s="158" t="inlineStr">
        <is>
          <t>2025Q4</t>
        </is>
      </c>
      <c r="R18" s="175" t="inlineStr">
        <is>
          <t>KRI di evoluzione del rischio NFR-08: quanto cresce il fenomeno; valori crescenti indicano peggioramento.</t>
        </is>
      </c>
      <c r="S18" s="158">
        <f>A18&amp;"|"&amp;B18</f>
        <v/>
      </c>
      <c r="T18" s="158" t="inlineStr">
        <is>
          <t>Accettato</t>
        </is>
      </c>
    </row>
    <row r="19">
      <c r="A19" s="158" t="inlineStr">
        <is>
          <t>2025Q4</t>
        </is>
      </c>
      <c r="B19" s="158" t="inlineStr">
        <is>
          <t>NFR-08-K2</t>
        </is>
      </c>
      <c r="C19" s="158" t="inlineStr">
        <is>
          <t>NFR-08</t>
        </is>
      </c>
      <c r="D19" s="175" t="inlineStr">
        <is>
          <t>Utenze con profili di accesso non rivisti nell'anno</t>
        </is>
      </c>
      <c r="E19" s="158" t="inlineStr">
        <is>
          <t>Esposizione</t>
        </is>
      </c>
      <c r="F19" s="158" t="inlineStr">
        <is>
          <t>%</t>
        </is>
      </c>
      <c r="G19" s="158" t="inlineStr">
        <is>
          <t>Sistema IAM</t>
        </is>
      </c>
      <c r="H19" s="158" t="n">
        <v>5</v>
      </c>
      <c r="I19" s="158" t="n">
        <v>15</v>
      </c>
      <c r="J19" s="158" t="n">
        <v>12</v>
      </c>
      <c r="K19" s="173" t="n">
        <v>46022</v>
      </c>
      <c r="L19" s="158" t="inlineStr">
        <is>
          <t>Sistema IAM</t>
        </is>
      </c>
      <c r="M19" s="175" t="inlineStr">
        <is>
          <t>Rilevazione di fine trimestre.</t>
        </is>
      </c>
      <c r="N19" s="158">
        <f>IF(OR(H19="",I19=""),"Soglie da definire",IF(I19&lt;H19,"SOGLIE INVERTITE — correggere",IF(J19="","Non rilevato",IF(J19&gt;=I19,"Rosso",IF(J19&gt;=H19,"Ambra","Verde")))))</f>
        <v/>
      </c>
      <c r="O19" s="158" t="inlineStr">
        <is>
          <t>Sì</t>
        </is>
      </c>
      <c r="P19" s="158" t="inlineStr">
        <is>
          <t>2025Q4</t>
        </is>
      </c>
      <c r="Q19" s="158" t="inlineStr">
        <is>
          <t>2025Q4</t>
        </is>
      </c>
      <c r="R19" s="175" t="inlineStr">
        <is>
          <t>KRI di esposizione del rischio NFR-08: quanto la Banca e' esposta; valori crescenti indicano peggioramento.</t>
        </is>
      </c>
      <c r="S19" s="158">
        <f>A19&amp;"|"&amp;B19</f>
        <v/>
      </c>
      <c r="T19" s="158" t="inlineStr">
        <is>
          <t>Accettato</t>
        </is>
      </c>
    </row>
    <row r="20">
      <c r="A20" s="158" t="inlineStr">
        <is>
          <t>2025Q4</t>
        </is>
      </c>
      <c r="B20" s="158" t="inlineStr">
        <is>
          <t>NFR-11-K1</t>
        </is>
      </c>
      <c r="C20" s="158" t="inlineStr">
        <is>
          <t>NFR-11</t>
        </is>
      </c>
      <c r="D20" s="175" t="inlineStr">
        <is>
          <t>Componenti del sistema di pagamento fuori supporto</t>
        </is>
      </c>
      <c r="E20" s="158" t="inlineStr">
        <is>
          <t>Esposizione</t>
        </is>
      </c>
      <c r="F20" s="158" t="inlineStr">
        <is>
          <t>n</t>
        </is>
      </c>
      <c r="G20" s="158" t="inlineStr">
        <is>
          <t>Inventario IT</t>
        </is>
      </c>
      <c r="H20" s="158" t="n">
        <v>3</v>
      </c>
      <c r="I20" s="158" t="n">
        <v>8</v>
      </c>
      <c r="J20" s="158" t="n">
        <v>9</v>
      </c>
      <c r="K20" s="173" t="n">
        <v>46022</v>
      </c>
      <c r="L20" s="158" t="inlineStr">
        <is>
          <t>Inventario IT</t>
        </is>
      </c>
      <c r="M20" s="175" t="inlineStr">
        <is>
          <t>Rilevazione di fine trimestre.</t>
        </is>
      </c>
      <c r="N20" s="158">
        <f>IF(OR(H20="",I20=""),"Soglie da definire",IF(I20&lt;H20,"SOGLIE INVERTITE — correggere",IF(J20="","Non rilevato",IF(J20&gt;=I20,"Rosso",IF(J20&gt;=H20,"Ambra","Verde")))))</f>
        <v/>
      </c>
      <c r="O20" s="158" t="inlineStr">
        <is>
          <t>Sì</t>
        </is>
      </c>
      <c r="P20" s="158" t="inlineStr">
        <is>
          <t>2025Q4</t>
        </is>
      </c>
      <c r="Q20" s="158" t="inlineStr">
        <is>
          <t>2025Q4</t>
        </is>
      </c>
      <c r="R20" s="175" t="inlineStr">
        <is>
          <t>KRI di esposizione del rischio NFR-11: quanto la Banca e' esposta; valori crescenti indicano peggioramento.</t>
        </is>
      </c>
      <c r="S20" s="158">
        <f>A20&amp;"|"&amp;B20</f>
        <v/>
      </c>
      <c r="T20" s="158" t="inlineStr">
        <is>
          <t>Accettato</t>
        </is>
      </c>
    </row>
    <row r="21">
      <c r="A21" s="158" t="inlineStr">
        <is>
          <t>2025Q4</t>
        </is>
      </c>
      <c r="B21" s="158" t="inlineStr">
        <is>
          <t>NFR-11-K2</t>
        </is>
      </c>
      <c r="C21" s="158" t="inlineStr">
        <is>
          <t>NFR-11</t>
        </is>
      </c>
      <c r="D21" s="175" t="inlineStr">
        <is>
          <t>Vulnerabilita' senza patch disponibile sui sistemi legacy</t>
        </is>
      </c>
      <c r="E21" s="158" t="inlineStr">
        <is>
          <t>Evoluzione</t>
        </is>
      </c>
      <c r="F21" s="158" t="inlineStr">
        <is>
          <t>n</t>
        </is>
      </c>
      <c r="G21" s="158" t="inlineStr">
        <is>
          <t>Vulnerability management</t>
        </is>
      </c>
      <c r="H21" s="158" t="n">
        <v>2</v>
      </c>
      <c r="I21" s="158" t="n">
        <v>6</v>
      </c>
      <c r="J21" s="158" t="n">
        <v>4</v>
      </c>
      <c r="K21" s="173" t="n">
        <v>46022</v>
      </c>
      <c r="L21" s="158" t="inlineStr">
        <is>
          <t>Vulnerability management</t>
        </is>
      </c>
      <c r="M21" s="175" t="inlineStr">
        <is>
          <t>Rilevazione di fine trimestre.</t>
        </is>
      </c>
      <c r="N21" s="158">
        <f>IF(OR(H21="",I21=""),"Soglie da definire",IF(I21&lt;H21,"SOGLIE INVERTITE — correggere",IF(J21="","Non rilevato",IF(J21&gt;=I21,"Rosso",IF(J21&gt;=H21,"Ambra","Verde")))))</f>
        <v/>
      </c>
      <c r="O21" s="158" t="inlineStr">
        <is>
          <t>Sì</t>
        </is>
      </c>
      <c r="P21" s="158" t="inlineStr">
        <is>
          <t>2025Q4</t>
        </is>
      </c>
      <c r="Q21" s="158" t="inlineStr">
        <is>
          <t>2025Q4</t>
        </is>
      </c>
      <c r="R21" s="175" t="inlineStr">
        <is>
          <t>KRI di evoluzione del rischio NFR-11: quanto cresce il fenomeno; valori crescenti indicano peggioramento.</t>
        </is>
      </c>
      <c r="S21" s="158">
        <f>A21&amp;"|"&amp;B21</f>
        <v/>
      </c>
      <c r="T21" s="158" t="inlineStr">
        <is>
          <t>Accettato</t>
        </is>
      </c>
    </row>
    <row r="22">
      <c r="A22" s="158" t="inlineStr">
        <is>
          <t>2025Q4</t>
        </is>
      </c>
      <c r="B22" s="158" t="inlineStr">
        <is>
          <t>NFR-12-K1</t>
        </is>
      </c>
      <c r="C22" s="158" t="inlineStr">
        <is>
          <t>NFR-12</t>
        </is>
      </c>
      <c r="D22" s="175" t="inlineStr">
        <is>
          <t>Differenze di riconciliazione sui bonifici istantanei aperte oltre 1 giorno</t>
        </is>
      </c>
      <c r="E22" s="158" t="inlineStr">
        <is>
          <t>Evoluzione</t>
        </is>
      </c>
      <c r="F22" s="158" t="inlineStr">
        <is>
          <t>n</t>
        </is>
      </c>
      <c r="G22" s="158" t="inlineStr">
        <is>
          <t>Sistema di riconciliazione</t>
        </is>
      </c>
      <c r="H22" s="158" t="n">
        <v>10</v>
      </c>
      <c r="I22" s="158" t="n">
        <v>30</v>
      </c>
      <c r="J22" s="158" t="n">
        <v>4</v>
      </c>
      <c r="K22" s="173" t="n">
        <v>46022</v>
      </c>
      <c r="L22" s="158" t="inlineStr">
        <is>
          <t>Sistema di riconciliazione</t>
        </is>
      </c>
      <c r="M22" s="175" t="inlineStr">
        <is>
          <t>Rilevazione di fine trimestre.</t>
        </is>
      </c>
      <c r="N22" s="158">
        <f>IF(OR(H22="",I22=""),"Soglie da definire",IF(I22&lt;H22,"SOGLIE INVERTITE — correggere",IF(J22="","Non rilevato",IF(J22&gt;=I22,"Rosso",IF(J22&gt;=H22,"Ambra","Verde")))))</f>
        <v/>
      </c>
      <c r="O22" s="158" t="inlineStr">
        <is>
          <t>Sì</t>
        </is>
      </c>
      <c r="P22" s="158" t="inlineStr">
        <is>
          <t>2025Q4</t>
        </is>
      </c>
      <c r="Q22" s="158" t="inlineStr">
        <is>
          <t>2025Q4</t>
        </is>
      </c>
      <c r="R22" s="175" t="inlineStr">
        <is>
          <t>KRI di evoluzione del rischio NFR-12: quanto cresce il fenomeno; valori crescenti indicano peggioramento.</t>
        </is>
      </c>
      <c r="S22" s="158">
        <f>A22&amp;"|"&amp;B22</f>
        <v/>
      </c>
      <c r="T22" s="158" t="inlineStr">
        <is>
          <t>Accettato</t>
        </is>
      </c>
    </row>
    <row r="23">
      <c r="A23" s="158" t="inlineStr">
        <is>
          <t>2025Q4</t>
        </is>
      </c>
      <c r="B23" s="158" t="inlineStr">
        <is>
          <t>NFR-12-K3</t>
        </is>
      </c>
      <c r="C23" s="158" t="inlineStr">
        <is>
          <t>NFR-12</t>
        </is>
      </c>
      <c r="D23" s="175" t="inlineStr">
        <is>
          <t>Tempo medio di risoluzione delle eccezioni sui pagamenti istantanei</t>
        </is>
      </c>
      <c r="E23" s="158" t="inlineStr">
        <is>
          <t>Esposizione</t>
        </is>
      </c>
      <c r="F23" s="158" t="inlineStr">
        <is>
          <t>ore</t>
        </is>
      </c>
      <c r="G23" s="158" t="inlineStr">
        <is>
          <t>Workflow delle eccezioni</t>
        </is>
      </c>
      <c r="H23" s="158" t="n">
        <v>4</v>
      </c>
      <c r="I23" s="158" t="n">
        <v>12</v>
      </c>
      <c r="J23" s="158" t="n">
        <v>3</v>
      </c>
      <c r="K23" s="173" t="n">
        <v>46022</v>
      </c>
      <c r="L23" s="158" t="inlineStr">
        <is>
          <t>Workflow delle eccezioni</t>
        </is>
      </c>
      <c r="M23" s="175" t="inlineStr">
        <is>
          <t>Rilevazione di fine trimestre.</t>
        </is>
      </c>
      <c r="N23" s="158">
        <f>IF(OR(H23="",I23=""),"Soglie da definire",IF(I23&lt;H23,"SOGLIE INVERTITE — correggere",IF(J23="","Non rilevato",IF(J23&gt;=I23,"Rosso",IF(J23&gt;=H23,"Ambra","Verde")))))</f>
        <v/>
      </c>
      <c r="O23" s="158" t="inlineStr">
        <is>
          <t>Sì</t>
        </is>
      </c>
      <c r="P23" s="158" t="inlineStr">
        <is>
          <t>2025Q4</t>
        </is>
      </c>
      <c r="Q23" s="158" t="inlineStr">
        <is>
          <t>2025Q4</t>
        </is>
      </c>
      <c r="R23" s="175" t="inlineStr">
        <is>
          <t>KRI di esposizione del rischio NFR-12: quanto la Banca e' esposta; valori crescenti indicano peggioramento.</t>
        </is>
      </c>
      <c r="S23" s="158">
        <f>A23&amp;"|"&amp;B23</f>
        <v/>
      </c>
      <c r="T23" s="158" t="inlineStr">
        <is>
          <t>Accettato</t>
        </is>
      </c>
    </row>
    <row r="24">
      <c r="A24" s="158" t="inlineStr">
        <is>
          <t>2026Q1</t>
        </is>
      </c>
      <c r="B24" s="158" t="inlineStr">
        <is>
          <t>NFR-01-K1</t>
        </is>
      </c>
      <c r="C24" s="158" t="inlineStr">
        <is>
          <t>NFR-01</t>
        </is>
      </c>
      <c r="D24" s="175" t="inlineStr">
        <is>
          <t>Tentativi di frode APP per 10.000 bonifici istantanei</t>
        </is>
      </c>
      <c r="E24" s="158" t="inlineStr">
        <is>
          <t>Evoluzione</t>
        </is>
      </c>
      <c r="F24" s="158" t="inlineStr">
        <is>
          <t>n/10k</t>
        </is>
      </c>
      <c r="G24" s="158" t="inlineStr">
        <is>
          <t>Sistema antifrode transazionale</t>
        </is>
      </c>
      <c r="H24" s="158" t="n">
        <v>3</v>
      </c>
      <c r="I24" s="158" t="n">
        <v>6</v>
      </c>
      <c r="J24" s="158" t="n">
        <v>3.4</v>
      </c>
      <c r="K24" s="173" t="n">
        <v>46112</v>
      </c>
      <c r="L24" s="158" t="inlineStr">
        <is>
          <t>Sistema antifrode transazionale</t>
        </is>
      </c>
      <c r="M24" s="175" t="inlineStr">
        <is>
          <t>Rilevazione di fine trimestre.</t>
        </is>
      </c>
      <c r="N24" s="158">
        <f>IF(OR(H24="",I24=""),"Soglie da definire",IF(I24&lt;H24,"SOGLIE INVERTITE — correggere",IF(J24="","Non rilevato",IF(J24&gt;=I24,"Rosso",IF(J24&gt;=H24,"Ambra","Verde")))))</f>
        <v/>
      </c>
      <c r="O24" s="158" t="inlineStr">
        <is>
          <t>Sì</t>
        </is>
      </c>
      <c r="P24" s="158" t="inlineStr">
        <is>
          <t>2025Q4</t>
        </is>
      </c>
      <c r="Q24" s="158" t="inlineStr">
        <is>
          <t>2025Q4</t>
        </is>
      </c>
      <c r="R24" s="175" t="inlineStr">
        <is>
          <t>KRI di evoluzione del rischio NFR-01: quanto cresce il fenomeno; valori crescenti indicano peggioramento.</t>
        </is>
      </c>
      <c r="S24" s="158">
        <f>A24&amp;"|"&amp;B24</f>
        <v/>
      </c>
      <c r="T24" s="158" t="inlineStr">
        <is>
          <t>Accettato</t>
        </is>
      </c>
    </row>
    <row r="25">
      <c r="A25" s="158" t="inlineStr">
        <is>
          <t>2026Q1</t>
        </is>
      </c>
      <c r="B25" s="158" t="inlineStr">
        <is>
          <t>NFR-01-K3</t>
        </is>
      </c>
      <c r="C25" s="158" t="inlineStr">
        <is>
          <t>NFR-01</t>
        </is>
      </c>
      <c r="D25" s="175" t="inlineStr">
        <is>
          <t>Tempo medio di blocco di un beneficiario fraudolento</t>
        </is>
      </c>
      <c r="E25" s="158" t="inlineStr">
        <is>
          <t>Esposizione</t>
        </is>
      </c>
      <c r="F25" s="158" t="inlineStr">
        <is>
          <t>ore</t>
        </is>
      </c>
      <c r="G25" s="158" t="inlineStr">
        <is>
          <t>Log del sistema di pagamento</t>
        </is>
      </c>
      <c r="H25" s="158" t="n">
        <v>4</v>
      </c>
      <c r="I25" s="158" t="n">
        <v>12</v>
      </c>
      <c r="J25" s="158" t="n">
        <v>3.5</v>
      </c>
      <c r="K25" s="173" t="n">
        <v>46112</v>
      </c>
      <c r="L25" s="158" t="inlineStr">
        <is>
          <t>Log del sistema di pagamento</t>
        </is>
      </c>
      <c r="M25" s="175" t="inlineStr">
        <is>
          <t>Rilevazione di fine trimestre.</t>
        </is>
      </c>
      <c r="N25" s="158">
        <f>IF(OR(H25="",I25=""),"Soglie da definire",IF(I25&lt;H25,"SOGLIE INVERTITE — correggere",IF(J25="","Non rilevato",IF(J25&gt;=I25,"Rosso",IF(J25&gt;=H25,"Ambra","Verde")))))</f>
        <v/>
      </c>
      <c r="O25" s="158" t="inlineStr">
        <is>
          <t>Sì</t>
        </is>
      </c>
      <c r="P25" s="158" t="inlineStr">
        <is>
          <t>2025Q4</t>
        </is>
      </c>
      <c r="Q25" s="158" t="inlineStr">
        <is>
          <t>2025Q4</t>
        </is>
      </c>
      <c r="R25" s="175" t="inlineStr">
        <is>
          <t>KRI di esposizione del rischio NFR-01: quanto la Banca e' esposta; valori crescenti indicano peggioramento.</t>
        </is>
      </c>
      <c r="S25" s="158">
        <f>A25&amp;"|"&amp;B25</f>
        <v/>
      </c>
      <c r="T25" s="158" t="inlineStr">
        <is>
          <t>Accettato</t>
        </is>
      </c>
    </row>
    <row r="26">
      <c r="A26" s="158" t="inlineStr">
        <is>
          <t>2026Q1</t>
        </is>
      </c>
      <c r="B26" s="158" t="inlineStr">
        <is>
          <t>NFR-02-K1</t>
        </is>
      </c>
      <c r="C26" s="158" t="inlineStr">
        <is>
          <t>NFR-02</t>
        </is>
      </c>
      <c r="D26" s="175" t="inlineStr">
        <is>
          <t>Quota di servizi critici sul fornitore cloud principale</t>
        </is>
      </c>
      <c r="E26" s="158" t="inlineStr">
        <is>
          <t>Esposizione</t>
        </is>
      </c>
      <c r="F26" s="158" t="inlineStr">
        <is>
          <t>%</t>
        </is>
      </c>
      <c r="G26" s="158" t="inlineStr">
        <is>
          <t>Registro delle informazioni DORA</t>
        </is>
      </c>
      <c r="H26" s="158" t="n">
        <v>60</v>
      </c>
      <c r="I26" s="158" t="n">
        <v>75</v>
      </c>
      <c r="J26" s="158" t="n">
        <v>76</v>
      </c>
      <c r="K26" s="173" t="n">
        <v>46112</v>
      </c>
      <c r="L26" s="158" t="inlineStr">
        <is>
          <t>Registro delle informazioni DORA</t>
        </is>
      </c>
      <c r="M26" s="175" t="inlineStr">
        <is>
          <t>Rilevazione di fine trimestre.</t>
        </is>
      </c>
      <c r="N26" s="158">
        <f>IF(OR(H26="",I26=""),"Soglie da definire",IF(I26&lt;H26,"SOGLIE INVERTITE — correggere",IF(J26="","Non rilevato",IF(J26&gt;=I26,"Rosso",IF(J26&gt;=H26,"Ambra","Verde")))))</f>
        <v/>
      </c>
      <c r="O26" s="158" t="inlineStr">
        <is>
          <t>Sì</t>
        </is>
      </c>
      <c r="P26" s="158" t="inlineStr">
        <is>
          <t>2025Q4</t>
        </is>
      </c>
      <c r="Q26" s="158" t="inlineStr">
        <is>
          <t>2025Q4</t>
        </is>
      </c>
      <c r="R26" s="175" t="inlineStr">
        <is>
          <t>KRI di esposizione del rischio NFR-02: quanto la Banca e' esposta; valori crescenti indicano peggioramento.</t>
        </is>
      </c>
      <c r="S26" s="158">
        <f>A26&amp;"|"&amp;B26</f>
        <v/>
      </c>
      <c r="T26" s="158" t="inlineStr">
        <is>
          <t>Accettato</t>
        </is>
      </c>
    </row>
    <row r="27">
      <c r="A27" s="158" t="inlineStr">
        <is>
          <t>2026Q1</t>
        </is>
      </c>
      <c r="B27" s="158" t="inlineStr">
        <is>
          <t>NFR-02-K2</t>
        </is>
      </c>
      <c r="C27" s="158" t="inlineStr">
        <is>
          <t>NFR-02</t>
        </is>
      </c>
      <c r="D27" s="175" t="inlineStr">
        <is>
          <t>Incidenti dei fornitori cloud critici con impatto sui servizi nel trimestre</t>
        </is>
      </c>
      <c r="E27" s="158" t="inlineStr">
        <is>
          <t>Evoluzione</t>
        </is>
      </c>
      <c r="F27" s="158" t="inlineStr">
        <is>
          <t>n</t>
        </is>
      </c>
      <c r="G27" s="158" t="inlineStr">
        <is>
          <t>Incident management ICT</t>
        </is>
      </c>
      <c r="H27" s="158" t="n">
        <v>2</v>
      </c>
      <c r="I27" s="158" t="n">
        <v>4</v>
      </c>
      <c r="J27" s="158" t="n">
        <v>0</v>
      </c>
      <c r="K27" s="173" t="n">
        <v>46112</v>
      </c>
      <c r="L27" s="158" t="inlineStr">
        <is>
          <t>Incident management ICT</t>
        </is>
      </c>
      <c r="M27" s="175" t="inlineStr">
        <is>
          <t>Rilevazione di fine trimestre.</t>
        </is>
      </c>
      <c r="N27" s="158">
        <f>IF(OR(H27="",I27=""),"Soglie da definire",IF(I27&lt;H27,"SOGLIE INVERTITE — correggere",IF(J27="","Non rilevato",IF(J27&gt;=I27,"Rosso",IF(J27&gt;=H27,"Ambra","Verde")))))</f>
        <v/>
      </c>
      <c r="O27" s="158" t="inlineStr">
        <is>
          <t>Sì</t>
        </is>
      </c>
      <c r="P27" s="158" t="inlineStr">
        <is>
          <t>2025Q4</t>
        </is>
      </c>
      <c r="Q27" s="158" t="inlineStr">
        <is>
          <t>2025Q4</t>
        </is>
      </c>
      <c r="R27" s="175" t="inlineStr">
        <is>
          <t>KRI di evoluzione del rischio NFR-02: quanto cresce il fenomeno; valori crescenti indicano peggioramento.</t>
        </is>
      </c>
      <c r="S27" s="158">
        <f>A27&amp;"|"&amp;B27</f>
        <v/>
      </c>
      <c r="T27" s="158" t="inlineStr">
        <is>
          <t>Accettato</t>
        </is>
      </c>
    </row>
    <row r="28">
      <c r="A28" s="158" t="inlineStr">
        <is>
          <t>2026Q1</t>
        </is>
      </c>
      <c r="B28" s="158" t="inlineStr">
        <is>
          <t>NFR-03-K1</t>
        </is>
      </c>
      <c r="C28" s="158" t="inlineStr">
        <is>
          <t>NFR-03</t>
        </is>
      </c>
      <c r="D28" s="175" t="inlineStr">
        <is>
          <t>Reclami su prodotti ESG ogni 1.000 contratti</t>
        </is>
      </c>
      <c r="E28" s="158" t="inlineStr">
        <is>
          <t>Evoluzione</t>
        </is>
      </c>
      <c r="F28" s="158" t="inlineStr">
        <is>
          <t>n/1000</t>
        </is>
      </c>
      <c r="G28" s="158" t="inlineStr">
        <is>
          <t>Sistema di gestione reclami</t>
        </is>
      </c>
      <c r="H28" s="158" t="n">
        <v>1.5</v>
      </c>
      <c r="I28" s="158" t="n">
        <v>3</v>
      </c>
      <c r="J28" s="158" t="n">
        <v>0.7</v>
      </c>
      <c r="K28" s="173" t="n">
        <v>46112</v>
      </c>
      <c r="L28" s="158" t="inlineStr">
        <is>
          <t>Sistema di gestione reclami</t>
        </is>
      </c>
      <c r="M28" s="175" t="inlineStr">
        <is>
          <t>Rilevazione di fine trimestre.</t>
        </is>
      </c>
      <c r="N28" s="158">
        <f>IF(OR(H28="",I28=""),"Soglie da definire",IF(I28&lt;H28,"SOGLIE INVERTITE — correggere",IF(J28="","Non rilevato",IF(J28&gt;=I28,"Rosso",IF(J28&gt;=H28,"Ambra","Verde")))))</f>
        <v/>
      </c>
      <c r="O28" s="158" t="inlineStr">
        <is>
          <t>Sì</t>
        </is>
      </c>
      <c r="P28" s="158" t="inlineStr">
        <is>
          <t>2025Q4</t>
        </is>
      </c>
      <c r="Q28" s="158" t="inlineStr">
        <is>
          <t>2025Q4</t>
        </is>
      </c>
      <c r="R28" s="175" t="inlineStr">
        <is>
          <t>KRI di evoluzione del rischio NFR-03: quanto cresce il fenomeno; valori crescenti indicano peggioramento.</t>
        </is>
      </c>
      <c r="S28" s="158">
        <f>A28&amp;"|"&amp;B28</f>
        <v/>
      </c>
      <c r="T28" s="158" t="inlineStr">
        <is>
          <t>Accettato</t>
        </is>
      </c>
    </row>
    <row r="29">
      <c r="A29" s="158" t="inlineStr">
        <is>
          <t>2026Q1</t>
        </is>
      </c>
      <c r="B29" s="158" t="inlineStr">
        <is>
          <t>NFR-03-K2</t>
        </is>
      </c>
      <c r="C29" s="158" t="inlineStr">
        <is>
          <t>NFR-03</t>
        </is>
      </c>
      <c r="D29" s="175" t="inlineStr">
        <is>
          <t>Quota di prodotti ESG senza revisione dei claim nell'anno</t>
        </is>
      </c>
      <c r="E29" s="158" t="inlineStr">
        <is>
          <t>Esposizione</t>
        </is>
      </c>
      <c r="F29" s="158" t="inlineStr">
        <is>
          <t>%</t>
        </is>
      </c>
      <c r="G29" s="158" t="inlineStr">
        <is>
          <t>Inventario prodotti — Compliance</t>
        </is>
      </c>
      <c r="H29" s="158" t="n">
        <v>20</v>
      </c>
      <c r="I29" s="158" t="n">
        <v>40</v>
      </c>
      <c r="J29" s="158" t="n"/>
      <c r="K29" s="173" t="n"/>
      <c r="L29" s="158" t="n"/>
      <c r="M29" s="175" t="inlineStr">
        <is>
          <t>Dato non ancora prodotto dalla fonte.</t>
        </is>
      </c>
      <c r="N29" s="158">
        <f>IF(OR(H29="",I29=""),"Soglie da definire",IF(I29&lt;H29,"SOGLIE INVERTITE — correggere",IF(J29="","Non rilevato",IF(J29&gt;=I29,"Rosso",IF(J29&gt;=H29,"Ambra","Verde")))))</f>
        <v/>
      </c>
      <c r="O29" s="158" t="inlineStr">
        <is>
          <t>Sì</t>
        </is>
      </c>
      <c r="P29" s="158" t="inlineStr">
        <is>
          <t>2025Q4</t>
        </is>
      </c>
      <c r="Q29" s="158" t="inlineStr">
        <is>
          <t>2025Q4</t>
        </is>
      </c>
      <c r="R29" s="175" t="inlineStr">
        <is>
          <t>KRI di esposizione del rischio NFR-03: quanto la Banca e' esposta; valori crescenti indicano peggioramento.</t>
        </is>
      </c>
      <c r="S29" s="158">
        <f>A29&amp;"|"&amp;B29</f>
        <v/>
      </c>
      <c r="T29" s="158" t="inlineStr">
        <is>
          <t>Accettato</t>
        </is>
      </c>
    </row>
    <row r="30">
      <c r="A30" s="158" t="inlineStr">
        <is>
          <t>2026Q1</t>
        </is>
      </c>
      <c r="B30" s="158" t="inlineStr">
        <is>
          <t>NFR-04-K1</t>
        </is>
      </c>
      <c r="C30" s="158" t="inlineStr">
        <is>
          <t>NFR-04</t>
        </is>
      </c>
      <c r="D30" s="175" t="inlineStr">
        <is>
          <t>Sedi critiche in aree a rischio idrogeologico senza piano specifico</t>
        </is>
      </c>
      <c r="E30" s="158" t="inlineStr">
        <is>
          <t>Esposizione</t>
        </is>
      </c>
      <c r="F30" s="158" t="inlineStr">
        <is>
          <t>n</t>
        </is>
      </c>
      <c r="G30" s="158" t="inlineStr">
        <is>
          <t>Mappatura BCM delle sedi</t>
        </is>
      </c>
      <c r="H30" s="158" t="n">
        <v>1</v>
      </c>
      <c r="I30" s="158" t="n">
        <v>3</v>
      </c>
      <c r="J30" s="158" t="n">
        <v>2</v>
      </c>
      <c r="K30" s="173" t="n">
        <v>46112</v>
      </c>
      <c r="L30" s="158" t="inlineStr">
        <is>
          <t>Mappatura BCM delle sedi</t>
        </is>
      </c>
      <c r="M30" s="175" t="inlineStr">
        <is>
          <t>Rilevazione di fine trimestre.</t>
        </is>
      </c>
      <c r="N30" s="158">
        <f>IF(OR(H30="",I30=""),"Soglie da definire",IF(I30&lt;H30,"SOGLIE INVERTITE — correggere",IF(J30="","Non rilevato",IF(J30&gt;=I30,"Rosso",IF(J30&gt;=H30,"Ambra","Verde")))))</f>
        <v/>
      </c>
      <c r="O30" s="158" t="inlineStr">
        <is>
          <t>Sì</t>
        </is>
      </c>
      <c r="P30" s="158" t="inlineStr">
        <is>
          <t>2025Q4</t>
        </is>
      </c>
      <c r="Q30" s="158" t="inlineStr">
        <is>
          <t>2025Q4</t>
        </is>
      </c>
      <c r="R30" s="175" t="inlineStr">
        <is>
          <t>KRI di esposizione del rischio NFR-04: quanto la Banca e' esposta; valori crescenti indicano peggioramento.</t>
        </is>
      </c>
      <c r="S30" s="158">
        <f>A30&amp;"|"&amp;B30</f>
        <v/>
      </c>
      <c r="T30" s="158" t="inlineStr">
        <is>
          <t>Accettato</t>
        </is>
      </c>
    </row>
    <row r="31">
      <c r="A31" s="158" t="inlineStr">
        <is>
          <t>2026Q1</t>
        </is>
      </c>
      <c r="B31" s="158" t="inlineStr">
        <is>
          <t>NFR-04-K2</t>
        </is>
      </c>
      <c r="C31" s="158" t="inlineStr">
        <is>
          <t>NFR-04</t>
        </is>
      </c>
      <c r="D31" s="175" t="inlineStr">
        <is>
          <t>Giorni di indisponibilita' di sedi per eventi climatici</t>
        </is>
      </c>
      <c r="E31" s="158" t="inlineStr">
        <is>
          <t>Evoluzione</t>
        </is>
      </c>
      <c r="F31" s="158" t="inlineStr">
        <is>
          <t>giorni</t>
        </is>
      </c>
      <c r="G31" s="158" t="inlineStr">
        <is>
          <t>Registro incidenti BCM</t>
        </is>
      </c>
      <c r="H31" s="158" t="n">
        <v>2</v>
      </c>
      <c r="I31" s="158" t="n">
        <v>5</v>
      </c>
      <c r="J31" s="158" t="n">
        <v>1</v>
      </c>
      <c r="K31" s="173" t="n">
        <v>46112</v>
      </c>
      <c r="L31" s="158" t="inlineStr">
        <is>
          <t>Registro incidenti BCM</t>
        </is>
      </c>
      <c r="M31" s="175" t="inlineStr">
        <is>
          <t>Rilevazione di fine trimestre.</t>
        </is>
      </c>
      <c r="N31" s="158">
        <f>IF(OR(H31="",I31=""),"Soglie da definire",IF(I31&lt;H31,"SOGLIE INVERTITE — correggere",IF(J31="","Non rilevato",IF(J31&gt;=I31,"Rosso",IF(J31&gt;=H31,"Ambra","Verde")))))</f>
        <v/>
      </c>
      <c r="O31" s="158" t="inlineStr">
        <is>
          <t>Sì</t>
        </is>
      </c>
      <c r="P31" s="158" t="inlineStr">
        <is>
          <t>2025Q4</t>
        </is>
      </c>
      <c r="Q31" s="158" t="inlineStr">
        <is>
          <t>2025Q4</t>
        </is>
      </c>
      <c r="R31" s="175" t="inlineStr">
        <is>
          <t>KRI di evoluzione del rischio NFR-04: quanto cresce il fenomeno; valori crescenti indicano peggioramento.</t>
        </is>
      </c>
      <c r="S31" s="158">
        <f>A31&amp;"|"&amp;B31</f>
        <v/>
      </c>
      <c r="T31" s="158" t="inlineStr">
        <is>
          <t>Accettato</t>
        </is>
      </c>
    </row>
    <row r="32">
      <c r="A32" s="158" t="inlineStr">
        <is>
          <t>2026Q1</t>
        </is>
      </c>
      <c r="B32" s="158" t="inlineStr">
        <is>
          <t>NFR-05-K2</t>
        </is>
      </c>
      <c r="C32" s="158" t="inlineStr">
        <is>
          <t>NFR-05</t>
        </is>
      </c>
      <c r="D32" s="175" t="inlineStr">
        <is>
          <t>Incidenti di produzione legati alla migrazione</t>
        </is>
      </c>
      <c r="E32" s="158" t="inlineStr">
        <is>
          <t>Evoluzione</t>
        </is>
      </c>
      <c r="F32" s="158" t="inlineStr">
        <is>
          <t>n</t>
        </is>
      </c>
      <c r="G32" s="158" t="inlineStr">
        <is>
          <t>Incident management IT</t>
        </is>
      </c>
      <c r="H32" s="158" t="n">
        <v>3</v>
      </c>
      <c r="I32" s="158" t="n">
        <v>6</v>
      </c>
      <c r="J32" s="158" t="n">
        <v>9</v>
      </c>
      <c r="K32" s="173" t="n">
        <v>46112</v>
      </c>
      <c r="L32" s="158" t="inlineStr">
        <is>
          <t>Incident management IT</t>
        </is>
      </c>
      <c r="M32" s="175" t="inlineStr">
        <is>
          <t>Rilevazione di fine trimestre.</t>
        </is>
      </c>
      <c r="N32" s="158">
        <f>IF(OR(H32="",I32=""),"Soglie da definire",IF(I32&lt;H32,"SOGLIE INVERTITE — correggere",IF(J32="","Non rilevato",IF(J32&gt;=I32,"Rosso",IF(J32&gt;=H32,"Ambra","Verde")))))</f>
        <v/>
      </c>
      <c r="O32" s="158" t="inlineStr">
        <is>
          <t>Sì</t>
        </is>
      </c>
      <c r="P32" s="158" t="inlineStr">
        <is>
          <t>2025Q4</t>
        </is>
      </c>
      <c r="Q32" s="158" t="inlineStr">
        <is>
          <t>2025Q4</t>
        </is>
      </c>
      <c r="R32" s="175" t="inlineStr">
        <is>
          <t>KRI di evoluzione del rischio NFR-05: quanto cresce il fenomeno; valori crescenti indicano peggioramento.</t>
        </is>
      </c>
      <c r="S32" s="158">
        <f>A32&amp;"|"&amp;B32</f>
        <v/>
      </c>
      <c r="T32" s="158" t="inlineStr">
        <is>
          <t>Accettato</t>
        </is>
      </c>
    </row>
    <row r="33">
      <c r="A33" s="158" t="inlineStr">
        <is>
          <t>2026Q1</t>
        </is>
      </c>
      <c r="B33" s="158" t="inlineStr">
        <is>
          <t>NFR-05-K3</t>
        </is>
      </c>
      <c r="C33" s="158" t="inlineStr">
        <is>
          <t>NFR-05</t>
        </is>
      </c>
      <c r="D33" s="175" t="inlineStr">
        <is>
          <t>Quota di controlli di processo non ridisegnati sul nuovo core</t>
        </is>
      </c>
      <c r="E33" s="158" t="inlineStr">
        <is>
          <t>Esposizione</t>
        </is>
      </c>
      <c r="F33" s="158" t="inlineStr">
        <is>
          <t>%</t>
        </is>
      </c>
      <c r="G33" s="158" t="inlineStr">
        <is>
          <t>Piano di migrazione — PMO</t>
        </is>
      </c>
      <c r="H33" s="158" t="n">
        <v>30</v>
      </c>
      <c r="I33" s="158" t="n">
        <v>60</v>
      </c>
      <c r="J33" s="158" t="n">
        <v>40</v>
      </c>
      <c r="K33" s="173" t="n">
        <v>46112</v>
      </c>
      <c r="L33" s="158" t="inlineStr">
        <is>
          <t>Piano di migrazione — PMO</t>
        </is>
      </c>
      <c r="M33" s="175" t="inlineStr">
        <is>
          <t>Rilevazione di fine trimestre.</t>
        </is>
      </c>
      <c r="N33" s="158">
        <f>IF(OR(H33="",I33=""),"Soglie da definire",IF(I33&lt;H33,"SOGLIE INVERTITE — correggere",IF(J33="","Non rilevato",IF(J33&gt;=I33,"Rosso",IF(J33&gt;=H33,"Ambra","Verde")))))</f>
        <v/>
      </c>
      <c r="O33" s="158" t="inlineStr">
        <is>
          <t>Sì</t>
        </is>
      </c>
      <c r="P33" s="158" t="inlineStr">
        <is>
          <t>2025Q4</t>
        </is>
      </c>
      <c r="Q33" s="158" t="inlineStr">
        <is>
          <t>2025Q4</t>
        </is>
      </c>
      <c r="R33" s="175" t="inlineStr">
        <is>
          <t>KRI di esposizione del rischio NFR-05: quanto la Banca e' esposta; valori crescenti indicano peggioramento.</t>
        </is>
      </c>
      <c r="S33" s="158">
        <f>A33&amp;"|"&amp;B33</f>
        <v/>
      </c>
      <c r="T33" s="158" t="inlineStr">
        <is>
          <t>Accettato</t>
        </is>
      </c>
    </row>
    <row r="34">
      <c r="A34" s="158" t="inlineStr">
        <is>
          <t>2026Q1</t>
        </is>
      </c>
      <c r="B34" s="158" t="inlineStr">
        <is>
          <t>NFR-06-K1</t>
        </is>
      </c>
      <c r="C34" s="158" t="inlineStr">
        <is>
          <t>NFR-06</t>
        </is>
      </c>
      <c r="D34" s="175" t="inlineStr">
        <is>
          <t>Tentativi di caricamento di dati riservati su servizi AI non autorizzati</t>
        </is>
      </c>
      <c r="E34" s="158" t="inlineStr">
        <is>
          <t>Evoluzione</t>
        </is>
      </c>
      <c r="F34" s="158" t="inlineStr">
        <is>
          <t>n/mese</t>
        </is>
      </c>
      <c r="G34" s="158" t="inlineStr">
        <is>
          <t>DLP e proxy web</t>
        </is>
      </c>
      <c r="H34" s="158" t="n">
        <v>10</v>
      </c>
      <c r="I34" s="158" t="n">
        <v>30</v>
      </c>
      <c r="J34" s="158" t="n">
        <v>22</v>
      </c>
      <c r="K34" s="173" t="n">
        <v>46112</v>
      </c>
      <c r="L34" s="158" t="inlineStr">
        <is>
          <t>DLP e proxy web</t>
        </is>
      </c>
      <c r="M34" s="175" t="inlineStr">
        <is>
          <t>Rilevazione di fine trimestre.</t>
        </is>
      </c>
      <c r="N34" s="158">
        <f>IF(OR(H34="",I34=""),"Soglie da definire",IF(I34&lt;H34,"SOGLIE INVERTITE — correggere",IF(J34="","Non rilevato",IF(J34&gt;=I34,"Rosso",IF(J34&gt;=H34,"Ambra","Verde")))))</f>
        <v/>
      </c>
      <c r="O34" s="158" t="inlineStr">
        <is>
          <t>Sì</t>
        </is>
      </c>
      <c r="P34" s="158" t="inlineStr">
        <is>
          <t>2026Q1</t>
        </is>
      </c>
      <c r="Q34" s="158" t="inlineStr">
        <is>
          <t>2026Q1</t>
        </is>
      </c>
      <c r="R34" s="175" t="inlineStr">
        <is>
          <t>KRI di evoluzione del rischio NFR-06: quanto cresce il fenomeno; valori crescenti indicano peggioramento.</t>
        </is>
      </c>
      <c r="S34" s="158">
        <f>A34&amp;"|"&amp;B34</f>
        <v/>
      </c>
      <c r="T34" s="158" t="inlineStr">
        <is>
          <t>Accettato</t>
        </is>
      </c>
    </row>
    <row r="35">
      <c r="A35" s="158" t="inlineStr">
        <is>
          <t>2026Q1</t>
        </is>
      </c>
      <c r="B35" s="158" t="inlineStr">
        <is>
          <t>NFR-06-K2</t>
        </is>
      </c>
      <c r="C35" s="158" t="inlineStr">
        <is>
          <t>NFR-06</t>
        </is>
      </c>
      <c r="D35" s="175" t="inlineStr">
        <is>
          <t>Quota di dipendenti senza formazione sull'uso dell'AI</t>
        </is>
      </c>
      <c r="E35" s="158" t="inlineStr">
        <is>
          <t>Esposizione</t>
        </is>
      </c>
      <c r="F35" s="158" t="inlineStr">
        <is>
          <t>%</t>
        </is>
      </c>
      <c r="G35" s="158" t="inlineStr">
        <is>
          <t>Piattaforma di formazione</t>
        </is>
      </c>
      <c r="H35" s="158" t="n">
        <v>20</v>
      </c>
      <c r="I35" s="158" t="n">
        <v>40</v>
      </c>
      <c r="J35" s="158" t="n">
        <v>48</v>
      </c>
      <c r="K35" s="173" t="n">
        <v>46112</v>
      </c>
      <c r="L35" s="158" t="inlineStr">
        <is>
          <t>Piattaforma di formazione</t>
        </is>
      </c>
      <c r="M35" s="175" t="inlineStr">
        <is>
          <t>Rilevazione di fine trimestre.</t>
        </is>
      </c>
      <c r="N35" s="158">
        <f>IF(OR(H35="",I35=""),"Soglie da definire",IF(I35&lt;H35,"SOGLIE INVERTITE — correggere",IF(J35="","Non rilevato",IF(J35&gt;=I35,"Rosso",IF(J35&gt;=H35,"Ambra","Verde")))))</f>
        <v/>
      </c>
      <c r="O35" s="158" t="inlineStr">
        <is>
          <t>Sì</t>
        </is>
      </c>
      <c r="P35" s="158" t="inlineStr">
        <is>
          <t>2026Q1</t>
        </is>
      </c>
      <c r="Q35" s="158" t="inlineStr">
        <is>
          <t>2026Q1</t>
        </is>
      </c>
      <c r="R35" s="175" t="inlineStr">
        <is>
          <t>KRI di esposizione del rischio NFR-06: quanto la Banca e' esposta; valori crescenti indicano peggioramento.</t>
        </is>
      </c>
      <c r="S35" s="158">
        <f>A35&amp;"|"&amp;B35</f>
        <v/>
      </c>
      <c r="T35" s="158" t="inlineStr">
        <is>
          <t>Accettato</t>
        </is>
      </c>
    </row>
    <row r="36">
      <c r="A36" s="158" t="inlineStr">
        <is>
          <t>2026Q1</t>
        </is>
      </c>
      <c r="B36" s="158" t="inlineStr">
        <is>
          <t>NFR-07-K1</t>
        </is>
      </c>
      <c r="C36" s="158" t="inlineStr">
        <is>
          <t>NFR-07</t>
        </is>
      </c>
      <c r="D36" s="175" t="inlineStr">
        <is>
          <t>Fornitori di pagamento critici senza test di ripristino da ransomware</t>
        </is>
      </c>
      <c r="E36" s="158" t="inlineStr">
        <is>
          <t>Esposizione</t>
        </is>
      </c>
      <c r="F36" s="158" t="inlineStr">
        <is>
          <t>n</t>
        </is>
      </c>
      <c r="G36" s="158" t="inlineStr">
        <is>
          <t>Registro delle informazioni DORA</t>
        </is>
      </c>
      <c r="H36" s="158" t="n">
        <v>1</v>
      </c>
      <c r="I36" s="158" t="n">
        <v>2</v>
      </c>
      <c r="J36" s="158" t="n">
        <v>2</v>
      </c>
      <c r="K36" s="173" t="n">
        <v>46112</v>
      </c>
      <c r="L36" s="158" t="inlineStr">
        <is>
          <t>Registro delle informazioni DORA</t>
        </is>
      </c>
      <c r="M36" s="175" t="inlineStr">
        <is>
          <t>Rilevazione di fine trimestre.</t>
        </is>
      </c>
      <c r="N36" s="158">
        <f>IF(OR(H36="",I36=""),"Soglie da definire",IF(I36&lt;H36,"SOGLIE INVERTITE — correggere",IF(J36="","Non rilevato",IF(J36&gt;=I36,"Rosso",IF(J36&gt;=H36,"Ambra","Verde")))))</f>
        <v/>
      </c>
      <c r="O36" s="158" t="inlineStr">
        <is>
          <t>Sì</t>
        </is>
      </c>
      <c r="P36" s="158" t="inlineStr">
        <is>
          <t>2025Q4</t>
        </is>
      </c>
      <c r="Q36" s="158" t="inlineStr">
        <is>
          <t>2025Q4</t>
        </is>
      </c>
      <c r="R36" s="175" t="inlineStr">
        <is>
          <t>KRI di esposizione del rischio NFR-07: quanto la Banca e' esposta; valori crescenti indicano peggioramento.</t>
        </is>
      </c>
      <c r="S36" s="158">
        <f>A36&amp;"|"&amp;B36</f>
        <v/>
      </c>
      <c r="T36" s="158" t="inlineStr">
        <is>
          <t>Accettato</t>
        </is>
      </c>
    </row>
    <row r="37">
      <c r="A37" s="158" t="inlineStr">
        <is>
          <t>2026Q1</t>
        </is>
      </c>
      <c r="B37" s="158" t="inlineStr">
        <is>
          <t>NFR-07-K2</t>
        </is>
      </c>
      <c r="C37" s="158" t="inlineStr">
        <is>
          <t>NFR-07</t>
        </is>
      </c>
      <c r="D37" s="175" t="inlineStr">
        <is>
          <t>Ore di indisponibilita' del gateway di pagamento nel trimestre</t>
        </is>
      </c>
      <c r="E37" s="158" t="inlineStr">
        <is>
          <t>Evoluzione</t>
        </is>
      </c>
      <c r="F37" s="158" t="inlineStr">
        <is>
          <t>ore</t>
        </is>
      </c>
      <c r="G37" s="158" t="inlineStr">
        <is>
          <t>Incident management ICT</t>
        </is>
      </c>
      <c r="H37" s="158" t="n">
        <v>4</v>
      </c>
      <c r="I37" s="158" t="n">
        <v>12</v>
      </c>
      <c r="J37" s="158" t="n">
        <v>6</v>
      </c>
      <c r="K37" s="173" t="n">
        <v>46112</v>
      </c>
      <c r="L37" s="158" t="inlineStr">
        <is>
          <t>Incident management ICT</t>
        </is>
      </c>
      <c r="M37" s="175" t="inlineStr">
        <is>
          <t>Rilevazione di fine trimestre.</t>
        </is>
      </c>
      <c r="N37" s="158">
        <f>IF(OR(H37="",I37=""),"Soglie da definire",IF(I37&lt;H37,"SOGLIE INVERTITE — correggere",IF(J37="","Non rilevato",IF(J37&gt;=I37,"Rosso",IF(J37&gt;=H37,"Ambra","Verde")))))</f>
        <v/>
      </c>
      <c r="O37" s="158" t="inlineStr">
        <is>
          <t>Sì</t>
        </is>
      </c>
      <c r="P37" s="158" t="inlineStr">
        <is>
          <t>2025Q4</t>
        </is>
      </c>
      <c r="Q37" s="158" t="inlineStr">
        <is>
          <t>2025Q4</t>
        </is>
      </c>
      <c r="R37" s="175" t="inlineStr">
        <is>
          <t>KRI di evoluzione del rischio NFR-07: quanto cresce il fenomeno; valori crescenti indicano peggioramento.</t>
        </is>
      </c>
      <c r="S37" s="158">
        <f>A37&amp;"|"&amp;B37</f>
        <v/>
      </c>
      <c r="T37" s="158" t="inlineStr">
        <is>
          <t>Accettato</t>
        </is>
      </c>
    </row>
    <row r="38">
      <c r="A38" s="158" t="inlineStr">
        <is>
          <t>2026Q1</t>
        </is>
      </c>
      <c r="B38" s="158" t="inlineStr">
        <is>
          <t>NFR-08-K1</t>
        </is>
      </c>
      <c r="C38" s="158" t="inlineStr">
        <is>
          <t>NFR-08</t>
        </is>
      </c>
      <c r="D38" s="175" t="inlineStr">
        <is>
          <t>Accessi ai dati clienti senza pratica associata</t>
        </is>
      </c>
      <c r="E38" s="158" t="inlineStr">
        <is>
          <t>Evoluzione</t>
        </is>
      </c>
      <c r="F38" s="158" t="inlineStr">
        <is>
          <t>n/mese</t>
        </is>
      </c>
      <c r="G38" s="158" t="inlineStr">
        <is>
          <t>Log applicativi e SOC</t>
        </is>
      </c>
      <c r="H38" s="158" t="n">
        <v>20</v>
      </c>
      <c r="I38" s="158" t="n">
        <v>50</v>
      </c>
      <c r="J38" s="158" t="n">
        <v>28</v>
      </c>
      <c r="K38" s="173" t="n">
        <v>46112</v>
      </c>
      <c r="L38" s="158" t="inlineStr">
        <is>
          <t>Log applicativi e SOC</t>
        </is>
      </c>
      <c r="M38" s="175" t="inlineStr">
        <is>
          <t>Rilevazione di fine trimestre.</t>
        </is>
      </c>
      <c r="N38" s="158">
        <f>IF(OR(H38="",I38=""),"Soglie da definire",IF(I38&lt;H38,"SOGLIE INVERTITE — correggere",IF(J38="","Non rilevato",IF(J38&gt;=I38,"Rosso",IF(J38&gt;=H38,"Ambra","Verde")))))</f>
        <v/>
      </c>
      <c r="O38" s="158" t="inlineStr">
        <is>
          <t>Sì</t>
        </is>
      </c>
      <c r="P38" s="158" t="inlineStr">
        <is>
          <t>2025Q4</t>
        </is>
      </c>
      <c r="Q38" s="158" t="inlineStr">
        <is>
          <t>2025Q4</t>
        </is>
      </c>
      <c r="R38" s="175" t="inlineStr">
        <is>
          <t>KRI di evoluzione del rischio NFR-08: quanto cresce il fenomeno; valori crescenti indicano peggioramento.</t>
        </is>
      </c>
      <c r="S38" s="158">
        <f>A38&amp;"|"&amp;B38</f>
        <v/>
      </c>
      <c r="T38" s="158" t="inlineStr">
        <is>
          <t>Accettato</t>
        </is>
      </c>
    </row>
    <row r="39">
      <c r="A39" s="158" t="inlineStr">
        <is>
          <t>2026Q1</t>
        </is>
      </c>
      <c r="B39" s="158" t="inlineStr">
        <is>
          <t>NFR-08-K2</t>
        </is>
      </c>
      <c r="C39" s="158" t="inlineStr">
        <is>
          <t>NFR-08</t>
        </is>
      </c>
      <c r="D39" s="175" t="inlineStr">
        <is>
          <t>Utenze con profili di accesso non rivisti nell'anno</t>
        </is>
      </c>
      <c r="E39" s="158" t="inlineStr">
        <is>
          <t>Esposizione</t>
        </is>
      </c>
      <c r="F39" s="158" t="inlineStr">
        <is>
          <t>%</t>
        </is>
      </c>
      <c r="G39" s="158" t="inlineStr">
        <is>
          <t>Sistema IAM</t>
        </is>
      </c>
      <c r="H39" s="158" t="n">
        <v>5</v>
      </c>
      <c r="I39" s="158" t="n">
        <v>15</v>
      </c>
      <c r="J39" s="158" t="n">
        <v>9</v>
      </c>
      <c r="K39" s="173" t="n">
        <v>46112</v>
      </c>
      <c r="L39" s="158" t="inlineStr">
        <is>
          <t>Sistema IAM</t>
        </is>
      </c>
      <c r="M39" s="175" t="inlineStr">
        <is>
          <t>Rilevazione di fine trimestre.</t>
        </is>
      </c>
      <c r="N39" s="158">
        <f>IF(OR(H39="",I39=""),"Soglie da definire",IF(I39&lt;H39,"SOGLIE INVERTITE — correggere",IF(J39="","Non rilevato",IF(J39&gt;=I39,"Rosso",IF(J39&gt;=H39,"Ambra","Verde")))))</f>
        <v/>
      </c>
      <c r="O39" s="158" t="inlineStr">
        <is>
          <t>Sì</t>
        </is>
      </c>
      <c r="P39" s="158" t="inlineStr">
        <is>
          <t>2025Q4</t>
        </is>
      </c>
      <c r="Q39" s="158" t="inlineStr">
        <is>
          <t>2025Q4</t>
        </is>
      </c>
      <c r="R39" s="175" t="inlineStr">
        <is>
          <t>KRI di esposizione del rischio NFR-08: quanto la Banca e' esposta; valori crescenti indicano peggioramento.</t>
        </is>
      </c>
      <c r="S39" s="158">
        <f>A39&amp;"|"&amp;B39</f>
        <v/>
      </c>
      <c r="T39" s="158" t="inlineStr">
        <is>
          <t>Accettato</t>
        </is>
      </c>
    </row>
    <row r="40">
      <c r="A40" s="158" t="inlineStr">
        <is>
          <t>2026Q1</t>
        </is>
      </c>
      <c r="B40" s="158" t="inlineStr">
        <is>
          <t>NFR-09-K1</t>
        </is>
      </c>
      <c r="C40" s="158" t="inlineStr">
        <is>
          <t>NFR-09</t>
        </is>
      </c>
      <c r="D40" s="175" t="inlineStr">
        <is>
          <t>Pagamenti bloccati dal filtro sanzioni ogni 10.000 verso paesi di transito</t>
        </is>
      </c>
      <c r="E40" s="158" t="inlineStr">
        <is>
          <t>Evoluzione</t>
        </is>
      </c>
      <c r="F40" s="158" t="inlineStr">
        <is>
          <t>n/10k</t>
        </is>
      </c>
      <c r="G40" s="158" t="inlineStr">
        <is>
          <t>Sistema di filtro sanzioni</t>
        </is>
      </c>
      <c r="H40" s="158" t="n">
        <v>2</v>
      </c>
      <c r="I40" s="158" t="n">
        <v>5</v>
      </c>
      <c r="J40" s="158" t="n">
        <v>3.1</v>
      </c>
      <c r="K40" s="173" t="n">
        <v>46112</v>
      </c>
      <c r="L40" s="158" t="inlineStr">
        <is>
          <t>Sistema di filtro sanzioni</t>
        </is>
      </c>
      <c r="M40" s="175" t="inlineStr">
        <is>
          <t>Rilevazione di fine trimestre.</t>
        </is>
      </c>
      <c r="N40" s="158">
        <f>IF(OR(H40="",I40=""),"Soglie da definire",IF(I40&lt;H40,"SOGLIE INVERTITE — correggere",IF(J40="","Non rilevato",IF(J40&gt;=I40,"Rosso",IF(J40&gt;=H40,"Ambra","Verde")))))</f>
        <v/>
      </c>
      <c r="O40" s="158" t="inlineStr">
        <is>
          <t>Sì</t>
        </is>
      </c>
      <c r="P40" s="158" t="inlineStr">
        <is>
          <t>2026Q1</t>
        </is>
      </c>
      <c r="Q40" s="158" t="inlineStr">
        <is>
          <t>2026Q1</t>
        </is>
      </c>
      <c r="R40" s="175" t="inlineStr">
        <is>
          <t>KRI di evoluzione del rischio NFR-09: quanto cresce il fenomeno; valori crescenti indicano peggioramento.</t>
        </is>
      </c>
      <c r="S40" s="158">
        <f>A40&amp;"|"&amp;B40</f>
        <v/>
      </c>
      <c r="T40" s="158" t="inlineStr">
        <is>
          <t>Accettato</t>
        </is>
      </c>
    </row>
    <row r="41">
      <c r="A41" s="158" t="inlineStr">
        <is>
          <t>2026Q1</t>
        </is>
      </c>
      <c r="B41" s="158" t="inlineStr">
        <is>
          <t>NFR-09-K2</t>
        </is>
      </c>
      <c r="C41" s="158" t="inlineStr">
        <is>
          <t>NFR-09</t>
        </is>
      </c>
      <c r="D41" s="175" t="inlineStr">
        <is>
          <t>Clienti corporate ad alto rischio senza due diligence rafforzata aggiornata</t>
        </is>
      </c>
      <c r="E41" s="158" t="inlineStr">
        <is>
          <t>Esposizione</t>
        </is>
      </c>
      <c r="F41" s="158" t="inlineStr">
        <is>
          <t>%</t>
        </is>
      </c>
      <c r="G41" s="158" t="inlineStr">
        <is>
          <t>Anagrafe clienti — Compliance</t>
        </is>
      </c>
      <c r="H41" s="158" t="n">
        <v>5</v>
      </c>
      <c r="I41" s="158" t="n">
        <v>15</v>
      </c>
      <c r="J41" s="158" t="n">
        <v>18</v>
      </c>
      <c r="K41" s="173" t="n">
        <v>46112</v>
      </c>
      <c r="L41" s="158" t="inlineStr">
        <is>
          <t>Anagrafe clienti — Compliance</t>
        </is>
      </c>
      <c r="M41" s="175" t="inlineStr">
        <is>
          <t>Rilevazione di fine trimestre.</t>
        </is>
      </c>
      <c r="N41" s="158">
        <f>IF(OR(H41="",I41=""),"Soglie da definire",IF(I41&lt;H41,"SOGLIE INVERTITE — correggere",IF(J41="","Non rilevato",IF(J41&gt;=I41,"Rosso",IF(J41&gt;=H41,"Ambra","Verde")))))</f>
        <v/>
      </c>
      <c r="O41" s="158" t="inlineStr">
        <is>
          <t>Sì</t>
        </is>
      </c>
      <c r="P41" s="158" t="inlineStr">
        <is>
          <t>2026Q1</t>
        </is>
      </c>
      <c r="Q41" s="158" t="inlineStr">
        <is>
          <t>2026Q1</t>
        </is>
      </c>
      <c r="R41" s="175" t="inlineStr">
        <is>
          <t>KRI di esposizione del rischio NFR-09: quanto la Banca e' esposta; valori crescenti indicano peggioramento.</t>
        </is>
      </c>
      <c r="S41" s="158">
        <f>A41&amp;"|"&amp;B41</f>
        <v/>
      </c>
      <c r="T41" s="158" t="inlineStr">
        <is>
          <t>Accettato</t>
        </is>
      </c>
    </row>
    <row r="42">
      <c r="A42" s="158" t="inlineStr">
        <is>
          <t>2026Q1</t>
        </is>
      </c>
      <c r="B42" s="158" t="inlineStr">
        <is>
          <t>NFR-10-K1</t>
        </is>
      </c>
      <c r="C42" s="158" t="inlineStr">
        <is>
          <t>NFR-10</t>
        </is>
      </c>
      <c r="D42" s="175" t="inlineStr">
        <is>
          <t>Risposte del chatbot contestate ogni 1.000 conversazioni</t>
        </is>
      </c>
      <c r="E42" s="158" t="inlineStr">
        <is>
          <t>Evoluzione</t>
        </is>
      </c>
      <c r="F42" s="158" t="inlineStr">
        <is>
          <t>n/1000</t>
        </is>
      </c>
      <c r="G42" s="158" t="inlineStr">
        <is>
          <t>Piattaforma di assistenza</t>
        </is>
      </c>
      <c r="H42" s="158" t="n"/>
      <c r="I42" s="158" t="n"/>
      <c r="J42" s="158" t="n"/>
      <c r="K42" s="173" t="n"/>
      <c r="L42" s="158" t="n"/>
      <c r="M42" s="175" t="inlineStr">
        <is>
          <t>Dato non ancora prodotto dalla fonte.</t>
        </is>
      </c>
      <c r="N42" s="158">
        <f>IF(OR(H42="",I42=""),"Soglie da definire",IF(I42&lt;H42,"SOGLIE INVERTITE — correggere",IF(J42="","Non rilevato",IF(J42&gt;=I42,"Rosso",IF(J42&gt;=H42,"Ambra","Verde")))))</f>
        <v/>
      </c>
      <c r="O42" s="158" t="inlineStr">
        <is>
          <t>Sì</t>
        </is>
      </c>
      <c r="P42" s="158" t="inlineStr">
        <is>
          <t>2026Q1</t>
        </is>
      </c>
      <c r="Q42" s="158" t="inlineStr">
        <is>
          <t>2026Q1</t>
        </is>
      </c>
      <c r="R42" s="175" t="inlineStr">
        <is>
          <t>KRI di evoluzione del rischio NFR-10: quanto cresce il fenomeno; valori crescenti indicano peggioramento.</t>
        </is>
      </c>
      <c r="S42" s="158">
        <f>A42&amp;"|"&amp;B42</f>
        <v/>
      </c>
      <c r="T42" s="158" t="inlineStr">
        <is>
          <t>Accettato</t>
        </is>
      </c>
    </row>
    <row r="43">
      <c r="A43" s="158" t="inlineStr">
        <is>
          <t>2026Q1</t>
        </is>
      </c>
      <c r="B43" s="158" t="inlineStr">
        <is>
          <t>NFR-10-K3</t>
        </is>
      </c>
      <c r="C43" s="158" t="inlineStr">
        <is>
          <t>NFR-10</t>
        </is>
      </c>
      <c r="D43" s="175" t="inlineStr">
        <is>
          <t>Quota di risposte del chatbot non campionate dal controllo qualita'</t>
        </is>
      </c>
      <c r="E43" s="158" t="inlineStr">
        <is>
          <t>Esposizione</t>
        </is>
      </c>
      <c r="F43" s="158" t="inlineStr">
        <is>
          <t>%</t>
        </is>
      </c>
      <c r="G43" s="158" t="inlineStr">
        <is>
          <t>Controllo qualita' Customer Experience</t>
        </is>
      </c>
      <c r="H43" s="158" t="n">
        <v>20</v>
      </c>
      <c r="I43" s="158" t="n">
        <v>50</v>
      </c>
      <c r="J43" s="158" t="n">
        <v>80</v>
      </c>
      <c r="K43" s="173" t="n">
        <v>46112</v>
      </c>
      <c r="L43" s="158" t="inlineStr">
        <is>
          <t>Controllo qualita' Customer Experience</t>
        </is>
      </c>
      <c r="M43" s="175" t="inlineStr">
        <is>
          <t>Rilevazione di fine trimestre.</t>
        </is>
      </c>
      <c r="N43" s="158">
        <f>IF(OR(H43="",I43=""),"Soglie da definire",IF(I43&lt;H43,"SOGLIE INVERTITE — correggere",IF(J43="","Non rilevato",IF(J43&gt;=I43,"Rosso",IF(J43&gt;=H43,"Ambra","Verde")))))</f>
        <v/>
      </c>
      <c r="O43" s="158" t="inlineStr">
        <is>
          <t>Sì</t>
        </is>
      </c>
      <c r="P43" s="158" t="inlineStr">
        <is>
          <t>2026Q1</t>
        </is>
      </c>
      <c r="Q43" s="158" t="inlineStr">
        <is>
          <t>2026Q1</t>
        </is>
      </c>
      <c r="R43" s="175" t="inlineStr">
        <is>
          <t>KRI di esposizione del rischio NFR-10: quanto la Banca e' esposta; valori crescenti indicano peggioramento.</t>
        </is>
      </c>
      <c r="S43" s="158">
        <f>A43&amp;"|"&amp;B43</f>
        <v/>
      </c>
      <c r="T43" s="158" t="inlineStr">
        <is>
          <t>Accettato</t>
        </is>
      </c>
    </row>
    <row r="44">
      <c r="A44" s="158" t="inlineStr">
        <is>
          <t>2026Q1</t>
        </is>
      </c>
      <c r="B44" s="158" t="inlineStr">
        <is>
          <t>NFR-11-K1</t>
        </is>
      </c>
      <c r="C44" s="158" t="inlineStr">
        <is>
          <t>NFR-11</t>
        </is>
      </c>
      <c r="D44" s="175" t="inlineStr">
        <is>
          <t>Componenti del sistema di pagamento fuori supporto</t>
        </is>
      </c>
      <c r="E44" s="158" t="inlineStr">
        <is>
          <t>Esposizione</t>
        </is>
      </c>
      <c r="F44" s="158" t="inlineStr">
        <is>
          <t>n</t>
        </is>
      </c>
      <c r="G44" s="158" t="inlineStr">
        <is>
          <t>Inventario IT</t>
        </is>
      </c>
      <c r="H44" s="158" t="n">
        <v>3</v>
      </c>
      <c r="I44" s="158" t="n">
        <v>8</v>
      </c>
      <c r="J44" s="158" t="n">
        <v>9</v>
      </c>
      <c r="K44" s="173" t="n">
        <v>46112</v>
      </c>
      <c r="L44" s="158" t="inlineStr">
        <is>
          <t>Inventario IT</t>
        </is>
      </c>
      <c r="M44" s="175" t="inlineStr">
        <is>
          <t>Rilevazione di fine trimestre.</t>
        </is>
      </c>
      <c r="N44" s="158">
        <f>IF(OR(H44="",I44=""),"Soglie da definire",IF(I44&lt;H44,"SOGLIE INVERTITE — correggere",IF(J44="","Non rilevato",IF(J44&gt;=I44,"Rosso",IF(J44&gt;=H44,"Ambra","Verde")))))</f>
        <v/>
      </c>
      <c r="O44" s="158" t="inlineStr">
        <is>
          <t>Sì</t>
        </is>
      </c>
      <c r="P44" s="158" t="inlineStr">
        <is>
          <t>2025Q4</t>
        </is>
      </c>
      <c r="Q44" s="158" t="inlineStr">
        <is>
          <t>2025Q4</t>
        </is>
      </c>
      <c r="R44" s="175" t="inlineStr">
        <is>
          <t>KRI di esposizione del rischio NFR-11: quanto la Banca e' esposta; valori crescenti indicano peggioramento.</t>
        </is>
      </c>
      <c r="S44" s="158">
        <f>A44&amp;"|"&amp;B44</f>
        <v/>
      </c>
      <c r="T44" s="158" t="inlineStr">
        <is>
          <t>Accettato</t>
        </is>
      </c>
    </row>
    <row r="45">
      <c r="A45" s="158" t="inlineStr">
        <is>
          <t>2026Q1</t>
        </is>
      </c>
      <c r="B45" s="158" t="inlineStr">
        <is>
          <t>NFR-11-K2</t>
        </is>
      </c>
      <c r="C45" s="158" t="inlineStr">
        <is>
          <t>NFR-11</t>
        </is>
      </c>
      <c r="D45" s="175" t="inlineStr">
        <is>
          <t>Vulnerabilita' senza patch disponibile sui sistemi legacy</t>
        </is>
      </c>
      <c r="E45" s="158" t="inlineStr">
        <is>
          <t>Evoluzione</t>
        </is>
      </c>
      <c r="F45" s="158" t="inlineStr">
        <is>
          <t>n</t>
        </is>
      </c>
      <c r="G45" s="158" t="inlineStr">
        <is>
          <t>Vulnerability management</t>
        </is>
      </c>
      <c r="H45" s="158" t="n">
        <v>2</v>
      </c>
      <c r="I45" s="158" t="n">
        <v>6</v>
      </c>
      <c r="J45" s="158" t="n">
        <v>5</v>
      </c>
      <c r="K45" s="173" t="n">
        <v>46112</v>
      </c>
      <c r="L45" s="158" t="inlineStr">
        <is>
          <t>Vulnerability management</t>
        </is>
      </c>
      <c r="M45" s="175" t="inlineStr">
        <is>
          <t>Rilevazione di fine trimestre.</t>
        </is>
      </c>
      <c r="N45" s="158">
        <f>IF(OR(H45="",I45=""),"Soglie da definire",IF(I45&lt;H45,"SOGLIE INVERTITE — correggere",IF(J45="","Non rilevato",IF(J45&gt;=I45,"Rosso",IF(J45&gt;=H45,"Ambra","Verde")))))</f>
        <v/>
      </c>
      <c r="O45" s="158" t="inlineStr">
        <is>
          <t>Sì</t>
        </is>
      </c>
      <c r="P45" s="158" t="inlineStr">
        <is>
          <t>2025Q4</t>
        </is>
      </c>
      <c r="Q45" s="158" t="inlineStr">
        <is>
          <t>2025Q4</t>
        </is>
      </c>
      <c r="R45" s="175" t="inlineStr">
        <is>
          <t>KRI di evoluzione del rischio NFR-11: quanto cresce il fenomeno; valori crescenti indicano peggioramento.</t>
        </is>
      </c>
      <c r="S45" s="158">
        <f>A45&amp;"|"&amp;B45</f>
        <v/>
      </c>
      <c r="T45" s="158" t="inlineStr">
        <is>
          <t>Accettato</t>
        </is>
      </c>
    </row>
    <row r="46">
      <c r="A46" s="158" t="inlineStr">
        <is>
          <t>2026Q1</t>
        </is>
      </c>
      <c r="B46" s="158" t="inlineStr">
        <is>
          <t>NFR-12-K1</t>
        </is>
      </c>
      <c r="C46" s="158" t="inlineStr">
        <is>
          <t>NFR-12</t>
        </is>
      </c>
      <c r="D46" s="175" t="inlineStr">
        <is>
          <t>Differenze di riconciliazione sui bonifici istantanei aperte oltre 1 giorno</t>
        </is>
      </c>
      <c r="E46" s="158" t="inlineStr">
        <is>
          <t>Evoluzione</t>
        </is>
      </c>
      <c r="F46" s="158" t="inlineStr">
        <is>
          <t>n</t>
        </is>
      </c>
      <c r="G46" s="158" t="inlineStr">
        <is>
          <t>Sistema di riconciliazione</t>
        </is>
      </c>
      <c r="H46" s="158" t="n">
        <v>10</v>
      </c>
      <c r="I46" s="158" t="n">
        <v>30</v>
      </c>
      <c r="J46" s="158" t="n">
        <v>6</v>
      </c>
      <c r="K46" s="173" t="n">
        <v>46112</v>
      </c>
      <c r="L46" s="158" t="inlineStr">
        <is>
          <t>Sistema di riconciliazione</t>
        </is>
      </c>
      <c r="M46" s="175" t="inlineStr">
        <is>
          <t>Rilevazione di fine trimestre.</t>
        </is>
      </c>
      <c r="N46" s="158">
        <f>IF(OR(H46="",I46=""),"Soglie da definire",IF(I46&lt;H46,"SOGLIE INVERTITE — correggere",IF(J46="","Non rilevato",IF(J46&gt;=I46,"Rosso",IF(J46&gt;=H46,"Ambra","Verde")))))</f>
        <v/>
      </c>
      <c r="O46" s="158" t="inlineStr">
        <is>
          <t>Sì</t>
        </is>
      </c>
      <c r="P46" s="158" t="inlineStr">
        <is>
          <t>2025Q4</t>
        </is>
      </c>
      <c r="Q46" s="158" t="inlineStr">
        <is>
          <t>2025Q4</t>
        </is>
      </c>
      <c r="R46" s="175" t="inlineStr">
        <is>
          <t>KRI di evoluzione del rischio NFR-12: quanto cresce il fenomeno; valori crescenti indicano peggioramento.</t>
        </is>
      </c>
      <c r="S46" s="158">
        <f>A46&amp;"|"&amp;B46</f>
        <v/>
      </c>
      <c r="T46" s="158" t="inlineStr">
        <is>
          <t>Accettato</t>
        </is>
      </c>
    </row>
    <row r="47">
      <c r="A47" s="158" t="inlineStr">
        <is>
          <t>2026Q1</t>
        </is>
      </c>
      <c r="B47" s="158" t="inlineStr">
        <is>
          <t>NFR-12-K3</t>
        </is>
      </c>
      <c r="C47" s="158" t="inlineStr">
        <is>
          <t>NFR-12</t>
        </is>
      </c>
      <c r="D47" s="175" t="inlineStr">
        <is>
          <t>Tempo medio di risoluzione delle eccezioni sui pagamenti istantanei</t>
        </is>
      </c>
      <c r="E47" s="158" t="inlineStr">
        <is>
          <t>Esposizione</t>
        </is>
      </c>
      <c r="F47" s="158" t="inlineStr">
        <is>
          <t>ore</t>
        </is>
      </c>
      <c r="G47" s="158" t="inlineStr">
        <is>
          <t>Workflow delle eccezioni</t>
        </is>
      </c>
      <c r="H47" s="158" t="n">
        <v>4</v>
      </c>
      <c r="I47" s="158" t="n">
        <v>12</v>
      </c>
      <c r="J47" s="158" t="n">
        <v>3.5</v>
      </c>
      <c r="K47" s="173" t="n">
        <v>46112</v>
      </c>
      <c r="L47" s="158" t="inlineStr">
        <is>
          <t>Workflow delle eccezioni</t>
        </is>
      </c>
      <c r="M47" s="175" t="inlineStr">
        <is>
          <t>Rilevazione di fine trimestre.</t>
        </is>
      </c>
      <c r="N47" s="158">
        <f>IF(OR(H47="",I47=""),"Soglie da definire",IF(I47&lt;H47,"SOGLIE INVERTITE — correggere",IF(J47="","Non rilevato",IF(J47&gt;=I47,"Rosso",IF(J47&gt;=H47,"Ambra","Verde")))))</f>
        <v/>
      </c>
      <c r="O47" s="158" t="inlineStr">
        <is>
          <t>Sì</t>
        </is>
      </c>
      <c r="P47" s="158" t="inlineStr">
        <is>
          <t>2025Q4</t>
        </is>
      </c>
      <c r="Q47" s="158" t="inlineStr">
        <is>
          <t>2025Q4</t>
        </is>
      </c>
      <c r="R47" s="175" t="inlineStr">
        <is>
          <t>KRI di esposizione del rischio NFR-12: quanto la Banca e' esposta; valori crescenti indicano peggioramento.</t>
        </is>
      </c>
      <c r="S47" s="158">
        <f>A47&amp;"|"&amp;B47</f>
        <v/>
      </c>
      <c r="T47" s="158" t="inlineStr">
        <is>
          <t>Accettato</t>
        </is>
      </c>
    </row>
    <row r="48">
      <c r="A48" s="158" t="inlineStr">
        <is>
          <t>2026Q2</t>
        </is>
      </c>
      <c r="B48" s="158" t="inlineStr">
        <is>
          <t>NFR-01-K1</t>
        </is>
      </c>
      <c r="C48" s="158" t="inlineStr">
        <is>
          <t>NFR-01</t>
        </is>
      </c>
      <c r="D48" s="175" t="inlineStr">
        <is>
          <t>Tentativi di frode APP per 10.000 bonifici istantanei</t>
        </is>
      </c>
      <c r="E48" s="158" t="inlineStr">
        <is>
          <t>Evoluzione</t>
        </is>
      </c>
      <c r="F48" s="158" t="inlineStr">
        <is>
          <t>n/10k</t>
        </is>
      </c>
      <c r="G48" s="158" t="inlineStr">
        <is>
          <t>Sistema antifrode transazionale</t>
        </is>
      </c>
      <c r="H48" s="158" t="n">
        <v>3</v>
      </c>
      <c r="I48" s="158" t="n">
        <v>6</v>
      </c>
      <c r="J48" s="158" t="n">
        <v>4.2</v>
      </c>
      <c r="K48" s="173" t="n">
        <v>46203</v>
      </c>
      <c r="L48" s="158" t="inlineStr">
        <is>
          <t>Sistema antifrode transazionale</t>
        </is>
      </c>
      <c r="M48" s="175" t="inlineStr">
        <is>
          <t>Rilevazione di fine trimestre.</t>
        </is>
      </c>
      <c r="N48" s="158">
        <f>IF(OR(H48="",I48=""),"Soglie da definire",IF(I48&lt;H48,"SOGLIE INVERTITE — correggere",IF(J48="","Non rilevato",IF(J48&gt;=I48,"Rosso",IF(J48&gt;=H48,"Ambra","Verde")))))</f>
        <v/>
      </c>
      <c r="O48" s="158" t="inlineStr">
        <is>
          <t>Sì</t>
        </is>
      </c>
      <c r="P48" s="158" t="inlineStr">
        <is>
          <t>2025Q4</t>
        </is>
      </c>
      <c r="Q48" s="158" t="inlineStr">
        <is>
          <t>2025Q4</t>
        </is>
      </c>
      <c r="R48" s="175" t="inlineStr">
        <is>
          <t>KRI di evoluzione del rischio NFR-01: quanto cresce il fenomeno; valori crescenti indicano peggioramento.</t>
        </is>
      </c>
      <c r="S48" s="158">
        <f>A48&amp;"|"&amp;B48</f>
        <v/>
      </c>
      <c r="T48" s="158" t="inlineStr">
        <is>
          <t>Accettato</t>
        </is>
      </c>
    </row>
    <row r="49">
      <c r="A49" s="158" t="inlineStr">
        <is>
          <t>2026Q2</t>
        </is>
      </c>
      <c r="B49" s="158" t="inlineStr">
        <is>
          <t>NFR-01-K3</t>
        </is>
      </c>
      <c r="C49" s="158" t="inlineStr">
        <is>
          <t>NFR-01</t>
        </is>
      </c>
      <c r="D49" s="175" t="inlineStr">
        <is>
          <t>Tempo medio di blocco di un beneficiario fraudolento</t>
        </is>
      </c>
      <c r="E49" s="158" t="inlineStr">
        <is>
          <t>Esposizione</t>
        </is>
      </c>
      <c r="F49" s="158" t="inlineStr">
        <is>
          <t>ore</t>
        </is>
      </c>
      <c r="G49" s="158" t="inlineStr">
        <is>
          <t>Log del sistema di pagamento</t>
        </is>
      </c>
      <c r="H49" s="158" t="n">
        <v>4</v>
      </c>
      <c r="I49" s="158" t="n">
        <v>12</v>
      </c>
      <c r="J49" s="158" t="n">
        <v>2.5</v>
      </c>
      <c r="K49" s="173" t="n">
        <v>46203</v>
      </c>
      <c r="L49" s="158" t="inlineStr">
        <is>
          <t>Log del sistema di pagamento</t>
        </is>
      </c>
      <c r="M49" s="175" t="inlineStr">
        <is>
          <t>Rilevazione di fine trimestre.</t>
        </is>
      </c>
      <c r="N49" s="158">
        <f>IF(OR(H49="",I49=""),"Soglie da definire",IF(I49&lt;H49,"SOGLIE INVERTITE — correggere",IF(J49="","Non rilevato",IF(J49&gt;=I49,"Rosso",IF(J49&gt;=H49,"Ambra","Verde")))))</f>
        <v/>
      </c>
      <c r="O49" s="158" t="inlineStr">
        <is>
          <t>Sì</t>
        </is>
      </c>
      <c r="P49" s="158" t="inlineStr">
        <is>
          <t>2025Q4</t>
        </is>
      </c>
      <c r="Q49" s="158" t="inlineStr">
        <is>
          <t>2025Q4</t>
        </is>
      </c>
      <c r="R49" s="175" t="inlineStr">
        <is>
          <t>KRI di esposizione del rischio NFR-01: quanto la Banca e' esposta; valori crescenti indicano peggioramento.</t>
        </is>
      </c>
      <c r="S49" s="158">
        <f>A49&amp;"|"&amp;B49</f>
        <v/>
      </c>
      <c r="T49" s="158" t="inlineStr">
        <is>
          <t>Accettato</t>
        </is>
      </c>
    </row>
    <row r="50">
      <c r="A50" s="158" t="inlineStr">
        <is>
          <t>2026Q2</t>
        </is>
      </c>
      <c r="B50" s="158" t="inlineStr">
        <is>
          <t>NFR-02-K1</t>
        </is>
      </c>
      <c r="C50" s="158" t="inlineStr">
        <is>
          <t>NFR-02</t>
        </is>
      </c>
      <c r="D50" s="175" t="inlineStr">
        <is>
          <t>Quota di servizi critici sul fornitore cloud principale</t>
        </is>
      </c>
      <c r="E50" s="158" t="inlineStr">
        <is>
          <t>Esposizione</t>
        </is>
      </c>
      <c r="F50" s="158" t="inlineStr">
        <is>
          <t>%</t>
        </is>
      </c>
      <c r="G50" s="158" t="inlineStr">
        <is>
          <t>Registro delle informazioni DORA</t>
        </is>
      </c>
      <c r="H50" s="158" t="n">
        <v>60</v>
      </c>
      <c r="I50" s="158" t="n">
        <v>75</v>
      </c>
      <c r="J50" s="158" t="n">
        <v>78</v>
      </c>
      <c r="K50" s="173" t="n">
        <v>46203</v>
      </c>
      <c r="L50" s="158" t="inlineStr">
        <is>
          <t>Registro delle informazioni DORA</t>
        </is>
      </c>
      <c r="M50" s="175" t="inlineStr">
        <is>
          <t>Rilevazione di fine trimestre.</t>
        </is>
      </c>
      <c r="N50" s="158">
        <f>IF(OR(H50="",I50=""),"Soglie da definire",IF(I50&lt;H50,"SOGLIE INVERTITE — correggere",IF(J50="","Non rilevato",IF(J50&gt;=I50,"Rosso",IF(J50&gt;=H50,"Ambra","Verde")))))</f>
        <v/>
      </c>
      <c r="O50" s="158" t="inlineStr">
        <is>
          <t>Sì</t>
        </is>
      </c>
      <c r="P50" s="158" t="inlineStr">
        <is>
          <t>2025Q4</t>
        </is>
      </c>
      <c r="Q50" s="158" t="inlineStr">
        <is>
          <t>2025Q4</t>
        </is>
      </c>
      <c r="R50" s="175" t="inlineStr">
        <is>
          <t>KRI di esposizione del rischio NFR-02: quanto la Banca e' esposta; valori crescenti indicano peggioramento.</t>
        </is>
      </c>
      <c r="S50" s="158">
        <f>A50&amp;"|"&amp;B50</f>
        <v/>
      </c>
      <c r="T50" s="158" t="inlineStr">
        <is>
          <t>Accettato</t>
        </is>
      </c>
    </row>
    <row r="51">
      <c r="A51" s="158" t="inlineStr">
        <is>
          <t>2026Q2</t>
        </is>
      </c>
      <c r="B51" s="158" t="inlineStr">
        <is>
          <t>NFR-02-K2</t>
        </is>
      </c>
      <c r="C51" s="158" t="inlineStr">
        <is>
          <t>NFR-02</t>
        </is>
      </c>
      <c r="D51" s="175" t="inlineStr">
        <is>
          <t>Incidenti dei fornitori cloud critici con impatto sui servizi nel trimestre</t>
        </is>
      </c>
      <c r="E51" s="158" t="inlineStr">
        <is>
          <t>Evoluzione</t>
        </is>
      </c>
      <c r="F51" s="158" t="inlineStr">
        <is>
          <t>n</t>
        </is>
      </c>
      <c r="G51" s="158" t="inlineStr">
        <is>
          <t>Incident management ICT</t>
        </is>
      </c>
      <c r="H51" s="158" t="n">
        <v>2</v>
      </c>
      <c r="I51" s="158" t="n">
        <v>4</v>
      </c>
      <c r="J51" s="158" t="n">
        <v>1</v>
      </c>
      <c r="K51" s="173" t="n">
        <v>46203</v>
      </c>
      <c r="L51" s="158" t="inlineStr">
        <is>
          <t>Incident management ICT</t>
        </is>
      </c>
      <c r="M51" s="175" t="inlineStr">
        <is>
          <t>Rilevazione di fine trimestre.</t>
        </is>
      </c>
      <c r="N51" s="158">
        <f>IF(OR(H51="",I51=""),"Soglie da definire",IF(I51&lt;H51,"SOGLIE INVERTITE — correggere",IF(J51="","Non rilevato",IF(J51&gt;=I51,"Rosso",IF(J51&gt;=H51,"Ambra","Verde")))))</f>
        <v/>
      </c>
      <c r="O51" s="158" t="inlineStr">
        <is>
          <t>Sì</t>
        </is>
      </c>
      <c r="P51" s="158" t="inlineStr">
        <is>
          <t>2025Q4</t>
        </is>
      </c>
      <c r="Q51" s="158" t="inlineStr">
        <is>
          <t>2025Q4</t>
        </is>
      </c>
      <c r="R51" s="175" t="inlineStr">
        <is>
          <t>KRI di evoluzione del rischio NFR-02: quanto cresce il fenomeno; valori crescenti indicano peggioramento.</t>
        </is>
      </c>
      <c r="S51" s="158">
        <f>A51&amp;"|"&amp;B51</f>
        <v/>
      </c>
      <c r="T51" s="158" t="inlineStr">
        <is>
          <t>Accettato</t>
        </is>
      </c>
    </row>
    <row r="52">
      <c r="A52" s="158" t="inlineStr">
        <is>
          <t>2026Q2</t>
        </is>
      </c>
      <c r="B52" s="158" t="inlineStr">
        <is>
          <t>NFR-03-K1</t>
        </is>
      </c>
      <c r="C52" s="158" t="inlineStr">
        <is>
          <t>NFR-03</t>
        </is>
      </c>
      <c r="D52" s="175" t="inlineStr">
        <is>
          <t>Reclami su prodotti ESG ogni 1.000 contratti</t>
        </is>
      </c>
      <c r="E52" s="158" t="inlineStr">
        <is>
          <t>Evoluzione</t>
        </is>
      </c>
      <c r="F52" s="158" t="inlineStr">
        <is>
          <t>n/1000</t>
        </is>
      </c>
      <c r="G52" s="158" t="inlineStr">
        <is>
          <t>Sistema di gestione reclami</t>
        </is>
      </c>
      <c r="H52" s="158" t="n">
        <v>1.5</v>
      </c>
      <c r="I52" s="158" t="n">
        <v>3</v>
      </c>
      <c r="J52" s="158" t="n">
        <v>0.8</v>
      </c>
      <c r="K52" s="173" t="n">
        <v>46203</v>
      </c>
      <c r="L52" s="158" t="inlineStr">
        <is>
          <t>Sistema di gestione reclami</t>
        </is>
      </c>
      <c r="M52" s="175" t="inlineStr">
        <is>
          <t>Rilevazione di fine trimestre.</t>
        </is>
      </c>
      <c r="N52" s="158">
        <f>IF(OR(H52="",I52=""),"Soglie da definire",IF(I52&lt;H52,"SOGLIE INVERTITE — correggere",IF(J52="","Non rilevato",IF(J52&gt;=I52,"Rosso",IF(J52&gt;=H52,"Ambra","Verde")))))</f>
        <v/>
      </c>
      <c r="O52" s="158" t="inlineStr">
        <is>
          <t>Sì</t>
        </is>
      </c>
      <c r="P52" s="158" t="inlineStr">
        <is>
          <t>2025Q4</t>
        </is>
      </c>
      <c r="Q52" s="158" t="inlineStr">
        <is>
          <t>2025Q4</t>
        </is>
      </c>
      <c r="R52" s="175" t="inlineStr">
        <is>
          <t>KRI di evoluzione del rischio NFR-03: quanto cresce il fenomeno; valori crescenti indicano peggioramento.</t>
        </is>
      </c>
      <c r="S52" s="158">
        <f>A52&amp;"|"&amp;B52</f>
        <v/>
      </c>
      <c r="T52" s="158" t="inlineStr">
        <is>
          <t>Accettato</t>
        </is>
      </c>
    </row>
    <row r="53">
      <c r="A53" s="158" t="inlineStr">
        <is>
          <t>2026Q2</t>
        </is>
      </c>
      <c r="B53" s="158" t="inlineStr">
        <is>
          <t>NFR-03-K2</t>
        </is>
      </c>
      <c r="C53" s="158" t="inlineStr">
        <is>
          <t>NFR-03</t>
        </is>
      </c>
      <c r="D53" s="175" t="inlineStr">
        <is>
          <t>Quota di prodotti ESG senza revisione dei claim nell'anno</t>
        </is>
      </c>
      <c r="E53" s="158" t="inlineStr">
        <is>
          <t>Esposizione</t>
        </is>
      </c>
      <c r="F53" s="158" t="inlineStr">
        <is>
          <t>%</t>
        </is>
      </c>
      <c r="G53" s="158" t="inlineStr">
        <is>
          <t>Inventario prodotti — Compliance</t>
        </is>
      </c>
      <c r="H53" s="158" t="n">
        <v>20</v>
      </c>
      <c r="I53" s="158" t="n">
        <v>40</v>
      </c>
      <c r="J53" s="158" t="n"/>
      <c r="K53" s="173" t="n"/>
      <c r="L53" s="158" t="n"/>
      <c r="M53" s="175" t="inlineStr">
        <is>
          <t>Dato non ancora prodotto dalla fonte.</t>
        </is>
      </c>
      <c r="N53" s="158">
        <f>IF(OR(H53="",I53=""),"Soglie da definire",IF(I53&lt;H53,"SOGLIE INVERTITE — correggere",IF(J53="","Non rilevato",IF(J53&gt;=I53,"Rosso",IF(J53&gt;=H53,"Ambra","Verde")))))</f>
        <v/>
      </c>
      <c r="O53" s="158" t="inlineStr">
        <is>
          <t>Sì</t>
        </is>
      </c>
      <c r="P53" s="158" t="inlineStr">
        <is>
          <t>2025Q4</t>
        </is>
      </c>
      <c r="Q53" s="158" t="inlineStr">
        <is>
          <t>2025Q4</t>
        </is>
      </c>
      <c r="R53" s="175" t="inlineStr">
        <is>
          <t>KRI di esposizione del rischio NFR-03: quanto la Banca e' esposta; valori crescenti indicano peggioramento.</t>
        </is>
      </c>
      <c r="S53" s="158">
        <f>A53&amp;"|"&amp;B53</f>
        <v/>
      </c>
      <c r="T53" s="158" t="inlineStr">
        <is>
          <t>Accettato</t>
        </is>
      </c>
    </row>
    <row r="54">
      <c r="A54" s="158" t="inlineStr">
        <is>
          <t>2026Q2</t>
        </is>
      </c>
      <c r="B54" s="158" t="inlineStr">
        <is>
          <t>NFR-04-K1</t>
        </is>
      </c>
      <c r="C54" s="158" t="inlineStr">
        <is>
          <t>NFR-04</t>
        </is>
      </c>
      <c r="D54" s="175" t="inlineStr">
        <is>
          <t>Sedi critiche in aree a rischio idrogeologico senza piano specifico</t>
        </is>
      </c>
      <c r="E54" s="158" t="inlineStr">
        <is>
          <t>Esposizione</t>
        </is>
      </c>
      <c r="F54" s="158" t="inlineStr">
        <is>
          <t>n</t>
        </is>
      </c>
      <c r="G54" s="158" t="inlineStr">
        <is>
          <t>Mappatura BCM delle sedi</t>
        </is>
      </c>
      <c r="H54" s="158" t="n">
        <v>1</v>
      </c>
      <c r="I54" s="158" t="n">
        <v>3</v>
      </c>
      <c r="J54" s="158" t="n">
        <v>2</v>
      </c>
      <c r="K54" s="173" t="n">
        <v>46203</v>
      </c>
      <c r="L54" s="158" t="inlineStr">
        <is>
          <t>Mappatura BCM delle sedi</t>
        </is>
      </c>
      <c r="M54" s="175" t="inlineStr">
        <is>
          <t>Rilevazione di fine trimestre.</t>
        </is>
      </c>
      <c r="N54" s="158">
        <f>IF(OR(H54="",I54=""),"Soglie da definire",IF(I54&lt;H54,"SOGLIE INVERTITE — correggere",IF(J54="","Non rilevato",IF(J54&gt;=I54,"Rosso",IF(J54&gt;=H54,"Ambra","Verde")))))</f>
        <v/>
      </c>
      <c r="O54" s="158" t="inlineStr">
        <is>
          <t>Sì</t>
        </is>
      </c>
      <c r="P54" s="158" t="inlineStr">
        <is>
          <t>2025Q4</t>
        </is>
      </c>
      <c r="Q54" s="158" t="inlineStr">
        <is>
          <t>2025Q4</t>
        </is>
      </c>
      <c r="R54" s="175" t="inlineStr">
        <is>
          <t>KRI di esposizione del rischio NFR-04: quanto la Banca e' esposta; valori crescenti indicano peggioramento.</t>
        </is>
      </c>
      <c r="S54" s="158">
        <f>A54&amp;"|"&amp;B54</f>
        <v/>
      </c>
      <c r="T54" s="158" t="inlineStr">
        <is>
          <t>Accettato</t>
        </is>
      </c>
    </row>
    <row r="55">
      <c r="A55" s="158" t="inlineStr">
        <is>
          <t>2026Q2</t>
        </is>
      </c>
      <c r="B55" s="158" t="inlineStr">
        <is>
          <t>NFR-04-K2</t>
        </is>
      </c>
      <c r="C55" s="158" t="inlineStr">
        <is>
          <t>NFR-04</t>
        </is>
      </c>
      <c r="D55" s="175" t="inlineStr">
        <is>
          <t>Giorni di indisponibilita' di sedi per eventi climatici</t>
        </is>
      </c>
      <c r="E55" s="158" t="inlineStr">
        <is>
          <t>Evoluzione</t>
        </is>
      </c>
      <c r="F55" s="158" t="inlineStr">
        <is>
          <t>giorni</t>
        </is>
      </c>
      <c r="G55" s="158" t="inlineStr">
        <is>
          <t>Registro incidenti BCM</t>
        </is>
      </c>
      <c r="H55" s="158" t="n">
        <v>2</v>
      </c>
      <c r="I55" s="158" t="n">
        <v>5</v>
      </c>
      <c r="J55" s="158" t="n">
        <v>3</v>
      </c>
      <c r="K55" s="173" t="n">
        <v>46203</v>
      </c>
      <c r="L55" s="158" t="inlineStr">
        <is>
          <t>Registro incidenti BCM</t>
        </is>
      </c>
      <c r="M55" s="175" t="inlineStr">
        <is>
          <t>Rilevazione di fine trimestre.</t>
        </is>
      </c>
      <c r="N55" s="158">
        <f>IF(OR(H55="",I55=""),"Soglie da definire",IF(I55&lt;H55,"SOGLIE INVERTITE — correggere",IF(J55="","Non rilevato",IF(J55&gt;=I55,"Rosso",IF(J55&gt;=H55,"Ambra","Verde")))))</f>
        <v/>
      </c>
      <c r="O55" s="158" t="inlineStr">
        <is>
          <t>Sì</t>
        </is>
      </c>
      <c r="P55" s="158" t="inlineStr">
        <is>
          <t>2025Q4</t>
        </is>
      </c>
      <c r="Q55" s="158" t="inlineStr">
        <is>
          <t>2025Q4</t>
        </is>
      </c>
      <c r="R55" s="175" t="inlineStr">
        <is>
          <t>KRI di evoluzione del rischio NFR-04: quanto cresce il fenomeno; valori crescenti indicano peggioramento.</t>
        </is>
      </c>
      <c r="S55" s="158">
        <f>A55&amp;"|"&amp;B55</f>
        <v/>
      </c>
      <c r="T55" s="158" t="inlineStr">
        <is>
          <t>Accettato</t>
        </is>
      </c>
    </row>
    <row r="56">
      <c r="A56" s="158" t="inlineStr">
        <is>
          <t>2026Q2</t>
        </is>
      </c>
      <c r="B56" s="158" t="inlineStr">
        <is>
          <t>NFR-05-K2</t>
        </is>
      </c>
      <c r="C56" s="158" t="inlineStr">
        <is>
          <t>NFR-05</t>
        </is>
      </c>
      <c r="D56" s="175" t="inlineStr">
        <is>
          <t>Incidenti di produzione legati alla migrazione</t>
        </is>
      </c>
      <c r="E56" s="158" t="inlineStr">
        <is>
          <t>Evoluzione</t>
        </is>
      </c>
      <c r="F56" s="158" t="inlineStr">
        <is>
          <t>n</t>
        </is>
      </c>
      <c r="G56" s="158" t="inlineStr">
        <is>
          <t>Incident management IT</t>
        </is>
      </c>
      <c r="H56" s="158" t="n">
        <v>3</v>
      </c>
      <c r="I56" s="158" t="n">
        <v>6</v>
      </c>
      <c r="J56" s="158" t="n">
        <v>7</v>
      </c>
      <c r="K56" s="173" t="n">
        <v>46203</v>
      </c>
      <c r="L56" s="158" t="inlineStr">
        <is>
          <t>Incident management IT</t>
        </is>
      </c>
      <c r="M56" s="175" t="inlineStr">
        <is>
          <t>Rilevazione di fine trimestre.</t>
        </is>
      </c>
      <c r="N56" s="158">
        <f>IF(OR(H56="",I56=""),"Soglie da definire",IF(I56&lt;H56,"SOGLIE INVERTITE — correggere",IF(J56="","Non rilevato",IF(J56&gt;=I56,"Rosso",IF(J56&gt;=H56,"Ambra","Verde")))))</f>
        <v/>
      </c>
      <c r="O56" s="158" t="inlineStr">
        <is>
          <t>Sì</t>
        </is>
      </c>
      <c r="P56" s="158" t="inlineStr">
        <is>
          <t>2025Q4</t>
        </is>
      </c>
      <c r="Q56" s="158" t="inlineStr">
        <is>
          <t>2025Q4</t>
        </is>
      </c>
      <c r="R56" s="175" t="inlineStr">
        <is>
          <t>KRI di evoluzione del rischio NFR-05: quanto cresce il fenomeno; valori crescenti indicano peggioramento.</t>
        </is>
      </c>
      <c r="S56" s="158">
        <f>A56&amp;"|"&amp;B56</f>
        <v/>
      </c>
      <c r="T56" s="158" t="inlineStr">
        <is>
          <t>Accettato</t>
        </is>
      </c>
    </row>
    <row r="57">
      <c r="A57" s="158" t="inlineStr">
        <is>
          <t>2026Q2</t>
        </is>
      </c>
      <c r="B57" s="158" t="inlineStr">
        <is>
          <t>NFR-05-K3</t>
        </is>
      </c>
      <c r="C57" s="158" t="inlineStr">
        <is>
          <t>NFR-05</t>
        </is>
      </c>
      <c r="D57" s="175" t="inlineStr">
        <is>
          <t>Quota di controlli di processo non ridisegnati sul nuovo core</t>
        </is>
      </c>
      <c r="E57" s="158" t="inlineStr">
        <is>
          <t>Esposizione</t>
        </is>
      </c>
      <c r="F57" s="158" t="inlineStr">
        <is>
          <t>%</t>
        </is>
      </c>
      <c r="G57" s="158" t="inlineStr">
        <is>
          <t>Piano di migrazione — PMO</t>
        </is>
      </c>
      <c r="H57" s="158" t="n">
        <v>30</v>
      </c>
      <c r="I57" s="158" t="n">
        <v>60</v>
      </c>
      <c r="J57" s="158" t="n">
        <v>25</v>
      </c>
      <c r="K57" s="173" t="n">
        <v>46203</v>
      </c>
      <c r="L57" s="158" t="inlineStr">
        <is>
          <t>Piano di migrazione — PMO</t>
        </is>
      </c>
      <c r="M57" s="175" t="inlineStr">
        <is>
          <t>Rilevazione di fine trimestre.</t>
        </is>
      </c>
      <c r="N57" s="158">
        <f>IF(OR(H57="",I57=""),"Soglie da definire",IF(I57&lt;H57,"SOGLIE INVERTITE — correggere",IF(J57="","Non rilevato",IF(J57&gt;=I57,"Rosso",IF(J57&gt;=H57,"Ambra","Verde")))))</f>
        <v/>
      </c>
      <c r="O57" s="158" t="inlineStr">
        <is>
          <t>Sì</t>
        </is>
      </c>
      <c r="P57" s="158" t="inlineStr">
        <is>
          <t>2025Q4</t>
        </is>
      </c>
      <c r="Q57" s="158" t="inlineStr">
        <is>
          <t>2025Q4</t>
        </is>
      </c>
      <c r="R57" s="175" t="inlineStr">
        <is>
          <t>KRI di esposizione del rischio NFR-05: quanto la Banca e' esposta; valori crescenti indicano peggioramento.</t>
        </is>
      </c>
      <c r="S57" s="158">
        <f>A57&amp;"|"&amp;B57</f>
        <v/>
      </c>
      <c r="T57" s="158" t="inlineStr">
        <is>
          <t>Accettato</t>
        </is>
      </c>
    </row>
    <row r="58">
      <c r="A58" s="158" t="inlineStr">
        <is>
          <t>2026Q2</t>
        </is>
      </c>
      <c r="B58" s="158" t="inlineStr">
        <is>
          <t>NFR-06-K1</t>
        </is>
      </c>
      <c r="C58" s="158" t="inlineStr">
        <is>
          <t>NFR-06</t>
        </is>
      </c>
      <c r="D58" s="175" t="inlineStr">
        <is>
          <t>Tentativi di caricamento di dati riservati su servizi AI non autorizzati</t>
        </is>
      </c>
      <c r="E58" s="158" t="inlineStr">
        <is>
          <t>Evoluzione</t>
        </is>
      </c>
      <c r="F58" s="158" t="inlineStr">
        <is>
          <t>n/mese</t>
        </is>
      </c>
      <c r="G58" s="158" t="inlineStr">
        <is>
          <t>DLP e proxy web</t>
        </is>
      </c>
      <c r="H58" s="158" t="n">
        <v>10</v>
      </c>
      <c r="I58" s="158" t="n">
        <v>30</v>
      </c>
      <c r="J58" s="158" t="n">
        <v>14</v>
      </c>
      <c r="K58" s="173" t="n">
        <v>46203</v>
      </c>
      <c r="L58" s="158" t="inlineStr">
        <is>
          <t>DLP e proxy web</t>
        </is>
      </c>
      <c r="M58" s="175" t="inlineStr">
        <is>
          <t>Rilevazione di fine trimestre.</t>
        </is>
      </c>
      <c r="N58" s="158">
        <f>IF(OR(H58="",I58=""),"Soglie da definire",IF(I58&lt;H58,"SOGLIE INVERTITE — correggere",IF(J58="","Non rilevato",IF(J58&gt;=I58,"Rosso",IF(J58&gt;=H58,"Ambra","Verde")))))</f>
        <v/>
      </c>
      <c r="O58" s="158" t="inlineStr">
        <is>
          <t>Sì</t>
        </is>
      </c>
      <c r="P58" s="158" t="inlineStr">
        <is>
          <t>2026Q1</t>
        </is>
      </c>
      <c r="Q58" s="158" t="inlineStr">
        <is>
          <t>2026Q1</t>
        </is>
      </c>
      <c r="R58" s="175" t="inlineStr">
        <is>
          <t>KRI di evoluzione del rischio NFR-06: quanto cresce il fenomeno; valori crescenti indicano peggioramento.</t>
        </is>
      </c>
      <c r="S58" s="158">
        <f>A58&amp;"|"&amp;B58</f>
        <v/>
      </c>
      <c r="T58" s="158" t="inlineStr">
        <is>
          <t>Accettato</t>
        </is>
      </c>
    </row>
    <row r="59">
      <c r="A59" s="158" t="inlineStr">
        <is>
          <t>2026Q2</t>
        </is>
      </c>
      <c r="B59" s="158" t="inlineStr">
        <is>
          <t>NFR-06-K2</t>
        </is>
      </c>
      <c r="C59" s="158" t="inlineStr">
        <is>
          <t>NFR-06</t>
        </is>
      </c>
      <c r="D59" s="175" t="inlineStr">
        <is>
          <t>Quota di dipendenti senza formazione sull'uso dell'AI</t>
        </is>
      </c>
      <c r="E59" s="158" t="inlineStr">
        <is>
          <t>Esposizione</t>
        </is>
      </c>
      <c r="F59" s="158" t="inlineStr">
        <is>
          <t>%</t>
        </is>
      </c>
      <c r="G59" s="158" t="inlineStr">
        <is>
          <t>Piattaforma di formazione</t>
        </is>
      </c>
      <c r="H59" s="158" t="n">
        <v>20</v>
      </c>
      <c r="I59" s="158" t="n">
        <v>40</v>
      </c>
      <c r="J59" s="158" t="n">
        <v>35</v>
      </c>
      <c r="K59" s="173" t="n">
        <v>46203</v>
      </c>
      <c r="L59" s="158" t="inlineStr">
        <is>
          <t>Piattaforma di formazione</t>
        </is>
      </c>
      <c r="M59" s="175" t="inlineStr">
        <is>
          <t>Rilevazione di fine trimestre.</t>
        </is>
      </c>
      <c r="N59" s="158">
        <f>IF(OR(H59="",I59=""),"Soglie da definire",IF(I59&lt;H59,"SOGLIE INVERTITE — correggere",IF(J59="","Non rilevato",IF(J59&gt;=I59,"Rosso",IF(J59&gt;=H59,"Ambra","Verde")))))</f>
        <v/>
      </c>
      <c r="O59" s="158" t="inlineStr">
        <is>
          <t>Sì</t>
        </is>
      </c>
      <c r="P59" s="158" t="inlineStr">
        <is>
          <t>2026Q1</t>
        </is>
      </c>
      <c r="Q59" s="158" t="inlineStr">
        <is>
          <t>2026Q1</t>
        </is>
      </c>
      <c r="R59" s="175" t="inlineStr">
        <is>
          <t>KRI di esposizione del rischio NFR-06: quanto la Banca e' esposta; valori crescenti indicano peggioramento.</t>
        </is>
      </c>
      <c r="S59" s="158">
        <f>A59&amp;"|"&amp;B59</f>
        <v/>
      </c>
      <c r="T59" s="158" t="inlineStr">
        <is>
          <t>Rettificato</t>
        </is>
      </c>
    </row>
    <row r="60">
      <c r="A60" s="158" t="inlineStr">
        <is>
          <t>2026Q2</t>
        </is>
      </c>
      <c r="B60" s="158" t="inlineStr">
        <is>
          <t>NFR-07-K1</t>
        </is>
      </c>
      <c r="C60" s="158" t="inlineStr">
        <is>
          <t>NFR-07</t>
        </is>
      </c>
      <c r="D60" s="175" t="inlineStr">
        <is>
          <t>Fornitori di pagamento critici senza test di ripristino da ransomware</t>
        </is>
      </c>
      <c r="E60" s="158" t="inlineStr">
        <is>
          <t>Esposizione</t>
        </is>
      </c>
      <c r="F60" s="158" t="inlineStr">
        <is>
          <t>n</t>
        </is>
      </c>
      <c r="G60" s="158" t="inlineStr">
        <is>
          <t>Registro delle informazioni DORA</t>
        </is>
      </c>
      <c r="H60" s="158" t="n">
        <v>1</v>
      </c>
      <c r="I60" s="158" t="n">
        <v>2</v>
      </c>
      <c r="J60" s="158" t="n">
        <v>1</v>
      </c>
      <c r="K60" s="173" t="n">
        <v>46203</v>
      </c>
      <c r="L60" s="158" t="inlineStr">
        <is>
          <t>Registro delle informazioni DORA</t>
        </is>
      </c>
      <c r="M60" s="175" t="inlineStr">
        <is>
          <t>Rilevazione di fine trimestre.</t>
        </is>
      </c>
      <c r="N60" s="158">
        <f>IF(OR(H60="",I60=""),"Soglie da definire",IF(I60&lt;H60,"SOGLIE INVERTITE — correggere",IF(J60="","Non rilevato",IF(J60&gt;=I60,"Rosso",IF(J60&gt;=H60,"Ambra","Verde")))))</f>
        <v/>
      </c>
      <c r="O60" s="158" t="inlineStr">
        <is>
          <t>Sì</t>
        </is>
      </c>
      <c r="P60" s="158" t="inlineStr">
        <is>
          <t>2025Q4</t>
        </is>
      </c>
      <c r="Q60" s="158" t="inlineStr">
        <is>
          <t>2025Q4</t>
        </is>
      </c>
      <c r="R60" s="175" t="inlineStr">
        <is>
          <t>KRI di esposizione del rischio NFR-07: quanto la Banca e' esposta; valori crescenti indicano peggioramento.</t>
        </is>
      </c>
      <c r="S60" s="158">
        <f>A60&amp;"|"&amp;B60</f>
        <v/>
      </c>
      <c r="T60" s="158" t="inlineStr">
        <is>
          <t>Accettato</t>
        </is>
      </c>
    </row>
    <row r="61">
      <c r="A61" s="158" t="inlineStr">
        <is>
          <t>2026Q2</t>
        </is>
      </c>
      <c r="B61" s="158" t="inlineStr">
        <is>
          <t>NFR-07-K2</t>
        </is>
      </c>
      <c r="C61" s="158" t="inlineStr">
        <is>
          <t>NFR-07</t>
        </is>
      </c>
      <c r="D61" s="175" t="inlineStr">
        <is>
          <t>Ore di indisponibilita' del gateway di pagamento nel trimestre</t>
        </is>
      </c>
      <c r="E61" s="158" t="inlineStr">
        <is>
          <t>Evoluzione</t>
        </is>
      </c>
      <c r="F61" s="158" t="inlineStr">
        <is>
          <t>ore</t>
        </is>
      </c>
      <c r="G61" s="158" t="inlineStr">
        <is>
          <t>Incident management ICT</t>
        </is>
      </c>
      <c r="H61" s="158" t="n">
        <v>4</v>
      </c>
      <c r="I61" s="158" t="n">
        <v>12</v>
      </c>
      <c r="J61" s="158" t="n">
        <v>3</v>
      </c>
      <c r="K61" s="173" t="n">
        <v>46203</v>
      </c>
      <c r="L61" s="158" t="inlineStr">
        <is>
          <t>Incident management ICT</t>
        </is>
      </c>
      <c r="M61" s="175" t="inlineStr">
        <is>
          <t>Rilevazione di fine trimestre.</t>
        </is>
      </c>
      <c r="N61" s="158">
        <f>IF(OR(H61="",I61=""),"Soglie da definire",IF(I61&lt;H61,"SOGLIE INVERTITE — correggere",IF(J61="","Non rilevato",IF(J61&gt;=I61,"Rosso",IF(J61&gt;=H61,"Ambra","Verde")))))</f>
        <v/>
      </c>
      <c r="O61" s="158" t="inlineStr">
        <is>
          <t>Sì</t>
        </is>
      </c>
      <c r="P61" s="158" t="inlineStr">
        <is>
          <t>2025Q4</t>
        </is>
      </c>
      <c r="Q61" s="158" t="inlineStr">
        <is>
          <t>2025Q4</t>
        </is>
      </c>
      <c r="R61" s="175" t="inlineStr">
        <is>
          <t>KRI di evoluzione del rischio NFR-07: quanto cresce il fenomeno; valori crescenti indicano peggioramento.</t>
        </is>
      </c>
      <c r="S61" s="158">
        <f>A61&amp;"|"&amp;B61</f>
        <v/>
      </c>
      <c r="T61" s="158" t="inlineStr">
        <is>
          <t>Accettato</t>
        </is>
      </c>
    </row>
    <row r="62">
      <c r="A62" s="158" t="inlineStr">
        <is>
          <t>2026Q2</t>
        </is>
      </c>
      <c r="B62" s="158" t="inlineStr">
        <is>
          <t>NFR-08-K1</t>
        </is>
      </c>
      <c r="C62" s="158" t="inlineStr">
        <is>
          <t>NFR-08</t>
        </is>
      </c>
      <c r="D62" s="175" t="inlineStr">
        <is>
          <t>Accessi ai dati clienti senza pratica associata</t>
        </is>
      </c>
      <c r="E62" s="158" t="inlineStr">
        <is>
          <t>Evoluzione</t>
        </is>
      </c>
      <c r="F62" s="158" t="inlineStr">
        <is>
          <t>n/mese</t>
        </is>
      </c>
      <c r="G62" s="158" t="inlineStr">
        <is>
          <t>Log applicativi e SOC</t>
        </is>
      </c>
      <c r="H62" s="158" t="n">
        <v>20</v>
      </c>
      <c r="I62" s="158" t="n">
        <v>50</v>
      </c>
      <c r="J62" s="158" t="n">
        <v>24</v>
      </c>
      <c r="K62" s="173" t="n">
        <v>46203</v>
      </c>
      <c r="L62" s="158" t="inlineStr">
        <is>
          <t>Log applicativi e SOC</t>
        </is>
      </c>
      <c r="M62" s="175" t="inlineStr">
        <is>
          <t>Rilevazione di fine trimestre.</t>
        </is>
      </c>
      <c r="N62" s="158">
        <f>IF(OR(H62="",I62=""),"Soglie da definire",IF(I62&lt;H62,"SOGLIE INVERTITE — correggere",IF(J62="","Non rilevato",IF(J62&gt;=I62,"Rosso",IF(J62&gt;=H62,"Ambra","Verde")))))</f>
        <v/>
      </c>
      <c r="O62" s="158" t="inlineStr">
        <is>
          <t>Sì</t>
        </is>
      </c>
      <c r="P62" s="158" t="inlineStr">
        <is>
          <t>2025Q4</t>
        </is>
      </c>
      <c r="Q62" s="158" t="inlineStr">
        <is>
          <t>2025Q4</t>
        </is>
      </c>
      <c r="R62" s="175" t="inlineStr">
        <is>
          <t>KRI di evoluzione del rischio NFR-08: quanto cresce il fenomeno; valori crescenti indicano peggioramento.</t>
        </is>
      </c>
      <c r="S62" s="158">
        <f>A62&amp;"|"&amp;B62</f>
        <v/>
      </c>
      <c r="T62" s="158" t="inlineStr">
        <is>
          <t>Accettato</t>
        </is>
      </c>
    </row>
    <row r="63">
      <c r="A63" s="158" t="inlineStr">
        <is>
          <t>2026Q2</t>
        </is>
      </c>
      <c r="B63" s="158" t="inlineStr">
        <is>
          <t>NFR-08-K2</t>
        </is>
      </c>
      <c r="C63" s="158" t="inlineStr">
        <is>
          <t>NFR-08</t>
        </is>
      </c>
      <c r="D63" s="175" t="inlineStr">
        <is>
          <t>Utenze con profili di accesso non rivisti nell'anno</t>
        </is>
      </c>
      <c r="E63" s="158" t="inlineStr">
        <is>
          <t>Esposizione</t>
        </is>
      </c>
      <c r="F63" s="158" t="inlineStr">
        <is>
          <t>%</t>
        </is>
      </c>
      <c r="G63" s="158" t="inlineStr">
        <is>
          <t>Sistema IAM</t>
        </is>
      </c>
      <c r="H63" s="158" t="n">
        <v>5</v>
      </c>
      <c r="I63" s="158" t="n">
        <v>15</v>
      </c>
      <c r="J63" s="158" t="n">
        <v>6</v>
      </c>
      <c r="K63" s="173" t="n">
        <v>46203</v>
      </c>
      <c r="L63" s="158" t="inlineStr">
        <is>
          <t>Sistema IAM</t>
        </is>
      </c>
      <c r="M63" s="175" t="inlineStr">
        <is>
          <t>Rilevazione di fine trimestre.</t>
        </is>
      </c>
      <c r="N63" s="158">
        <f>IF(OR(H63="",I63=""),"Soglie da definire",IF(I63&lt;H63,"SOGLIE INVERTITE — correggere",IF(J63="","Non rilevato",IF(J63&gt;=I63,"Rosso",IF(J63&gt;=H63,"Ambra","Verde")))))</f>
        <v/>
      </c>
      <c r="O63" s="158" t="inlineStr">
        <is>
          <t>Sì</t>
        </is>
      </c>
      <c r="P63" s="158" t="inlineStr">
        <is>
          <t>2025Q4</t>
        </is>
      </c>
      <c r="Q63" s="158" t="inlineStr">
        <is>
          <t>2025Q4</t>
        </is>
      </c>
      <c r="R63" s="175" t="inlineStr">
        <is>
          <t>KRI di esposizione del rischio NFR-08: quanto la Banca e' esposta; valori crescenti indicano peggioramento.</t>
        </is>
      </c>
      <c r="S63" s="158">
        <f>A63&amp;"|"&amp;B63</f>
        <v/>
      </c>
      <c r="T63" s="158" t="inlineStr">
        <is>
          <t>Accettato</t>
        </is>
      </c>
    </row>
    <row r="64">
      <c r="A64" s="158" t="inlineStr">
        <is>
          <t>2026Q2</t>
        </is>
      </c>
      <c r="B64" s="158" t="inlineStr">
        <is>
          <t>NFR-09-K1</t>
        </is>
      </c>
      <c r="C64" s="158" t="inlineStr">
        <is>
          <t>NFR-09</t>
        </is>
      </c>
      <c r="D64" s="175" t="inlineStr">
        <is>
          <t>Pagamenti bloccati dal filtro sanzioni ogni 10.000 verso paesi di transito</t>
        </is>
      </c>
      <c r="E64" s="158" t="inlineStr">
        <is>
          <t>Evoluzione</t>
        </is>
      </c>
      <c r="F64" s="158" t="inlineStr">
        <is>
          <t>n/10k</t>
        </is>
      </c>
      <c r="G64" s="158" t="inlineStr">
        <is>
          <t>Sistema di filtro sanzioni</t>
        </is>
      </c>
      <c r="H64" s="158" t="n">
        <v>2</v>
      </c>
      <c r="I64" s="158" t="n">
        <v>5</v>
      </c>
      <c r="J64" s="158" t="n">
        <v>3.8</v>
      </c>
      <c r="K64" s="173" t="n">
        <v>46203</v>
      </c>
      <c r="L64" s="158" t="inlineStr">
        <is>
          <t>Sistema di filtro sanzioni</t>
        </is>
      </c>
      <c r="M64" s="175" t="inlineStr">
        <is>
          <t>Rilevazione di fine trimestre.</t>
        </is>
      </c>
      <c r="N64" s="158">
        <f>IF(OR(H64="",I64=""),"Soglie da definire",IF(I64&lt;H64,"SOGLIE INVERTITE — correggere",IF(J64="","Non rilevato",IF(J64&gt;=I64,"Rosso",IF(J64&gt;=H64,"Ambra","Verde")))))</f>
        <v/>
      </c>
      <c r="O64" s="158" t="inlineStr">
        <is>
          <t>Sì</t>
        </is>
      </c>
      <c r="P64" s="158" t="inlineStr">
        <is>
          <t>2026Q1</t>
        </is>
      </c>
      <c r="Q64" s="158" t="inlineStr">
        <is>
          <t>2026Q1</t>
        </is>
      </c>
      <c r="R64" s="175" t="inlineStr">
        <is>
          <t>KRI di evoluzione del rischio NFR-09: quanto cresce il fenomeno; valori crescenti indicano peggioramento.</t>
        </is>
      </c>
      <c r="S64" s="158">
        <f>A64&amp;"|"&amp;B64</f>
        <v/>
      </c>
      <c r="T64" s="158" t="inlineStr">
        <is>
          <t>Accettato</t>
        </is>
      </c>
    </row>
    <row r="65">
      <c r="A65" s="158" t="inlineStr">
        <is>
          <t>2026Q2</t>
        </is>
      </c>
      <c r="B65" s="158" t="inlineStr">
        <is>
          <t>NFR-09-K2</t>
        </is>
      </c>
      <c r="C65" s="158" t="inlineStr">
        <is>
          <t>NFR-09</t>
        </is>
      </c>
      <c r="D65" s="175" t="inlineStr">
        <is>
          <t>Clienti corporate ad alto rischio senza due diligence rafforzata aggiornata</t>
        </is>
      </c>
      <c r="E65" s="158" t="inlineStr">
        <is>
          <t>Esposizione</t>
        </is>
      </c>
      <c r="F65" s="158" t="inlineStr">
        <is>
          <t>%</t>
        </is>
      </c>
      <c r="G65" s="158" t="inlineStr">
        <is>
          <t>Anagrafe clienti — Compliance</t>
        </is>
      </c>
      <c r="H65" s="158" t="n">
        <v>5</v>
      </c>
      <c r="I65" s="158" t="n">
        <v>15</v>
      </c>
      <c r="J65" s="158" t="n">
        <v>11</v>
      </c>
      <c r="K65" s="173" t="n">
        <v>46203</v>
      </c>
      <c r="L65" s="158" t="inlineStr">
        <is>
          <t>Anagrafe clienti — Compliance</t>
        </is>
      </c>
      <c r="M65" s="175" t="inlineStr">
        <is>
          <t>Rilevazione di fine trimestre.</t>
        </is>
      </c>
      <c r="N65" s="158">
        <f>IF(OR(H65="",I65=""),"Soglie da definire",IF(I65&lt;H65,"SOGLIE INVERTITE — correggere",IF(J65="","Non rilevato",IF(J65&gt;=I65,"Rosso",IF(J65&gt;=H65,"Ambra","Verde")))))</f>
        <v/>
      </c>
      <c r="O65" s="158" t="inlineStr">
        <is>
          <t>Sì</t>
        </is>
      </c>
      <c r="P65" s="158" t="inlineStr">
        <is>
          <t>2026Q1</t>
        </is>
      </c>
      <c r="Q65" s="158" t="inlineStr">
        <is>
          <t>2026Q1</t>
        </is>
      </c>
      <c r="R65" s="175" t="inlineStr">
        <is>
          <t>KRI di esposizione del rischio NFR-09: quanto la Banca e' esposta; valori crescenti indicano peggioramento.</t>
        </is>
      </c>
      <c r="S65" s="158">
        <f>A65&amp;"|"&amp;B65</f>
        <v/>
      </c>
      <c r="T65" s="158" t="inlineStr">
        <is>
          <t>Accettato</t>
        </is>
      </c>
    </row>
    <row r="66">
      <c r="A66" s="158" t="inlineStr">
        <is>
          <t>2026Q2</t>
        </is>
      </c>
      <c r="B66" s="158" t="inlineStr">
        <is>
          <t>NFR-10-K1</t>
        </is>
      </c>
      <c r="C66" s="158" t="inlineStr">
        <is>
          <t>NFR-10</t>
        </is>
      </c>
      <c r="D66" s="175" t="inlineStr">
        <is>
          <t>Risposte del chatbot contestate ogni 1.000 conversazioni</t>
        </is>
      </c>
      <c r="E66" s="158" t="inlineStr">
        <is>
          <t>Evoluzione</t>
        </is>
      </c>
      <c r="F66" s="158" t="inlineStr">
        <is>
          <t>n/1000</t>
        </is>
      </c>
      <c r="G66" s="158" t="inlineStr">
        <is>
          <t>Piattaforma di assistenza</t>
        </is>
      </c>
      <c r="H66" s="158" t="n"/>
      <c r="I66" s="158" t="n"/>
      <c r="J66" s="158" t="n">
        <v>1.4</v>
      </c>
      <c r="K66" s="173" t="n">
        <v>46203</v>
      </c>
      <c r="L66" s="158" t="inlineStr">
        <is>
          <t>Piattaforma di assistenza</t>
        </is>
      </c>
      <c r="M66" s="175" t="inlineStr">
        <is>
          <t>Rilevazione di fine trimestre.</t>
        </is>
      </c>
      <c r="N66" s="158">
        <f>IF(OR(H66="",I66=""),"Soglie da definire",IF(I66&lt;H66,"SOGLIE INVERTITE — correggere",IF(J66="","Non rilevato",IF(J66&gt;=I66,"Rosso",IF(J66&gt;=H66,"Ambra","Verde")))))</f>
        <v/>
      </c>
      <c r="O66" s="158" t="inlineStr">
        <is>
          <t>Sì</t>
        </is>
      </c>
      <c r="P66" s="158" t="inlineStr">
        <is>
          <t>2026Q1</t>
        </is>
      </c>
      <c r="Q66" s="158" t="inlineStr">
        <is>
          <t>2026Q1</t>
        </is>
      </c>
      <c r="R66" s="175" t="inlineStr">
        <is>
          <t>KRI di evoluzione del rischio NFR-10: quanto cresce il fenomeno; valori crescenti indicano peggioramento.</t>
        </is>
      </c>
      <c r="S66" s="158">
        <f>A66&amp;"|"&amp;B66</f>
        <v/>
      </c>
      <c r="T66" s="158" t="inlineStr">
        <is>
          <t>Accettato</t>
        </is>
      </c>
    </row>
    <row r="67">
      <c r="A67" s="158" t="inlineStr">
        <is>
          <t>2026Q2</t>
        </is>
      </c>
      <c r="B67" s="158" t="inlineStr">
        <is>
          <t>NFR-10-K3</t>
        </is>
      </c>
      <c r="C67" s="158" t="inlineStr">
        <is>
          <t>NFR-10</t>
        </is>
      </c>
      <c r="D67" s="175" t="inlineStr">
        <is>
          <t>Quota di risposte del chatbot non campionate dal controllo qualita'</t>
        </is>
      </c>
      <c r="E67" s="158" t="inlineStr">
        <is>
          <t>Esposizione</t>
        </is>
      </c>
      <c r="F67" s="158" t="inlineStr">
        <is>
          <t>%</t>
        </is>
      </c>
      <c r="G67" s="158" t="inlineStr">
        <is>
          <t>Controllo qualita' Customer Experience</t>
        </is>
      </c>
      <c r="H67" s="158" t="n">
        <v>20</v>
      </c>
      <c r="I67" s="158" t="n">
        <v>50</v>
      </c>
      <c r="J67" s="158" t="n">
        <v>60</v>
      </c>
      <c r="K67" s="173" t="n">
        <v>46203</v>
      </c>
      <c r="L67" s="158" t="inlineStr">
        <is>
          <t>Controllo qualita' Customer Experience</t>
        </is>
      </c>
      <c r="M67" s="175" t="inlineStr">
        <is>
          <t>Rilevazione di fine trimestre.</t>
        </is>
      </c>
      <c r="N67" s="158">
        <f>IF(OR(H67="",I67=""),"Soglie da definire",IF(I67&lt;H67,"SOGLIE INVERTITE — correggere",IF(J67="","Non rilevato",IF(J67&gt;=I67,"Rosso",IF(J67&gt;=H67,"Ambra","Verde")))))</f>
        <v/>
      </c>
      <c r="O67" s="158" t="inlineStr">
        <is>
          <t>Sì</t>
        </is>
      </c>
      <c r="P67" s="158" t="inlineStr">
        <is>
          <t>2026Q1</t>
        </is>
      </c>
      <c r="Q67" s="158" t="inlineStr">
        <is>
          <t>2026Q1</t>
        </is>
      </c>
      <c r="R67" s="175" t="inlineStr">
        <is>
          <t>KRI di esposizione del rischio NFR-10: quanto la Banca e' esposta; valori crescenti indicano peggioramento.</t>
        </is>
      </c>
      <c r="S67" s="158">
        <f>A67&amp;"|"&amp;B67</f>
        <v/>
      </c>
      <c r="T67" s="158" t="inlineStr">
        <is>
          <t>Accettato</t>
        </is>
      </c>
    </row>
    <row r="68">
      <c r="A68" s="158" t="inlineStr">
        <is>
          <t>2026Q2</t>
        </is>
      </c>
      <c r="B68" s="158" t="inlineStr">
        <is>
          <t>NFR-11-K1</t>
        </is>
      </c>
      <c r="C68" s="158" t="inlineStr">
        <is>
          <t>NFR-11</t>
        </is>
      </c>
      <c r="D68" s="175" t="inlineStr">
        <is>
          <t>Componenti del sistema di pagamento fuori supporto</t>
        </is>
      </c>
      <c r="E68" s="158" t="inlineStr">
        <is>
          <t>Esposizione</t>
        </is>
      </c>
      <c r="F68" s="158" t="inlineStr">
        <is>
          <t>n</t>
        </is>
      </c>
      <c r="G68" s="158" t="inlineStr">
        <is>
          <t>Inventario IT</t>
        </is>
      </c>
      <c r="H68" s="158" t="n">
        <v>3</v>
      </c>
      <c r="I68" s="158" t="n">
        <v>8</v>
      </c>
      <c r="J68" s="158" t="n">
        <v>7</v>
      </c>
      <c r="K68" s="173" t="n">
        <v>46203</v>
      </c>
      <c r="L68" s="158" t="inlineStr">
        <is>
          <t>Inventario IT</t>
        </is>
      </c>
      <c r="M68" s="175" t="inlineStr">
        <is>
          <t>Rilevazione di fine trimestre.</t>
        </is>
      </c>
      <c r="N68" s="158">
        <f>IF(OR(H68="",I68=""),"Soglie da definire",IF(I68&lt;H68,"SOGLIE INVERTITE — correggere",IF(J68="","Non rilevato",IF(J68&gt;=I68,"Rosso",IF(J68&gt;=H68,"Ambra","Verde")))))</f>
        <v/>
      </c>
      <c r="O68" s="158" t="inlineStr">
        <is>
          <t>Sì</t>
        </is>
      </c>
      <c r="P68" s="158" t="inlineStr">
        <is>
          <t>2025Q4</t>
        </is>
      </c>
      <c r="Q68" s="158" t="inlineStr">
        <is>
          <t>2025Q4</t>
        </is>
      </c>
      <c r="R68" s="175" t="inlineStr">
        <is>
          <t>KRI di esposizione del rischio NFR-11: quanto la Banca e' esposta; valori crescenti indicano peggioramento.</t>
        </is>
      </c>
      <c r="S68" s="158">
        <f>A68&amp;"|"&amp;B68</f>
        <v/>
      </c>
      <c r="T68" s="158" t="inlineStr">
        <is>
          <t>Accettato</t>
        </is>
      </c>
    </row>
    <row r="69">
      <c r="A69" s="158" t="inlineStr">
        <is>
          <t>2026Q2</t>
        </is>
      </c>
      <c r="B69" s="158" t="inlineStr">
        <is>
          <t>NFR-11-K2</t>
        </is>
      </c>
      <c r="C69" s="158" t="inlineStr">
        <is>
          <t>NFR-11</t>
        </is>
      </c>
      <c r="D69" s="175" t="inlineStr">
        <is>
          <t>Vulnerabilita' senza patch disponibile sui sistemi legacy</t>
        </is>
      </c>
      <c r="E69" s="158" t="inlineStr">
        <is>
          <t>Evoluzione</t>
        </is>
      </c>
      <c r="F69" s="158" t="inlineStr">
        <is>
          <t>n</t>
        </is>
      </c>
      <c r="G69" s="158" t="inlineStr">
        <is>
          <t>Vulnerability management</t>
        </is>
      </c>
      <c r="H69" s="158" t="n">
        <v>2</v>
      </c>
      <c r="I69" s="158" t="n">
        <v>6</v>
      </c>
      <c r="J69" s="158" t="n">
        <v>5</v>
      </c>
      <c r="K69" s="173" t="n">
        <v>46203</v>
      </c>
      <c r="L69" s="158" t="inlineStr">
        <is>
          <t>Vulnerability management</t>
        </is>
      </c>
      <c r="M69" s="175" t="inlineStr">
        <is>
          <t>Rilevazione di fine trimestre.</t>
        </is>
      </c>
      <c r="N69" s="158">
        <f>IF(OR(H69="",I69=""),"Soglie da definire",IF(I69&lt;H69,"SOGLIE INVERTITE — correggere",IF(J69="","Non rilevato",IF(J69&gt;=I69,"Rosso",IF(J69&gt;=H69,"Ambra","Verde")))))</f>
        <v/>
      </c>
      <c r="O69" s="158" t="inlineStr">
        <is>
          <t>Sì</t>
        </is>
      </c>
      <c r="P69" s="158" t="inlineStr">
        <is>
          <t>2025Q4</t>
        </is>
      </c>
      <c r="Q69" s="158" t="inlineStr">
        <is>
          <t>2025Q4</t>
        </is>
      </c>
      <c r="R69" s="175" t="inlineStr">
        <is>
          <t>KRI di evoluzione del rischio NFR-11: quanto cresce il fenomeno; valori crescenti indicano peggioramento.</t>
        </is>
      </c>
      <c r="S69" s="158">
        <f>A69&amp;"|"&amp;B69</f>
        <v/>
      </c>
      <c r="T69" s="158" t="inlineStr">
        <is>
          <t>Accettato</t>
        </is>
      </c>
    </row>
    <row r="70">
      <c r="A70" s="158" t="inlineStr">
        <is>
          <t>2026Q2</t>
        </is>
      </c>
      <c r="B70" s="158" t="inlineStr">
        <is>
          <t>NFR-12-K1</t>
        </is>
      </c>
      <c r="C70" s="158" t="inlineStr">
        <is>
          <t>NFR-12</t>
        </is>
      </c>
      <c r="D70" s="175" t="inlineStr">
        <is>
          <t>Differenze di riconciliazione sui bonifici istantanei aperte oltre 1 giorno</t>
        </is>
      </c>
      <c r="E70" s="158" t="inlineStr">
        <is>
          <t>Evoluzione</t>
        </is>
      </c>
      <c r="F70" s="158" t="inlineStr">
        <is>
          <t>n</t>
        </is>
      </c>
      <c r="G70" s="158" t="inlineStr">
        <is>
          <t>Sistema di riconciliazione</t>
        </is>
      </c>
      <c r="H70" s="158" t="n">
        <v>10</v>
      </c>
      <c r="I70" s="158" t="n">
        <v>30</v>
      </c>
      <c r="J70" s="158" t="n">
        <v>14</v>
      </c>
      <c r="K70" s="173" t="n">
        <v>46203</v>
      </c>
      <c r="L70" s="158" t="inlineStr">
        <is>
          <t>Sistema di riconciliazione</t>
        </is>
      </c>
      <c r="M70" s="175" t="inlineStr">
        <is>
          <t>Rilevazione di fine trimestre.</t>
        </is>
      </c>
      <c r="N70" s="158">
        <f>IF(OR(H70="",I70=""),"Soglie da definire",IF(I70&lt;H70,"SOGLIE INVERTITE — correggere",IF(J70="","Non rilevato",IF(J70&gt;=I70,"Rosso",IF(J70&gt;=H70,"Ambra","Verde")))))</f>
        <v/>
      </c>
      <c r="O70" s="158" t="inlineStr">
        <is>
          <t>Sì</t>
        </is>
      </c>
      <c r="P70" s="158" t="inlineStr">
        <is>
          <t>2025Q4</t>
        </is>
      </c>
      <c r="Q70" s="158" t="inlineStr">
        <is>
          <t>2025Q4</t>
        </is>
      </c>
      <c r="R70" s="175" t="inlineStr">
        <is>
          <t>KRI di evoluzione del rischio NFR-12: quanto cresce il fenomeno; valori crescenti indicano peggioramento.</t>
        </is>
      </c>
      <c r="S70" s="158">
        <f>A70&amp;"|"&amp;B70</f>
        <v/>
      </c>
      <c r="T70" s="158" t="inlineStr">
        <is>
          <t>Accettato</t>
        </is>
      </c>
    </row>
    <row r="71">
      <c r="A71" s="158" t="inlineStr">
        <is>
          <t>2026Q2</t>
        </is>
      </c>
      <c r="B71" s="158" t="inlineStr">
        <is>
          <t>NFR-12-K3</t>
        </is>
      </c>
      <c r="C71" s="158" t="inlineStr">
        <is>
          <t>NFR-12</t>
        </is>
      </c>
      <c r="D71" s="175" t="inlineStr">
        <is>
          <t>Tempo medio di risoluzione delle eccezioni sui pagamenti istantanei</t>
        </is>
      </c>
      <c r="E71" s="158" t="inlineStr">
        <is>
          <t>Esposizione</t>
        </is>
      </c>
      <c r="F71" s="158" t="inlineStr">
        <is>
          <t>ore</t>
        </is>
      </c>
      <c r="G71" s="158" t="inlineStr">
        <is>
          <t>Workflow delle eccezioni</t>
        </is>
      </c>
      <c r="H71" s="158" t="n">
        <v>4</v>
      </c>
      <c r="I71" s="158" t="n">
        <v>12</v>
      </c>
      <c r="J71" s="158" t="n">
        <v>5</v>
      </c>
      <c r="K71" s="173" t="n">
        <v>46203</v>
      </c>
      <c r="L71" s="158" t="inlineStr">
        <is>
          <t>Workflow delle eccezioni</t>
        </is>
      </c>
      <c r="M71" s="175" t="inlineStr">
        <is>
          <t>Rilevazione di fine trimestre.</t>
        </is>
      </c>
      <c r="N71" s="158">
        <f>IF(OR(H71="",I71=""),"Soglie da definire",IF(I71&lt;H71,"SOGLIE INVERTITE — correggere",IF(J71="","Non rilevato",IF(J71&gt;=I71,"Rosso",IF(J71&gt;=H71,"Ambra","Verde")))))</f>
        <v/>
      </c>
      <c r="O71" s="158" t="inlineStr">
        <is>
          <t>Sì</t>
        </is>
      </c>
      <c r="P71" s="158" t="inlineStr">
        <is>
          <t>2025Q4</t>
        </is>
      </c>
      <c r="Q71" s="158" t="inlineStr">
        <is>
          <t>2025Q4</t>
        </is>
      </c>
      <c r="R71" s="175" t="inlineStr">
        <is>
          <t>KRI di esposizione del rischio NFR-12: quanto la Banca e' esposta; valori crescenti indicano peggioramento.</t>
        </is>
      </c>
      <c r="S71" s="158">
        <f>A71&amp;"|"&amp;B71</f>
        <v/>
      </c>
      <c r="T71" s="158" t="inlineStr">
        <is>
          <t>Accettato</t>
        </is>
      </c>
    </row>
  </sheetData>
  <mergeCells count="6">
    <mergeCell ref="L3:M3"/>
    <mergeCell ref="C3:J3"/>
    <mergeCell ref="O3:P3"/>
    <mergeCell ref="A2:I2"/>
    <mergeCell ref="Q3:R3"/>
    <mergeCell ref="A1:L1"/>
  </mergeCells>
  <conditionalFormatting sqref="N6:N20000">
    <cfRule type="expression" priority="1" dxfId="15">
      <formula>N6="Rosso"</formula>
    </cfRule>
    <cfRule type="expression" priority="2" dxfId="19">
      <formula>N6="Ambra"</formula>
    </cfRule>
    <cfRule type="expression" priority="3" dxfId="20">
      <formula>N6="Verde"</formula>
    </cfRule>
    <cfRule type="expression" priority="4" dxfId="15">
      <formula>N6="SOGLIE INVERTITE — correggere"</formula>
    </cfRule>
    <cfRule type="expression" priority="5" dxfId="1">
      <formula>N6="Soglie da definire"</formula>
    </cfRule>
  </conditionalFormatting>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tabColor rgb="00A6A6A6"/>
    <outlinePr summaryBelow="1" summaryRight="1"/>
    <pageSetUpPr/>
  </sheetPr>
  <dimension ref="A1:S15"/>
  <sheetViews>
    <sheetView showGridLines="1" workbookViewId="0">
      <selection activeCell="A1" sqref="A1"/>
    </sheetView>
  </sheetViews>
  <sheetFormatPr baseColWidth="8" defaultRowHeight="15"/>
  <cols>
    <col width="15" customWidth="1" min="1" max="1"/>
    <col width="15" customWidth="1" min="2" max="2"/>
    <col width="15" customWidth="1" min="3" max="3"/>
    <col width="50"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60" customWidth="1" min="18" max="18"/>
    <col width="15" customWidth="1" min="19" max="19"/>
  </cols>
  <sheetData>
    <row r="1" ht="28" customHeight="1">
      <c r="A1" s="1">
        <f>"Horizon Scan NFR — NewsLog — notizie valutate ogni settimana   ·   "&amp;etichettaCiclo</f>
        <v/>
      </c>
      <c r="B1" s="2" t="n"/>
      <c r="C1" s="2" t="n"/>
      <c r="D1" s="2" t="n"/>
      <c r="E1" s="2" t="n"/>
      <c r="F1" s="2" t="n"/>
      <c r="G1" s="2" t="n"/>
      <c r="H1" s="2" t="n"/>
      <c r="I1" s="2" t="n"/>
      <c r="J1" s="2" t="n"/>
      <c r="K1" s="2" t="n"/>
      <c r="L1" s="2" t="n"/>
    </row>
    <row r="2" ht="72.5" customHeight="1">
      <c r="A2" s="119" t="inlineStr">
        <is>
          <r>
            <rPr>
              <rFont val="Calibri"/>
              <b val="1"/>
              <color rgb="00375623"/>
              <sz val="10"/>
            </rPr>
            <t>CICLO SETTIMANALE — le notizie raccolte ogni giorno le valuta A3 il lunedi'; lo script le aggiunge senza duplicati. Validazione delle notizie facoltativa. Si scrive con lo script (le viste e la baseline leggono queste righe): a mano solo i testi elencati nel foglio Guida, DOVE SI SCRIVE A MANO; mai ID, numeri, date o righe intere (D-76).</t>
          </r>
          <r>
            <rPr>
              <rFont val="Calibri"/>
              <color rgb="00262626"/>
              <sz val="10"/>
            </rPr>
            <t xml:space="preserve">
Come si legge: Segnale = direzione per il rischio collegato (quattro valori, contati per testo esatto); Imp_ = intensita' 0-3 sulla categoria, senza segno. Le notizie non cambiano score: alimentano i segnali netti del Registro e il foglio Notizie. NON PRESIDIATO = tema senza rischio censito. Una notizia respinta diventa Non rilevante con impatti 0.
Colore delle intestazioni = chi scrive la colonna: azzurro l'agente del ciclo trimestrale (A1, A5), verde l'agente settimanale (A3), giallo la validazione, grigio lo script o una formula. Righe grigie = dati di esempio.</t>
          </r>
        </is>
      </c>
    </row>
    <row r="3">
      <c r="A3" s="176" t="inlineStr">
        <is>
          <t>A3 · ciclo settimanale</t>
        </is>
      </c>
      <c r="B3" s="169" t="inlineStr">
        <is>
          <t>Formula · calcolata dal foglio</t>
        </is>
      </c>
      <c r="C3" s="176" t="inlineStr">
        <is>
          <t>A3 · ciclo settimanale</t>
        </is>
      </c>
      <c r="S3" s="170" t="inlineStr">
        <is>
          <t>Validazione · comando valida</t>
        </is>
      </c>
    </row>
    <row r="4" ht="58" customHeight="1">
      <c r="A4" s="171" t="inlineStr">
        <is>
          <t>A3 · Data della notizia.</t>
        </is>
      </c>
      <c r="B4" s="171" t="inlineStr">
        <is>
          <t>Formula · Lunedi' della settimana della notizia.</t>
        </is>
      </c>
      <c r="C4" s="171" t="inlineStr">
        <is>
          <t>A3 · Codice unico N-AAAAMMGG-nn.</t>
        </is>
      </c>
      <c r="D4" s="171" t="inlineStr">
        <is>
          <t>A3 · Titolo della notizia.</t>
        </is>
      </c>
      <c r="E4" s="171" t="inlineStr">
        <is>
          <t>A3 · Testata o ente che la pubblica.</t>
        </is>
      </c>
      <c r="F4" s="171" t="inlineStr">
        <is>
          <t>A3 · Codice del catalogo fonti (FNT-nn), MAN se raccolta a mano.</t>
        </is>
      </c>
      <c r="G4" s="171" t="inlineStr">
        <is>
          <t>A3 · Rischio toccato; NON PRESIDIATO se nessun rischio censito.</t>
        </is>
      </c>
      <c r="H4" s="171" t="inlineStr">
        <is>
          <t>A3 · Direzione per il rischio: Peggiorativo, Migliorativo, Neutro, Non rilevante.</t>
        </is>
      </c>
      <c r="I4" s="171" t="inlineStr">
        <is>
          <t>A3 · Intensita' 0-3 sulla categoria 9.1 (0 = nessun nesso, 3 = diretto e immediato).</t>
        </is>
      </c>
      <c r="J4" s="171" t="inlineStr">
        <is>
          <t>A3 · Intensita' 0-3 sulla categoria 9.4 (0 = nessun nesso, 3 = diretto e immediato).</t>
        </is>
      </c>
      <c r="K4" s="171" t="inlineStr">
        <is>
          <t>A3 · Intensita' 0-3 sulla categoria 9.5 (0 = nessun nesso, 3 = diretto e immediato).</t>
        </is>
      </c>
      <c r="L4" s="171" t="inlineStr">
        <is>
          <t>A3 · Intensita' 0-3 sulla categoria 9.6 (0 = nessun nesso, 3 = diretto e immediato).</t>
        </is>
      </c>
      <c r="M4" s="171" t="inlineStr">
        <is>
          <t>A3 · Intensita' 0-3 sulla categoria 9.7 (0 = nessun nesso, 3 = diretto e immediato).</t>
        </is>
      </c>
      <c r="N4" s="171" t="inlineStr">
        <is>
          <t>A3 · Intensita' 0-3 sulla categoria 9.8 (0 = nessun nesso, 3 = diretto e immediato).</t>
        </is>
      </c>
      <c r="O4" s="171" t="inlineStr">
        <is>
          <t>A3 · Intensita' 0-3 sulla categoria 9.9 (0 = nessun nesso, 3 = diretto e immediato).</t>
        </is>
      </c>
      <c r="P4" s="171" t="inlineStr">
        <is>
          <t>A3 · Intensita' 0-3 sulla categoria 9.11 (0 = nessun nesso, 3 = diretto e immediato).</t>
        </is>
      </c>
      <c r="Q4" s="171" t="inlineStr">
        <is>
          <t>A3 · Intensita' 0-3 sulla categoria 9.13 (0 = nessun nesso, 3 = diretto e immediato).</t>
        </is>
      </c>
      <c r="R4" s="171" t="inlineStr">
        <is>
          <t>A3 · Che cosa dice la notizia, in breve.</t>
        </is>
      </c>
      <c r="S4" s="171" t="inlineStr">
        <is>
          <t>Validazione · Da validare, poi Accettato, Rettificato o Respinto.</t>
        </is>
      </c>
    </row>
    <row r="5">
      <c r="A5" s="177" t="inlineStr">
        <is>
          <t>Data</t>
        </is>
      </c>
      <c r="B5" s="99" t="inlineStr">
        <is>
          <t>Settimana</t>
        </is>
      </c>
      <c r="C5" s="177" t="inlineStr">
        <is>
          <t>ID_Notizia</t>
        </is>
      </c>
      <c r="D5" s="177" t="inlineStr">
        <is>
          <t>Titolo</t>
        </is>
      </c>
      <c r="E5" s="177" t="inlineStr">
        <is>
          <t>Fonte</t>
        </is>
      </c>
      <c r="F5" s="177" t="inlineStr">
        <is>
          <t>Codice_Fonte</t>
        </is>
      </c>
      <c r="G5" s="177" t="inlineStr">
        <is>
          <t>Rischio_ID</t>
        </is>
      </c>
      <c r="H5" s="177" t="inlineStr">
        <is>
          <t>Segnale</t>
        </is>
      </c>
      <c r="I5" s="177" t="inlineStr">
        <is>
          <t>Imp_9_1</t>
        </is>
      </c>
      <c r="J5" s="177" t="inlineStr">
        <is>
          <t>Imp_9_4</t>
        </is>
      </c>
      <c r="K5" s="177" t="inlineStr">
        <is>
          <t>Imp_9_5</t>
        </is>
      </c>
      <c r="L5" s="177" t="inlineStr">
        <is>
          <t>Imp_9_6</t>
        </is>
      </c>
      <c r="M5" s="177" t="inlineStr">
        <is>
          <t>Imp_9_7</t>
        </is>
      </c>
      <c r="N5" s="177" t="inlineStr">
        <is>
          <t>Imp_9_8</t>
        </is>
      </c>
      <c r="O5" s="177" t="inlineStr">
        <is>
          <t>Imp_9_9</t>
        </is>
      </c>
      <c r="P5" s="177" t="inlineStr">
        <is>
          <t>Imp_9_11</t>
        </is>
      </c>
      <c r="Q5" s="177" t="inlineStr">
        <is>
          <t>Imp_9_13</t>
        </is>
      </c>
      <c r="R5" s="177" t="inlineStr">
        <is>
          <t>Sintesi</t>
        </is>
      </c>
      <c r="S5" s="97" t="inlineStr">
        <is>
          <t>Validazione</t>
        </is>
      </c>
    </row>
    <row r="6">
      <c r="A6" s="173" t="n">
        <v>46162</v>
      </c>
      <c r="B6" s="173">
        <f>A6-WEEKDAY(A6,2)+1</f>
        <v/>
      </c>
      <c r="C6" s="158" t="inlineStr">
        <is>
          <t>N-20260520-01</t>
        </is>
      </c>
      <c r="D6" s="175" t="inlineStr">
        <is>
          <t>Guasto regionale del fornitore cloud per sei ore</t>
        </is>
      </c>
      <c r="E6" s="158" t="inlineStr">
        <is>
          <t>Agenzia di stampa</t>
        </is>
      </c>
      <c r="F6" s="158" t="inlineStr">
        <is>
          <t>FNT-17</t>
        </is>
      </c>
      <c r="G6" s="158" t="inlineStr">
        <is>
          <t>NFR-02</t>
        </is>
      </c>
      <c r="H6" s="158" t="inlineStr">
        <is>
          <t>Peggiorativo</t>
        </is>
      </c>
      <c r="I6" s="158" t="n">
        <v>0</v>
      </c>
      <c r="J6" s="158" t="n">
        <v>0</v>
      </c>
      <c r="K6" s="158" t="n">
        <v>0</v>
      </c>
      <c r="L6" s="158" t="n">
        <v>0</v>
      </c>
      <c r="M6" s="158" t="n">
        <v>0</v>
      </c>
      <c r="N6" s="158" t="n">
        <v>0</v>
      </c>
      <c r="O6" s="158" t="n">
        <v>2</v>
      </c>
      <c r="P6" s="158" t="n">
        <v>0</v>
      </c>
      <c r="Q6" s="158" t="n">
        <v>0</v>
      </c>
      <c r="R6" s="175" t="inlineStr">
        <is>
          <t>Interruzione di sei ore di una region europea del fornitore; fuori dalla finestra delle 4 settimane del badge.</t>
        </is>
      </c>
      <c r="S6" s="158" t="inlineStr">
        <is>
          <t>Accettato</t>
        </is>
      </c>
    </row>
    <row r="7">
      <c r="A7" s="173" t="n">
        <v>46182</v>
      </c>
      <c r="B7" s="173">
        <f>A7-WEEKDAY(A7,2)+1</f>
        <v/>
      </c>
      <c r="C7" s="158" t="inlineStr">
        <is>
          <t>N-20260609-01</t>
        </is>
      </c>
      <c r="D7" s="175" t="inlineStr">
        <is>
          <t>Nuova ondata di frodi con voce clonata su bonifici istantanei</t>
        </is>
      </c>
      <c r="E7" s="158" t="inlineStr">
        <is>
          <t>CERT finanziario nazionale</t>
        </is>
      </c>
      <c r="F7" s="158" t="inlineStr">
        <is>
          <t>FNT-34</t>
        </is>
      </c>
      <c r="G7" s="158" t="inlineStr">
        <is>
          <t>NFR-01</t>
        </is>
      </c>
      <c r="H7" s="158" t="inlineStr">
        <is>
          <t>Peggiorativo</t>
        </is>
      </c>
      <c r="I7" s="158" t="n">
        <v>1</v>
      </c>
      <c r="J7" s="158" t="n">
        <v>0</v>
      </c>
      <c r="K7" s="158" t="n">
        <v>0</v>
      </c>
      <c r="L7" s="158" t="n">
        <v>0</v>
      </c>
      <c r="M7" s="158" t="n">
        <v>3</v>
      </c>
      <c r="N7" s="158" t="n">
        <v>0</v>
      </c>
      <c r="O7" s="158" t="n">
        <v>0</v>
      </c>
      <c r="P7" s="158" t="n">
        <v>0</v>
      </c>
      <c r="Q7" s="158" t="n">
        <v>0</v>
      </c>
      <c r="R7" s="175" t="inlineStr">
        <is>
          <t>Allerta del CERT su campagne con voce clonata di dirigenti verso clienti corporate.</t>
        </is>
      </c>
      <c r="S7" s="158" t="inlineStr">
        <is>
          <t>Accettato</t>
        </is>
      </c>
    </row>
    <row r="8">
      <c r="A8" s="173" t="n">
        <v>46183</v>
      </c>
      <c r="B8" s="173">
        <f>A8-WEEKDAY(A8,2)+1</f>
        <v/>
      </c>
      <c r="C8" s="158" t="inlineStr">
        <is>
          <t>N-20260610-01</t>
        </is>
      </c>
      <c r="D8" s="175" t="inlineStr">
        <is>
          <t>Stabilizzazione dei sistemi dopo la wave 1 in banche comparabili</t>
        </is>
      </c>
      <c r="E8" s="158" t="inlineStr">
        <is>
          <t>Stampa specializzata</t>
        </is>
      </c>
      <c r="F8" s="158" t="inlineStr">
        <is>
          <t>MAN</t>
        </is>
      </c>
      <c r="G8" s="158" t="inlineStr">
        <is>
          <t>NFR-05</t>
        </is>
      </c>
      <c r="H8" s="158" t="inlineStr">
        <is>
          <t>Migliorativo</t>
        </is>
      </c>
      <c r="I8" s="158" t="n">
        <v>0</v>
      </c>
      <c r="J8" s="158" t="n">
        <v>0</v>
      </c>
      <c r="K8" s="158" t="n">
        <v>0</v>
      </c>
      <c r="L8" s="158" t="n">
        <v>0</v>
      </c>
      <c r="M8" s="158" t="n">
        <v>0</v>
      </c>
      <c r="N8" s="158" t="n">
        <v>0</v>
      </c>
      <c r="O8" s="158" t="n">
        <v>0</v>
      </c>
      <c r="P8" s="158" t="n">
        <v>0</v>
      </c>
      <c r="Q8" s="158" t="n">
        <v>2</v>
      </c>
      <c r="R8" s="175" t="inlineStr">
        <is>
          <t>Le banche che hanno migrato con approccio a ondate riportano incidenti in calo.</t>
        </is>
      </c>
      <c r="S8" s="158" t="inlineStr">
        <is>
          <t>Accettato</t>
        </is>
      </c>
    </row>
    <row r="9">
      <c r="A9" s="173" t="n">
        <v>46184</v>
      </c>
      <c r="B9" s="173">
        <f>A9-WEEKDAY(A9,2)+1</f>
        <v/>
      </c>
      <c r="C9" s="158" t="inlineStr">
        <is>
          <t>N-20260611-01</t>
        </is>
      </c>
      <c r="D9" s="175" t="inlineStr">
        <is>
          <t>Il fornitore cloud annuncia una nuova region in Italia</t>
        </is>
      </c>
      <c r="E9" s="158" t="inlineStr">
        <is>
          <t>Comunicato stampa del fornitore cloud, sito del fornitore</t>
        </is>
      </c>
      <c r="F9" s="158" t="inlineStr">
        <is>
          <t>MAN</t>
        </is>
      </c>
      <c r="G9" s="158" t="inlineStr">
        <is>
          <t>NFR-02</t>
        </is>
      </c>
      <c r="H9" s="158" t="inlineStr">
        <is>
          <t>Migliorativo</t>
        </is>
      </c>
      <c r="I9" s="158" t="n">
        <v>0</v>
      </c>
      <c r="J9" s="158" t="n">
        <v>0</v>
      </c>
      <c r="K9" s="158" t="n">
        <v>0</v>
      </c>
      <c r="L9" s="158" t="n">
        <v>0</v>
      </c>
      <c r="M9" s="158" t="n">
        <v>0</v>
      </c>
      <c r="N9" s="158" t="n">
        <v>0</v>
      </c>
      <c r="O9" s="158" t="n">
        <v>1</v>
      </c>
      <c r="P9" s="158" t="n">
        <v>0</v>
      </c>
      <c r="Q9" s="158" t="n">
        <v>0</v>
      </c>
      <c r="R9" s="175" t="inlineStr">
        <is>
          <t>Una seconda region nazionale rende piu' semplice una strategia multi-region.</t>
        </is>
      </c>
      <c r="S9" s="158" t="inlineStr">
        <is>
          <t>Accettato</t>
        </is>
      </c>
    </row>
    <row r="10">
      <c r="A10" s="173" t="n">
        <v>46189</v>
      </c>
      <c r="B10" s="173">
        <f>A10-WEEKDAY(A10,2)+1</f>
        <v/>
      </c>
      <c r="C10" s="158" t="inlineStr">
        <is>
          <t>N-20260616-01</t>
        </is>
      </c>
      <c r="D10" s="175" t="inlineStr">
        <is>
          <t>Frodi con deepfake video in una banca tedesca</t>
        </is>
      </c>
      <c r="E10" s="158" t="inlineStr">
        <is>
          <t>Stampa economica</t>
        </is>
      </c>
      <c r="F10" s="158" t="inlineStr">
        <is>
          <t>FNT-18</t>
        </is>
      </c>
      <c r="G10" s="158" t="inlineStr">
        <is>
          <t>NFR-01</t>
        </is>
      </c>
      <c r="H10" s="158" t="inlineStr">
        <is>
          <t>Peggiorativo</t>
        </is>
      </c>
      <c r="I10" s="158" t="n">
        <v>0</v>
      </c>
      <c r="J10" s="158" t="n">
        <v>0</v>
      </c>
      <c r="K10" s="158" t="n">
        <v>0</v>
      </c>
      <c r="L10" s="158" t="n">
        <v>0</v>
      </c>
      <c r="M10" s="158" t="n">
        <v>2</v>
      </c>
      <c r="N10" s="158" t="n">
        <v>0</v>
      </c>
      <c r="O10" s="158" t="n">
        <v>0</v>
      </c>
      <c r="P10" s="158" t="n">
        <v>0</v>
      </c>
      <c r="Q10" s="158" t="n">
        <v>0</v>
      </c>
      <c r="R10" s="175" t="inlineStr">
        <is>
          <t>Videochiamata con deepfake del CFO: bonifico da 20 milioni verso conto estero.</t>
        </is>
      </c>
      <c r="S10" s="158" t="inlineStr">
        <is>
          <t>Accettato</t>
        </is>
      </c>
    </row>
    <row r="11">
      <c r="A11" s="173" t="n">
        <v>46190</v>
      </c>
      <c r="B11" s="173">
        <f>A11-WEEKDAY(A11,2)+1</f>
        <v/>
      </c>
      <c r="C11" s="158" t="inlineStr">
        <is>
          <t>N-20260617-01</t>
        </is>
      </c>
      <c r="D11" s="175" t="inlineStr">
        <is>
          <t>Chiusi i rilievi di audit sulla migrazione presso un peer</t>
        </is>
      </c>
      <c r="E11" s="158" t="inlineStr">
        <is>
          <t>Relazione di vigilanza</t>
        </is>
      </c>
      <c r="F11" s="158" t="inlineStr">
        <is>
          <t>FNT-01</t>
        </is>
      </c>
      <c r="G11" s="158" t="inlineStr">
        <is>
          <t>NFR-05</t>
        </is>
      </c>
      <c r="H11" s="158" t="inlineStr">
        <is>
          <t>Migliorativo</t>
        </is>
      </c>
      <c r="I11" s="158" t="n">
        <v>0</v>
      </c>
      <c r="J11" s="158" t="n">
        <v>0</v>
      </c>
      <c r="K11" s="158" t="n">
        <v>0</v>
      </c>
      <c r="L11" s="158" t="n">
        <v>0</v>
      </c>
      <c r="M11" s="158" t="n">
        <v>0</v>
      </c>
      <c r="N11" s="158" t="n">
        <v>0</v>
      </c>
      <c r="O11" s="158" t="n">
        <v>0</v>
      </c>
      <c r="P11" s="158" t="n">
        <v>0</v>
      </c>
      <c r="Q11" s="158" t="n">
        <v>1</v>
      </c>
      <c r="R11" s="175" t="inlineStr">
        <is>
          <t>L'autorita' chiude i rilievi su un'analoga migrazione di core banking.</t>
        </is>
      </c>
      <c r="S11" s="158" t="inlineStr">
        <is>
          <t>Accettato</t>
        </is>
      </c>
    </row>
    <row r="12">
      <c r="A12" s="173" t="n">
        <v>46191</v>
      </c>
      <c r="B12" s="173">
        <f>A12-WEEKDAY(A12,2)+1</f>
        <v/>
      </c>
      <c r="C12" s="158" t="inlineStr">
        <is>
          <t>N-20260618-01</t>
        </is>
      </c>
      <c r="D12" s="175" t="inlineStr">
        <is>
          <t>Allerta caldo estremo nel Nord Italia</t>
        </is>
      </c>
      <c r="E12" s="158" t="inlineStr">
        <is>
          <t>Protezione civile</t>
        </is>
      </c>
      <c r="F12" s="158" t="inlineStr">
        <is>
          <t>FNT-23</t>
        </is>
      </c>
      <c r="G12" s="158" t="inlineStr">
        <is>
          <t>NFR-04</t>
        </is>
      </c>
      <c r="H12" s="158" t="inlineStr">
        <is>
          <t>Neutro</t>
        </is>
      </c>
      <c r="I12" s="158" t="n">
        <v>0</v>
      </c>
      <c r="J12" s="158" t="n">
        <v>0</v>
      </c>
      <c r="K12" s="158" t="n">
        <v>0</v>
      </c>
      <c r="L12" s="158" t="n">
        <v>0</v>
      </c>
      <c r="M12" s="158" t="n">
        <v>0</v>
      </c>
      <c r="N12" s="158" t="n">
        <v>1</v>
      </c>
      <c r="O12" s="158" t="n">
        <v>0</v>
      </c>
      <c r="P12" s="158" t="n">
        <v>0</v>
      </c>
      <c r="Q12" s="158" t="n">
        <v>0</v>
      </c>
      <c r="R12" s="175" t="inlineStr">
        <is>
          <t>Ondata di calore prevista; nessun impatto segnalato su infrastrutture critiche.</t>
        </is>
      </c>
      <c r="S12" s="158" t="inlineStr">
        <is>
          <t>Accettato</t>
        </is>
      </c>
    </row>
    <row r="13">
      <c r="A13" s="173" t="n">
        <v>46196</v>
      </c>
      <c r="B13" s="173">
        <f>A13-WEEKDAY(A13,2)+1</f>
        <v/>
      </c>
      <c r="C13" s="158" t="inlineStr">
        <is>
          <t>N-20260623-01</t>
        </is>
      </c>
      <c r="D13" s="175" t="inlineStr">
        <is>
          <t>Il fornitore cloud pubblica il report di resilienza</t>
        </is>
      </c>
      <c r="E13" s="158" t="inlineStr">
        <is>
          <t>Comunicato stampa del fornitore cloud, sito del fornitore</t>
        </is>
      </c>
      <c r="F13" s="158" t="inlineStr">
        <is>
          <t>MAN</t>
        </is>
      </c>
      <c r="G13" s="158" t="inlineStr">
        <is>
          <t>NFR-02</t>
        </is>
      </c>
      <c r="H13" s="158" t="inlineStr">
        <is>
          <t>Peggiorativo</t>
        </is>
      </c>
      <c r="I13" s="158" t="n">
        <v>0</v>
      </c>
      <c r="J13" s="158" t="n">
        <v>0</v>
      </c>
      <c r="K13" s="158" t="n">
        <v>0</v>
      </c>
      <c r="L13" s="158" t="n">
        <v>0</v>
      </c>
      <c r="M13" s="158" t="n">
        <v>0</v>
      </c>
      <c r="N13" s="158" t="n">
        <v>0</v>
      </c>
      <c r="O13" s="158" t="n">
        <v>1</v>
      </c>
      <c r="P13" s="158" t="n">
        <v>0</v>
      </c>
      <c r="Q13" s="158" t="n">
        <v>0</v>
      </c>
      <c r="R13" s="175" t="inlineStr">
        <is>
          <t>Il report conferma tempi di ripristino superiori agli impegni contrattuali in due incidenti.</t>
        </is>
      </c>
      <c r="S13" s="158" t="inlineStr">
        <is>
          <t>Accettato</t>
        </is>
      </c>
    </row>
    <row r="14">
      <c r="A14" s="173" t="n">
        <v>46197</v>
      </c>
      <c r="B14" s="173">
        <f>A14-WEEKDAY(A14,2)+1</f>
        <v/>
      </c>
      <c r="C14" s="158" t="inlineStr">
        <is>
          <t>N-20260624-01</t>
        </is>
      </c>
      <c r="D14" s="175" t="inlineStr">
        <is>
          <t>Linee guida europee sul rimborso delle frodi APP</t>
        </is>
      </c>
      <c r="E14" s="158" t="inlineStr">
        <is>
          <t>Autorita' bancaria europea</t>
        </is>
      </c>
      <c r="F14" s="158" t="inlineStr">
        <is>
          <t>FNT-03</t>
        </is>
      </c>
      <c r="G14" s="158" t="inlineStr">
        <is>
          <t>NFR-01</t>
        </is>
      </c>
      <c r="H14" s="158" t="inlineStr">
        <is>
          <t>Peggiorativo</t>
        </is>
      </c>
      <c r="I14" s="158" t="n">
        <v>2</v>
      </c>
      <c r="J14" s="158" t="n">
        <v>0</v>
      </c>
      <c r="K14" s="158" t="n">
        <v>0</v>
      </c>
      <c r="L14" s="158" t="n">
        <v>0</v>
      </c>
      <c r="M14" s="158" t="n">
        <v>2</v>
      </c>
      <c r="N14" s="158" t="n">
        <v>0</v>
      </c>
      <c r="O14" s="158" t="n">
        <v>0</v>
      </c>
      <c r="P14" s="158" t="n">
        <v>0</v>
      </c>
      <c r="Q14" s="158" t="n">
        <v>0</v>
      </c>
      <c r="R14" s="175" t="inlineStr">
        <is>
          <t>Proposta di rimborso obbligatorio delle frodi APP a carico del prestatore di servizi di pagamento.</t>
        </is>
      </c>
      <c r="S14" s="158" t="inlineStr">
        <is>
          <t>Accettato</t>
        </is>
      </c>
    </row>
    <row r="15">
      <c r="A15" s="173" t="n">
        <v>46198</v>
      </c>
      <c r="B15" s="173">
        <f>A15-WEEKDAY(A15,2)+1</f>
        <v/>
      </c>
      <c r="C15" s="158" t="inlineStr">
        <is>
          <t>N-20260625-01</t>
        </is>
      </c>
      <c r="D15" s="175" t="inlineStr">
        <is>
          <t>Wave 1 chiusa senza incidenti gravi nel trimestre</t>
        </is>
      </c>
      <c r="E15" s="158" t="inlineStr">
        <is>
          <t>Comunicazione interna PMO</t>
        </is>
      </c>
      <c r="F15" s="158" t="inlineStr">
        <is>
          <t>MAN</t>
        </is>
      </c>
      <c r="G15" s="158" t="inlineStr">
        <is>
          <t>NFR-05</t>
        </is>
      </c>
      <c r="H15" s="158" t="inlineStr">
        <is>
          <t>Migliorativo</t>
        </is>
      </c>
      <c r="I15" s="158" t="n">
        <v>0</v>
      </c>
      <c r="J15" s="158" t="n">
        <v>0</v>
      </c>
      <c r="K15" s="158" t="n">
        <v>0</v>
      </c>
      <c r="L15" s="158" t="n">
        <v>0</v>
      </c>
      <c r="M15" s="158" t="n">
        <v>0</v>
      </c>
      <c r="N15" s="158" t="n">
        <v>0</v>
      </c>
      <c r="O15" s="158" t="n">
        <v>0</v>
      </c>
      <c r="P15" s="158" t="n">
        <v>0</v>
      </c>
      <c r="Q15" s="158" t="n">
        <v>2</v>
      </c>
      <c r="R15" s="175" t="inlineStr">
        <is>
          <t>Il PMO conferma zero incidenti di severita' alta nelle ultime otto settimane.</t>
        </is>
      </c>
      <c r="S15" s="158" t="inlineStr">
        <is>
          <t>Accettato</t>
        </is>
      </c>
    </row>
  </sheetData>
  <mergeCells count="3">
    <mergeCell ref="A2:I2"/>
    <mergeCell ref="A1:L1"/>
    <mergeCell ref="C3:R3"/>
  </mergeCells>
  <dataValidations count="1">
    <dataValidation sqref="H6:H20000" showDropDown="0" showInputMessage="0" showErrorMessage="0" allowBlank="1" type="list">
      <formula1>"Peggiorativo,Migliorativo,Neutro,Non rilevante"</formula1>
    </dataValidation>
  </dataValidations>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tabColor rgb="00A6A6A6"/>
    <outlinePr summaryBelow="1" summaryRight="1"/>
    <pageSetUpPr/>
  </sheetPr>
  <dimension ref="A1:J8"/>
  <sheetViews>
    <sheetView showGridLines="1" workbookViewId="0">
      <selection activeCell="A1" sqref="A1"/>
    </sheetView>
  </sheetViews>
  <sheetFormatPr baseColWidth="8" defaultRowHeight="15"/>
  <cols>
    <col width="15" customWidth="1" min="1" max="1"/>
    <col width="15" customWidth="1" min="2" max="2"/>
    <col width="80" customWidth="1" min="3" max="3"/>
    <col width="60" customWidth="1" min="4" max="4"/>
    <col width="15" customWidth="1" min="5" max="5"/>
    <col width="50" customWidth="1" min="6" max="6"/>
    <col width="50" customWidth="1" min="7" max="7"/>
    <col width="60" customWidth="1" min="8" max="8"/>
    <col width="15" customWidth="1" min="9" max="9"/>
    <col width="60" customWidth="1" min="10" max="10"/>
  </cols>
  <sheetData>
    <row r="1" ht="28" customHeight="1">
      <c r="A1" s="1">
        <f>"Horizon Scan NFR — Sintesi_Cicli — commento di A1 e sintesi di A5, una riga per ciclo   ·   "&amp;etichettaCiclo</f>
        <v/>
      </c>
      <c r="B1" s="2" t="n"/>
      <c r="C1" s="2" t="n"/>
      <c r="D1" s="2" t="n"/>
      <c r="E1" s="2" t="n"/>
      <c r="F1" s="2" t="n"/>
      <c r="G1" s="2" t="n"/>
      <c r="H1" s="2" t="n"/>
      <c r="I1" s="2" t="n"/>
      <c r="J1" s="2" t="n"/>
    </row>
    <row r="2" ht="72.5" customHeight="1">
      <c r="A2" s="13" t="inlineStr">
        <is>
          <r>
            <rPr>
              <rFont val="Calibri"/>
              <b val="1"/>
              <color rgb="001F4E79"/>
              <sz val="10"/>
            </rPr>
            <t>CICLO TRIMESTRALE — lo script scrive una riga per ciclo con il commento di A1 per il comitato e la sintesi di A5 (se usato). Si scrive con lo script (le viste e la baseline leggono queste righe): a mano solo i testi elencati nel foglio Guida, DOVE SI SCRIVE A MANO; mai ID, numeri, date o righe intere (D-76).</t>
          </r>
          <r>
            <rPr>
              <rFont val="Calibri"/>
              <color rgb="00262626"/>
              <sz val="10"/>
            </rPr>
            <t xml:space="preserve">
Il commento di A1 ha la forma "MESSAGGIO: ... DECISIONI: ...": il Quadro lo divide in due righe. E' scritto PRIMA della validazione: il Quadro avvisa se dopo sono state applicate rettifiche. Rilievi_Ciclo: segnalazioni di A5 e dei controlli sul ciclo; Rilievi_Superati: quante segnalazioni sono da motivare in validazione (D-71; fino al 05/10/2026: bloccanti di A5 superati con --procedi-con-rilievi).
Colore delle intestazioni = chi scrive la colonna: azzurro l'agente del ciclo trimestrale (A1, A5), verde l'agente settimanale (A3), giallo la validazione, grigio lo script o una formula.</t>
          </r>
        </is>
      </c>
    </row>
    <row r="3">
      <c r="A3" s="168" t="inlineStr">
        <is>
          <t>A1 · ciclo trimestrale, poi validato</t>
        </is>
      </c>
      <c r="D3" s="168" t="inlineStr">
        <is>
          <t>A5 · ciclo trimestrale</t>
        </is>
      </c>
      <c r="E3" s="169" t="inlineStr">
        <is>
          <t>Script · alla scrittura</t>
        </is>
      </c>
    </row>
    <row r="4" ht="47" customHeight="1">
      <c r="A4" s="171" t="inlineStr">
        <is>
          <t>A1 · Trimestre valutato.</t>
        </is>
      </c>
      <c r="B4" s="171" t="inlineStr">
        <is>
          <t>A1 · Data di riferimento del ciclo.</t>
        </is>
      </c>
      <c r="C4" s="171" t="inlineStr">
        <is>
          <t>A1 · Commento per il comitato nella forma MESSAGGIO: ... DECISIONI: ... (il Quadro lo divide in due righe).</t>
        </is>
      </c>
      <c r="D4" s="171" t="inlineStr">
        <is>
          <t>A5 · Sintesi del challenger A5, se usato (facoltativo, D-71); altrimenti lo dice.</t>
        </is>
      </c>
      <c r="E4" s="171" t="inlineStr">
        <is>
          <t>Script · Numero di rilievi non bloccanti (A5 e controlli dello script).</t>
        </is>
      </c>
      <c r="F4" s="171" t="inlineStr">
        <is>
          <t>Script · Segnalazioni di A5 e dei controlli che riguardano il ciclo, non un rischio.</t>
        </is>
      </c>
      <c r="G4" s="171" t="inlineStr">
        <is>
          <t>Script · Quante segnalazioni sono da motivare in validazione, dai controlli e da A5 (D-71). Vuoto = nessuna.</t>
        </is>
      </c>
      <c r="H4" s="171" t="inlineStr">
        <is>
          <t>Script · Note dell'analista del Quadro per quel ciclo (per esempio la sintesi delle spiegazioni discusse con A7), archiviate da trimestrale quando inizia il ciclo dopo; vuota per il ciclo corrente, la cui nota e' nel Quadro (D-72).</t>
        </is>
      </c>
      <c r="I4" s="171" t="inlineStr">
        <is>
          <t>Script · Giorno in cui lo script ha scritto la riga.</t>
        </is>
      </c>
      <c r="J4" s="171" t="inlineStr">
        <is>
          <t>Script · Solo per un ciclo straordinario (AAAAQn-Sk, D-75): chi l'ha deciso, quando, perche' e quali rischi sono stati rivalutati; vuota per un ciclo trimestrale.</t>
        </is>
      </c>
    </row>
    <row r="5">
      <c r="A5" s="172" t="inlineStr">
        <is>
          <t>Ciclo</t>
        </is>
      </c>
      <c r="B5" s="172" t="inlineStr">
        <is>
          <t>Data_Riferimento</t>
        </is>
      </c>
      <c r="C5" s="172" t="inlineStr">
        <is>
          <t>Sintesi_A1</t>
        </is>
      </c>
      <c r="D5" s="172" t="inlineStr">
        <is>
          <t>Sintesi_A5</t>
        </is>
      </c>
      <c r="E5" s="99" t="inlineStr">
        <is>
          <t>Osservazioni_Controlli</t>
        </is>
      </c>
      <c r="F5" s="99" t="inlineStr">
        <is>
          <t>Rilievi_Ciclo</t>
        </is>
      </c>
      <c r="G5" s="99" t="inlineStr">
        <is>
          <t>Rilievi_Superati</t>
        </is>
      </c>
      <c r="H5" s="99" t="inlineStr">
        <is>
          <t>Note_Analista</t>
        </is>
      </c>
      <c r="I5" s="99" t="inlineStr">
        <is>
          <t>Data_Scrittura</t>
        </is>
      </c>
      <c r="J5" s="99" t="inlineStr">
        <is>
          <t>Straordinario</t>
        </is>
      </c>
    </row>
    <row r="6">
      <c r="A6" s="175" t="inlineStr">
        <is>
          <t>2025Q4</t>
        </is>
      </c>
      <c r="B6" s="178" t="n">
        <v>46022</v>
      </c>
      <c r="C6" s="175" t="inlineStr">
        <is>
          <t>Primo registro dei rischi emergenti: nove rischi su sei categorie. Le priorita' sono la concentrazione sul fornitore cloud critico (NFR-02), il ransomware presso il fornitore del gateway di pagamento (NFR-07) e la migrazione del core banking (NFR-05), per servizi critici con controlli non ancora testati. Al comitato si chiede di assegnare gli owner e di approvare le azioni proposte.</t>
        </is>
      </c>
      <c r="D6" s="175" t="inlineStr">
        <is>
          <t>Controlli superati; due osservazioni su rischi sostenuti da una sola fonte.</t>
        </is>
      </c>
      <c r="E6" s="175" t="n">
        <v>2</v>
      </c>
      <c r="F6" s="175" t="n"/>
      <c r="G6" s="175" t="n"/>
      <c r="H6" s="175" t="n"/>
      <c r="I6" s="178" t="n">
        <v>46022</v>
      </c>
      <c r="J6" s="175" t="n"/>
    </row>
    <row r="7">
      <c r="A7" s="175" t="inlineStr">
        <is>
          <t>2026Q1</t>
        </is>
      </c>
      <c r="B7" s="178" t="n">
        <v>46112</v>
      </c>
      <c r="C7" s="175" t="inlineStr">
        <is>
          <t>Entrano tre rischi nuovi legati all'intelligenza artificiale e alle sanzioni (NFR-06, NFR-09, NFR-10). Sale la prossimita' delle frodi con voce sintetica (NFR-01) dopo i primi casi in banche comparabili. Priorita': NFR-02, NFR-07 e NFR-01. Decisione richiesta: estendere il DLP ai servizi di AI generativa.</t>
        </is>
      </c>
      <c r="D7" s="175" t="inlineStr">
        <is>
          <t>Controlli superati; un'osservazione sui KRI del rischio NFR-10, non ancora rilevabili.</t>
        </is>
      </c>
      <c r="E7" s="175" t="n">
        <v>1</v>
      </c>
      <c r="F7" s="175" t="n"/>
      <c r="G7" s="175" t="n"/>
      <c r="H7" s="175" t="n"/>
      <c r="I7" s="178" t="n">
        <v>46112</v>
      </c>
      <c r="J7" s="175" t="n"/>
    </row>
    <row r="8">
      <c r="A8" s="175" t="inlineStr">
        <is>
          <t>2026Q2</t>
        </is>
      </c>
      <c r="B8" s="178" t="n">
        <v>46203</v>
      </c>
      <c r="C8" s="175" t="inlineStr">
        <is>
          <t>MESSAGGIO: trimestre con quattro rischi variati. Peggiorano le frodi su pagamenti istantanei (NFR-01, impatto da 3 a 4 per importi medi triplicati) e gli errori operativi sui bonifici istantanei (NFR-12, primi casi interni); l'alluvione di maggio avvicina il rischio climatico sulle sedi (NFR-04). Migliora la migrazione del core banking (NFR-05) dopo il test positivo dei controlli. Priorita': NFR-01, NFR-07, NFR-02. DECISIONI: approvare la verifica fuori banda sui bonifici istantanei (NFR-01) e il test di ripristino con il fornitore del gateway (NFR-07).</t>
        </is>
      </c>
      <c r="D8" s="175" t="inlineStr">
        <is>
          <t>Controlli superati. Osservazione: la probabilita' proposta per NFR-10 non e' sostenuta da frequenze osservate.</t>
        </is>
      </c>
      <c r="E8" s="175" t="n">
        <v>1</v>
      </c>
      <c r="F8" s="175" t="n"/>
      <c r="G8" s="175" t="inlineStr">
        <is>
          <t>Segnalazioni da motivare in validazione: 1 (controlli 0, A5 1).</t>
        </is>
      </c>
      <c r="H8" s="175" t="n"/>
      <c r="I8" s="178" t="n">
        <v>46203</v>
      </c>
      <c r="J8" s="175" t="n"/>
    </row>
  </sheetData>
  <mergeCells count="4">
    <mergeCell ref="A1:J1"/>
    <mergeCell ref="A3:C3"/>
    <mergeCell ref="E3:J3"/>
    <mergeCell ref="A2:D2"/>
  </mergeCells>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tabColor rgb="00A6A6A6"/>
    <outlinePr summaryBelow="1" summaryRight="1"/>
    <pageSetUpPr/>
  </sheetPr>
  <dimension ref="A1:F8"/>
  <sheetViews>
    <sheetView showGridLines="1" workbookViewId="0">
      <selection activeCell="A1" sqref="A1"/>
    </sheetView>
  </sheetViews>
  <sheetFormatPr baseColWidth="8" defaultRowHeight="15"/>
  <cols>
    <col width="15" customWidth="1" min="1" max="1"/>
    <col width="15" customWidth="1" min="2" max="2"/>
    <col width="80" customWidth="1" min="3" max="3"/>
    <col width="50" customWidth="1" min="4" max="4"/>
    <col width="70" customWidth="1" min="5" max="5"/>
    <col width="15" customWidth="1" min="6" max="6"/>
  </cols>
  <sheetData>
    <row r="1" ht="28" customHeight="1">
      <c r="A1" s="1">
        <f>"Horizon Scan NFR — Sintesi_Settimane — sintesi di A3 e flag proposti, una riga per settimana   ·   "&amp;etichettaCiclo</f>
        <v/>
      </c>
      <c r="B1" s="2" t="n"/>
      <c r="C1" s="2" t="n"/>
      <c r="D1" s="2" t="n"/>
      <c r="E1" s="2" t="n"/>
      <c r="F1" s="2" t="n"/>
    </row>
    <row r="2" ht="72.5" customHeight="1">
      <c r="A2" s="119" t="inlineStr">
        <is>
          <r>
            <rPr>
              <rFont val="Calibri"/>
              <b val="1"/>
              <color rgb="00375623"/>
              <sz val="10"/>
            </rPr>
            <t>CICLO SETTIMANALE — lo script scrive una riga per settimana con la sintesi di A3 e i flag proposti (D-66); rilanciare la stessa settimana aggiorna la riga. Si scrive con lo script (le viste e la baseline leggono queste righe): a mano solo i testi elencati nel foglio Guida, DOVE SI SCRIVE A MANO; mai ID, numeri, date o righe intere (D-76).</t>
          </r>
          <r>
            <rPr>
              <rFont val="Calibri"/>
              <color rgb="00262626"/>
              <sz val="10"/>
            </rPr>
            <t xml:space="preserve">
Come si legge: la sintesi e' scritta da A3 PRIMA della validazione delle notizie (i numeri validati sono nei fogli Notizie e Registro). Un flag non cambia nessuno score: e' un tema da portare al prossimo ciclo trimestrale o, se critico, la proposta di un ciclo straordinario (D-41). Il foglio Notizie mostra la settimana corrente.
Colore delle intestazioni = chi scrive la colonna: azzurro l'agente del ciclo trimestrale (A1, A5), verde l'agente settimanale (A3), giallo la validazione, grigio lo script o una formula. Righe grigie = dati di esempio.</t>
          </r>
        </is>
      </c>
    </row>
    <row r="3">
      <c r="A3" s="176" t="inlineStr">
        <is>
          <t>A3 · ciclo settimanale</t>
        </is>
      </c>
      <c r="B3" s="169" t="inlineStr">
        <is>
          <t>Script · alla scrittura</t>
        </is>
      </c>
      <c r="C3" s="176" t="inlineStr">
        <is>
          <t>A3 · ciclo settimanale</t>
        </is>
      </c>
      <c r="D3" s="169" t="inlineStr">
        <is>
          <t>Script · alla scrittura</t>
        </is>
      </c>
    </row>
    <row r="4" ht="36" customHeight="1">
      <c r="A4" s="171" t="inlineStr">
        <is>
          <t>A3 · Lunedi' della settimana valutata da A3.</t>
        </is>
      </c>
      <c r="B4" s="171" t="inlineStr">
        <is>
          <t>Script · Notizie valutate da A3 nella settimana.</t>
        </is>
      </c>
      <c r="C4" s="171" t="inlineStr">
        <is>
          <t>A3 · Sintesi della settimana scritta da A3: temi, rischi toccati, aree non presidiate. Scritta prima della validazione delle notizie.</t>
        </is>
      </c>
      <c r="D4" s="171" t="inlineStr">
        <is>
          <t>Script · Proposta di A3 di un ciclo straordinario (segnale critico, rubrica sezione 6): rischi e motivo. Decide la funzione di rischio (D-75).</t>
        </is>
      </c>
      <c r="E4" s="171" t="inlineStr">
        <is>
          <t>Script · Flag proposti da A3, uno per riga: rischio, direzione, motivazione. Non cambiano score: si portano al prossimo ciclo trimestrale (o, se critici, a un ciclo straordinario, D-41).</t>
        </is>
      </c>
      <c r="F4" s="171" t="inlineStr">
        <is>
          <t>Script · Giorno in cui lo script ha scritto la riga.</t>
        </is>
      </c>
    </row>
    <row r="5">
      <c r="A5" s="177" t="inlineStr">
        <is>
          <t>Settimana</t>
        </is>
      </c>
      <c r="B5" s="99" t="inlineStr">
        <is>
          <t>Notizie</t>
        </is>
      </c>
      <c r="C5" s="177" t="inlineStr">
        <is>
          <t>Sintesi_A3</t>
        </is>
      </c>
      <c r="D5" s="99" t="inlineStr">
        <is>
          <t>Proposta_Straordinario</t>
        </is>
      </c>
      <c r="E5" s="99" t="inlineStr">
        <is>
          <t>Flag_Proposti</t>
        </is>
      </c>
      <c r="F5" s="99" t="inlineStr">
        <is>
          <t>Data_Scrittura</t>
        </is>
      </c>
    </row>
    <row r="6">
      <c r="A6" s="178" t="n">
        <v>46188</v>
      </c>
      <c r="B6" s="175" t="n">
        <v>3</v>
      </c>
      <c r="C6" s="175" t="inlineStr">
        <is>
          <t>Settimana con una nuova ondata di frodi con voce clonata segnalata dal CERT finanziario (NFR-01) e due notizie migliorative: stabilizzazione delle migrazioni a ondate in banche comparabili (NFR-05) e nuova region italiana del fornitore cloud (NFR-02). Nessuna area non presidiata.</t>
        </is>
      </c>
      <c r="D6" s="175" t="n"/>
      <c r="E6" s="178" t="inlineStr">
        <is>
          <t>NFR-01 · Peggiorativo: campagne con voce clonata dirette ai clienti corporate; da riconsiderare nel prossimo trimestre la Prossimita' del rischio.</t>
        </is>
      </c>
      <c r="F6" s="178" t="n">
        <v>46188</v>
      </c>
    </row>
    <row r="7">
      <c r="A7" s="178" t="n">
        <v>46195</v>
      </c>
      <c r="B7" s="175" t="n">
        <v>3</v>
      </c>
      <c r="C7" s="175" t="inlineStr">
        <is>
          <t>Un caso di deepfake video presso una banca tedesca rafforza la pressione su NFR-01; chiusura dei rilievi di vigilanza su una migrazione comparabile (NFR-05, migliorativo); allerta caldo senza impatti (NFR-04).</t>
        </is>
      </c>
      <c r="D7" s="175" t="n"/>
      <c r="E7" s="178" t="inlineStr">
        <is>
          <t>Nessun flag proposto</t>
        </is>
      </c>
      <c r="F7" s="178" t="n">
        <v>46195</v>
      </c>
    </row>
    <row r="8">
      <c r="A8" s="178" t="n">
        <v>46202</v>
      </c>
      <c r="B8" s="175" t="n">
        <v>3</v>
      </c>
      <c r="C8" s="175" t="inlineStr">
        <is>
          <t>Linee guida europee sul rimborso delle frodi APP: la perdita si sposta sul prestatore di servizi di pagamento (NFR-01, peggiorativo). Il report di resilienza del fornitore cloud conferma tempi di ripristino oltre gli impegni (NFR-02). La migrazione del core banking chiude la wave 1 senza incidenti gravi (NFR-05).</t>
        </is>
      </c>
      <c r="D8" s="175" t="n"/>
      <c r="E8" s="178" t="inlineStr">
        <is>
          <t>NFR-01 · Peggiorativo: tre segnali peggiorativi in quattro settimane e l'obbligo di rimborso in arrivo; da valutare nel prossimo ciclo trimestrale l'Impatto del rischio.</t>
        </is>
      </c>
      <c r="F8" s="178" t="n">
        <v>46202</v>
      </c>
    </row>
  </sheetData>
  <mergeCells count="3">
    <mergeCell ref="A2:E2"/>
    <mergeCell ref="D3:F3"/>
    <mergeCell ref="A1:F1"/>
  </mergeCells>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tabColor rgb="00A6A6A6"/>
    <outlinePr summaryBelow="1" summaryRight="1"/>
    <pageSetUpPr/>
  </sheetPr>
  <dimension ref="A1:L205"/>
  <sheetViews>
    <sheetView showGridLines="1" workbookViewId="0">
      <selection activeCell="A1" sqref="A1"/>
    </sheetView>
  </sheetViews>
  <sheetFormatPr baseColWidth="8" defaultRowHeight="15"/>
  <cols>
    <col width="15" customWidth="1" min="1" max="1"/>
    <col width="15" customWidth="1" min="2" max="2"/>
    <col width="15" customWidth="1" min="3" max="3"/>
    <col width="44" customWidth="1" min="4" max="4"/>
    <col width="15" customWidth="1" min="5" max="5"/>
    <col width="15" customWidth="1" min="6" max="6"/>
    <col width="15" customWidth="1" min="7" max="7"/>
    <col width="15" customWidth="1" min="8" max="8"/>
    <col width="50" customWidth="1" min="9" max="9"/>
    <col width="20" customWidth="1" min="10" max="10"/>
    <col width="15" customWidth="1" min="11" max="11"/>
    <col width="15" customWidth="1" min="12" max="12"/>
  </cols>
  <sheetData>
    <row r="1" ht="28" customHeight="1">
      <c r="A1" s="1">
        <f>"Horizon Scan NFR — Storico_Validazioni — proposte degli agenti e decisioni, una riga per oggetto e campo   ·   "&amp;etichettaCiclo</f>
        <v/>
      </c>
      <c r="B1" s="2" t="n"/>
      <c r="C1" s="2" t="n"/>
      <c r="D1" s="2" t="n"/>
      <c r="E1" s="2" t="n"/>
      <c r="F1" s="2" t="n"/>
      <c r="G1" s="2" t="n"/>
      <c r="H1" s="2" t="n"/>
      <c r="I1" s="2" t="n"/>
      <c r="J1" s="2" t="n"/>
      <c r="K1" s="2" t="n"/>
      <c r="L1" s="2" t="n"/>
    </row>
    <row r="2" ht="72.5" customHeight="1">
      <c r="A2" s="123" t="inlineStr">
        <is>
          <r>
            <rPr>
              <rFont val="Calibri"/>
              <b val="1"/>
              <color rgb="007F6000"/>
              <sz val="10"/>
            </rPr>
            <t>COMANDO VALIDA — la scrittura (trimestrale, settimanale) aggiunge una riga Da decidere per ogni campo proposto; il comando valida la compila dalla griglia del foglio Validazione e la mette Applicata. Si scrive con lo script (le viste e la baseline leggono queste righe): a mano solo i testi elencati nel foglio Guida, DOVE SI SCRIVE A MANO; mai ID, numeri, date o righe intere (D-76).</t>
          </r>
          <r>
            <rPr>
              <rFont val="Calibri"/>
              <color rgb="00262626"/>
              <sz val="10"/>
            </rPr>
            <t xml:space="preserve">
Cosa contiene: una riga per oggetto e campo, per sempre: proposta dell'agente, decisione (Accettato = valore giallo invariato, Rettificato = cambiato, Respinto = Respingi Sì), valore deciso, motivazione, chi e quando. E' la traccia per l'audit e la base per migliorare gli agenti. Le validazioni si fanno nel foglio Validazione, non qui.
Colore delle intestazioni = chi scrive la colonna: azzurro l'agente del ciclo trimestrale (A1, A5), verde l'agente settimanale (A3), giallo la validazione, grigio lo script o una formula.</t>
          </r>
        </is>
      </c>
    </row>
    <row r="3">
      <c r="A3" s="169" t="inlineStr">
        <is>
          <t>Script · alla scrittura</t>
        </is>
      </c>
      <c r="G3" s="170" t="inlineStr">
        <is>
          <t>Validazione · comando valida</t>
        </is>
      </c>
    </row>
    <row r="4" ht="168" customHeight="1">
      <c r="A4" s="171" t="inlineStr">
        <is>
          <t>Script · Ciclo (AAAAQn) o lunedi' della settimana.</t>
        </is>
      </c>
      <c r="B4" s="171" t="inlineStr">
        <is>
          <t>Script · Rischio, KRI, Azione o Notizia.</t>
        </is>
      </c>
      <c r="C4" s="171" t="inlineStr">
        <is>
          <t>Script · Codice dell'oggetto.</t>
        </is>
      </c>
      <c r="D4" s="171" t="inlineStr">
        <is>
          <t>Script · Nome dell'oggetto, per riconoscerlo.</t>
        </is>
      </c>
      <c r="E4" s="171" t="inlineStr">
        <is>
          <t>Script · Valore proposto su cui si e' deciso.</t>
        </is>
      </c>
      <c r="F4" s="171" t="inlineStr">
        <is>
          <t>Script · Valore proposto dall'agente; in una riapertura (D-76) il valore validato prima. Non si cancella mai.</t>
        </is>
      </c>
      <c r="G4" s="171" t="inlineStr">
        <is>
          <t>Validazione · Dal comando valida: Accettato (valore giallo uguale alla proposta), Rettificato (cambiato) o Respinto (Respingi = Si'); in una riapertura del ciclo (comando riapri, D-76) le stesse con il suffisso (riapertura), e Invariato al posto di Accettato.</t>
        </is>
      </c>
      <c r="H4" s="171" t="inlineStr">
        <is>
          <t>Validazione · Valore deciso dal validatore nella griglia del foglio Validazione (vuoto se Respinto).</t>
        </is>
      </c>
      <c r="I4" s="171" t="inlineStr">
        <is>
          <t>Validazione · Motivazione della riga della griglia: obbligatoria (almeno 10 caratteri) se un valore cambia, se si respinge o con un rilievo di A5 superato.</t>
        </is>
      </c>
      <c r="J4" s="171" t="inlineStr">
        <is>
          <t>Validazione · Chi ha validato.</t>
        </is>
      </c>
      <c r="K4" s="171" t="inlineStr">
        <is>
          <t>Validazione · Giorno della validazione.</t>
        </is>
      </c>
      <c r="L4" s="171" t="inlineStr">
        <is>
          <t>Validazione · Da decidere, poi Applicata.</t>
        </is>
      </c>
    </row>
    <row r="5">
      <c r="A5" s="99" t="inlineStr">
        <is>
          <t>Periodo</t>
        </is>
      </c>
      <c r="B5" s="99" t="inlineStr">
        <is>
          <t>Oggetto</t>
        </is>
      </c>
      <c r="C5" s="99" t="inlineStr">
        <is>
          <t>ID</t>
        </is>
      </c>
      <c r="D5" s="99" t="inlineStr">
        <is>
          <t>Nome</t>
        </is>
      </c>
      <c r="E5" s="99" t="inlineStr">
        <is>
          <t>Campo</t>
        </is>
      </c>
      <c r="F5" s="99" t="inlineStr">
        <is>
          <t>Proposta_Agente</t>
        </is>
      </c>
      <c r="G5" s="97" t="inlineStr">
        <is>
          <t>Decisione</t>
        </is>
      </c>
      <c r="H5" s="97" t="inlineStr">
        <is>
          <t>Valore_Validato</t>
        </is>
      </c>
      <c r="I5" s="97" t="inlineStr">
        <is>
          <t>Motivazione</t>
        </is>
      </c>
      <c r="J5" s="97" t="inlineStr">
        <is>
          <t>Validato_Da</t>
        </is>
      </c>
      <c r="K5" s="97" t="inlineStr">
        <is>
          <t>Data_Validazione</t>
        </is>
      </c>
      <c r="L5" s="97" t="inlineStr">
        <is>
          <t>Stato</t>
        </is>
      </c>
    </row>
    <row r="6">
      <c r="A6" s="158" t="inlineStr">
        <is>
          <t>2026Q2</t>
        </is>
      </c>
      <c r="B6" s="158" t="inlineStr">
        <is>
          <t>Rischio</t>
        </is>
      </c>
      <c r="C6" s="158" t="inlineStr">
        <is>
          <t>NFR-01</t>
        </is>
      </c>
      <c r="D6" s="175" t="inlineStr">
        <is>
          <t>Frodi su pagamenti istantanei abilitate da AI generativa</t>
        </is>
      </c>
      <c r="E6" s="158" t="inlineStr">
        <is>
          <t>Impatto</t>
        </is>
      </c>
      <c r="F6" s="158" t="n">
        <v>4</v>
      </c>
      <c r="G6" s="158" t="inlineStr">
        <is>
          <t>Accettato</t>
        </is>
      </c>
      <c r="H6" s="158" t="n">
        <v>4</v>
      </c>
      <c r="I6" s="175" t="n"/>
      <c r="J6" s="158" t="inlineStr">
        <is>
          <t>Comitato Rischi</t>
        </is>
      </c>
      <c r="K6" s="173" t="n">
        <v>46218</v>
      </c>
      <c r="L6" s="158" t="inlineStr">
        <is>
          <t>Applicata</t>
        </is>
      </c>
    </row>
    <row r="7">
      <c r="A7" s="158" t="inlineStr">
        <is>
          <t>2026Q2</t>
        </is>
      </c>
      <c r="B7" s="158" t="inlineStr">
        <is>
          <t>Rischio</t>
        </is>
      </c>
      <c r="C7" s="158" t="inlineStr">
        <is>
          <t>NFR-01</t>
        </is>
      </c>
      <c r="D7" s="175" t="inlineStr">
        <is>
          <t>Frodi su pagamenti istantanei abilitate da AI generativa</t>
        </is>
      </c>
      <c r="E7" s="158" t="inlineStr">
        <is>
          <t>Velocity</t>
        </is>
      </c>
      <c r="F7" s="158" t="n">
        <v>5</v>
      </c>
      <c r="G7" s="158" t="inlineStr">
        <is>
          <t>Accettato</t>
        </is>
      </c>
      <c r="H7" s="158" t="n">
        <v>5</v>
      </c>
      <c r="I7" s="175" t="n"/>
      <c r="J7" s="158" t="inlineStr">
        <is>
          <t>Comitato Rischi</t>
        </is>
      </c>
      <c r="K7" s="173" t="n">
        <v>46218</v>
      </c>
      <c r="L7" s="158" t="inlineStr">
        <is>
          <t>Applicata</t>
        </is>
      </c>
    </row>
    <row r="8">
      <c r="A8" s="158" t="inlineStr">
        <is>
          <t>2026Q2</t>
        </is>
      </c>
      <c r="B8" s="158" t="inlineStr">
        <is>
          <t>Rischio</t>
        </is>
      </c>
      <c r="C8" s="158" t="inlineStr">
        <is>
          <t>NFR-01</t>
        </is>
      </c>
      <c r="D8" s="175" t="inlineStr">
        <is>
          <t>Frodi su pagamenti istantanei abilitate da AI generativa</t>
        </is>
      </c>
      <c r="E8" s="158" t="inlineStr">
        <is>
          <t>Prossimita</t>
        </is>
      </c>
      <c r="F8" s="158" t="n">
        <v>4</v>
      </c>
      <c r="G8" s="158" t="inlineStr">
        <is>
          <t>Accettato</t>
        </is>
      </c>
      <c r="H8" s="158" t="n">
        <v>4</v>
      </c>
      <c r="I8" s="175" t="n"/>
      <c r="J8" s="158" t="inlineStr">
        <is>
          <t>Comitato Rischi</t>
        </is>
      </c>
      <c r="K8" s="173" t="n">
        <v>46218</v>
      </c>
      <c r="L8" s="158" t="inlineStr">
        <is>
          <t>Applicata</t>
        </is>
      </c>
    </row>
    <row r="9">
      <c r="A9" s="158" t="inlineStr">
        <is>
          <t>2026Q2</t>
        </is>
      </c>
      <c r="B9" s="158" t="inlineStr">
        <is>
          <t>Rischio</t>
        </is>
      </c>
      <c r="C9" s="158" t="inlineStr">
        <is>
          <t>NFR-01</t>
        </is>
      </c>
      <c r="D9" s="175" t="inlineStr">
        <is>
          <t>Frodi su pagamenti istantanei abilitate da AI generativa</t>
        </is>
      </c>
      <c r="E9" s="158" t="inlineStr">
        <is>
          <t>Probabilita</t>
        </is>
      </c>
      <c r="F9" s="158" t="n">
        <v>4</v>
      </c>
      <c r="G9" s="158" t="inlineStr">
        <is>
          <t>Accettato</t>
        </is>
      </c>
      <c r="H9" s="158" t="n">
        <v>4</v>
      </c>
      <c r="I9" s="175" t="n"/>
      <c r="J9" s="158" t="inlineStr">
        <is>
          <t>Comitato Rischi</t>
        </is>
      </c>
      <c r="K9" s="173" t="n">
        <v>46218</v>
      </c>
      <c r="L9" s="158" t="inlineStr">
        <is>
          <t>Applicata</t>
        </is>
      </c>
    </row>
    <row r="10">
      <c r="A10" s="158" t="inlineStr">
        <is>
          <t>2026Q2</t>
        </is>
      </c>
      <c r="B10" s="158" t="inlineStr">
        <is>
          <t>Rischio</t>
        </is>
      </c>
      <c r="C10" s="158" t="inlineStr">
        <is>
          <t>NFR-01</t>
        </is>
      </c>
      <c r="D10" s="175" t="inlineStr">
        <is>
          <t>Frodi su pagamenti istantanei abilitate da AI generativa</t>
        </is>
      </c>
      <c r="E10" s="158" t="inlineStr">
        <is>
          <t>Anni_Adeguamento</t>
        </is>
      </c>
      <c r="F10" s="158" t="n"/>
      <c r="G10" s="158" t="inlineStr">
        <is>
          <t>Accettato</t>
        </is>
      </c>
      <c r="H10" s="158" t="n"/>
      <c r="I10" s="175" t="n"/>
      <c r="J10" s="158" t="inlineStr">
        <is>
          <t>Comitato Rischi</t>
        </is>
      </c>
      <c r="K10" s="173" t="n">
        <v>46218</v>
      </c>
      <c r="L10" s="158" t="inlineStr">
        <is>
          <t>Applicata</t>
        </is>
      </c>
    </row>
    <row r="11">
      <c r="A11" s="158" t="inlineStr">
        <is>
          <t>2026Q2</t>
        </is>
      </c>
      <c r="B11" s="158" t="inlineStr">
        <is>
          <t>Rischio</t>
        </is>
      </c>
      <c r="C11" s="158" t="inlineStr">
        <is>
          <t>NFR-01</t>
        </is>
      </c>
      <c r="D11" s="175" t="inlineStr">
        <is>
          <t>Frodi su pagamenti istantanei abilitate da AI generativa</t>
        </is>
      </c>
      <c r="E11" s="158" t="inlineStr">
        <is>
          <t>Decisione_Stato</t>
        </is>
      </c>
      <c r="F11" s="158" t="inlineStr">
        <is>
          <t>Automatico</t>
        </is>
      </c>
      <c r="G11" s="158" t="inlineStr">
        <is>
          <t>Accettato</t>
        </is>
      </c>
      <c r="H11" s="158" t="inlineStr">
        <is>
          <t>Automatico</t>
        </is>
      </c>
      <c r="I11" s="175" t="n"/>
      <c r="J11" s="158" t="inlineStr">
        <is>
          <t>Comitato Rischi</t>
        </is>
      </c>
      <c r="K11" s="173" t="n">
        <v>46218</v>
      </c>
      <c r="L11" s="158" t="inlineStr">
        <is>
          <t>Applicata</t>
        </is>
      </c>
    </row>
    <row r="12">
      <c r="A12" s="158" t="inlineStr">
        <is>
          <t>2026Q2</t>
        </is>
      </c>
      <c r="B12" s="158" t="inlineStr">
        <is>
          <t>Rischio</t>
        </is>
      </c>
      <c r="C12" s="158" t="inlineStr">
        <is>
          <t>NFR-02</t>
        </is>
      </c>
      <c r="D12" s="175" t="inlineStr">
        <is>
          <t>Concentrazione su un fornitore cloud critico</t>
        </is>
      </c>
      <c r="E12" s="158" t="inlineStr">
        <is>
          <t>Impatto</t>
        </is>
      </c>
      <c r="F12" s="158" t="n">
        <v>4</v>
      </c>
      <c r="G12" s="158" t="inlineStr">
        <is>
          <t>Accettato</t>
        </is>
      </c>
      <c r="H12" s="158" t="n">
        <v>4</v>
      </c>
      <c r="I12" s="175" t="n"/>
      <c r="J12" s="158" t="inlineStr">
        <is>
          <t>Comitato Rischi</t>
        </is>
      </c>
      <c r="K12" s="173" t="n">
        <v>46218</v>
      </c>
      <c r="L12" s="158" t="inlineStr">
        <is>
          <t>Applicata</t>
        </is>
      </c>
    </row>
    <row r="13">
      <c r="A13" s="158" t="inlineStr">
        <is>
          <t>2026Q2</t>
        </is>
      </c>
      <c r="B13" s="158" t="inlineStr">
        <is>
          <t>Rischio</t>
        </is>
      </c>
      <c r="C13" s="158" t="inlineStr">
        <is>
          <t>NFR-02</t>
        </is>
      </c>
      <c r="D13" s="175" t="inlineStr">
        <is>
          <t>Concentrazione su un fornitore cloud critico</t>
        </is>
      </c>
      <c r="E13" s="158" t="inlineStr">
        <is>
          <t>Velocity</t>
        </is>
      </c>
      <c r="F13" s="158" t="n">
        <v>4</v>
      </c>
      <c r="G13" s="158" t="inlineStr">
        <is>
          <t>Accettato</t>
        </is>
      </c>
      <c r="H13" s="158" t="n">
        <v>4</v>
      </c>
      <c r="I13" s="175" t="n"/>
      <c r="J13" s="158" t="inlineStr">
        <is>
          <t>Comitato Rischi</t>
        </is>
      </c>
      <c r="K13" s="173" t="n">
        <v>46218</v>
      </c>
      <c r="L13" s="158" t="inlineStr">
        <is>
          <t>Applicata</t>
        </is>
      </c>
    </row>
    <row r="14">
      <c r="A14" s="158" t="inlineStr">
        <is>
          <t>2026Q2</t>
        </is>
      </c>
      <c r="B14" s="158" t="inlineStr">
        <is>
          <t>Rischio</t>
        </is>
      </c>
      <c r="C14" s="158" t="inlineStr">
        <is>
          <t>NFR-02</t>
        </is>
      </c>
      <c r="D14" s="175" t="inlineStr">
        <is>
          <t>Concentrazione su un fornitore cloud critico</t>
        </is>
      </c>
      <c r="E14" s="158" t="inlineStr">
        <is>
          <t>Prossimita</t>
        </is>
      </c>
      <c r="F14" s="158" t="n">
        <v>3</v>
      </c>
      <c r="G14" s="158" t="inlineStr">
        <is>
          <t>Accettato</t>
        </is>
      </c>
      <c r="H14" s="158" t="n">
        <v>3</v>
      </c>
      <c r="I14" s="175" t="n"/>
      <c r="J14" s="158" t="inlineStr">
        <is>
          <t>Comitato Rischi</t>
        </is>
      </c>
      <c r="K14" s="173" t="n">
        <v>46218</v>
      </c>
      <c r="L14" s="158" t="inlineStr">
        <is>
          <t>Applicata</t>
        </is>
      </c>
    </row>
    <row r="15">
      <c r="A15" s="158" t="inlineStr">
        <is>
          <t>2026Q2</t>
        </is>
      </c>
      <c r="B15" s="158" t="inlineStr">
        <is>
          <t>Rischio</t>
        </is>
      </c>
      <c r="C15" s="158" t="inlineStr">
        <is>
          <t>NFR-02</t>
        </is>
      </c>
      <c r="D15" s="175" t="inlineStr">
        <is>
          <t>Concentrazione su un fornitore cloud critico</t>
        </is>
      </c>
      <c r="E15" s="158" t="inlineStr">
        <is>
          <t>Probabilita</t>
        </is>
      </c>
      <c r="F15" s="158" t="n">
        <v>2</v>
      </c>
      <c r="G15" s="158" t="inlineStr">
        <is>
          <t>Accettato</t>
        </is>
      </c>
      <c r="H15" s="158" t="n">
        <v>2</v>
      </c>
      <c r="I15" s="175" t="n"/>
      <c r="J15" s="158" t="inlineStr">
        <is>
          <t>Comitato Rischi</t>
        </is>
      </c>
      <c r="K15" s="173" t="n">
        <v>46218</v>
      </c>
      <c r="L15" s="158" t="inlineStr">
        <is>
          <t>Applicata</t>
        </is>
      </c>
    </row>
    <row r="16">
      <c r="A16" s="158" t="inlineStr">
        <is>
          <t>2026Q2</t>
        </is>
      </c>
      <c r="B16" s="158" t="inlineStr">
        <is>
          <t>Rischio</t>
        </is>
      </c>
      <c r="C16" s="158" t="inlineStr">
        <is>
          <t>NFR-02</t>
        </is>
      </c>
      <c r="D16" s="175" t="inlineStr">
        <is>
          <t>Concentrazione su un fornitore cloud critico</t>
        </is>
      </c>
      <c r="E16" s="158" t="inlineStr">
        <is>
          <t>Anni_Adeguamento</t>
        </is>
      </c>
      <c r="F16" s="158" t="n"/>
      <c r="G16" s="158" t="inlineStr">
        <is>
          <t>Accettato</t>
        </is>
      </c>
      <c r="H16" s="158" t="n"/>
      <c r="I16" s="175" t="n"/>
      <c r="J16" s="158" t="inlineStr">
        <is>
          <t>Comitato Rischi</t>
        </is>
      </c>
      <c r="K16" s="173" t="n">
        <v>46218</v>
      </c>
      <c r="L16" s="158" t="inlineStr">
        <is>
          <t>Applicata</t>
        </is>
      </c>
    </row>
    <row r="17">
      <c r="A17" s="158" t="inlineStr">
        <is>
          <t>2026Q2</t>
        </is>
      </c>
      <c r="B17" s="158" t="inlineStr">
        <is>
          <t>Rischio</t>
        </is>
      </c>
      <c r="C17" s="158" t="inlineStr">
        <is>
          <t>NFR-02</t>
        </is>
      </c>
      <c r="D17" s="175" t="inlineStr">
        <is>
          <t>Concentrazione su un fornitore cloud critico</t>
        </is>
      </c>
      <c r="E17" s="158" t="inlineStr">
        <is>
          <t>Decisione_Stato</t>
        </is>
      </c>
      <c r="F17" s="158" t="inlineStr">
        <is>
          <t>Automatico</t>
        </is>
      </c>
      <c r="G17" s="158" t="inlineStr">
        <is>
          <t>Accettato</t>
        </is>
      </c>
      <c r="H17" s="158" t="inlineStr">
        <is>
          <t>Automatico</t>
        </is>
      </c>
      <c r="I17" s="175" t="n"/>
      <c r="J17" s="158" t="inlineStr">
        <is>
          <t>Comitato Rischi</t>
        </is>
      </c>
      <c r="K17" s="173" t="n">
        <v>46218</v>
      </c>
      <c r="L17" s="158" t="inlineStr">
        <is>
          <t>Applicata</t>
        </is>
      </c>
    </row>
    <row r="18">
      <c r="A18" s="158" t="inlineStr">
        <is>
          <t>2026Q2</t>
        </is>
      </c>
      <c r="B18" s="158" t="inlineStr">
        <is>
          <t>Rischio</t>
        </is>
      </c>
      <c r="C18" s="158" t="inlineStr">
        <is>
          <t>NFR-03</t>
        </is>
      </c>
      <c r="D18" s="175" t="inlineStr">
        <is>
          <t>Greenwashing nella commercializzazione di prodotti ESG</t>
        </is>
      </c>
      <c r="E18" s="158" t="inlineStr">
        <is>
          <t>Impatto</t>
        </is>
      </c>
      <c r="F18" s="158" t="n">
        <v>3</v>
      </c>
      <c r="G18" s="158" t="inlineStr">
        <is>
          <t>Accettato</t>
        </is>
      </c>
      <c r="H18" s="158" t="n">
        <v>3</v>
      </c>
      <c r="I18" s="175" t="n"/>
      <c r="J18" s="158" t="inlineStr">
        <is>
          <t>Comitato Rischi</t>
        </is>
      </c>
      <c r="K18" s="173" t="n">
        <v>46218</v>
      </c>
      <c r="L18" s="158" t="inlineStr">
        <is>
          <t>Applicata</t>
        </is>
      </c>
    </row>
    <row r="19">
      <c r="A19" s="158" t="inlineStr">
        <is>
          <t>2026Q2</t>
        </is>
      </c>
      <c r="B19" s="158" t="inlineStr">
        <is>
          <t>Rischio</t>
        </is>
      </c>
      <c r="C19" s="158" t="inlineStr">
        <is>
          <t>NFR-03</t>
        </is>
      </c>
      <c r="D19" s="175" t="inlineStr">
        <is>
          <t>Greenwashing nella commercializzazione di prodotti ESG</t>
        </is>
      </c>
      <c r="E19" s="158" t="inlineStr">
        <is>
          <t>Velocity</t>
        </is>
      </c>
      <c r="F19" s="158" t="n">
        <v>2</v>
      </c>
      <c r="G19" s="158" t="inlineStr">
        <is>
          <t>Accettato</t>
        </is>
      </c>
      <c r="H19" s="158" t="n">
        <v>2</v>
      </c>
      <c r="I19" s="175" t="n"/>
      <c r="J19" s="158" t="inlineStr">
        <is>
          <t>Comitato Rischi</t>
        </is>
      </c>
      <c r="K19" s="173" t="n">
        <v>46218</v>
      </c>
      <c r="L19" s="158" t="inlineStr">
        <is>
          <t>Applicata</t>
        </is>
      </c>
    </row>
    <row r="20">
      <c r="A20" s="158" t="inlineStr">
        <is>
          <t>2026Q2</t>
        </is>
      </c>
      <c r="B20" s="158" t="inlineStr">
        <is>
          <t>Rischio</t>
        </is>
      </c>
      <c r="C20" s="158" t="inlineStr">
        <is>
          <t>NFR-03</t>
        </is>
      </c>
      <c r="D20" s="175" t="inlineStr">
        <is>
          <t>Greenwashing nella commercializzazione di prodotti ESG</t>
        </is>
      </c>
      <c r="E20" s="158" t="inlineStr">
        <is>
          <t>Prossimita</t>
        </is>
      </c>
      <c r="F20" s="158" t="n">
        <v>3</v>
      </c>
      <c r="G20" s="158" t="inlineStr">
        <is>
          <t>Accettato</t>
        </is>
      </c>
      <c r="H20" s="158" t="n">
        <v>3</v>
      </c>
      <c r="I20" s="175" t="n"/>
      <c r="J20" s="158" t="inlineStr">
        <is>
          <t>Comitato Rischi</t>
        </is>
      </c>
      <c r="K20" s="173" t="n">
        <v>46218</v>
      </c>
      <c r="L20" s="158" t="inlineStr">
        <is>
          <t>Applicata</t>
        </is>
      </c>
    </row>
    <row r="21">
      <c r="A21" s="158" t="inlineStr">
        <is>
          <t>2026Q2</t>
        </is>
      </c>
      <c r="B21" s="158" t="inlineStr">
        <is>
          <t>Rischio</t>
        </is>
      </c>
      <c r="C21" s="158" t="inlineStr">
        <is>
          <t>NFR-03</t>
        </is>
      </c>
      <c r="D21" s="175" t="inlineStr">
        <is>
          <t>Greenwashing nella commercializzazione di prodotti ESG</t>
        </is>
      </c>
      <c r="E21" s="158" t="inlineStr">
        <is>
          <t>Probabilita</t>
        </is>
      </c>
      <c r="F21" s="158" t="n">
        <v>3</v>
      </c>
      <c r="G21" s="158" t="inlineStr">
        <is>
          <t>Accettato</t>
        </is>
      </c>
      <c r="H21" s="158" t="n">
        <v>3</v>
      </c>
      <c r="I21" s="175" t="n"/>
      <c r="J21" s="158" t="inlineStr">
        <is>
          <t>Comitato Rischi</t>
        </is>
      </c>
      <c r="K21" s="173" t="n">
        <v>46218</v>
      </c>
      <c r="L21" s="158" t="inlineStr">
        <is>
          <t>Applicata</t>
        </is>
      </c>
    </row>
    <row r="22">
      <c r="A22" s="158" t="inlineStr">
        <is>
          <t>2026Q2</t>
        </is>
      </c>
      <c r="B22" s="158" t="inlineStr">
        <is>
          <t>Rischio</t>
        </is>
      </c>
      <c r="C22" s="158" t="inlineStr">
        <is>
          <t>NFR-03</t>
        </is>
      </c>
      <c r="D22" s="175" t="inlineStr">
        <is>
          <t>Greenwashing nella commercializzazione di prodotti ESG</t>
        </is>
      </c>
      <c r="E22" s="158" t="inlineStr">
        <is>
          <t>Anni_Adeguamento</t>
        </is>
      </c>
      <c r="F22" s="158" t="n"/>
      <c r="G22" s="158" t="inlineStr">
        <is>
          <t>Accettato</t>
        </is>
      </c>
      <c r="H22" s="158" t="n"/>
      <c r="I22" s="175" t="n"/>
      <c r="J22" s="158" t="inlineStr">
        <is>
          <t>Comitato Rischi</t>
        </is>
      </c>
      <c r="K22" s="173" t="n">
        <v>46218</v>
      </c>
      <c r="L22" s="158" t="inlineStr">
        <is>
          <t>Applicata</t>
        </is>
      </c>
    </row>
    <row r="23">
      <c r="A23" s="158" t="inlineStr">
        <is>
          <t>2026Q2</t>
        </is>
      </c>
      <c r="B23" s="158" t="inlineStr">
        <is>
          <t>Rischio</t>
        </is>
      </c>
      <c r="C23" s="158" t="inlineStr">
        <is>
          <t>NFR-03</t>
        </is>
      </c>
      <c r="D23" s="175" t="inlineStr">
        <is>
          <t>Greenwashing nella commercializzazione di prodotti ESG</t>
        </is>
      </c>
      <c r="E23" s="158" t="inlineStr">
        <is>
          <t>Decisione_Stato</t>
        </is>
      </c>
      <c r="F23" s="158" t="inlineStr">
        <is>
          <t>Automatico</t>
        </is>
      </c>
      <c r="G23" s="158" t="inlineStr">
        <is>
          <t>Accettato</t>
        </is>
      </c>
      <c r="H23" s="158" t="inlineStr">
        <is>
          <t>Automatico</t>
        </is>
      </c>
      <c r="I23" s="175" t="n"/>
      <c r="J23" s="158" t="inlineStr">
        <is>
          <t>Comitato Rischi</t>
        </is>
      </c>
      <c r="K23" s="173" t="n">
        <v>46218</v>
      </c>
      <c r="L23" s="158" t="inlineStr">
        <is>
          <t>Applicata</t>
        </is>
      </c>
    </row>
    <row r="24">
      <c r="A24" s="158" t="inlineStr">
        <is>
          <t>2026Q2</t>
        </is>
      </c>
      <c r="B24" s="158" t="inlineStr">
        <is>
          <t>Rischio</t>
        </is>
      </c>
      <c r="C24" s="158" t="inlineStr">
        <is>
          <t>NFR-04</t>
        </is>
      </c>
      <c r="D24" s="175" t="inlineStr">
        <is>
          <t>Eventi climatici estremi su sedi e data center</t>
        </is>
      </c>
      <c r="E24" s="158" t="inlineStr">
        <is>
          <t>Impatto</t>
        </is>
      </c>
      <c r="F24" s="158" t="n">
        <v>3</v>
      </c>
      <c r="G24" s="158" t="inlineStr">
        <is>
          <t>Accettato</t>
        </is>
      </c>
      <c r="H24" s="158" t="n">
        <v>3</v>
      </c>
      <c r="I24" s="175" t="n"/>
      <c r="J24" s="158" t="inlineStr">
        <is>
          <t>Comitato Rischi</t>
        </is>
      </c>
      <c r="K24" s="173" t="n">
        <v>46218</v>
      </c>
      <c r="L24" s="158" t="inlineStr">
        <is>
          <t>Applicata</t>
        </is>
      </c>
    </row>
    <row r="25">
      <c r="A25" s="158" t="inlineStr">
        <is>
          <t>2026Q2</t>
        </is>
      </c>
      <c r="B25" s="158" t="inlineStr">
        <is>
          <t>Rischio</t>
        </is>
      </c>
      <c r="C25" s="158" t="inlineStr">
        <is>
          <t>NFR-04</t>
        </is>
      </c>
      <c r="D25" s="175" t="inlineStr">
        <is>
          <t>Eventi climatici estremi su sedi e data center</t>
        </is>
      </c>
      <c r="E25" s="158" t="inlineStr">
        <is>
          <t>Velocity</t>
        </is>
      </c>
      <c r="F25" s="158" t="n">
        <v>2</v>
      </c>
      <c r="G25" s="158" t="inlineStr">
        <is>
          <t>Accettato</t>
        </is>
      </c>
      <c r="H25" s="158" t="n">
        <v>2</v>
      </c>
      <c r="I25" s="175" t="n"/>
      <c r="J25" s="158" t="inlineStr">
        <is>
          <t>Comitato Rischi</t>
        </is>
      </c>
      <c r="K25" s="173" t="n">
        <v>46218</v>
      </c>
      <c r="L25" s="158" t="inlineStr">
        <is>
          <t>Applicata</t>
        </is>
      </c>
    </row>
    <row r="26">
      <c r="A26" s="158" t="inlineStr">
        <is>
          <t>2026Q2</t>
        </is>
      </c>
      <c r="B26" s="158" t="inlineStr">
        <is>
          <t>Rischio</t>
        </is>
      </c>
      <c r="C26" s="158" t="inlineStr">
        <is>
          <t>NFR-04</t>
        </is>
      </c>
      <c r="D26" s="175" t="inlineStr">
        <is>
          <t>Eventi climatici estremi su sedi e data center</t>
        </is>
      </c>
      <c r="E26" s="158" t="inlineStr">
        <is>
          <t>Prossimita</t>
        </is>
      </c>
      <c r="F26" s="158" t="n">
        <v>3</v>
      </c>
      <c r="G26" s="158" t="inlineStr">
        <is>
          <t>Accettato</t>
        </is>
      </c>
      <c r="H26" s="158" t="n">
        <v>3</v>
      </c>
      <c r="I26" s="175" t="n"/>
      <c r="J26" s="158" t="inlineStr">
        <is>
          <t>Comitato Rischi</t>
        </is>
      </c>
      <c r="K26" s="173" t="n">
        <v>46218</v>
      </c>
      <c r="L26" s="158" t="inlineStr">
        <is>
          <t>Applicata</t>
        </is>
      </c>
    </row>
    <row r="27">
      <c r="A27" s="158" t="inlineStr">
        <is>
          <t>2026Q2</t>
        </is>
      </c>
      <c r="B27" s="158" t="inlineStr">
        <is>
          <t>Rischio</t>
        </is>
      </c>
      <c r="C27" s="158" t="inlineStr">
        <is>
          <t>NFR-04</t>
        </is>
      </c>
      <c r="D27" s="175" t="inlineStr">
        <is>
          <t>Eventi climatici estremi su sedi e data center</t>
        </is>
      </c>
      <c r="E27" s="158" t="inlineStr">
        <is>
          <t>Probabilita</t>
        </is>
      </c>
      <c r="F27" s="158" t="n">
        <v>3</v>
      </c>
      <c r="G27" s="158" t="inlineStr">
        <is>
          <t>Accettato</t>
        </is>
      </c>
      <c r="H27" s="158" t="n">
        <v>3</v>
      </c>
      <c r="I27" s="175" t="n"/>
      <c r="J27" s="158" t="inlineStr">
        <is>
          <t>Comitato Rischi</t>
        </is>
      </c>
      <c r="K27" s="173" t="n">
        <v>46218</v>
      </c>
      <c r="L27" s="158" t="inlineStr">
        <is>
          <t>Applicata</t>
        </is>
      </c>
    </row>
    <row r="28">
      <c r="A28" s="158" t="inlineStr">
        <is>
          <t>2026Q2</t>
        </is>
      </c>
      <c r="B28" s="158" t="inlineStr">
        <is>
          <t>Rischio</t>
        </is>
      </c>
      <c r="C28" s="158" t="inlineStr">
        <is>
          <t>NFR-04</t>
        </is>
      </c>
      <c r="D28" s="175" t="inlineStr">
        <is>
          <t>Eventi climatici estremi su sedi e data center</t>
        </is>
      </c>
      <c r="E28" s="158" t="inlineStr">
        <is>
          <t>Anni_Adeguamento</t>
        </is>
      </c>
      <c r="F28" s="158" t="n"/>
      <c r="G28" s="158" t="inlineStr">
        <is>
          <t>Accettato</t>
        </is>
      </c>
      <c r="H28" s="158" t="n"/>
      <c r="I28" s="175" t="n"/>
      <c r="J28" s="158" t="inlineStr">
        <is>
          <t>Comitato Rischi</t>
        </is>
      </c>
      <c r="K28" s="173" t="n">
        <v>46218</v>
      </c>
      <c r="L28" s="158" t="inlineStr">
        <is>
          <t>Applicata</t>
        </is>
      </c>
    </row>
    <row r="29">
      <c r="A29" s="158" t="inlineStr">
        <is>
          <t>2026Q2</t>
        </is>
      </c>
      <c r="B29" s="158" t="inlineStr">
        <is>
          <t>Rischio</t>
        </is>
      </c>
      <c r="C29" s="158" t="inlineStr">
        <is>
          <t>NFR-04</t>
        </is>
      </c>
      <c r="D29" s="175" t="inlineStr">
        <is>
          <t>Eventi climatici estremi su sedi e data center</t>
        </is>
      </c>
      <c r="E29" s="158" t="inlineStr">
        <is>
          <t>Decisione_Stato</t>
        </is>
      </c>
      <c r="F29" s="158" t="inlineStr">
        <is>
          <t>Automatico</t>
        </is>
      </c>
      <c r="G29" s="158" t="inlineStr">
        <is>
          <t>Accettato</t>
        </is>
      </c>
      <c r="H29" s="158" t="inlineStr">
        <is>
          <t>Automatico</t>
        </is>
      </c>
      <c r="I29" s="175" t="n"/>
      <c r="J29" s="158" t="inlineStr">
        <is>
          <t>Comitato Rischi</t>
        </is>
      </c>
      <c r="K29" s="173" t="n">
        <v>46218</v>
      </c>
      <c r="L29" s="158" t="inlineStr">
        <is>
          <t>Applicata</t>
        </is>
      </c>
    </row>
    <row r="30">
      <c r="A30" s="158" t="inlineStr">
        <is>
          <t>2026Q2</t>
        </is>
      </c>
      <c r="B30" s="158" t="inlineStr">
        <is>
          <t>Rischio</t>
        </is>
      </c>
      <c r="C30" s="158" t="inlineStr">
        <is>
          <t>NFR-05</t>
        </is>
      </c>
      <c r="D30" s="175" t="inlineStr">
        <is>
          <t>Errori di processo nella migrazione del core banking</t>
        </is>
      </c>
      <c r="E30" s="158" t="inlineStr">
        <is>
          <t>Impatto</t>
        </is>
      </c>
      <c r="F30" s="158" t="n">
        <v>3</v>
      </c>
      <c r="G30" s="158" t="inlineStr">
        <is>
          <t>Accettato</t>
        </is>
      </c>
      <c r="H30" s="158" t="n">
        <v>3</v>
      </c>
      <c r="I30" s="175" t="n"/>
      <c r="J30" s="158" t="inlineStr">
        <is>
          <t>Comitato Rischi</t>
        </is>
      </c>
      <c r="K30" s="173" t="n">
        <v>46218</v>
      </c>
      <c r="L30" s="158" t="inlineStr">
        <is>
          <t>Applicata</t>
        </is>
      </c>
    </row>
    <row r="31">
      <c r="A31" s="158" t="inlineStr">
        <is>
          <t>2026Q2</t>
        </is>
      </c>
      <c r="B31" s="158" t="inlineStr">
        <is>
          <t>Rischio</t>
        </is>
      </c>
      <c r="C31" s="158" t="inlineStr">
        <is>
          <t>NFR-05</t>
        </is>
      </c>
      <c r="D31" s="175" t="inlineStr">
        <is>
          <t>Errori di processo nella migrazione del core banking</t>
        </is>
      </c>
      <c r="E31" s="158" t="inlineStr">
        <is>
          <t>Velocity</t>
        </is>
      </c>
      <c r="F31" s="158" t="n">
        <v>3</v>
      </c>
      <c r="G31" s="158" t="inlineStr">
        <is>
          <t>Accettato</t>
        </is>
      </c>
      <c r="H31" s="158" t="n">
        <v>3</v>
      </c>
      <c r="I31" s="175" t="n"/>
      <c r="J31" s="158" t="inlineStr">
        <is>
          <t>Comitato Rischi</t>
        </is>
      </c>
      <c r="K31" s="173" t="n">
        <v>46218</v>
      </c>
      <c r="L31" s="158" t="inlineStr">
        <is>
          <t>Applicata</t>
        </is>
      </c>
    </row>
    <row r="32">
      <c r="A32" s="158" t="inlineStr">
        <is>
          <t>2026Q2</t>
        </is>
      </c>
      <c r="B32" s="158" t="inlineStr">
        <is>
          <t>Rischio</t>
        </is>
      </c>
      <c r="C32" s="158" t="inlineStr">
        <is>
          <t>NFR-05</t>
        </is>
      </c>
      <c r="D32" s="175" t="inlineStr">
        <is>
          <t>Errori di processo nella migrazione del core banking</t>
        </is>
      </c>
      <c r="E32" s="158" t="inlineStr">
        <is>
          <t>Prossimita</t>
        </is>
      </c>
      <c r="F32" s="158" t="n">
        <v>3</v>
      </c>
      <c r="G32" s="158" t="inlineStr">
        <is>
          <t>Accettato</t>
        </is>
      </c>
      <c r="H32" s="158" t="n">
        <v>3</v>
      </c>
      <c r="I32" s="175" t="n"/>
      <c r="J32" s="158" t="inlineStr">
        <is>
          <t>Comitato Rischi</t>
        </is>
      </c>
      <c r="K32" s="173" t="n">
        <v>46218</v>
      </c>
      <c r="L32" s="158" t="inlineStr">
        <is>
          <t>Applicata</t>
        </is>
      </c>
    </row>
    <row r="33">
      <c r="A33" s="158" t="inlineStr">
        <is>
          <t>2026Q2</t>
        </is>
      </c>
      <c r="B33" s="158" t="inlineStr">
        <is>
          <t>Rischio</t>
        </is>
      </c>
      <c r="C33" s="158" t="inlineStr">
        <is>
          <t>NFR-05</t>
        </is>
      </c>
      <c r="D33" s="175" t="inlineStr">
        <is>
          <t>Errori di processo nella migrazione del core banking</t>
        </is>
      </c>
      <c r="E33" s="158" t="inlineStr">
        <is>
          <t>Probabilita</t>
        </is>
      </c>
      <c r="F33" s="158" t="n">
        <v>3</v>
      </c>
      <c r="G33" s="158" t="inlineStr">
        <is>
          <t>Accettato</t>
        </is>
      </c>
      <c r="H33" s="158" t="n">
        <v>3</v>
      </c>
      <c r="I33" s="175" t="n"/>
      <c r="J33" s="158" t="inlineStr">
        <is>
          <t>Comitato Rischi</t>
        </is>
      </c>
      <c r="K33" s="173" t="n">
        <v>46218</v>
      </c>
      <c r="L33" s="158" t="inlineStr">
        <is>
          <t>Applicata</t>
        </is>
      </c>
    </row>
    <row r="34">
      <c r="A34" s="158" t="inlineStr">
        <is>
          <t>2026Q2</t>
        </is>
      </c>
      <c r="B34" s="158" t="inlineStr">
        <is>
          <t>Rischio</t>
        </is>
      </c>
      <c r="C34" s="158" t="inlineStr">
        <is>
          <t>NFR-05</t>
        </is>
      </c>
      <c r="D34" s="175" t="inlineStr">
        <is>
          <t>Errori di processo nella migrazione del core banking</t>
        </is>
      </c>
      <c r="E34" s="158" t="inlineStr">
        <is>
          <t>Anni_Adeguamento</t>
        </is>
      </c>
      <c r="F34" s="158" t="n"/>
      <c r="G34" s="158" t="inlineStr">
        <is>
          <t>Accettato</t>
        </is>
      </c>
      <c r="H34" s="158" t="n"/>
      <c r="I34" s="175" t="n"/>
      <c r="J34" s="158" t="inlineStr">
        <is>
          <t>Comitato Rischi</t>
        </is>
      </c>
      <c r="K34" s="173" t="n">
        <v>46218</v>
      </c>
      <c r="L34" s="158" t="inlineStr">
        <is>
          <t>Applicata</t>
        </is>
      </c>
    </row>
    <row r="35">
      <c r="A35" s="158" t="inlineStr">
        <is>
          <t>2026Q2</t>
        </is>
      </c>
      <c r="B35" s="158" t="inlineStr">
        <is>
          <t>Rischio</t>
        </is>
      </c>
      <c r="C35" s="158" t="inlineStr">
        <is>
          <t>NFR-05</t>
        </is>
      </c>
      <c r="D35" s="175" t="inlineStr">
        <is>
          <t>Errori di processo nella migrazione del core banking</t>
        </is>
      </c>
      <c r="E35" s="158" t="inlineStr">
        <is>
          <t>Decisione_Stato</t>
        </is>
      </c>
      <c r="F35" s="158" t="inlineStr">
        <is>
          <t>Automatico</t>
        </is>
      </c>
      <c r="G35" s="158" t="inlineStr">
        <is>
          <t>Accettato</t>
        </is>
      </c>
      <c r="H35" s="158" t="inlineStr">
        <is>
          <t>Automatico</t>
        </is>
      </c>
      <c r="I35" s="175" t="n"/>
      <c r="J35" s="158" t="inlineStr">
        <is>
          <t>Comitato Rischi</t>
        </is>
      </c>
      <c r="K35" s="173" t="n">
        <v>46218</v>
      </c>
      <c r="L35" s="158" t="inlineStr">
        <is>
          <t>Applicata</t>
        </is>
      </c>
    </row>
    <row r="36">
      <c r="A36" s="158" t="inlineStr">
        <is>
          <t>2026Q2</t>
        </is>
      </c>
      <c r="B36" s="158" t="inlineStr">
        <is>
          <t>Rischio</t>
        </is>
      </c>
      <c r="C36" s="158" t="inlineStr">
        <is>
          <t>NFR-06</t>
        </is>
      </c>
      <c r="D36" s="175" t="inlineStr">
        <is>
          <t>Esfiltrazione di dati tramite strumenti di AI non autorizzati</t>
        </is>
      </c>
      <c r="E36" s="158" t="inlineStr">
        <is>
          <t>Impatto</t>
        </is>
      </c>
      <c r="F36" s="158" t="n">
        <v>3</v>
      </c>
      <c r="G36" s="158" t="inlineStr">
        <is>
          <t>Accettato</t>
        </is>
      </c>
      <c r="H36" s="158" t="n">
        <v>3</v>
      </c>
      <c r="I36" s="175" t="n"/>
      <c r="J36" s="158" t="inlineStr">
        <is>
          <t>Comitato Rischi</t>
        </is>
      </c>
      <c r="K36" s="173" t="n">
        <v>46218</v>
      </c>
      <c r="L36" s="158" t="inlineStr">
        <is>
          <t>Applicata</t>
        </is>
      </c>
    </row>
    <row r="37">
      <c r="A37" s="158" t="inlineStr">
        <is>
          <t>2026Q2</t>
        </is>
      </c>
      <c r="B37" s="158" t="inlineStr">
        <is>
          <t>Rischio</t>
        </is>
      </c>
      <c r="C37" s="158" t="inlineStr">
        <is>
          <t>NFR-06</t>
        </is>
      </c>
      <c r="D37" s="175" t="inlineStr">
        <is>
          <t>Esfiltrazione di dati tramite strumenti di AI non autorizzati</t>
        </is>
      </c>
      <c r="E37" s="158" t="inlineStr">
        <is>
          <t>Velocity</t>
        </is>
      </c>
      <c r="F37" s="158" t="n">
        <v>3</v>
      </c>
      <c r="G37" s="158" t="inlineStr">
        <is>
          <t>Accettato</t>
        </is>
      </c>
      <c r="H37" s="158" t="n">
        <v>3</v>
      </c>
      <c r="I37" s="175" t="n"/>
      <c r="J37" s="158" t="inlineStr">
        <is>
          <t>Comitato Rischi</t>
        </is>
      </c>
      <c r="K37" s="173" t="n">
        <v>46218</v>
      </c>
      <c r="L37" s="158" t="inlineStr">
        <is>
          <t>Applicata</t>
        </is>
      </c>
    </row>
    <row r="38">
      <c r="A38" s="158" t="inlineStr">
        <is>
          <t>2026Q2</t>
        </is>
      </c>
      <c r="B38" s="158" t="inlineStr">
        <is>
          <t>Rischio</t>
        </is>
      </c>
      <c r="C38" s="158" t="inlineStr">
        <is>
          <t>NFR-06</t>
        </is>
      </c>
      <c r="D38" s="175" t="inlineStr">
        <is>
          <t>Esfiltrazione di dati tramite strumenti di AI non autorizzati</t>
        </is>
      </c>
      <c r="E38" s="158" t="inlineStr">
        <is>
          <t>Prossimita</t>
        </is>
      </c>
      <c r="F38" s="158" t="n">
        <v>3</v>
      </c>
      <c r="G38" s="158" t="inlineStr">
        <is>
          <t>Accettato</t>
        </is>
      </c>
      <c r="H38" s="158" t="n">
        <v>3</v>
      </c>
      <c r="I38" s="175" t="n"/>
      <c r="J38" s="158" t="inlineStr">
        <is>
          <t>Comitato Rischi</t>
        </is>
      </c>
      <c r="K38" s="173" t="n">
        <v>46218</v>
      </c>
      <c r="L38" s="158" t="inlineStr">
        <is>
          <t>Applicata</t>
        </is>
      </c>
    </row>
    <row r="39">
      <c r="A39" s="158" t="inlineStr">
        <is>
          <t>2026Q2</t>
        </is>
      </c>
      <c r="B39" s="158" t="inlineStr">
        <is>
          <t>Rischio</t>
        </is>
      </c>
      <c r="C39" s="158" t="inlineStr">
        <is>
          <t>NFR-06</t>
        </is>
      </c>
      <c r="D39" s="175" t="inlineStr">
        <is>
          <t>Esfiltrazione di dati tramite strumenti di AI non autorizzati</t>
        </is>
      </c>
      <c r="E39" s="158" t="inlineStr">
        <is>
          <t>Probabilita</t>
        </is>
      </c>
      <c r="F39" s="158" t="n">
        <v>3</v>
      </c>
      <c r="G39" s="158" t="inlineStr">
        <is>
          <t>Accettato</t>
        </is>
      </c>
      <c r="H39" s="158" t="n">
        <v>3</v>
      </c>
      <c r="I39" s="175" t="n"/>
      <c r="J39" s="158" t="inlineStr">
        <is>
          <t>Comitato Rischi</t>
        </is>
      </c>
      <c r="K39" s="173" t="n">
        <v>46218</v>
      </c>
      <c r="L39" s="158" t="inlineStr">
        <is>
          <t>Applicata</t>
        </is>
      </c>
    </row>
    <row r="40">
      <c r="A40" s="158" t="inlineStr">
        <is>
          <t>2026Q2</t>
        </is>
      </c>
      <c r="B40" s="158" t="inlineStr">
        <is>
          <t>Rischio</t>
        </is>
      </c>
      <c r="C40" s="158" t="inlineStr">
        <is>
          <t>NFR-06</t>
        </is>
      </c>
      <c r="D40" s="175" t="inlineStr">
        <is>
          <t>Esfiltrazione di dati tramite strumenti di AI non autorizzati</t>
        </is>
      </c>
      <c r="E40" s="158" t="inlineStr">
        <is>
          <t>Anni_Adeguamento</t>
        </is>
      </c>
      <c r="F40" s="158" t="n"/>
      <c r="G40" s="158" t="inlineStr">
        <is>
          <t>Accettato</t>
        </is>
      </c>
      <c r="H40" s="158" t="n"/>
      <c r="I40" s="175" t="n"/>
      <c r="J40" s="158" t="inlineStr">
        <is>
          <t>Comitato Rischi</t>
        </is>
      </c>
      <c r="K40" s="173" t="n">
        <v>46218</v>
      </c>
      <c r="L40" s="158" t="inlineStr">
        <is>
          <t>Applicata</t>
        </is>
      </c>
    </row>
    <row r="41">
      <c r="A41" s="158" t="inlineStr">
        <is>
          <t>2026Q2</t>
        </is>
      </c>
      <c r="B41" s="158" t="inlineStr">
        <is>
          <t>Rischio</t>
        </is>
      </c>
      <c r="C41" s="158" t="inlineStr">
        <is>
          <t>NFR-06</t>
        </is>
      </c>
      <c r="D41" s="175" t="inlineStr">
        <is>
          <t>Esfiltrazione di dati tramite strumenti di AI non autorizzati</t>
        </is>
      </c>
      <c r="E41" s="158" t="inlineStr">
        <is>
          <t>Decisione_Stato</t>
        </is>
      </c>
      <c r="F41" s="158" t="inlineStr">
        <is>
          <t>Automatico</t>
        </is>
      </c>
      <c r="G41" s="158" t="inlineStr">
        <is>
          <t>Accettato</t>
        </is>
      </c>
      <c r="H41" s="158" t="inlineStr">
        <is>
          <t>Automatico</t>
        </is>
      </c>
      <c r="I41" s="175" t="n"/>
      <c r="J41" s="158" t="inlineStr">
        <is>
          <t>Comitato Rischi</t>
        </is>
      </c>
      <c r="K41" s="173" t="n">
        <v>46218</v>
      </c>
      <c r="L41" s="158" t="inlineStr">
        <is>
          <t>Applicata</t>
        </is>
      </c>
    </row>
    <row r="42">
      <c r="A42" s="158" t="inlineStr">
        <is>
          <t>2026Q2</t>
        </is>
      </c>
      <c r="B42" s="158" t="inlineStr">
        <is>
          <t>Rischio</t>
        </is>
      </c>
      <c r="C42" s="158" t="inlineStr">
        <is>
          <t>NFR-07</t>
        </is>
      </c>
      <c r="D42" s="175" t="inlineStr">
        <is>
          <t>Ransomware presso un fornitore di servizi di pagamento</t>
        </is>
      </c>
      <c r="E42" s="158" t="inlineStr">
        <is>
          <t>Impatto</t>
        </is>
      </c>
      <c r="F42" s="158" t="n">
        <v>4</v>
      </c>
      <c r="G42" s="158" t="inlineStr">
        <is>
          <t>Accettato</t>
        </is>
      </c>
      <c r="H42" s="158" t="n">
        <v>4</v>
      </c>
      <c r="I42" s="175" t="n"/>
      <c r="J42" s="158" t="inlineStr">
        <is>
          <t>Comitato Rischi</t>
        </is>
      </c>
      <c r="K42" s="173" t="n">
        <v>46218</v>
      </c>
      <c r="L42" s="158" t="inlineStr">
        <is>
          <t>Applicata</t>
        </is>
      </c>
    </row>
    <row r="43">
      <c r="A43" s="158" t="inlineStr">
        <is>
          <t>2026Q2</t>
        </is>
      </c>
      <c r="B43" s="158" t="inlineStr">
        <is>
          <t>Rischio</t>
        </is>
      </c>
      <c r="C43" s="158" t="inlineStr">
        <is>
          <t>NFR-07</t>
        </is>
      </c>
      <c r="D43" s="175" t="inlineStr">
        <is>
          <t>Ransomware presso un fornitore di servizi di pagamento</t>
        </is>
      </c>
      <c r="E43" s="158" t="inlineStr">
        <is>
          <t>Velocity</t>
        </is>
      </c>
      <c r="F43" s="158" t="n">
        <v>5</v>
      </c>
      <c r="G43" s="158" t="inlineStr">
        <is>
          <t>Accettato</t>
        </is>
      </c>
      <c r="H43" s="158" t="n">
        <v>5</v>
      </c>
      <c r="I43" s="175" t="n"/>
      <c r="J43" s="158" t="inlineStr">
        <is>
          <t>Comitato Rischi</t>
        </is>
      </c>
      <c r="K43" s="173" t="n">
        <v>46218</v>
      </c>
      <c r="L43" s="158" t="inlineStr">
        <is>
          <t>Applicata</t>
        </is>
      </c>
    </row>
    <row r="44">
      <c r="A44" s="158" t="inlineStr">
        <is>
          <t>2026Q2</t>
        </is>
      </c>
      <c r="B44" s="158" t="inlineStr">
        <is>
          <t>Rischio</t>
        </is>
      </c>
      <c r="C44" s="158" t="inlineStr">
        <is>
          <t>NFR-07</t>
        </is>
      </c>
      <c r="D44" s="175" t="inlineStr">
        <is>
          <t>Ransomware presso un fornitore di servizi di pagamento</t>
        </is>
      </c>
      <c r="E44" s="158" t="inlineStr">
        <is>
          <t>Prossimita</t>
        </is>
      </c>
      <c r="F44" s="158" t="n">
        <v>3</v>
      </c>
      <c r="G44" s="158" t="inlineStr">
        <is>
          <t>Accettato</t>
        </is>
      </c>
      <c r="H44" s="158" t="n">
        <v>3</v>
      </c>
      <c r="I44" s="175" t="n"/>
      <c r="J44" s="158" t="inlineStr">
        <is>
          <t>Comitato Rischi</t>
        </is>
      </c>
      <c r="K44" s="173" t="n">
        <v>46218</v>
      </c>
      <c r="L44" s="158" t="inlineStr">
        <is>
          <t>Applicata</t>
        </is>
      </c>
    </row>
    <row r="45">
      <c r="A45" s="158" t="inlineStr">
        <is>
          <t>2026Q2</t>
        </is>
      </c>
      <c r="B45" s="158" t="inlineStr">
        <is>
          <t>Rischio</t>
        </is>
      </c>
      <c r="C45" s="158" t="inlineStr">
        <is>
          <t>NFR-07</t>
        </is>
      </c>
      <c r="D45" s="175" t="inlineStr">
        <is>
          <t>Ransomware presso un fornitore di servizi di pagamento</t>
        </is>
      </c>
      <c r="E45" s="158" t="inlineStr">
        <is>
          <t>Probabilita</t>
        </is>
      </c>
      <c r="F45" s="158" t="n">
        <v>3</v>
      </c>
      <c r="G45" s="158" t="inlineStr">
        <is>
          <t>Accettato</t>
        </is>
      </c>
      <c r="H45" s="158" t="n">
        <v>3</v>
      </c>
      <c r="I45" s="175" t="n"/>
      <c r="J45" s="158" t="inlineStr">
        <is>
          <t>Comitato Rischi</t>
        </is>
      </c>
      <c r="K45" s="173" t="n">
        <v>46218</v>
      </c>
      <c r="L45" s="158" t="inlineStr">
        <is>
          <t>Applicata</t>
        </is>
      </c>
    </row>
    <row r="46">
      <c r="A46" s="158" t="inlineStr">
        <is>
          <t>2026Q2</t>
        </is>
      </c>
      <c r="B46" s="158" t="inlineStr">
        <is>
          <t>Rischio</t>
        </is>
      </c>
      <c r="C46" s="158" t="inlineStr">
        <is>
          <t>NFR-07</t>
        </is>
      </c>
      <c r="D46" s="175" t="inlineStr">
        <is>
          <t>Ransomware presso un fornitore di servizi di pagamento</t>
        </is>
      </c>
      <c r="E46" s="158" t="inlineStr">
        <is>
          <t>Anni_Adeguamento</t>
        </is>
      </c>
      <c r="F46" s="158" t="n"/>
      <c r="G46" s="158" t="inlineStr">
        <is>
          <t>Accettato</t>
        </is>
      </c>
      <c r="H46" s="158" t="n"/>
      <c r="I46" s="175" t="n"/>
      <c r="J46" s="158" t="inlineStr">
        <is>
          <t>Comitato Rischi</t>
        </is>
      </c>
      <c r="K46" s="173" t="n">
        <v>46218</v>
      </c>
      <c r="L46" s="158" t="inlineStr">
        <is>
          <t>Applicata</t>
        </is>
      </c>
    </row>
    <row r="47">
      <c r="A47" s="158" t="inlineStr">
        <is>
          <t>2026Q2</t>
        </is>
      </c>
      <c r="B47" s="158" t="inlineStr">
        <is>
          <t>Rischio</t>
        </is>
      </c>
      <c r="C47" s="158" t="inlineStr">
        <is>
          <t>NFR-07</t>
        </is>
      </c>
      <c r="D47" s="175" t="inlineStr">
        <is>
          <t>Ransomware presso un fornitore di servizi di pagamento</t>
        </is>
      </c>
      <c r="E47" s="158" t="inlineStr">
        <is>
          <t>Decisione_Stato</t>
        </is>
      </c>
      <c r="F47" s="158" t="inlineStr">
        <is>
          <t>Automatico</t>
        </is>
      </c>
      <c r="G47" s="158" t="inlineStr">
        <is>
          <t>Accettato</t>
        </is>
      </c>
      <c r="H47" s="158" t="inlineStr">
        <is>
          <t>Automatico</t>
        </is>
      </c>
      <c r="I47" s="175" t="n"/>
      <c r="J47" s="158" t="inlineStr">
        <is>
          <t>Comitato Rischi</t>
        </is>
      </c>
      <c r="K47" s="173" t="n">
        <v>46218</v>
      </c>
      <c r="L47" s="158" t="inlineStr">
        <is>
          <t>Applicata</t>
        </is>
      </c>
    </row>
    <row r="48">
      <c r="A48" s="158" t="inlineStr">
        <is>
          <t>2026Q2</t>
        </is>
      </c>
      <c r="B48" s="158" t="inlineStr">
        <is>
          <t>Rischio</t>
        </is>
      </c>
      <c r="C48" s="158" t="inlineStr">
        <is>
          <t>NFR-08</t>
        </is>
      </c>
      <c r="D48" s="175" t="inlineStr">
        <is>
          <t>Accessi impropri di dipendenti ai dati dei clienti</t>
        </is>
      </c>
      <c r="E48" s="158" t="inlineStr">
        <is>
          <t>Impatto</t>
        </is>
      </c>
      <c r="F48" s="158" t="n">
        <v>3</v>
      </c>
      <c r="G48" s="158" t="inlineStr">
        <is>
          <t>Accettato</t>
        </is>
      </c>
      <c r="H48" s="158" t="n">
        <v>3</v>
      </c>
      <c r="I48" s="175" t="n"/>
      <c r="J48" s="158" t="inlineStr">
        <is>
          <t>Comitato Rischi</t>
        </is>
      </c>
      <c r="K48" s="173" t="n">
        <v>46218</v>
      </c>
      <c r="L48" s="158" t="inlineStr">
        <is>
          <t>Applicata</t>
        </is>
      </c>
    </row>
    <row r="49">
      <c r="A49" s="158" t="inlineStr">
        <is>
          <t>2026Q2</t>
        </is>
      </c>
      <c r="B49" s="158" t="inlineStr">
        <is>
          <t>Rischio</t>
        </is>
      </c>
      <c r="C49" s="158" t="inlineStr">
        <is>
          <t>NFR-08</t>
        </is>
      </c>
      <c r="D49" s="175" t="inlineStr">
        <is>
          <t>Accessi impropri di dipendenti ai dati dei clienti</t>
        </is>
      </c>
      <c r="E49" s="158" t="inlineStr">
        <is>
          <t>Velocity</t>
        </is>
      </c>
      <c r="F49" s="158" t="n">
        <v>3</v>
      </c>
      <c r="G49" s="158" t="inlineStr">
        <is>
          <t>Accettato</t>
        </is>
      </c>
      <c r="H49" s="158" t="n">
        <v>3</v>
      </c>
      <c r="I49" s="175" t="n"/>
      <c r="J49" s="158" t="inlineStr">
        <is>
          <t>Comitato Rischi</t>
        </is>
      </c>
      <c r="K49" s="173" t="n">
        <v>46218</v>
      </c>
      <c r="L49" s="158" t="inlineStr">
        <is>
          <t>Applicata</t>
        </is>
      </c>
    </row>
    <row r="50">
      <c r="A50" s="158" t="inlineStr">
        <is>
          <t>2026Q2</t>
        </is>
      </c>
      <c r="B50" s="158" t="inlineStr">
        <is>
          <t>Rischio</t>
        </is>
      </c>
      <c r="C50" s="158" t="inlineStr">
        <is>
          <t>NFR-08</t>
        </is>
      </c>
      <c r="D50" s="175" t="inlineStr">
        <is>
          <t>Accessi impropri di dipendenti ai dati dei clienti</t>
        </is>
      </c>
      <c r="E50" s="158" t="inlineStr">
        <is>
          <t>Prossimita</t>
        </is>
      </c>
      <c r="F50" s="158" t="n">
        <v>3</v>
      </c>
      <c r="G50" s="158" t="inlineStr">
        <is>
          <t>Accettato</t>
        </is>
      </c>
      <c r="H50" s="158" t="n">
        <v>3</v>
      </c>
      <c r="I50" s="175" t="n"/>
      <c r="J50" s="158" t="inlineStr">
        <is>
          <t>Comitato Rischi</t>
        </is>
      </c>
      <c r="K50" s="173" t="n">
        <v>46218</v>
      </c>
      <c r="L50" s="158" t="inlineStr">
        <is>
          <t>Applicata</t>
        </is>
      </c>
    </row>
    <row r="51">
      <c r="A51" s="158" t="inlineStr">
        <is>
          <t>2026Q2</t>
        </is>
      </c>
      <c r="B51" s="158" t="inlineStr">
        <is>
          <t>Rischio</t>
        </is>
      </c>
      <c r="C51" s="158" t="inlineStr">
        <is>
          <t>NFR-08</t>
        </is>
      </c>
      <c r="D51" s="175" t="inlineStr">
        <is>
          <t>Accessi impropri di dipendenti ai dati dei clienti</t>
        </is>
      </c>
      <c r="E51" s="158" t="inlineStr">
        <is>
          <t>Probabilita</t>
        </is>
      </c>
      <c r="F51" s="158" t="n">
        <v>2</v>
      </c>
      <c r="G51" s="158" t="inlineStr">
        <is>
          <t>Accettato</t>
        </is>
      </c>
      <c r="H51" s="158" t="n">
        <v>2</v>
      </c>
      <c r="I51" s="175" t="n"/>
      <c r="J51" s="158" t="inlineStr">
        <is>
          <t>Comitato Rischi</t>
        </is>
      </c>
      <c r="K51" s="173" t="n">
        <v>46218</v>
      </c>
      <c r="L51" s="158" t="inlineStr">
        <is>
          <t>Applicata</t>
        </is>
      </c>
    </row>
    <row r="52">
      <c r="A52" s="158" t="inlineStr">
        <is>
          <t>2026Q2</t>
        </is>
      </c>
      <c r="B52" s="158" t="inlineStr">
        <is>
          <t>Rischio</t>
        </is>
      </c>
      <c r="C52" s="158" t="inlineStr">
        <is>
          <t>NFR-08</t>
        </is>
      </c>
      <c r="D52" s="175" t="inlineStr">
        <is>
          <t>Accessi impropri di dipendenti ai dati dei clienti</t>
        </is>
      </c>
      <c r="E52" s="158" t="inlineStr">
        <is>
          <t>Anni_Adeguamento</t>
        </is>
      </c>
      <c r="F52" s="158" t="n"/>
      <c r="G52" s="158" t="inlineStr">
        <is>
          <t>Accettato</t>
        </is>
      </c>
      <c r="H52" s="158" t="n"/>
      <c r="I52" s="175" t="n"/>
      <c r="J52" s="158" t="inlineStr">
        <is>
          <t>Comitato Rischi</t>
        </is>
      </c>
      <c r="K52" s="173" t="n">
        <v>46218</v>
      </c>
      <c r="L52" s="158" t="inlineStr">
        <is>
          <t>Applicata</t>
        </is>
      </c>
    </row>
    <row r="53">
      <c r="A53" s="158" t="inlineStr">
        <is>
          <t>2026Q2</t>
        </is>
      </c>
      <c r="B53" s="158" t="inlineStr">
        <is>
          <t>Rischio</t>
        </is>
      </c>
      <c r="C53" s="158" t="inlineStr">
        <is>
          <t>NFR-08</t>
        </is>
      </c>
      <c r="D53" s="175" t="inlineStr">
        <is>
          <t>Accessi impropri di dipendenti ai dati dei clienti</t>
        </is>
      </c>
      <c r="E53" s="158" t="inlineStr">
        <is>
          <t>Decisione_Stato</t>
        </is>
      </c>
      <c r="F53" s="158" t="inlineStr">
        <is>
          <t>Automatico</t>
        </is>
      </c>
      <c r="G53" s="158" t="inlineStr">
        <is>
          <t>Accettato</t>
        </is>
      </c>
      <c r="H53" s="158" t="inlineStr">
        <is>
          <t>Automatico</t>
        </is>
      </c>
      <c r="I53" s="175" t="n"/>
      <c r="J53" s="158" t="inlineStr">
        <is>
          <t>Comitato Rischi</t>
        </is>
      </c>
      <c r="K53" s="173" t="n">
        <v>46218</v>
      </c>
      <c r="L53" s="158" t="inlineStr">
        <is>
          <t>Applicata</t>
        </is>
      </c>
    </row>
    <row r="54">
      <c r="A54" s="158" t="inlineStr">
        <is>
          <t>2026Q2</t>
        </is>
      </c>
      <c r="B54" s="158" t="inlineStr">
        <is>
          <t>Rischio</t>
        </is>
      </c>
      <c r="C54" s="158" t="inlineStr">
        <is>
          <t>NFR-09</t>
        </is>
      </c>
      <c r="D54" s="175" t="inlineStr">
        <is>
          <t>Violazione di sanzioni internazionali tramite triangolazioni</t>
        </is>
      </c>
      <c r="E54" s="158" t="inlineStr">
        <is>
          <t>Impatto</t>
        </is>
      </c>
      <c r="F54" s="158" t="n">
        <v>4</v>
      </c>
      <c r="G54" s="158" t="inlineStr">
        <is>
          <t>Accettato</t>
        </is>
      </c>
      <c r="H54" s="158" t="n">
        <v>4</v>
      </c>
      <c r="I54" s="175" t="n"/>
      <c r="J54" s="158" t="inlineStr">
        <is>
          <t>Comitato Rischi</t>
        </is>
      </c>
      <c r="K54" s="173" t="n">
        <v>46218</v>
      </c>
      <c r="L54" s="158" t="inlineStr">
        <is>
          <t>Applicata</t>
        </is>
      </c>
    </row>
    <row r="55">
      <c r="A55" s="158" t="inlineStr">
        <is>
          <t>2026Q2</t>
        </is>
      </c>
      <c r="B55" s="158" t="inlineStr">
        <is>
          <t>Rischio</t>
        </is>
      </c>
      <c r="C55" s="158" t="inlineStr">
        <is>
          <t>NFR-09</t>
        </is>
      </c>
      <c r="D55" s="175" t="inlineStr">
        <is>
          <t>Violazione di sanzioni internazionali tramite triangolazioni</t>
        </is>
      </c>
      <c r="E55" s="158" t="inlineStr">
        <is>
          <t>Velocity</t>
        </is>
      </c>
      <c r="F55" s="158" t="n">
        <v>3</v>
      </c>
      <c r="G55" s="158" t="inlineStr">
        <is>
          <t>Accettato</t>
        </is>
      </c>
      <c r="H55" s="158" t="n">
        <v>3</v>
      </c>
      <c r="I55" s="175" t="n"/>
      <c r="J55" s="158" t="inlineStr">
        <is>
          <t>Comitato Rischi</t>
        </is>
      </c>
      <c r="K55" s="173" t="n">
        <v>46218</v>
      </c>
      <c r="L55" s="158" t="inlineStr">
        <is>
          <t>Applicata</t>
        </is>
      </c>
    </row>
    <row r="56">
      <c r="A56" s="158" t="inlineStr">
        <is>
          <t>2026Q2</t>
        </is>
      </c>
      <c r="B56" s="158" t="inlineStr">
        <is>
          <t>Rischio</t>
        </is>
      </c>
      <c r="C56" s="158" t="inlineStr">
        <is>
          <t>NFR-09</t>
        </is>
      </c>
      <c r="D56" s="175" t="inlineStr">
        <is>
          <t>Violazione di sanzioni internazionali tramite triangolazioni</t>
        </is>
      </c>
      <c r="E56" s="158" t="inlineStr">
        <is>
          <t>Prossimita</t>
        </is>
      </c>
      <c r="F56" s="158" t="n">
        <v>2</v>
      </c>
      <c r="G56" s="158" t="inlineStr">
        <is>
          <t>Accettato</t>
        </is>
      </c>
      <c r="H56" s="158" t="n">
        <v>2</v>
      </c>
      <c r="I56" s="175" t="n"/>
      <c r="J56" s="158" t="inlineStr">
        <is>
          <t>Comitato Rischi</t>
        </is>
      </c>
      <c r="K56" s="173" t="n">
        <v>46218</v>
      </c>
      <c r="L56" s="158" t="inlineStr">
        <is>
          <t>Applicata</t>
        </is>
      </c>
    </row>
    <row r="57">
      <c r="A57" s="158" t="inlineStr">
        <is>
          <t>2026Q2</t>
        </is>
      </c>
      <c r="B57" s="158" t="inlineStr">
        <is>
          <t>Rischio</t>
        </is>
      </c>
      <c r="C57" s="158" t="inlineStr">
        <is>
          <t>NFR-09</t>
        </is>
      </c>
      <c r="D57" s="175" t="inlineStr">
        <is>
          <t>Violazione di sanzioni internazionali tramite triangolazioni</t>
        </is>
      </c>
      <c r="E57" s="158" t="inlineStr">
        <is>
          <t>Probabilita</t>
        </is>
      </c>
      <c r="F57" s="158" t="n">
        <v>2</v>
      </c>
      <c r="G57" s="158" t="inlineStr">
        <is>
          <t>Accettato</t>
        </is>
      </c>
      <c r="H57" s="158" t="n">
        <v>2</v>
      </c>
      <c r="I57" s="175" t="n"/>
      <c r="J57" s="158" t="inlineStr">
        <is>
          <t>Comitato Rischi</t>
        </is>
      </c>
      <c r="K57" s="173" t="n">
        <v>46218</v>
      </c>
      <c r="L57" s="158" t="inlineStr">
        <is>
          <t>Applicata</t>
        </is>
      </c>
    </row>
    <row r="58">
      <c r="A58" s="158" t="inlineStr">
        <is>
          <t>2026Q2</t>
        </is>
      </c>
      <c r="B58" s="158" t="inlineStr">
        <is>
          <t>Rischio</t>
        </is>
      </c>
      <c r="C58" s="158" t="inlineStr">
        <is>
          <t>NFR-09</t>
        </is>
      </c>
      <c r="D58" s="175" t="inlineStr">
        <is>
          <t>Violazione di sanzioni internazionali tramite triangolazioni</t>
        </is>
      </c>
      <c r="E58" s="158" t="inlineStr">
        <is>
          <t>Anni_Adeguamento</t>
        </is>
      </c>
      <c r="F58" s="158" t="n"/>
      <c r="G58" s="158" t="inlineStr">
        <is>
          <t>Accettato</t>
        </is>
      </c>
      <c r="H58" s="158" t="n"/>
      <c r="I58" s="175" t="n"/>
      <c r="J58" s="158" t="inlineStr">
        <is>
          <t>Comitato Rischi</t>
        </is>
      </c>
      <c r="K58" s="173" t="n">
        <v>46218</v>
      </c>
      <c r="L58" s="158" t="inlineStr">
        <is>
          <t>Applicata</t>
        </is>
      </c>
    </row>
    <row r="59">
      <c r="A59" s="158" t="inlineStr">
        <is>
          <t>2026Q2</t>
        </is>
      </c>
      <c r="B59" s="158" t="inlineStr">
        <is>
          <t>Rischio</t>
        </is>
      </c>
      <c r="C59" s="158" t="inlineStr">
        <is>
          <t>NFR-09</t>
        </is>
      </c>
      <c r="D59" s="175" t="inlineStr">
        <is>
          <t>Violazione di sanzioni internazionali tramite triangolazioni</t>
        </is>
      </c>
      <c r="E59" s="158" t="inlineStr">
        <is>
          <t>Decisione_Stato</t>
        </is>
      </c>
      <c r="F59" s="158" t="inlineStr">
        <is>
          <t>Automatico</t>
        </is>
      </c>
      <c r="G59" s="158" t="inlineStr">
        <is>
          <t>Accettato</t>
        </is>
      </c>
      <c r="H59" s="158" t="inlineStr">
        <is>
          <t>Automatico</t>
        </is>
      </c>
      <c r="I59" s="175" t="n"/>
      <c r="J59" s="158" t="inlineStr">
        <is>
          <t>Comitato Rischi</t>
        </is>
      </c>
      <c r="K59" s="173" t="n">
        <v>46218</v>
      </c>
      <c r="L59" s="158" t="inlineStr">
        <is>
          <t>Applicata</t>
        </is>
      </c>
    </row>
    <row r="60">
      <c r="A60" s="158" t="inlineStr">
        <is>
          <t>2026Q2</t>
        </is>
      </c>
      <c r="B60" s="158" t="inlineStr">
        <is>
          <t>Rischio</t>
        </is>
      </c>
      <c r="C60" s="158" t="inlineStr">
        <is>
          <t>NFR-10</t>
        </is>
      </c>
      <c r="D60" s="175" t="inlineStr">
        <is>
          <t>Informazioni errate ai clienti da assistenti di AI generativa</t>
        </is>
      </c>
      <c r="E60" s="158" t="inlineStr">
        <is>
          <t>Impatto</t>
        </is>
      </c>
      <c r="F60" s="158" t="n">
        <v>3</v>
      </c>
      <c r="G60" s="158" t="inlineStr">
        <is>
          <t>Accettato</t>
        </is>
      </c>
      <c r="H60" s="158" t="n">
        <v>3</v>
      </c>
      <c r="I60" s="175" t="inlineStr">
        <is>
          <t>Chatbot in produzione da aprile: nessuna frequenza osservata che giustifichi 'probabile'.</t>
        </is>
      </c>
      <c r="J60" s="158" t="inlineStr">
        <is>
          <t>Comitato Rischi</t>
        </is>
      </c>
      <c r="K60" s="173" t="n">
        <v>46218</v>
      </c>
      <c r="L60" s="158" t="inlineStr">
        <is>
          <t>Applicata</t>
        </is>
      </c>
    </row>
    <row r="61">
      <c r="A61" s="158" t="inlineStr">
        <is>
          <t>2026Q2</t>
        </is>
      </c>
      <c r="B61" s="158" t="inlineStr">
        <is>
          <t>Rischio</t>
        </is>
      </c>
      <c r="C61" s="158" t="inlineStr">
        <is>
          <t>NFR-10</t>
        </is>
      </c>
      <c r="D61" s="175" t="inlineStr">
        <is>
          <t>Informazioni errate ai clienti da assistenti di AI generativa</t>
        </is>
      </c>
      <c r="E61" s="158" t="inlineStr">
        <is>
          <t>Velocity</t>
        </is>
      </c>
      <c r="F61" s="158" t="n"/>
      <c r="G61" s="158" t="inlineStr">
        <is>
          <t>Accettato</t>
        </is>
      </c>
      <c r="H61" s="158" t="n"/>
      <c r="I61" s="175" t="inlineStr">
        <is>
          <t>Chatbot in produzione da aprile: nessuna frequenza osservata che giustifichi 'probabile'.</t>
        </is>
      </c>
      <c r="J61" s="158" t="inlineStr">
        <is>
          <t>Comitato Rischi</t>
        </is>
      </c>
      <c r="K61" s="173" t="n">
        <v>46218</v>
      </c>
      <c r="L61" s="158" t="inlineStr">
        <is>
          <t>Applicata</t>
        </is>
      </c>
    </row>
    <row r="62">
      <c r="A62" s="158" t="inlineStr">
        <is>
          <t>2026Q2</t>
        </is>
      </c>
      <c r="B62" s="158" t="inlineStr">
        <is>
          <t>Rischio</t>
        </is>
      </c>
      <c r="C62" s="158" t="inlineStr">
        <is>
          <t>NFR-10</t>
        </is>
      </c>
      <c r="D62" s="175" t="inlineStr">
        <is>
          <t>Informazioni errate ai clienti da assistenti di AI generativa</t>
        </is>
      </c>
      <c r="E62" s="158" t="inlineStr">
        <is>
          <t>Prossimita</t>
        </is>
      </c>
      <c r="F62" s="158" t="n">
        <v>3</v>
      </c>
      <c r="G62" s="158" t="inlineStr">
        <is>
          <t>Accettato</t>
        </is>
      </c>
      <c r="H62" s="158" t="n">
        <v>3</v>
      </c>
      <c r="I62" s="175" t="inlineStr">
        <is>
          <t>Chatbot in produzione da aprile: nessuna frequenza osservata che giustifichi 'probabile'.</t>
        </is>
      </c>
      <c r="J62" s="158" t="inlineStr">
        <is>
          <t>Comitato Rischi</t>
        </is>
      </c>
      <c r="K62" s="173" t="n">
        <v>46218</v>
      </c>
      <c r="L62" s="158" t="inlineStr">
        <is>
          <t>Applicata</t>
        </is>
      </c>
    </row>
    <row r="63">
      <c r="A63" s="158" t="inlineStr">
        <is>
          <t>2026Q2</t>
        </is>
      </c>
      <c r="B63" s="158" t="inlineStr">
        <is>
          <t>Rischio</t>
        </is>
      </c>
      <c r="C63" s="158" t="inlineStr">
        <is>
          <t>NFR-10</t>
        </is>
      </c>
      <c r="D63" s="175" t="inlineStr">
        <is>
          <t>Informazioni errate ai clienti da assistenti di AI generativa</t>
        </is>
      </c>
      <c r="E63" s="158" t="inlineStr">
        <is>
          <t>Probabilita</t>
        </is>
      </c>
      <c r="F63" s="158" t="n">
        <v>4</v>
      </c>
      <c r="G63" s="158" t="inlineStr">
        <is>
          <t>Rettificato</t>
        </is>
      </c>
      <c r="H63" s="158" t="n">
        <v>3</v>
      </c>
      <c r="I63" s="175" t="inlineStr">
        <is>
          <t>Chatbot in produzione da aprile: nessuna frequenza osservata che giustifichi 'probabile'.</t>
        </is>
      </c>
      <c r="J63" s="158" t="inlineStr">
        <is>
          <t>Comitato Rischi</t>
        </is>
      </c>
      <c r="K63" s="173" t="n">
        <v>46218</v>
      </c>
      <c r="L63" s="158" t="inlineStr">
        <is>
          <t>Applicata</t>
        </is>
      </c>
    </row>
    <row r="64">
      <c r="A64" s="158" t="inlineStr">
        <is>
          <t>2026Q2</t>
        </is>
      </c>
      <c r="B64" s="158" t="inlineStr">
        <is>
          <t>Rischio</t>
        </is>
      </c>
      <c r="C64" s="158" t="inlineStr">
        <is>
          <t>NFR-10</t>
        </is>
      </c>
      <c r="D64" s="175" t="inlineStr">
        <is>
          <t>Informazioni errate ai clienti da assistenti di AI generativa</t>
        </is>
      </c>
      <c r="E64" s="158" t="inlineStr">
        <is>
          <t>Anni_Adeguamento</t>
        </is>
      </c>
      <c r="F64" s="158" t="n"/>
      <c r="G64" s="158" t="inlineStr">
        <is>
          <t>Accettato</t>
        </is>
      </c>
      <c r="H64" s="158" t="n"/>
      <c r="I64" s="175" t="inlineStr">
        <is>
          <t>Chatbot in produzione da aprile: nessuna frequenza osservata che giustifichi 'probabile'.</t>
        </is>
      </c>
      <c r="J64" s="158" t="inlineStr">
        <is>
          <t>Comitato Rischi</t>
        </is>
      </c>
      <c r="K64" s="173" t="n">
        <v>46218</v>
      </c>
      <c r="L64" s="158" t="inlineStr">
        <is>
          <t>Applicata</t>
        </is>
      </c>
    </row>
    <row r="65">
      <c r="A65" s="158" t="inlineStr">
        <is>
          <t>2026Q2</t>
        </is>
      </c>
      <c r="B65" s="158" t="inlineStr">
        <is>
          <t>Rischio</t>
        </is>
      </c>
      <c r="C65" s="158" t="inlineStr">
        <is>
          <t>NFR-10</t>
        </is>
      </c>
      <c r="D65" s="175" t="inlineStr">
        <is>
          <t>Informazioni errate ai clienti da assistenti di AI generativa</t>
        </is>
      </c>
      <c r="E65" s="158" t="inlineStr">
        <is>
          <t>Decisione_Stato</t>
        </is>
      </c>
      <c r="F65" s="158" t="inlineStr">
        <is>
          <t>Automatico</t>
        </is>
      </c>
      <c r="G65" s="158" t="inlineStr">
        <is>
          <t>Accettato</t>
        </is>
      </c>
      <c r="H65" s="158" t="inlineStr">
        <is>
          <t>Automatico</t>
        </is>
      </c>
      <c r="I65" s="175" t="inlineStr">
        <is>
          <t>Chatbot in produzione da aprile: nessuna frequenza osservata che giustifichi 'probabile'.</t>
        </is>
      </c>
      <c r="J65" s="158" t="inlineStr">
        <is>
          <t>Comitato Rischi</t>
        </is>
      </c>
      <c r="K65" s="173" t="n">
        <v>46218</v>
      </c>
      <c r="L65" s="158" t="inlineStr">
        <is>
          <t>Applicata</t>
        </is>
      </c>
    </row>
    <row r="66">
      <c r="A66" s="158" t="inlineStr">
        <is>
          <t>2026Q2</t>
        </is>
      </c>
      <c r="B66" s="158" t="inlineStr">
        <is>
          <t>Rischio</t>
        </is>
      </c>
      <c r="C66" s="158" t="inlineStr">
        <is>
          <t>NFR-11</t>
        </is>
      </c>
      <c r="D66" s="175" t="inlineStr">
        <is>
          <t>Fine del supporto dei sistemi di pagamento legacy</t>
        </is>
      </c>
      <c r="E66" s="158" t="inlineStr">
        <is>
          <t>Impatto</t>
        </is>
      </c>
      <c r="F66" s="158" t="n">
        <v>3</v>
      </c>
      <c r="G66" s="158" t="inlineStr">
        <is>
          <t>Accettato</t>
        </is>
      </c>
      <c r="H66" s="158" t="n">
        <v>3</v>
      </c>
      <c r="I66" s="175" t="n"/>
      <c r="J66" s="158" t="inlineStr">
        <is>
          <t>Comitato Rischi</t>
        </is>
      </c>
      <c r="K66" s="173" t="n">
        <v>46218</v>
      </c>
      <c r="L66" s="158" t="inlineStr">
        <is>
          <t>Applicata</t>
        </is>
      </c>
    </row>
    <row r="67">
      <c r="A67" s="158" t="inlineStr">
        <is>
          <t>2026Q2</t>
        </is>
      </c>
      <c r="B67" s="158" t="inlineStr">
        <is>
          <t>Rischio</t>
        </is>
      </c>
      <c r="C67" s="158" t="inlineStr">
        <is>
          <t>NFR-11</t>
        </is>
      </c>
      <c r="D67" s="175" t="inlineStr">
        <is>
          <t>Fine del supporto dei sistemi di pagamento legacy</t>
        </is>
      </c>
      <c r="E67" s="158" t="inlineStr">
        <is>
          <t>Velocity</t>
        </is>
      </c>
      <c r="F67" s="158" t="n">
        <v>2</v>
      </c>
      <c r="G67" s="158" t="inlineStr">
        <is>
          <t>Accettato</t>
        </is>
      </c>
      <c r="H67" s="158" t="n">
        <v>2</v>
      </c>
      <c r="I67" s="175" t="n"/>
      <c r="J67" s="158" t="inlineStr">
        <is>
          <t>Comitato Rischi</t>
        </is>
      </c>
      <c r="K67" s="173" t="n">
        <v>46218</v>
      </c>
      <c r="L67" s="158" t="inlineStr">
        <is>
          <t>Applicata</t>
        </is>
      </c>
    </row>
    <row r="68">
      <c r="A68" s="158" t="inlineStr">
        <is>
          <t>2026Q2</t>
        </is>
      </c>
      <c r="B68" s="158" t="inlineStr">
        <is>
          <t>Rischio</t>
        </is>
      </c>
      <c r="C68" s="158" t="inlineStr">
        <is>
          <t>NFR-11</t>
        </is>
      </c>
      <c r="D68" s="175" t="inlineStr">
        <is>
          <t>Fine del supporto dei sistemi di pagamento legacy</t>
        </is>
      </c>
      <c r="E68" s="158" t="inlineStr">
        <is>
          <t>Prossimita</t>
        </is>
      </c>
      <c r="F68" s="158" t="n">
        <v>3</v>
      </c>
      <c r="G68" s="158" t="inlineStr">
        <is>
          <t>Accettato</t>
        </is>
      </c>
      <c r="H68" s="158" t="n">
        <v>3</v>
      </c>
      <c r="I68" s="175" t="n"/>
      <c r="J68" s="158" t="inlineStr">
        <is>
          <t>Comitato Rischi</t>
        </is>
      </c>
      <c r="K68" s="173" t="n">
        <v>46218</v>
      </c>
      <c r="L68" s="158" t="inlineStr">
        <is>
          <t>Applicata</t>
        </is>
      </c>
    </row>
    <row r="69">
      <c r="A69" s="158" t="inlineStr">
        <is>
          <t>2026Q2</t>
        </is>
      </c>
      <c r="B69" s="158" t="inlineStr">
        <is>
          <t>Rischio</t>
        </is>
      </c>
      <c r="C69" s="158" t="inlineStr">
        <is>
          <t>NFR-11</t>
        </is>
      </c>
      <c r="D69" s="175" t="inlineStr">
        <is>
          <t>Fine del supporto dei sistemi di pagamento legacy</t>
        </is>
      </c>
      <c r="E69" s="158" t="inlineStr">
        <is>
          <t>Probabilita</t>
        </is>
      </c>
      <c r="F69" s="158" t="n">
        <v>3</v>
      </c>
      <c r="G69" s="158" t="inlineStr">
        <is>
          <t>Accettato</t>
        </is>
      </c>
      <c r="H69" s="158" t="n">
        <v>3</v>
      </c>
      <c r="I69" s="175" t="n"/>
      <c r="J69" s="158" t="inlineStr">
        <is>
          <t>Comitato Rischi</t>
        </is>
      </c>
      <c r="K69" s="173" t="n">
        <v>46218</v>
      </c>
      <c r="L69" s="158" t="inlineStr">
        <is>
          <t>Applicata</t>
        </is>
      </c>
    </row>
    <row r="70">
      <c r="A70" s="158" t="inlineStr">
        <is>
          <t>2026Q2</t>
        </is>
      </c>
      <c r="B70" s="158" t="inlineStr">
        <is>
          <t>Rischio</t>
        </is>
      </c>
      <c r="C70" s="158" t="inlineStr">
        <is>
          <t>NFR-11</t>
        </is>
      </c>
      <c r="D70" s="175" t="inlineStr">
        <is>
          <t>Fine del supporto dei sistemi di pagamento legacy</t>
        </is>
      </c>
      <c r="E70" s="158" t="inlineStr">
        <is>
          <t>Anni_Adeguamento</t>
        </is>
      </c>
      <c r="F70" s="158" t="n">
        <v>3</v>
      </c>
      <c r="G70" s="158" t="inlineStr">
        <is>
          <t>Accettato</t>
        </is>
      </c>
      <c r="H70" s="158" t="n">
        <v>3</v>
      </c>
      <c r="I70" s="175" t="n"/>
      <c r="J70" s="158" t="inlineStr">
        <is>
          <t>Comitato Rischi</t>
        </is>
      </c>
      <c r="K70" s="173" t="n">
        <v>46218</v>
      </c>
      <c r="L70" s="158" t="inlineStr">
        <is>
          <t>Applicata</t>
        </is>
      </c>
    </row>
    <row r="71">
      <c r="A71" s="158" t="inlineStr">
        <is>
          <t>2026Q2</t>
        </is>
      </c>
      <c r="B71" s="158" t="inlineStr">
        <is>
          <t>Rischio</t>
        </is>
      </c>
      <c r="C71" s="158" t="inlineStr">
        <is>
          <t>NFR-11</t>
        </is>
      </c>
      <c r="D71" s="175" t="inlineStr">
        <is>
          <t>Fine del supporto dei sistemi di pagamento legacy</t>
        </is>
      </c>
      <c r="E71" s="158" t="inlineStr">
        <is>
          <t>Decisione_Stato</t>
        </is>
      </c>
      <c r="F71" s="158" t="inlineStr">
        <is>
          <t>Automatico</t>
        </is>
      </c>
      <c r="G71" s="158" t="inlineStr">
        <is>
          <t>Accettato</t>
        </is>
      </c>
      <c r="H71" s="158" t="inlineStr">
        <is>
          <t>Automatico</t>
        </is>
      </c>
      <c r="I71" s="175" t="n"/>
      <c r="J71" s="158" t="inlineStr">
        <is>
          <t>Comitato Rischi</t>
        </is>
      </c>
      <c r="K71" s="173" t="n">
        <v>46218</v>
      </c>
      <c r="L71" s="158" t="inlineStr">
        <is>
          <t>Applicata</t>
        </is>
      </c>
    </row>
    <row r="72">
      <c r="A72" s="158" t="inlineStr">
        <is>
          <t>2026Q2</t>
        </is>
      </c>
      <c r="B72" s="158" t="inlineStr">
        <is>
          <t>Rischio</t>
        </is>
      </c>
      <c r="C72" s="158" t="inlineStr">
        <is>
          <t>NFR-12</t>
        </is>
      </c>
      <c r="D72" s="175" t="inlineStr">
        <is>
          <t>Errori operativi nei pagamenti istantanei obbligatori</t>
        </is>
      </c>
      <c r="E72" s="158" t="inlineStr">
        <is>
          <t>Impatto</t>
        </is>
      </c>
      <c r="F72" s="158" t="n">
        <v>3</v>
      </c>
      <c r="G72" s="158" t="inlineStr">
        <is>
          <t>Accettato</t>
        </is>
      </c>
      <c r="H72" s="158" t="n">
        <v>3</v>
      </c>
      <c r="I72" s="175" t="inlineStr">
        <is>
          <t>Casi interni documentati dal report operativo di maggio: Prossimita 4 confermata.</t>
        </is>
      </c>
      <c r="J72" s="158" t="inlineStr">
        <is>
          <t>Comitato Rischi</t>
        </is>
      </c>
      <c r="K72" s="173" t="n">
        <v>46218</v>
      </c>
      <c r="L72" s="158" t="inlineStr">
        <is>
          <t>Applicata</t>
        </is>
      </c>
    </row>
    <row r="73">
      <c r="A73" s="158" t="inlineStr">
        <is>
          <t>2026Q2</t>
        </is>
      </c>
      <c r="B73" s="158" t="inlineStr">
        <is>
          <t>Rischio</t>
        </is>
      </c>
      <c r="C73" s="158" t="inlineStr">
        <is>
          <t>NFR-12</t>
        </is>
      </c>
      <c r="D73" s="175" t="inlineStr">
        <is>
          <t>Errori operativi nei pagamenti istantanei obbligatori</t>
        </is>
      </c>
      <c r="E73" s="158" t="inlineStr">
        <is>
          <t>Velocity</t>
        </is>
      </c>
      <c r="F73" s="158" t="n">
        <v>4</v>
      </c>
      <c r="G73" s="158" t="inlineStr">
        <is>
          <t>Accettato</t>
        </is>
      </c>
      <c r="H73" s="158" t="n">
        <v>4</v>
      </c>
      <c r="I73" s="175" t="inlineStr">
        <is>
          <t>Casi interni documentati dal report operativo di maggio: Prossimita 4 confermata.</t>
        </is>
      </c>
      <c r="J73" s="158" t="inlineStr">
        <is>
          <t>Comitato Rischi</t>
        </is>
      </c>
      <c r="K73" s="173" t="n">
        <v>46218</v>
      </c>
      <c r="L73" s="158" t="inlineStr">
        <is>
          <t>Applicata</t>
        </is>
      </c>
    </row>
    <row r="74">
      <c r="A74" s="158" t="inlineStr">
        <is>
          <t>2026Q2</t>
        </is>
      </c>
      <c r="B74" s="158" t="inlineStr">
        <is>
          <t>Rischio</t>
        </is>
      </c>
      <c r="C74" s="158" t="inlineStr">
        <is>
          <t>NFR-12</t>
        </is>
      </c>
      <c r="D74" s="175" t="inlineStr">
        <is>
          <t>Errori operativi nei pagamenti istantanei obbligatori</t>
        </is>
      </c>
      <c r="E74" s="158" t="inlineStr">
        <is>
          <t>Prossimita</t>
        </is>
      </c>
      <c r="F74" s="158" t="n">
        <v>4</v>
      </c>
      <c r="G74" s="158" t="inlineStr">
        <is>
          <t>Accettato</t>
        </is>
      </c>
      <c r="H74" s="158" t="n">
        <v>4</v>
      </c>
      <c r="I74" s="175" t="inlineStr">
        <is>
          <t>Casi interni documentati dal report operativo di maggio: Prossimita 4 confermata.</t>
        </is>
      </c>
      <c r="J74" s="158" t="inlineStr">
        <is>
          <t>Comitato Rischi</t>
        </is>
      </c>
      <c r="K74" s="173" t="n">
        <v>46218</v>
      </c>
      <c r="L74" s="158" t="inlineStr">
        <is>
          <t>Applicata</t>
        </is>
      </c>
    </row>
    <row r="75">
      <c r="A75" s="158" t="inlineStr">
        <is>
          <t>2026Q2</t>
        </is>
      </c>
      <c r="B75" s="158" t="inlineStr">
        <is>
          <t>Rischio</t>
        </is>
      </c>
      <c r="C75" s="158" t="inlineStr">
        <is>
          <t>NFR-12</t>
        </is>
      </c>
      <c r="D75" s="175" t="inlineStr">
        <is>
          <t>Errori operativi nei pagamenti istantanei obbligatori</t>
        </is>
      </c>
      <c r="E75" s="158" t="inlineStr">
        <is>
          <t>Probabilita</t>
        </is>
      </c>
      <c r="F75" s="158" t="n">
        <v>4</v>
      </c>
      <c r="G75" s="158" t="inlineStr">
        <is>
          <t>Accettato</t>
        </is>
      </c>
      <c r="H75" s="158" t="n">
        <v>4</v>
      </c>
      <c r="I75" s="175" t="inlineStr">
        <is>
          <t>Casi interni documentati dal report operativo di maggio: Prossimita 4 confermata.</t>
        </is>
      </c>
      <c r="J75" s="158" t="inlineStr">
        <is>
          <t>Comitato Rischi</t>
        </is>
      </c>
      <c r="K75" s="173" t="n">
        <v>46218</v>
      </c>
      <c r="L75" s="158" t="inlineStr">
        <is>
          <t>Applicata</t>
        </is>
      </c>
    </row>
    <row r="76">
      <c r="A76" s="158" t="inlineStr">
        <is>
          <t>2026Q2</t>
        </is>
      </c>
      <c r="B76" s="158" t="inlineStr">
        <is>
          <t>Rischio</t>
        </is>
      </c>
      <c r="C76" s="158" t="inlineStr">
        <is>
          <t>NFR-12</t>
        </is>
      </c>
      <c r="D76" s="175" t="inlineStr">
        <is>
          <t>Errori operativi nei pagamenti istantanei obbligatori</t>
        </is>
      </c>
      <c r="E76" s="158" t="inlineStr">
        <is>
          <t>Anni_Adeguamento</t>
        </is>
      </c>
      <c r="F76" s="158" t="n"/>
      <c r="G76" s="158" t="inlineStr">
        <is>
          <t>Accettato</t>
        </is>
      </c>
      <c r="H76" s="158" t="n"/>
      <c r="I76" s="175" t="inlineStr">
        <is>
          <t>Casi interni documentati dal report operativo di maggio: Prossimita 4 confermata.</t>
        </is>
      </c>
      <c r="J76" s="158" t="inlineStr">
        <is>
          <t>Comitato Rischi</t>
        </is>
      </c>
      <c r="K76" s="173" t="n">
        <v>46218</v>
      </c>
      <c r="L76" s="158" t="inlineStr">
        <is>
          <t>Applicata</t>
        </is>
      </c>
    </row>
    <row r="77">
      <c r="A77" s="158" t="inlineStr">
        <is>
          <t>2026Q2</t>
        </is>
      </c>
      <c r="B77" s="158" t="inlineStr">
        <is>
          <t>Rischio</t>
        </is>
      </c>
      <c r="C77" s="158" t="inlineStr">
        <is>
          <t>NFR-12</t>
        </is>
      </c>
      <c r="D77" s="175" t="inlineStr">
        <is>
          <t>Errori operativi nei pagamenti istantanei obbligatori</t>
        </is>
      </c>
      <c r="E77" s="158" t="inlineStr">
        <is>
          <t>Decisione_Stato</t>
        </is>
      </c>
      <c r="F77" s="158" t="inlineStr">
        <is>
          <t>Automatico</t>
        </is>
      </c>
      <c r="G77" s="158" t="inlineStr">
        <is>
          <t>Accettato</t>
        </is>
      </c>
      <c r="H77" s="158" t="inlineStr">
        <is>
          <t>Automatico</t>
        </is>
      </c>
      <c r="I77" s="175" t="inlineStr">
        <is>
          <t>Casi interni documentati dal report operativo di maggio: Prossimita 4 confermata.</t>
        </is>
      </c>
      <c r="J77" s="158" t="inlineStr">
        <is>
          <t>Comitato Rischi</t>
        </is>
      </c>
      <c r="K77" s="173" t="n">
        <v>46218</v>
      </c>
      <c r="L77" s="158" t="inlineStr">
        <is>
          <t>Applicata</t>
        </is>
      </c>
    </row>
    <row r="78">
      <c r="A78" s="158" t="inlineStr">
        <is>
          <t>2026Q2</t>
        </is>
      </c>
      <c r="B78" s="158" t="inlineStr">
        <is>
          <t>Rischio</t>
        </is>
      </c>
      <c r="C78" s="158" t="inlineStr">
        <is>
          <t>NFR-14</t>
        </is>
      </c>
      <c r="D78" s="175" t="inlineStr">
        <is>
          <t>Interruzione di cavi sottomarini per una crisi geopolitica</t>
        </is>
      </c>
      <c r="E78" s="158" t="inlineStr">
        <is>
          <t>Impatto</t>
        </is>
      </c>
      <c r="F78" s="158" t="n">
        <v>4</v>
      </c>
      <c r="G78" s="158" t="inlineStr">
        <is>
          <t>Accettato</t>
        </is>
      </c>
      <c r="H78" s="158" t="n">
        <v>4</v>
      </c>
      <c r="I78" s="175" t="n"/>
      <c r="J78" s="158" t="inlineStr">
        <is>
          <t>Comitato Rischi</t>
        </is>
      </c>
      <c r="K78" s="173" t="n">
        <v>46218</v>
      </c>
      <c r="L78" s="158" t="inlineStr">
        <is>
          <t>Applicata</t>
        </is>
      </c>
    </row>
    <row r="79">
      <c r="A79" s="158" t="inlineStr">
        <is>
          <t>2026Q2</t>
        </is>
      </c>
      <c r="B79" s="158" t="inlineStr">
        <is>
          <t>Rischio</t>
        </is>
      </c>
      <c r="C79" s="158" t="inlineStr">
        <is>
          <t>NFR-14</t>
        </is>
      </c>
      <c r="D79" s="175" t="inlineStr">
        <is>
          <t>Interruzione di cavi sottomarini per una crisi geopolitica</t>
        </is>
      </c>
      <c r="E79" s="158" t="inlineStr">
        <is>
          <t>Velocity</t>
        </is>
      </c>
      <c r="F79" s="158" t="n">
        <v>4</v>
      </c>
      <c r="G79" s="158" t="inlineStr">
        <is>
          <t>Accettato</t>
        </is>
      </c>
      <c r="H79" s="158" t="n">
        <v>4</v>
      </c>
      <c r="I79" s="175" t="n"/>
      <c r="J79" s="158" t="inlineStr">
        <is>
          <t>Comitato Rischi</t>
        </is>
      </c>
      <c r="K79" s="173" t="n">
        <v>46218</v>
      </c>
      <c r="L79" s="158" t="inlineStr">
        <is>
          <t>Applicata</t>
        </is>
      </c>
    </row>
    <row r="80">
      <c r="A80" s="158" t="inlineStr">
        <is>
          <t>2026Q2</t>
        </is>
      </c>
      <c r="B80" s="158" t="inlineStr">
        <is>
          <t>Rischio</t>
        </is>
      </c>
      <c r="C80" s="158" t="inlineStr">
        <is>
          <t>NFR-14</t>
        </is>
      </c>
      <c r="D80" s="175" t="inlineStr">
        <is>
          <t>Interruzione di cavi sottomarini per una crisi geopolitica</t>
        </is>
      </c>
      <c r="E80" s="158" t="inlineStr">
        <is>
          <t>Prossimita</t>
        </is>
      </c>
      <c r="F80" s="158" t="n">
        <v>1</v>
      </c>
      <c r="G80" s="158" t="inlineStr">
        <is>
          <t>Accettato</t>
        </is>
      </c>
      <c r="H80" s="158" t="n">
        <v>1</v>
      </c>
      <c r="I80" s="175" t="n"/>
      <c r="J80" s="158" t="inlineStr">
        <is>
          <t>Comitato Rischi</t>
        </is>
      </c>
      <c r="K80" s="173" t="n">
        <v>46218</v>
      </c>
      <c r="L80" s="158" t="inlineStr">
        <is>
          <t>Applicata</t>
        </is>
      </c>
    </row>
    <row r="81">
      <c r="A81" s="158" t="inlineStr">
        <is>
          <t>2026Q2</t>
        </is>
      </c>
      <c r="B81" s="158" t="inlineStr">
        <is>
          <t>Rischio</t>
        </is>
      </c>
      <c r="C81" s="158" t="inlineStr">
        <is>
          <t>NFR-14</t>
        </is>
      </c>
      <c r="D81" s="175" t="inlineStr">
        <is>
          <t>Interruzione di cavi sottomarini per una crisi geopolitica</t>
        </is>
      </c>
      <c r="E81" s="158" t="inlineStr">
        <is>
          <t>Probabilita</t>
        </is>
      </c>
      <c r="F81" s="158" t="n">
        <v>2</v>
      </c>
      <c r="G81" s="158" t="inlineStr">
        <is>
          <t>Accettato</t>
        </is>
      </c>
      <c r="H81" s="158" t="n">
        <v>2</v>
      </c>
      <c r="I81" s="175" t="n"/>
      <c r="J81" s="158" t="inlineStr">
        <is>
          <t>Comitato Rischi</t>
        </is>
      </c>
      <c r="K81" s="173" t="n">
        <v>46218</v>
      </c>
      <c r="L81" s="158" t="inlineStr">
        <is>
          <t>Applicata</t>
        </is>
      </c>
    </row>
    <row r="82">
      <c r="A82" s="158" t="inlineStr">
        <is>
          <t>2026Q2</t>
        </is>
      </c>
      <c r="B82" s="158" t="inlineStr">
        <is>
          <t>Rischio</t>
        </is>
      </c>
      <c r="C82" s="158" t="inlineStr">
        <is>
          <t>NFR-14</t>
        </is>
      </c>
      <c r="D82" s="175" t="inlineStr">
        <is>
          <t>Interruzione di cavi sottomarini per una crisi geopolitica</t>
        </is>
      </c>
      <c r="E82" s="158" t="inlineStr">
        <is>
          <t>Anni_Adeguamento</t>
        </is>
      </c>
      <c r="F82" s="158" t="n"/>
      <c r="G82" s="158" t="inlineStr">
        <is>
          <t>Accettato</t>
        </is>
      </c>
      <c r="H82" s="158" t="n"/>
      <c r="I82" s="175" t="n"/>
      <c r="J82" s="158" t="inlineStr">
        <is>
          <t>Comitato Rischi</t>
        </is>
      </c>
      <c r="K82" s="173" t="n">
        <v>46218</v>
      </c>
      <c r="L82" s="158" t="inlineStr">
        <is>
          <t>Applicata</t>
        </is>
      </c>
    </row>
    <row r="83">
      <c r="A83" s="158" t="inlineStr">
        <is>
          <t>2026Q2</t>
        </is>
      </c>
      <c r="B83" s="158" t="inlineStr">
        <is>
          <t>Rischio</t>
        </is>
      </c>
      <c r="C83" s="158" t="inlineStr">
        <is>
          <t>NFR-14</t>
        </is>
      </c>
      <c r="D83" s="175" t="inlineStr">
        <is>
          <t>Interruzione di cavi sottomarini per una crisi geopolitica</t>
        </is>
      </c>
      <c r="E83" s="158" t="inlineStr">
        <is>
          <t>Decisione_Stato</t>
        </is>
      </c>
      <c r="F83" s="158" t="inlineStr">
        <is>
          <t>Automatico</t>
        </is>
      </c>
      <c r="G83" s="158" t="inlineStr">
        <is>
          <t>Accettato</t>
        </is>
      </c>
      <c r="H83" s="158" t="inlineStr">
        <is>
          <t>Automatico</t>
        </is>
      </c>
      <c r="I83" s="175" t="n"/>
      <c r="J83" s="158" t="inlineStr">
        <is>
          <t>Comitato Rischi</t>
        </is>
      </c>
      <c r="K83" s="173" t="n">
        <v>46218</v>
      </c>
      <c r="L83" s="158" t="inlineStr">
        <is>
          <t>Applicata</t>
        </is>
      </c>
    </row>
    <row r="84">
      <c r="A84" s="158" t="inlineStr">
        <is>
          <t>2026Q2</t>
        </is>
      </c>
      <c r="B84" s="158" t="inlineStr">
        <is>
          <t>Rischio</t>
        </is>
      </c>
      <c r="C84" s="158" t="inlineStr">
        <is>
          <t>NFR-15</t>
        </is>
      </c>
      <c r="D84" s="175" t="inlineStr">
        <is>
          <t>Responsabilita' per decisioni di agenti di IA autonomi verso i clienti</t>
        </is>
      </c>
      <c r="E84" s="158" t="inlineStr">
        <is>
          <t>Impatto</t>
        </is>
      </c>
      <c r="F84" s="158" t="n">
        <v>3</v>
      </c>
      <c r="G84" s="158" t="inlineStr">
        <is>
          <t>Accettato</t>
        </is>
      </c>
      <c r="H84" s="158" t="n">
        <v>3</v>
      </c>
      <c r="I84" s="175" t="n"/>
      <c r="J84" s="158" t="inlineStr">
        <is>
          <t>Comitato Rischi</t>
        </is>
      </c>
      <c r="K84" s="173" t="n">
        <v>46218</v>
      </c>
      <c r="L84" s="158" t="inlineStr">
        <is>
          <t>Applicata</t>
        </is>
      </c>
    </row>
    <row r="85">
      <c r="A85" s="158" t="inlineStr">
        <is>
          <t>2026Q2</t>
        </is>
      </c>
      <c r="B85" s="158" t="inlineStr">
        <is>
          <t>Rischio</t>
        </is>
      </c>
      <c r="C85" s="158" t="inlineStr">
        <is>
          <t>NFR-15</t>
        </is>
      </c>
      <c r="D85" s="175" t="inlineStr">
        <is>
          <t>Responsabilita' per decisioni di agenti di IA autonomi verso i clienti</t>
        </is>
      </c>
      <c r="E85" s="158" t="inlineStr">
        <is>
          <t>Velocity</t>
        </is>
      </c>
      <c r="F85" s="158" t="n"/>
      <c r="G85" s="158" t="inlineStr">
        <is>
          <t>Accettato</t>
        </is>
      </c>
      <c r="H85" s="158" t="n"/>
      <c r="I85" s="175" t="n"/>
      <c r="J85" s="158" t="inlineStr">
        <is>
          <t>Comitato Rischi</t>
        </is>
      </c>
      <c r="K85" s="173" t="n">
        <v>46218</v>
      </c>
      <c r="L85" s="158" t="inlineStr">
        <is>
          <t>Applicata</t>
        </is>
      </c>
    </row>
    <row r="86">
      <c r="A86" s="158" t="inlineStr">
        <is>
          <t>2026Q2</t>
        </is>
      </c>
      <c r="B86" s="158" t="inlineStr">
        <is>
          <t>Rischio</t>
        </is>
      </c>
      <c r="C86" s="158" t="inlineStr">
        <is>
          <t>NFR-15</t>
        </is>
      </c>
      <c r="D86" s="175" t="inlineStr">
        <is>
          <t>Responsabilita' per decisioni di agenti di IA autonomi verso i clienti</t>
        </is>
      </c>
      <c r="E86" s="158" t="inlineStr">
        <is>
          <t>Prossimita</t>
        </is>
      </c>
      <c r="F86" s="158" t="n">
        <v>2</v>
      </c>
      <c r="G86" s="158" t="inlineStr">
        <is>
          <t>Accettato</t>
        </is>
      </c>
      <c r="H86" s="158" t="n">
        <v>2</v>
      </c>
      <c r="I86" s="175" t="n"/>
      <c r="J86" s="158" t="inlineStr">
        <is>
          <t>Comitato Rischi</t>
        </is>
      </c>
      <c r="K86" s="173" t="n">
        <v>46218</v>
      </c>
      <c r="L86" s="158" t="inlineStr">
        <is>
          <t>Applicata</t>
        </is>
      </c>
    </row>
    <row r="87">
      <c r="A87" s="158" t="inlineStr">
        <is>
          <t>2026Q2</t>
        </is>
      </c>
      <c r="B87" s="158" t="inlineStr">
        <is>
          <t>Rischio</t>
        </is>
      </c>
      <c r="C87" s="158" t="inlineStr">
        <is>
          <t>NFR-15</t>
        </is>
      </c>
      <c r="D87" s="175" t="inlineStr">
        <is>
          <t>Responsabilita' per decisioni di agenti di IA autonomi verso i clienti</t>
        </is>
      </c>
      <c r="E87" s="158" t="inlineStr">
        <is>
          <t>Probabilita</t>
        </is>
      </c>
      <c r="F87" s="158" t="n">
        <v>1</v>
      </c>
      <c r="G87" s="158" t="inlineStr">
        <is>
          <t>Accettato</t>
        </is>
      </c>
      <c r="H87" s="158" t="n">
        <v>1</v>
      </c>
      <c r="I87" s="175" t="n"/>
      <c r="J87" s="158" t="inlineStr">
        <is>
          <t>Comitato Rischi</t>
        </is>
      </c>
      <c r="K87" s="173" t="n">
        <v>46218</v>
      </c>
      <c r="L87" s="158" t="inlineStr">
        <is>
          <t>Applicata</t>
        </is>
      </c>
    </row>
    <row r="88">
      <c r="A88" s="158" t="inlineStr">
        <is>
          <t>2026Q2</t>
        </is>
      </c>
      <c r="B88" s="158" t="inlineStr">
        <is>
          <t>Rischio</t>
        </is>
      </c>
      <c r="C88" s="158" t="inlineStr">
        <is>
          <t>NFR-15</t>
        </is>
      </c>
      <c r="D88" s="175" t="inlineStr">
        <is>
          <t>Responsabilita' per decisioni di agenti di IA autonomi verso i clienti</t>
        </is>
      </c>
      <c r="E88" s="158" t="inlineStr">
        <is>
          <t>Anni_Adeguamento</t>
        </is>
      </c>
      <c r="F88" s="158" t="n"/>
      <c r="G88" s="158" t="inlineStr">
        <is>
          <t>Accettato</t>
        </is>
      </c>
      <c r="H88" s="158" t="n"/>
      <c r="I88" s="175" t="n"/>
      <c r="J88" s="158" t="inlineStr">
        <is>
          <t>Comitato Rischi</t>
        </is>
      </c>
      <c r="K88" s="173" t="n">
        <v>46218</v>
      </c>
      <c r="L88" s="158" t="inlineStr">
        <is>
          <t>Applicata</t>
        </is>
      </c>
    </row>
    <row r="89">
      <c r="A89" s="158" t="inlineStr">
        <is>
          <t>2026Q2</t>
        </is>
      </c>
      <c r="B89" s="158" t="inlineStr">
        <is>
          <t>Rischio</t>
        </is>
      </c>
      <c r="C89" s="158" t="inlineStr">
        <is>
          <t>NFR-15</t>
        </is>
      </c>
      <c r="D89" s="175" t="inlineStr">
        <is>
          <t>Responsabilita' per decisioni di agenti di IA autonomi verso i clienti</t>
        </is>
      </c>
      <c r="E89" s="158" t="inlineStr">
        <is>
          <t>Decisione_Stato</t>
        </is>
      </c>
      <c r="F89" s="158" t="inlineStr">
        <is>
          <t>Automatico</t>
        </is>
      </c>
      <c r="G89" s="158" t="inlineStr">
        <is>
          <t>Accettato</t>
        </is>
      </c>
      <c r="H89" s="158" t="inlineStr">
        <is>
          <t>Automatico</t>
        </is>
      </c>
      <c r="I89" s="175" t="n"/>
      <c r="J89" s="158" t="inlineStr">
        <is>
          <t>Comitato Rischi</t>
        </is>
      </c>
      <c r="K89" s="173" t="n">
        <v>46218</v>
      </c>
      <c r="L89" s="158" t="inlineStr">
        <is>
          <t>Applicata</t>
        </is>
      </c>
    </row>
    <row r="90">
      <c r="A90" s="158" t="inlineStr">
        <is>
          <t>2026Q2</t>
        </is>
      </c>
      <c r="B90" s="158" t="inlineStr">
        <is>
          <t>KRI</t>
        </is>
      </c>
      <c r="C90" s="158" t="inlineStr">
        <is>
          <t>NFR-01-K1</t>
        </is>
      </c>
      <c r="D90" s="175" t="inlineStr">
        <is>
          <t>Tentativi di frode APP per 10.000 bonifici istantanei</t>
        </is>
      </c>
      <c r="E90" s="158" t="inlineStr">
        <is>
          <t>Valore_Corrente</t>
        </is>
      </c>
      <c r="F90" s="158" t="n">
        <v>4.2</v>
      </c>
      <c r="G90" s="158" t="inlineStr">
        <is>
          <t>Accettato</t>
        </is>
      </c>
      <c r="H90" s="158" t="n">
        <v>4.2</v>
      </c>
      <c r="I90" s="175" t="n"/>
      <c r="J90" s="158" t="inlineStr">
        <is>
          <t>Comitato Rischi</t>
        </is>
      </c>
      <c r="K90" s="173" t="n">
        <v>46218</v>
      </c>
      <c r="L90" s="158" t="inlineStr">
        <is>
          <t>Applicata</t>
        </is>
      </c>
    </row>
    <row r="91">
      <c r="A91" s="158" t="inlineStr">
        <is>
          <t>2026Q2</t>
        </is>
      </c>
      <c r="B91" s="158" t="inlineStr">
        <is>
          <t>KRI</t>
        </is>
      </c>
      <c r="C91" s="158" t="inlineStr">
        <is>
          <t>NFR-01-K1</t>
        </is>
      </c>
      <c r="D91" s="175" t="inlineStr">
        <is>
          <t>Tentativi di frode APP per 10.000 bonifici istantanei</t>
        </is>
      </c>
      <c r="E91" s="158" t="inlineStr">
        <is>
          <t>Soglia_Attenzione</t>
        </is>
      </c>
      <c r="F91" s="158" t="n">
        <v>3</v>
      </c>
      <c r="G91" s="158" t="inlineStr">
        <is>
          <t>Accettato</t>
        </is>
      </c>
      <c r="H91" s="158" t="n">
        <v>3</v>
      </c>
      <c r="I91" s="175" t="n"/>
      <c r="J91" s="158" t="inlineStr">
        <is>
          <t>Comitato Rischi</t>
        </is>
      </c>
      <c r="K91" s="173" t="n">
        <v>46218</v>
      </c>
      <c r="L91" s="158" t="inlineStr">
        <is>
          <t>Applicata</t>
        </is>
      </c>
    </row>
    <row r="92">
      <c r="A92" s="158" t="inlineStr">
        <is>
          <t>2026Q2</t>
        </is>
      </c>
      <c r="B92" s="158" t="inlineStr">
        <is>
          <t>KRI</t>
        </is>
      </c>
      <c r="C92" s="158" t="inlineStr">
        <is>
          <t>NFR-01-K1</t>
        </is>
      </c>
      <c r="D92" s="175" t="inlineStr">
        <is>
          <t>Tentativi di frode APP per 10.000 bonifici istantanei</t>
        </is>
      </c>
      <c r="E92" s="158" t="inlineStr">
        <is>
          <t>Soglia_Allerta</t>
        </is>
      </c>
      <c r="F92" s="158" t="n">
        <v>6</v>
      </c>
      <c r="G92" s="158" t="inlineStr">
        <is>
          <t>Accettato</t>
        </is>
      </c>
      <c r="H92" s="158" t="n">
        <v>6</v>
      </c>
      <c r="I92" s="175" t="n"/>
      <c r="J92" s="158" t="inlineStr">
        <is>
          <t>Comitato Rischi</t>
        </is>
      </c>
      <c r="K92" s="173" t="n">
        <v>46218</v>
      </c>
      <c r="L92" s="158" t="inlineStr">
        <is>
          <t>Applicata</t>
        </is>
      </c>
    </row>
    <row r="93">
      <c r="A93" s="158" t="inlineStr">
        <is>
          <t>2026Q2</t>
        </is>
      </c>
      <c r="B93" s="158" t="inlineStr">
        <is>
          <t>KRI</t>
        </is>
      </c>
      <c r="C93" s="158" t="inlineStr">
        <is>
          <t>NFR-01-K3</t>
        </is>
      </c>
      <c r="D93" s="175" t="inlineStr">
        <is>
          <t>Tempo medio di blocco di un beneficiario fraudolento</t>
        </is>
      </c>
      <c r="E93" s="158" t="inlineStr">
        <is>
          <t>Valore_Corrente</t>
        </is>
      </c>
      <c r="F93" s="158" t="n">
        <v>2.5</v>
      </c>
      <c r="G93" s="158" t="inlineStr">
        <is>
          <t>Accettato</t>
        </is>
      </c>
      <c r="H93" s="158" t="n">
        <v>2.5</v>
      </c>
      <c r="I93" s="175" t="n"/>
      <c r="J93" s="158" t="inlineStr">
        <is>
          <t>Comitato Rischi</t>
        </is>
      </c>
      <c r="K93" s="173" t="n">
        <v>46218</v>
      </c>
      <c r="L93" s="158" t="inlineStr">
        <is>
          <t>Applicata</t>
        </is>
      </c>
    </row>
    <row r="94">
      <c r="A94" s="158" t="inlineStr">
        <is>
          <t>2026Q2</t>
        </is>
      </c>
      <c r="B94" s="158" t="inlineStr">
        <is>
          <t>KRI</t>
        </is>
      </c>
      <c r="C94" s="158" t="inlineStr">
        <is>
          <t>NFR-01-K3</t>
        </is>
      </c>
      <c r="D94" s="175" t="inlineStr">
        <is>
          <t>Tempo medio di blocco di un beneficiario fraudolento</t>
        </is>
      </c>
      <c r="E94" s="158" t="inlineStr">
        <is>
          <t>Soglia_Attenzione</t>
        </is>
      </c>
      <c r="F94" s="158" t="n">
        <v>4</v>
      </c>
      <c r="G94" s="158" t="inlineStr">
        <is>
          <t>Accettato</t>
        </is>
      </c>
      <c r="H94" s="158" t="n">
        <v>4</v>
      </c>
      <c r="I94" s="175" t="n"/>
      <c r="J94" s="158" t="inlineStr">
        <is>
          <t>Comitato Rischi</t>
        </is>
      </c>
      <c r="K94" s="173" t="n">
        <v>46218</v>
      </c>
      <c r="L94" s="158" t="inlineStr">
        <is>
          <t>Applicata</t>
        </is>
      </c>
    </row>
    <row r="95">
      <c r="A95" s="158" t="inlineStr">
        <is>
          <t>2026Q2</t>
        </is>
      </c>
      <c r="B95" s="158" t="inlineStr">
        <is>
          <t>KRI</t>
        </is>
      </c>
      <c r="C95" s="158" t="inlineStr">
        <is>
          <t>NFR-01-K3</t>
        </is>
      </c>
      <c r="D95" s="175" t="inlineStr">
        <is>
          <t>Tempo medio di blocco di un beneficiario fraudolento</t>
        </is>
      </c>
      <c r="E95" s="158" t="inlineStr">
        <is>
          <t>Soglia_Allerta</t>
        </is>
      </c>
      <c r="F95" s="158" t="n">
        <v>12</v>
      </c>
      <c r="G95" s="158" t="inlineStr">
        <is>
          <t>Accettato</t>
        </is>
      </c>
      <c r="H95" s="158" t="n">
        <v>12</v>
      </c>
      <c r="I95" s="175" t="n"/>
      <c r="J95" s="158" t="inlineStr">
        <is>
          <t>Comitato Rischi</t>
        </is>
      </c>
      <c r="K95" s="173" t="n">
        <v>46218</v>
      </c>
      <c r="L95" s="158" t="inlineStr">
        <is>
          <t>Applicata</t>
        </is>
      </c>
    </row>
    <row r="96">
      <c r="A96" s="158" t="inlineStr">
        <is>
          <t>2026Q2</t>
        </is>
      </c>
      <c r="B96" s="158" t="inlineStr">
        <is>
          <t>KRI</t>
        </is>
      </c>
      <c r="C96" s="158" t="inlineStr">
        <is>
          <t>NFR-02-K1</t>
        </is>
      </c>
      <c r="D96" s="175" t="inlineStr">
        <is>
          <t>Quota di servizi critici sul fornitore cloud principale</t>
        </is>
      </c>
      <c r="E96" s="158" t="inlineStr">
        <is>
          <t>Valore_Corrente</t>
        </is>
      </c>
      <c r="F96" s="158" t="n">
        <v>78</v>
      </c>
      <c r="G96" s="158" t="inlineStr">
        <is>
          <t>Accettato</t>
        </is>
      </c>
      <c r="H96" s="158" t="n">
        <v>78</v>
      </c>
      <c r="I96" s="175" t="n"/>
      <c r="J96" s="158" t="inlineStr">
        <is>
          <t>Comitato Rischi</t>
        </is>
      </c>
      <c r="K96" s="173" t="n">
        <v>46218</v>
      </c>
      <c r="L96" s="158" t="inlineStr">
        <is>
          <t>Applicata</t>
        </is>
      </c>
    </row>
    <row r="97">
      <c r="A97" s="158" t="inlineStr">
        <is>
          <t>2026Q2</t>
        </is>
      </c>
      <c r="B97" s="158" t="inlineStr">
        <is>
          <t>KRI</t>
        </is>
      </c>
      <c r="C97" s="158" t="inlineStr">
        <is>
          <t>NFR-02-K1</t>
        </is>
      </c>
      <c r="D97" s="175" t="inlineStr">
        <is>
          <t>Quota di servizi critici sul fornitore cloud principale</t>
        </is>
      </c>
      <c r="E97" s="158" t="inlineStr">
        <is>
          <t>Soglia_Attenzione</t>
        </is>
      </c>
      <c r="F97" s="158" t="n">
        <v>60</v>
      </c>
      <c r="G97" s="158" t="inlineStr">
        <is>
          <t>Accettato</t>
        </is>
      </c>
      <c r="H97" s="158" t="n">
        <v>60</v>
      </c>
      <c r="I97" s="175" t="n"/>
      <c r="J97" s="158" t="inlineStr">
        <is>
          <t>Comitato Rischi</t>
        </is>
      </c>
      <c r="K97" s="173" t="n">
        <v>46218</v>
      </c>
      <c r="L97" s="158" t="inlineStr">
        <is>
          <t>Applicata</t>
        </is>
      </c>
    </row>
    <row r="98">
      <c r="A98" s="158" t="inlineStr">
        <is>
          <t>2026Q2</t>
        </is>
      </c>
      <c r="B98" s="158" t="inlineStr">
        <is>
          <t>KRI</t>
        </is>
      </c>
      <c r="C98" s="158" t="inlineStr">
        <is>
          <t>NFR-02-K1</t>
        </is>
      </c>
      <c r="D98" s="175" t="inlineStr">
        <is>
          <t>Quota di servizi critici sul fornitore cloud principale</t>
        </is>
      </c>
      <c r="E98" s="158" t="inlineStr">
        <is>
          <t>Soglia_Allerta</t>
        </is>
      </c>
      <c r="F98" s="158" t="n">
        <v>75</v>
      </c>
      <c r="G98" s="158" t="inlineStr">
        <is>
          <t>Accettato</t>
        </is>
      </c>
      <c r="H98" s="158" t="n">
        <v>75</v>
      </c>
      <c r="I98" s="175" t="n"/>
      <c r="J98" s="158" t="inlineStr">
        <is>
          <t>Comitato Rischi</t>
        </is>
      </c>
      <c r="K98" s="173" t="n">
        <v>46218</v>
      </c>
      <c r="L98" s="158" t="inlineStr">
        <is>
          <t>Applicata</t>
        </is>
      </c>
    </row>
    <row r="99">
      <c r="A99" s="158" t="inlineStr">
        <is>
          <t>2026Q2</t>
        </is>
      </c>
      <c r="B99" s="158" t="inlineStr">
        <is>
          <t>KRI</t>
        </is>
      </c>
      <c r="C99" s="158" t="inlineStr">
        <is>
          <t>NFR-02-K2</t>
        </is>
      </c>
      <c r="D99" s="175" t="inlineStr">
        <is>
          <t>Incidenti dei fornitori cloud critici con impatto sui servizi nel trimestre</t>
        </is>
      </c>
      <c r="E99" s="158" t="inlineStr">
        <is>
          <t>Valore_Corrente</t>
        </is>
      </c>
      <c r="F99" s="158" t="n">
        <v>1</v>
      </c>
      <c r="G99" s="158" t="inlineStr">
        <is>
          <t>Accettato</t>
        </is>
      </c>
      <c r="H99" s="158" t="n">
        <v>1</v>
      </c>
      <c r="I99" s="175" t="n"/>
      <c r="J99" s="158" t="inlineStr">
        <is>
          <t>Comitato Rischi</t>
        </is>
      </c>
      <c r="K99" s="173" t="n">
        <v>46218</v>
      </c>
      <c r="L99" s="158" t="inlineStr">
        <is>
          <t>Applicata</t>
        </is>
      </c>
    </row>
    <row r="100">
      <c r="A100" s="158" t="inlineStr">
        <is>
          <t>2026Q2</t>
        </is>
      </c>
      <c r="B100" s="158" t="inlineStr">
        <is>
          <t>KRI</t>
        </is>
      </c>
      <c r="C100" s="158" t="inlineStr">
        <is>
          <t>NFR-02-K2</t>
        </is>
      </c>
      <c r="D100" s="175" t="inlineStr">
        <is>
          <t>Incidenti dei fornitori cloud critici con impatto sui servizi nel trimestre</t>
        </is>
      </c>
      <c r="E100" s="158" t="inlineStr">
        <is>
          <t>Soglia_Attenzione</t>
        </is>
      </c>
      <c r="F100" s="158" t="n">
        <v>2</v>
      </c>
      <c r="G100" s="158" t="inlineStr">
        <is>
          <t>Accettato</t>
        </is>
      </c>
      <c r="H100" s="158" t="n">
        <v>2</v>
      </c>
      <c r="I100" s="175" t="n"/>
      <c r="J100" s="158" t="inlineStr">
        <is>
          <t>Comitato Rischi</t>
        </is>
      </c>
      <c r="K100" s="173" t="n">
        <v>46218</v>
      </c>
      <c r="L100" s="158" t="inlineStr">
        <is>
          <t>Applicata</t>
        </is>
      </c>
    </row>
    <row r="101">
      <c r="A101" s="158" t="inlineStr">
        <is>
          <t>2026Q2</t>
        </is>
      </c>
      <c r="B101" s="158" t="inlineStr">
        <is>
          <t>KRI</t>
        </is>
      </c>
      <c r="C101" s="158" t="inlineStr">
        <is>
          <t>NFR-02-K2</t>
        </is>
      </c>
      <c r="D101" s="175" t="inlineStr">
        <is>
          <t>Incidenti dei fornitori cloud critici con impatto sui servizi nel trimestre</t>
        </is>
      </c>
      <c r="E101" s="158" t="inlineStr">
        <is>
          <t>Soglia_Allerta</t>
        </is>
      </c>
      <c r="F101" s="158" t="n">
        <v>4</v>
      </c>
      <c r="G101" s="158" t="inlineStr">
        <is>
          <t>Accettato</t>
        </is>
      </c>
      <c r="H101" s="158" t="n">
        <v>4</v>
      </c>
      <c r="I101" s="175" t="n"/>
      <c r="J101" s="158" t="inlineStr">
        <is>
          <t>Comitato Rischi</t>
        </is>
      </c>
      <c r="K101" s="173" t="n">
        <v>46218</v>
      </c>
      <c r="L101" s="158" t="inlineStr">
        <is>
          <t>Applicata</t>
        </is>
      </c>
    </row>
    <row r="102">
      <c r="A102" s="158" t="inlineStr">
        <is>
          <t>2026Q2</t>
        </is>
      </c>
      <c r="B102" s="158" t="inlineStr">
        <is>
          <t>KRI</t>
        </is>
      </c>
      <c r="C102" s="158" t="inlineStr">
        <is>
          <t>NFR-03-K1</t>
        </is>
      </c>
      <c r="D102" s="175" t="inlineStr">
        <is>
          <t>Reclami su prodotti ESG ogni 1.000 contratti</t>
        </is>
      </c>
      <c r="E102" s="158" t="inlineStr">
        <is>
          <t>Valore_Corrente</t>
        </is>
      </c>
      <c r="F102" s="158" t="n">
        <v>0.8</v>
      </c>
      <c r="G102" s="158" t="inlineStr">
        <is>
          <t>Accettato</t>
        </is>
      </c>
      <c r="H102" s="158" t="n">
        <v>0.8</v>
      </c>
      <c r="I102" s="175" t="n"/>
      <c r="J102" s="158" t="inlineStr">
        <is>
          <t>Comitato Rischi</t>
        </is>
      </c>
      <c r="K102" s="173" t="n">
        <v>46218</v>
      </c>
      <c r="L102" s="158" t="inlineStr">
        <is>
          <t>Applicata</t>
        </is>
      </c>
    </row>
    <row r="103">
      <c r="A103" s="158" t="inlineStr">
        <is>
          <t>2026Q2</t>
        </is>
      </c>
      <c r="B103" s="158" t="inlineStr">
        <is>
          <t>KRI</t>
        </is>
      </c>
      <c r="C103" s="158" t="inlineStr">
        <is>
          <t>NFR-03-K1</t>
        </is>
      </c>
      <c r="D103" s="175" t="inlineStr">
        <is>
          <t>Reclami su prodotti ESG ogni 1.000 contratti</t>
        </is>
      </c>
      <c r="E103" s="158" t="inlineStr">
        <is>
          <t>Soglia_Attenzione</t>
        </is>
      </c>
      <c r="F103" s="158" t="n">
        <v>1.5</v>
      </c>
      <c r="G103" s="158" t="inlineStr">
        <is>
          <t>Accettato</t>
        </is>
      </c>
      <c r="H103" s="158" t="n">
        <v>1.5</v>
      </c>
      <c r="I103" s="175" t="n"/>
      <c r="J103" s="158" t="inlineStr">
        <is>
          <t>Comitato Rischi</t>
        </is>
      </c>
      <c r="K103" s="173" t="n">
        <v>46218</v>
      </c>
      <c r="L103" s="158" t="inlineStr">
        <is>
          <t>Applicata</t>
        </is>
      </c>
    </row>
    <row r="104">
      <c r="A104" s="158" t="inlineStr">
        <is>
          <t>2026Q2</t>
        </is>
      </c>
      <c r="B104" s="158" t="inlineStr">
        <is>
          <t>KRI</t>
        </is>
      </c>
      <c r="C104" s="158" t="inlineStr">
        <is>
          <t>NFR-03-K1</t>
        </is>
      </c>
      <c r="D104" s="175" t="inlineStr">
        <is>
          <t>Reclami su prodotti ESG ogni 1.000 contratti</t>
        </is>
      </c>
      <c r="E104" s="158" t="inlineStr">
        <is>
          <t>Soglia_Allerta</t>
        </is>
      </c>
      <c r="F104" s="158" t="n">
        <v>3</v>
      </c>
      <c r="G104" s="158" t="inlineStr">
        <is>
          <t>Accettato</t>
        </is>
      </c>
      <c r="H104" s="158" t="n">
        <v>3</v>
      </c>
      <c r="I104" s="175" t="n"/>
      <c r="J104" s="158" t="inlineStr">
        <is>
          <t>Comitato Rischi</t>
        </is>
      </c>
      <c r="K104" s="173" t="n">
        <v>46218</v>
      </c>
      <c r="L104" s="158" t="inlineStr">
        <is>
          <t>Applicata</t>
        </is>
      </c>
    </row>
    <row r="105">
      <c r="A105" s="158" t="inlineStr">
        <is>
          <t>2026Q2</t>
        </is>
      </c>
      <c r="B105" s="158" t="inlineStr">
        <is>
          <t>KRI</t>
        </is>
      </c>
      <c r="C105" s="158" t="inlineStr">
        <is>
          <t>NFR-03-K2</t>
        </is>
      </c>
      <c r="D105" s="175" t="inlineStr">
        <is>
          <t>Quota di prodotti ESG senza revisione dei claim nell'anno</t>
        </is>
      </c>
      <c r="E105" s="158" t="inlineStr">
        <is>
          <t>Valore_Corrente</t>
        </is>
      </c>
      <c r="F105" s="158" t="n"/>
      <c r="G105" s="158" t="inlineStr">
        <is>
          <t>Accettato</t>
        </is>
      </c>
      <c r="H105" s="158" t="n"/>
      <c r="I105" s="175" t="n"/>
      <c r="J105" s="158" t="inlineStr">
        <is>
          <t>Comitato Rischi</t>
        </is>
      </c>
      <c r="K105" s="173" t="n">
        <v>46218</v>
      </c>
      <c r="L105" s="158" t="inlineStr">
        <is>
          <t>Applicata</t>
        </is>
      </c>
    </row>
    <row r="106">
      <c r="A106" s="158" t="inlineStr">
        <is>
          <t>2026Q2</t>
        </is>
      </c>
      <c r="B106" s="158" t="inlineStr">
        <is>
          <t>KRI</t>
        </is>
      </c>
      <c r="C106" s="158" t="inlineStr">
        <is>
          <t>NFR-03-K2</t>
        </is>
      </c>
      <c r="D106" s="175" t="inlineStr">
        <is>
          <t>Quota di prodotti ESG senza revisione dei claim nell'anno</t>
        </is>
      </c>
      <c r="E106" s="158" t="inlineStr">
        <is>
          <t>Soglia_Attenzione</t>
        </is>
      </c>
      <c r="F106" s="158" t="n">
        <v>20</v>
      </c>
      <c r="G106" s="158" t="inlineStr">
        <is>
          <t>Accettato</t>
        </is>
      </c>
      <c r="H106" s="158" t="n">
        <v>20</v>
      </c>
      <c r="I106" s="175" t="n"/>
      <c r="J106" s="158" t="inlineStr">
        <is>
          <t>Comitato Rischi</t>
        </is>
      </c>
      <c r="K106" s="173" t="n">
        <v>46218</v>
      </c>
      <c r="L106" s="158" t="inlineStr">
        <is>
          <t>Applicata</t>
        </is>
      </c>
    </row>
    <row r="107">
      <c r="A107" s="158" t="inlineStr">
        <is>
          <t>2026Q2</t>
        </is>
      </c>
      <c r="B107" s="158" t="inlineStr">
        <is>
          <t>KRI</t>
        </is>
      </c>
      <c r="C107" s="158" t="inlineStr">
        <is>
          <t>NFR-03-K2</t>
        </is>
      </c>
      <c r="D107" s="175" t="inlineStr">
        <is>
          <t>Quota di prodotti ESG senza revisione dei claim nell'anno</t>
        </is>
      </c>
      <c r="E107" s="158" t="inlineStr">
        <is>
          <t>Soglia_Allerta</t>
        </is>
      </c>
      <c r="F107" s="158" t="n">
        <v>40</v>
      </c>
      <c r="G107" s="158" t="inlineStr">
        <is>
          <t>Accettato</t>
        </is>
      </c>
      <c r="H107" s="158" t="n">
        <v>40</v>
      </c>
      <c r="I107" s="175" t="n"/>
      <c r="J107" s="158" t="inlineStr">
        <is>
          <t>Comitato Rischi</t>
        </is>
      </c>
      <c r="K107" s="173" t="n">
        <v>46218</v>
      </c>
      <c r="L107" s="158" t="inlineStr">
        <is>
          <t>Applicata</t>
        </is>
      </c>
    </row>
    <row r="108">
      <c r="A108" s="158" t="inlineStr">
        <is>
          <t>2026Q2</t>
        </is>
      </c>
      <c r="B108" s="158" t="inlineStr">
        <is>
          <t>KRI</t>
        </is>
      </c>
      <c r="C108" s="158" t="inlineStr">
        <is>
          <t>NFR-04-K1</t>
        </is>
      </c>
      <c r="D108" s="175" t="inlineStr">
        <is>
          <t>Sedi critiche in aree a rischio idrogeologico senza piano specifico</t>
        </is>
      </c>
      <c r="E108" s="158" t="inlineStr">
        <is>
          <t>Valore_Corrente</t>
        </is>
      </c>
      <c r="F108" s="158" t="n">
        <v>2</v>
      </c>
      <c r="G108" s="158" t="inlineStr">
        <is>
          <t>Accettato</t>
        </is>
      </c>
      <c r="H108" s="158" t="n">
        <v>2</v>
      </c>
      <c r="I108" s="175" t="n"/>
      <c r="J108" s="158" t="inlineStr">
        <is>
          <t>Comitato Rischi</t>
        </is>
      </c>
      <c r="K108" s="173" t="n">
        <v>46218</v>
      </c>
      <c r="L108" s="158" t="inlineStr">
        <is>
          <t>Applicata</t>
        </is>
      </c>
    </row>
    <row r="109">
      <c r="A109" s="158" t="inlineStr">
        <is>
          <t>2026Q2</t>
        </is>
      </c>
      <c r="B109" s="158" t="inlineStr">
        <is>
          <t>KRI</t>
        </is>
      </c>
      <c r="C109" s="158" t="inlineStr">
        <is>
          <t>NFR-04-K1</t>
        </is>
      </c>
      <c r="D109" s="175" t="inlineStr">
        <is>
          <t>Sedi critiche in aree a rischio idrogeologico senza piano specifico</t>
        </is>
      </c>
      <c r="E109" s="158" t="inlineStr">
        <is>
          <t>Soglia_Attenzione</t>
        </is>
      </c>
      <c r="F109" s="158" t="n">
        <v>1</v>
      </c>
      <c r="G109" s="158" t="inlineStr">
        <is>
          <t>Accettato</t>
        </is>
      </c>
      <c r="H109" s="158" t="n">
        <v>1</v>
      </c>
      <c r="I109" s="175" t="n"/>
      <c r="J109" s="158" t="inlineStr">
        <is>
          <t>Comitato Rischi</t>
        </is>
      </c>
      <c r="K109" s="173" t="n">
        <v>46218</v>
      </c>
      <c r="L109" s="158" t="inlineStr">
        <is>
          <t>Applicata</t>
        </is>
      </c>
    </row>
    <row r="110">
      <c r="A110" s="158" t="inlineStr">
        <is>
          <t>2026Q2</t>
        </is>
      </c>
      <c r="B110" s="158" t="inlineStr">
        <is>
          <t>KRI</t>
        </is>
      </c>
      <c r="C110" s="158" t="inlineStr">
        <is>
          <t>NFR-04-K1</t>
        </is>
      </c>
      <c r="D110" s="175" t="inlineStr">
        <is>
          <t>Sedi critiche in aree a rischio idrogeologico senza piano specifico</t>
        </is>
      </c>
      <c r="E110" s="158" t="inlineStr">
        <is>
          <t>Soglia_Allerta</t>
        </is>
      </c>
      <c r="F110" s="158" t="n">
        <v>3</v>
      </c>
      <c r="G110" s="158" t="inlineStr">
        <is>
          <t>Accettato</t>
        </is>
      </c>
      <c r="H110" s="158" t="n">
        <v>3</v>
      </c>
      <c r="I110" s="175" t="n"/>
      <c r="J110" s="158" t="inlineStr">
        <is>
          <t>Comitato Rischi</t>
        </is>
      </c>
      <c r="K110" s="173" t="n">
        <v>46218</v>
      </c>
      <c r="L110" s="158" t="inlineStr">
        <is>
          <t>Applicata</t>
        </is>
      </c>
    </row>
    <row r="111">
      <c r="A111" s="158" t="inlineStr">
        <is>
          <t>2026Q2</t>
        </is>
      </c>
      <c r="B111" s="158" t="inlineStr">
        <is>
          <t>KRI</t>
        </is>
      </c>
      <c r="C111" s="158" t="inlineStr">
        <is>
          <t>NFR-04-K2</t>
        </is>
      </c>
      <c r="D111" s="175" t="inlineStr">
        <is>
          <t>Giorni di indisponibilita' di sedi per eventi climatici</t>
        </is>
      </c>
      <c r="E111" s="158" t="inlineStr">
        <is>
          <t>Valore_Corrente</t>
        </is>
      </c>
      <c r="F111" s="158" t="n">
        <v>3</v>
      </c>
      <c r="G111" s="158" t="inlineStr">
        <is>
          <t>Accettato</t>
        </is>
      </c>
      <c r="H111" s="158" t="n">
        <v>3</v>
      </c>
      <c r="I111" s="175" t="n"/>
      <c r="J111" s="158" t="inlineStr">
        <is>
          <t>Comitato Rischi</t>
        </is>
      </c>
      <c r="K111" s="173" t="n">
        <v>46218</v>
      </c>
      <c r="L111" s="158" t="inlineStr">
        <is>
          <t>Applicata</t>
        </is>
      </c>
    </row>
    <row r="112">
      <c r="A112" s="158" t="inlineStr">
        <is>
          <t>2026Q2</t>
        </is>
      </c>
      <c r="B112" s="158" t="inlineStr">
        <is>
          <t>KRI</t>
        </is>
      </c>
      <c r="C112" s="158" t="inlineStr">
        <is>
          <t>NFR-04-K2</t>
        </is>
      </c>
      <c r="D112" s="175" t="inlineStr">
        <is>
          <t>Giorni di indisponibilita' di sedi per eventi climatici</t>
        </is>
      </c>
      <c r="E112" s="158" t="inlineStr">
        <is>
          <t>Soglia_Attenzione</t>
        </is>
      </c>
      <c r="F112" s="158" t="n">
        <v>2</v>
      </c>
      <c r="G112" s="158" t="inlineStr">
        <is>
          <t>Accettato</t>
        </is>
      </c>
      <c r="H112" s="158" t="n">
        <v>2</v>
      </c>
      <c r="I112" s="175" t="n"/>
      <c r="J112" s="158" t="inlineStr">
        <is>
          <t>Comitato Rischi</t>
        </is>
      </c>
      <c r="K112" s="173" t="n">
        <v>46218</v>
      </c>
      <c r="L112" s="158" t="inlineStr">
        <is>
          <t>Applicata</t>
        </is>
      </c>
    </row>
    <row r="113">
      <c r="A113" s="158" t="inlineStr">
        <is>
          <t>2026Q2</t>
        </is>
      </c>
      <c r="B113" s="158" t="inlineStr">
        <is>
          <t>KRI</t>
        </is>
      </c>
      <c r="C113" s="158" t="inlineStr">
        <is>
          <t>NFR-04-K2</t>
        </is>
      </c>
      <c r="D113" s="175" t="inlineStr">
        <is>
          <t>Giorni di indisponibilita' di sedi per eventi climatici</t>
        </is>
      </c>
      <c r="E113" s="158" t="inlineStr">
        <is>
          <t>Soglia_Allerta</t>
        </is>
      </c>
      <c r="F113" s="158" t="n">
        <v>5</v>
      </c>
      <c r="G113" s="158" t="inlineStr">
        <is>
          <t>Accettato</t>
        </is>
      </c>
      <c r="H113" s="158" t="n">
        <v>5</v>
      </c>
      <c r="I113" s="175" t="n"/>
      <c r="J113" s="158" t="inlineStr">
        <is>
          <t>Comitato Rischi</t>
        </is>
      </c>
      <c r="K113" s="173" t="n">
        <v>46218</v>
      </c>
      <c r="L113" s="158" t="inlineStr">
        <is>
          <t>Applicata</t>
        </is>
      </c>
    </row>
    <row r="114">
      <c r="A114" s="158" t="inlineStr">
        <is>
          <t>2026Q2</t>
        </is>
      </c>
      <c r="B114" s="158" t="inlineStr">
        <is>
          <t>KRI</t>
        </is>
      </c>
      <c r="C114" s="158" t="inlineStr">
        <is>
          <t>NFR-05-K2</t>
        </is>
      </c>
      <c r="D114" s="175" t="inlineStr">
        <is>
          <t>Incidenti di produzione legati alla migrazione</t>
        </is>
      </c>
      <c r="E114" s="158" t="inlineStr">
        <is>
          <t>Valore_Corrente</t>
        </is>
      </c>
      <c r="F114" s="158" t="n">
        <v>7</v>
      </c>
      <c r="G114" s="158" t="inlineStr">
        <is>
          <t>Accettato</t>
        </is>
      </c>
      <c r="H114" s="158" t="n">
        <v>7</v>
      </c>
      <c r="I114" s="175" t="n"/>
      <c r="J114" s="158" t="inlineStr">
        <is>
          <t>Comitato Rischi</t>
        </is>
      </c>
      <c r="K114" s="173" t="n">
        <v>46218</v>
      </c>
      <c r="L114" s="158" t="inlineStr">
        <is>
          <t>Applicata</t>
        </is>
      </c>
    </row>
    <row r="115">
      <c r="A115" s="158" t="inlineStr">
        <is>
          <t>2026Q2</t>
        </is>
      </c>
      <c r="B115" s="158" t="inlineStr">
        <is>
          <t>KRI</t>
        </is>
      </c>
      <c r="C115" s="158" t="inlineStr">
        <is>
          <t>NFR-05-K2</t>
        </is>
      </c>
      <c r="D115" s="175" t="inlineStr">
        <is>
          <t>Incidenti di produzione legati alla migrazione</t>
        </is>
      </c>
      <c r="E115" s="158" t="inlineStr">
        <is>
          <t>Soglia_Attenzione</t>
        </is>
      </c>
      <c r="F115" s="158" t="n">
        <v>3</v>
      </c>
      <c r="G115" s="158" t="inlineStr">
        <is>
          <t>Accettato</t>
        </is>
      </c>
      <c r="H115" s="158" t="n">
        <v>3</v>
      </c>
      <c r="I115" s="175" t="n"/>
      <c r="J115" s="158" t="inlineStr">
        <is>
          <t>Comitato Rischi</t>
        </is>
      </c>
      <c r="K115" s="173" t="n">
        <v>46218</v>
      </c>
      <c r="L115" s="158" t="inlineStr">
        <is>
          <t>Applicata</t>
        </is>
      </c>
    </row>
    <row r="116">
      <c r="A116" s="158" t="inlineStr">
        <is>
          <t>2026Q2</t>
        </is>
      </c>
      <c r="B116" s="158" t="inlineStr">
        <is>
          <t>KRI</t>
        </is>
      </c>
      <c r="C116" s="158" t="inlineStr">
        <is>
          <t>NFR-05-K2</t>
        </is>
      </c>
      <c r="D116" s="175" t="inlineStr">
        <is>
          <t>Incidenti di produzione legati alla migrazione</t>
        </is>
      </c>
      <c r="E116" s="158" t="inlineStr">
        <is>
          <t>Soglia_Allerta</t>
        </is>
      </c>
      <c r="F116" s="158" t="n">
        <v>6</v>
      </c>
      <c r="G116" s="158" t="inlineStr">
        <is>
          <t>Accettato</t>
        </is>
      </c>
      <c r="H116" s="158" t="n">
        <v>6</v>
      </c>
      <c r="I116" s="175" t="n"/>
      <c r="J116" s="158" t="inlineStr">
        <is>
          <t>Comitato Rischi</t>
        </is>
      </c>
      <c r="K116" s="173" t="n">
        <v>46218</v>
      </c>
      <c r="L116" s="158" t="inlineStr">
        <is>
          <t>Applicata</t>
        </is>
      </c>
    </row>
    <row r="117">
      <c r="A117" s="158" t="inlineStr">
        <is>
          <t>2026Q2</t>
        </is>
      </c>
      <c r="B117" s="158" t="inlineStr">
        <is>
          <t>KRI</t>
        </is>
      </c>
      <c r="C117" s="158" t="inlineStr">
        <is>
          <t>NFR-05-K3</t>
        </is>
      </c>
      <c r="D117" s="175" t="inlineStr">
        <is>
          <t>Quota di controlli di processo non ridisegnati sul nuovo core</t>
        </is>
      </c>
      <c r="E117" s="158" t="inlineStr">
        <is>
          <t>Valore_Corrente</t>
        </is>
      </c>
      <c r="F117" s="158" t="n">
        <v>25</v>
      </c>
      <c r="G117" s="158" t="inlineStr">
        <is>
          <t>Accettato</t>
        </is>
      </c>
      <c r="H117" s="158" t="n">
        <v>25</v>
      </c>
      <c r="I117" s="175" t="n"/>
      <c r="J117" s="158" t="inlineStr">
        <is>
          <t>Comitato Rischi</t>
        </is>
      </c>
      <c r="K117" s="173" t="n">
        <v>46218</v>
      </c>
      <c r="L117" s="158" t="inlineStr">
        <is>
          <t>Applicata</t>
        </is>
      </c>
    </row>
    <row r="118">
      <c r="A118" s="158" t="inlineStr">
        <is>
          <t>2026Q2</t>
        </is>
      </c>
      <c r="B118" s="158" t="inlineStr">
        <is>
          <t>KRI</t>
        </is>
      </c>
      <c r="C118" s="158" t="inlineStr">
        <is>
          <t>NFR-05-K3</t>
        </is>
      </c>
      <c r="D118" s="175" t="inlineStr">
        <is>
          <t>Quota di controlli di processo non ridisegnati sul nuovo core</t>
        </is>
      </c>
      <c r="E118" s="158" t="inlineStr">
        <is>
          <t>Soglia_Attenzione</t>
        </is>
      </c>
      <c r="F118" s="158" t="n">
        <v>30</v>
      </c>
      <c r="G118" s="158" t="inlineStr">
        <is>
          <t>Accettato</t>
        </is>
      </c>
      <c r="H118" s="158" t="n">
        <v>30</v>
      </c>
      <c r="I118" s="175" t="n"/>
      <c r="J118" s="158" t="inlineStr">
        <is>
          <t>Comitato Rischi</t>
        </is>
      </c>
      <c r="K118" s="173" t="n">
        <v>46218</v>
      </c>
      <c r="L118" s="158" t="inlineStr">
        <is>
          <t>Applicata</t>
        </is>
      </c>
    </row>
    <row r="119">
      <c r="A119" s="158" t="inlineStr">
        <is>
          <t>2026Q2</t>
        </is>
      </c>
      <c r="B119" s="158" t="inlineStr">
        <is>
          <t>KRI</t>
        </is>
      </c>
      <c r="C119" s="158" t="inlineStr">
        <is>
          <t>NFR-05-K3</t>
        </is>
      </c>
      <c r="D119" s="175" t="inlineStr">
        <is>
          <t>Quota di controlli di processo non ridisegnati sul nuovo core</t>
        </is>
      </c>
      <c r="E119" s="158" t="inlineStr">
        <is>
          <t>Soglia_Allerta</t>
        </is>
      </c>
      <c r="F119" s="158" t="n">
        <v>60</v>
      </c>
      <c r="G119" s="158" t="inlineStr">
        <is>
          <t>Accettato</t>
        </is>
      </c>
      <c r="H119" s="158" t="n">
        <v>60</v>
      </c>
      <c r="I119" s="175" t="n"/>
      <c r="J119" s="158" t="inlineStr">
        <is>
          <t>Comitato Rischi</t>
        </is>
      </c>
      <c r="K119" s="173" t="n">
        <v>46218</v>
      </c>
      <c r="L119" s="158" t="inlineStr">
        <is>
          <t>Applicata</t>
        </is>
      </c>
    </row>
    <row r="120">
      <c r="A120" s="158" t="inlineStr">
        <is>
          <t>2026Q2</t>
        </is>
      </c>
      <c r="B120" s="158" t="inlineStr">
        <is>
          <t>KRI</t>
        </is>
      </c>
      <c r="C120" s="158" t="inlineStr">
        <is>
          <t>NFR-06-K1</t>
        </is>
      </c>
      <c r="D120" s="175" t="inlineStr">
        <is>
          <t>Tentativi di caricamento di dati riservati su servizi AI non autorizzati</t>
        </is>
      </c>
      <c r="E120" s="158" t="inlineStr">
        <is>
          <t>Valore_Corrente</t>
        </is>
      </c>
      <c r="F120" s="158" t="n">
        <v>14</v>
      </c>
      <c r="G120" s="158" t="inlineStr">
        <is>
          <t>Accettato</t>
        </is>
      </c>
      <c r="H120" s="158" t="n">
        <v>14</v>
      </c>
      <c r="I120" s="175" t="n"/>
      <c r="J120" s="158" t="inlineStr">
        <is>
          <t>Comitato Rischi</t>
        </is>
      </c>
      <c r="K120" s="173" t="n">
        <v>46218</v>
      </c>
      <c r="L120" s="158" t="inlineStr">
        <is>
          <t>Applicata</t>
        </is>
      </c>
    </row>
    <row r="121">
      <c r="A121" s="158" t="inlineStr">
        <is>
          <t>2026Q2</t>
        </is>
      </c>
      <c r="B121" s="158" t="inlineStr">
        <is>
          <t>KRI</t>
        </is>
      </c>
      <c r="C121" s="158" t="inlineStr">
        <is>
          <t>NFR-06-K1</t>
        </is>
      </c>
      <c r="D121" s="175" t="inlineStr">
        <is>
          <t>Tentativi di caricamento di dati riservati su servizi AI non autorizzati</t>
        </is>
      </c>
      <c r="E121" s="158" t="inlineStr">
        <is>
          <t>Soglia_Attenzione</t>
        </is>
      </c>
      <c r="F121" s="158" t="n">
        <v>10</v>
      </c>
      <c r="G121" s="158" t="inlineStr">
        <is>
          <t>Accettato</t>
        </is>
      </c>
      <c r="H121" s="158" t="n">
        <v>10</v>
      </c>
      <c r="I121" s="175" t="n"/>
      <c r="J121" s="158" t="inlineStr">
        <is>
          <t>Comitato Rischi</t>
        </is>
      </c>
      <c r="K121" s="173" t="n">
        <v>46218</v>
      </c>
      <c r="L121" s="158" t="inlineStr">
        <is>
          <t>Applicata</t>
        </is>
      </c>
    </row>
    <row r="122">
      <c r="A122" s="158" t="inlineStr">
        <is>
          <t>2026Q2</t>
        </is>
      </c>
      <c r="B122" s="158" t="inlineStr">
        <is>
          <t>KRI</t>
        </is>
      </c>
      <c r="C122" s="158" t="inlineStr">
        <is>
          <t>NFR-06-K1</t>
        </is>
      </c>
      <c r="D122" s="175" t="inlineStr">
        <is>
          <t>Tentativi di caricamento di dati riservati su servizi AI non autorizzati</t>
        </is>
      </c>
      <c r="E122" s="158" t="inlineStr">
        <is>
          <t>Soglia_Allerta</t>
        </is>
      </c>
      <c r="F122" s="158" t="n">
        <v>30</v>
      </c>
      <c r="G122" s="158" t="inlineStr">
        <is>
          <t>Accettato</t>
        </is>
      </c>
      <c r="H122" s="158" t="n">
        <v>30</v>
      </c>
      <c r="I122" s="175" t="n"/>
      <c r="J122" s="158" t="inlineStr">
        <is>
          <t>Comitato Rischi</t>
        </is>
      </c>
      <c r="K122" s="173" t="n">
        <v>46218</v>
      </c>
      <c r="L122" s="158" t="inlineStr">
        <is>
          <t>Applicata</t>
        </is>
      </c>
    </row>
    <row r="123">
      <c r="A123" s="158" t="inlineStr">
        <is>
          <t>2026Q2</t>
        </is>
      </c>
      <c r="B123" s="158" t="inlineStr">
        <is>
          <t>KRI</t>
        </is>
      </c>
      <c r="C123" s="158" t="inlineStr">
        <is>
          <t>NFR-06-K2</t>
        </is>
      </c>
      <c r="D123" s="175" t="inlineStr">
        <is>
          <t>Quota di dipendenti senza formazione sull'uso dell'AI</t>
        </is>
      </c>
      <c r="E123" s="158" t="inlineStr">
        <is>
          <t>Valore_Corrente</t>
        </is>
      </c>
      <c r="F123" s="158" t="n">
        <v>35</v>
      </c>
      <c r="G123" s="158" t="inlineStr">
        <is>
          <t>Accettato</t>
        </is>
      </c>
      <c r="H123" s="158" t="n">
        <v>35</v>
      </c>
      <c r="I123" s="175" t="inlineStr">
        <is>
          <t>Soglia allineata all'obiettivo formativo annuale approvato dalla funzione HR.</t>
        </is>
      </c>
      <c r="J123" s="158" t="inlineStr">
        <is>
          <t>Comitato Rischi</t>
        </is>
      </c>
      <c r="K123" s="173" t="n">
        <v>46218</v>
      </c>
      <c r="L123" s="158" t="inlineStr">
        <is>
          <t>Applicata</t>
        </is>
      </c>
    </row>
    <row r="124">
      <c r="A124" s="158" t="inlineStr">
        <is>
          <t>2026Q2</t>
        </is>
      </c>
      <c r="B124" s="158" t="inlineStr">
        <is>
          <t>KRI</t>
        </is>
      </c>
      <c r="C124" s="158" t="inlineStr">
        <is>
          <t>NFR-06-K2</t>
        </is>
      </c>
      <c r="D124" s="175" t="inlineStr">
        <is>
          <t>Quota di dipendenti senza formazione sull'uso dell'AI</t>
        </is>
      </c>
      <c r="E124" s="158" t="inlineStr">
        <is>
          <t>Soglia_Attenzione</t>
        </is>
      </c>
      <c r="F124" s="158" t="n">
        <v>30</v>
      </c>
      <c r="G124" s="158" t="inlineStr">
        <is>
          <t>Rettificato</t>
        </is>
      </c>
      <c r="H124" s="158" t="n">
        <v>20</v>
      </c>
      <c r="I124" s="175" t="inlineStr">
        <is>
          <t>Soglia allineata all'obiettivo formativo annuale approvato dalla funzione HR.</t>
        </is>
      </c>
      <c r="J124" s="158" t="inlineStr">
        <is>
          <t>Comitato Rischi</t>
        </is>
      </c>
      <c r="K124" s="173" t="n">
        <v>46218</v>
      </c>
      <c r="L124" s="158" t="inlineStr">
        <is>
          <t>Applicata</t>
        </is>
      </c>
    </row>
    <row r="125">
      <c r="A125" s="158" t="inlineStr">
        <is>
          <t>2026Q2</t>
        </is>
      </c>
      <c r="B125" s="158" t="inlineStr">
        <is>
          <t>KRI</t>
        </is>
      </c>
      <c r="C125" s="158" t="inlineStr">
        <is>
          <t>NFR-06-K2</t>
        </is>
      </c>
      <c r="D125" s="175" t="inlineStr">
        <is>
          <t>Quota di dipendenti senza formazione sull'uso dell'AI</t>
        </is>
      </c>
      <c r="E125" s="158" t="inlineStr">
        <is>
          <t>Soglia_Allerta</t>
        </is>
      </c>
      <c r="F125" s="158" t="n">
        <v>40</v>
      </c>
      <c r="G125" s="158" t="inlineStr">
        <is>
          <t>Accettato</t>
        </is>
      </c>
      <c r="H125" s="158" t="n">
        <v>40</v>
      </c>
      <c r="I125" s="175" t="inlineStr">
        <is>
          <t>Soglia allineata all'obiettivo formativo annuale approvato dalla funzione HR.</t>
        </is>
      </c>
      <c r="J125" s="158" t="inlineStr">
        <is>
          <t>Comitato Rischi</t>
        </is>
      </c>
      <c r="K125" s="173" t="n">
        <v>46218</v>
      </c>
      <c r="L125" s="158" t="inlineStr">
        <is>
          <t>Applicata</t>
        </is>
      </c>
    </row>
    <row r="126">
      <c r="A126" s="158" t="inlineStr">
        <is>
          <t>2026Q2</t>
        </is>
      </c>
      <c r="B126" s="158" t="inlineStr">
        <is>
          <t>KRI</t>
        </is>
      </c>
      <c r="C126" s="158" t="inlineStr">
        <is>
          <t>NFR-07-K1</t>
        </is>
      </c>
      <c r="D126" s="175" t="inlineStr">
        <is>
          <t>Fornitori di pagamento critici senza test di ripristino da ransomware</t>
        </is>
      </c>
      <c r="E126" s="158" t="inlineStr">
        <is>
          <t>Valore_Corrente</t>
        </is>
      </c>
      <c r="F126" s="158" t="n">
        <v>1</v>
      </c>
      <c r="G126" s="158" t="inlineStr">
        <is>
          <t>Accettato</t>
        </is>
      </c>
      <c r="H126" s="158" t="n">
        <v>1</v>
      </c>
      <c r="I126" s="175" t="n"/>
      <c r="J126" s="158" t="inlineStr">
        <is>
          <t>Comitato Rischi</t>
        </is>
      </c>
      <c r="K126" s="173" t="n">
        <v>46218</v>
      </c>
      <c r="L126" s="158" t="inlineStr">
        <is>
          <t>Applicata</t>
        </is>
      </c>
    </row>
    <row r="127">
      <c r="A127" s="158" t="inlineStr">
        <is>
          <t>2026Q2</t>
        </is>
      </c>
      <c r="B127" s="158" t="inlineStr">
        <is>
          <t>KRI</t>
        </is>
      </c>
      <c r="C127" s="158" t="inlineStr">
        <is>
          <t>NFR-07-K1</t>
        </is>
      </c>
      <c r="D127" s="175" t="inlineStr">
        <is>
          <t>Fornitori di pagamento critici senza test di ripristino da ransomware</t>
        </is>
      </c>
      <c r="E127" s="158" t="inlineStr">
        <is>
          <t>Soglia_Attenzione</t>
        </is>
      </c>
      <c r="F127" s="158" t="n">
        <v>1</v>
      </c>
      <c r="G127" s="158" t="inlineStr">
        <is>
          <t>Accettato</t>
        </is>
      </c>
      <c r="H127" s="158" t="n">
        <v>1</v>
      </c>
      <c r="I127" s="175" t="n"/>
      <c r="J127" s="158" t="inlineStr">
        <is>
          <t>Comitato Rischi</t>
        </is>
      </c>
      <c r="K127" s="173" t="n">
        <v>46218</v>
      </c>
      <c r="L127" s="158" t="inlineStr">
        <is>
          <t>Applicata</t>
        </is>
      </c>
    </row>
    <row r="128">
      <c r="A128" s="158" t="inlineStr">
        <is>
          <t>2026Q2</t>
        </is>
      </c>
      <c r="B128" s="158" t="inlineStr">
        <is>
          <t>KRI</t>
        </is>
      </c>
      <c r="C128" s="158" t="inlineStr">
        <is>
          <t>NFR-07-K1</t>
        </is>
      </c>
      <c r="D128" s="175" t="inlineStr">
        <is>
          <t>Fornitori di pagamento critici senza test di ripristino da ransomware</t>
        </is>
      </c>
      <c r="E128" s="158" t="inlineStr">
        <is>
          <t>Soglia_Allerta</t>
        </is>
      </c>
      <c r="F128" s="158" t="n">
        <v>2</v>
      </c>
      <c r="G128" s="158" t="inlineStr">
        <is>
          <t>Accettato</t>
        </is>
      </c>
      <c r="H128" s="158" t="n">
        <v>2</v>
      </c>
      <c r="I128" s="175" t="n"/>
      <c r="J128" s="158" t="inlineStr">
        <is>
          <t>Comitato Rischi</t>
        </is>
      </c>
      <c r="K128" s="173" t="n">
        <v>46218</v>
      </c>
      <c r="L128" s="158" t="inlineStr">
        <is>
          <t>Applicata</t>
        </is>
      </c>
    </row>
    <row r="129">
      <c r="A129" s="158" t="inlineStr">
        <is>
          <t>2026Q2</t>
        </is>
      </c>
      <c r="B129" s="158" t="inlineStr">
        <is>
          <t>KRI</t>
        </is>
      </c>
      <c r="C129" s="158" t="inlineStr">
        <is>
          <t>NFR-07-K2</t>
        </is>
      </c>
      <c r="D129" s="175" t="inlineStr">
        <is>
          <t>Ore di indisponibilita' del gateway di pagamento nel trimestre</t>
        </is>
      </c>
      <c r="E129" s="158" t="inlineStr">
        <is>
          <t>Valore_Corrente</t>
        </is>
      </c>
      <c r="F129" s="158" t="n">
        <v>3</v>
      </c>
      <c r="G129" s="158" t="inlineStr">
        <is>
          <t>Accettato</t>
        </is>
      </c>
      <c r="H129" s="158" t="n">
        <v>3</v>
      </c>
      <c r="I129" s="175" t="n"/>
      <c r="J129" s="158" t="inlineStr">
        <is>
          <t>Comitato Rischi</t>
        </is>
      </c>
      <c r="K129" s="173" t="n">
        <v>46218</v>
      </c>
      <c r="L129" s="158" t="inlineStr">
        <is>
          <t>Applicata</t>
        </is>
      </c>
    </row>
    <row r="130">
      <c r="A130" s="158" t="inlineStr">
        <is>
          <t>2026Q2</t>
        </is>
      </c>
      <c r="B130" s="158" t="inlineStr">
        <is>
          <t>KRI</t>
        </is>
      </c>
      <c r="C130" s="158" t="inlineStr">
        <is>
          <t>NFR-07-K2</t>
        </is>
      </c>
      <c r="D130" s="175" t="inlineStr">
        <is>
          <t>Ore di indisponibilita' del gateway di pagamento nel trimestre</t>
        </is>
      </c>
      <c r="E130" s="158" t="inlineStr">
        <is>
          <t>Soglia_Attenzione</t>
        </is>
      </c>
      <c r="F130" s="158" t="n">
        <v>4</v>
      </c>
      <c r="G130" s="158" t="inlineStr">
        <is>
          <t>Accettato</t>
        </is>
      </c>
      <c r="H130" s="158" t="n">
        <v>4</v>
      </c>
      <c r="I130" s="175" t="n"/>
      <c r="J130" s="158" t="inlineStr">
        <is>
          <t>Comitato Rischi</t>
        </is>
      </c>
      <c r="K130" s="173" t="n">
        <v>46218</v>
      </c>
      <c r="L130" s="158" t="inlineStr">
        <is>
          <t>Applicata</t>
        </is>
      </c>
    </row>
    <row r="131">
      <c r="A131" s="158" t="inlineStr">
        <is>
          <t>2026Q2</t>
        </is>
      </c>
      <c r="B131" s="158" t="inlineStr">
        <is>
          <t>KRI</t>
        </is>
      </c>
      <c r="C131" s="158" t="inlineStr">
        <is>
          <t>NFR-07-K2</t>
        </is>
      </c>
      <c r="D131" s="175" t="inlineStr">
        <is>
          <t>Ore di indisponibilita' del gateway di pagamento nel trimestre</t>
        </is>
      </c>
      <c r="E131" s="158" t="inlineStr">
        <is>
          <t>Soglia_Allerta</t>
        </is>
      </c>
      <c r="F131" s="158" t="n">
        <v>12</v>
      </c>
      <c r="G131" s="158" t="inlineStr">
        <is>
          <t>Accettato</t>
        </is>
      </c>
      <c r="H131" s="158" t="n">
        <v>12</v>
      </c>
      <c r="I131" s="175" t="n"/>
      <c r="J131" s="158" t="inlineStr">
        <is>
          <t>Comitato Rischi</t>
        </is>
      </c>
      <c r="K131" s="173" t="n">
        <v>46218</v>
      </c>
      <c r="L131" s="158" t="inlineStr">
        <is>
          <t>Applicata</t>
        </is>
      </c>
    </row>
    <row r="132">
      <c r="A132" s="158" t="inlineStr">
        <is>
          <t>2026Q2</t>
        </is>
      </c>
      <c r="B132" s="158" t="inlineStr">
        <is>
          <t>KRI</t>
        </is>
      </c>
      <c r="C132" s="158" t="inlineStr">
        <is>
          <t>NFR-08-K1</t>
        </is>
      </c>
      <c r="D132" s="175" t="inlineStr">
        <is>
          <t>Accessi ai dati clienti senza pratica associata</t>
        </is>
      </c>
      <c r="E132" s="158" t="inlineStr">
        <is>
          <t>Valore_Corrente</t>
        </is>
      </c>
      <c r="F132" s="158" t="n">
        <v>24</v>
      </c>
      <c r="G132" s="158" t="inlineStr">
        <is>
          <t>Accettato</t>
        </is>
      </c>
      <c r="H132" s="158" t="n">
        <v>24</v>
      </c>
      <c r="I132" s="175" t="n"/>
      <c r="J132" s="158" t="inlineStr">
        <is>
          <t>Comitato Rischi</t>
        </is>
      </c>
      <c r="K132" s="173" t="n">
        <v>46218</v>
      </c>
      <c r="L132" s="158" t="inlineStr">
        <is>
          <t>Applicata</t>
        </is>
      </c>
    </row>
    <row r="133">
      <c r="A133" s="158" t="inlineStr">
        <is>
          <t>2026Q2</t>
        </is>
      </c>
      <c r="B133" s="158" t="inlineStr">
        <is>
          <t>KRI</t>
        </is>
      </c>
      <c r="C133" s="158" t="inlineStr">
        <is>
          <t>NFR-08-K1</t>
        </is>
      </c>
      <c r="D133" s="175" t="inlineStr">
        <is>
          <t>Accessi ai dati clienti senza pratica associata</t>
        </is>
      </c>
      <c r="E133" s="158" t="inlineStr">
        <is>
          <t>Soglia_Attenzione</t>
        </is>
      </c>
      <c r="F133" s="158" t="n">
        <v>20</v>
      </c>
      <c r="G133" s="158" t="inlineStr">
        <is>
          <t>Accettato</t>
        </is>
      </c>
      <c r="H133" s="158" t="n">
        <v>20</v>
      </c>
      <c r="I133" s="175" t="n"/>
      <c r="J133" s="158" t="inlineStr">
        <is>
          <t>Comitato Rischi</t>
        </is>
      </c>
      <c r="K133" s="173" t="n">
        <v>46218</v>
      </c>
      <c r="L133" s="158" t="inlineStr">
        <is>
          <t>Applicata</t>
        </is>
      </c>
    </row>
    <row r="134">
      <c r="A134" s="158" t="inlineStr">
        <is>
          <t>2026Q2</t>
        </is>
      </c>
      <c r="B134" s="158" t="inlineStr">
        <is>
          <t>KRI</t>
        </is>
      </c>
      <c r="C134" s="158" t="inlineStr">
        <is>
          <t>NFR-08-K1</t>
        </is>
      </c>
      <c r="D134" s="175" t="inlineStr">
        <is>
          <t>Accessi ai dati clienti senza pratica associata</t>
        </is>
      </c>
      <c r="E134" s="158" t="inlineStr">
        <is>
          <t>Soglia_Allerta</t>
        </is>
      </c>
      <c r="F134" s="158" t="n">
        <v>50</v>
      </c>
      <c r="G134" s="158" t="inlineStr">
        <is>
          <t>Accettato</t>
        </is>
      </c>
      <c r="H134" s="158" t="n">
        <v>50</v>
      </c>
      <c r="I134" s="175" t="n"/>
      <c r="J134" s="158" t="inlineStr">
        <is>
          <t>Comitato Rischi</t>
        </is>
      </c>
      <c r="K134" s="173" t="n">
        <v>46218</v>
      </c>
      <c r="L134" s="158" t="inlineStr">
        <is>
          <t>Applicata</t>
        </is>
      </c>
    </row>
    <row r="135">
      <c r="A135" s="158" t="inlineStr">
        <is>
          <t>2026Q2</t>
        </is>
      </c>
      <c r="B135" s="158" t="inlineStr">
        <is>
          <t>KRI</t>
        </is>
      </c>
      <c r="C135" s="158" t="inlineStr">
        <is>
          <t>NFR-08-K2</t>
        </is>
      </c>
      <c r="D135" s="175" t="inlineStr">
        <is>
          <t>Utenze con profili di accesso non rivisti nell'anno</t>
        </is>
      </c>
      <c r="E135" s="158" t="inlineStr">
        <is>
          <t>Valore_Corrente</t>
        </is>
      </c>
      <c r="F135" s="158" t="n">
        <v>6</v>
      </c>
      <c r="G135" s="158" t="inlineStr">
        <is>
          <t>Accettato</t>
        </is>
      </c>
      <c r="H135" s="158" t="n">
        <v>6</v>
      </c>
      <c r="I135" s="175" t="n"/>
      <c r="J135" s="158" t="inlineStr">
        <is>
          <t>Comitato Rischi</t>
        </is>
      </c>
      <c r="K135" s="173" t="n">
        <v>46218</v>
      </c>
      <c r="L135" s="158" t="inlineStr">
        <is>
          <t>Applicata</t>
        </is>
      </c>
    </row>
    <row r="136">
      <c r="A136" s="158" t="inlineStr">
        <is>
          <t>2026Q2</t>
        </is>
      </c>
      <c r="B136" s="158" t="inlineStr">
        <is>
          <t>KRI</t>
        </is>
      </c>
      <c r="C136" s="158" t="inlineStr">
        <is>
          <t>NFR-08-K2</t>
        </is>
      </c>
      <c r="D136" s="175" t="inlineStr">
        <is>
          <t>Utenze con profili di accesso non rivisti nell'anno</t>
        </is>
      </c>
      <c r="E136" s="158" t="inlineStr">
        <is>
          <t>Soglia_Attenzione</t>
        </is>
      </c>
      <c r="F136" s="158" t="n">
        <v>5</v>
      </c>
      <c r="G136" s="158" t="inlineStr">
        <is>
          <t>Accettato</t>
        </is>
      </c>
      <c r="H136" s="158" t="n">
        <v>5</v>
      </c>
      <c r="I136" s="175" t="n"/>
      <c r="J136" s="158" t="inlineStr">
        <is>
          <t>Comitato Rischi</t>
        </is>
      </c>
      <c r="K136" s="173" t="n">
        <v>46218</v>
      </c>
      <c r="L136" s="158" t="inlineStr">
        <is>
          <t>Applicata</t>
        </is>
      </c>
    </row>
    <row r="137">
      <c r="A137" s="158" t="inlineStr">
        <is>
          <t>2026Q2</t>
        </is>
      </c>
      <c r="B137" s="158" t="inlineStr">
        <is>
          <t>KRI</t>
        </is>
      </c>
      <c r="C137" s="158" t="inlineStr">
        <is>
          <t>NFR-08-K2</t>
        </is>
      </c>
      <c r="D137" s="175" t="inlineStr">
        <is>
          <t>Utenze con profili di accesso non rivisti nell'anno</t>
        </is>
      </c>
      <c r="E137" s="158" t="inlineStr">
        <is>
          <t>Soglia_Allerta</t>
        </is>
      </c>
      <c r="F137" s="158" t="n">
        <v>15</v>
      </c>
      <c r="G137" s="158" t="inlineStr">
        <is>
          <t>Accettato</t>
        </is>
      </c>
      <c r="H137" s="158" t="n">
        <v>15</v>
      </c>
      <c r="I137" s="175" t="n"/>
      <c r="J137" s="158" t="inlineStr">
        <is>
          <t>Comitato Rischi</t>
        </is>
      </c>
      <c r="K137" s="173" t="n">
        <v>46218</v>
      </c>
      <c r="L137" s="158" t="inlineStr">
        <is>
          <t>Applicata</t>
        </is>
      </c>
    </row>
    <row r="138">
      <c r="A138" s="158" t="inlineStr">
        <is>
          <t>2026Q2</t>
        </is>
      </c>
      <c r="B138" s="158" t="inlineStr">
        <is>
          <t>KRI</t>
        </is>
      </c>
      <c r="C138" s="158" t="inlineStr">
        <is>
          <t>NFR-09-K1</t>
        </is>
      </c>
      <c r="D138" s="175" t="inlineStr">
        <is>
          <t>Pagamenti bloccati dal filtro sanzioni ogni 10.000 verso paesi di transito</t>
        </is>
      </c>
      <c r="E138" s="158" t="inlineStr">
        <is>
          <t>Valore_Corrente</t>
        </is>
      </c>
      <c r="F138" s="158" t="n">
        <v>3.8</v>
      </c>
      <c r="G138" s="158" t="inlineStr">
        <is>
          <t>Accettato</t>
        </is>
      </c>
      <c r="H138" s="158" t="n">
        <v>3.8</v>
      </c>
      <c r="I138" s="175" t="n"/>
      <c r="J138" s="158" t="inlineStr">
        <is>
          <t>Comitato Rischi</t>
        </is>
      </c>
      <c r="K138" s="173" t="n">
        <v>46218</v>
      </c>
      <c r="L138" s="158" t="inlineStr">
        <is>
          <t>Applicata</t>
        </is>
      </c>
    </row>
    <row r="139">
      <c r="A139" s="158" t="inlineStr">
        <is>
          <t>2026Q2</t>
        </is>
      </c>
      <c r="B139" s="158" t="inlineStr">
        <is>
          <t>KRI</t>
        </is>
      </c>
      <c r="C139" s="158" t="inlineStr">
        <is>
          <t>NFR-09-K1</t>
        </is>
      </c>
      <c r="D139" s="175" t="inlineStr">
        <is>
          <t>Pagamenti bloccati dal filtro sanzioni ogni 10.000 verso paesi di transito</t>
        </is>
      </c>
      <c r="E139" s="158" t="inlineStr">
        <is>
          <t>Soglia_Attenzione</t>
        </is>
      </c>
      <c r="F139" s="158" t="n">
        <v>2</v>
      </c>
      <c r="G139" s="158" t="inlineStr">
        <is>
          <t>Accettato</t>
        </is>
      </c>
      <c r="H139" s="158" t="n">
        <v>2</v>
      </c>
      <c r="I139" s="175" t="n"/>
      <c r="J139" s="158" t="inlineStr">
        <is>
          <t>Comitato Rischi</t>
        </is>
      </c>
      <c r="K139" s="173" t="n">
        <v>46218</v>
      </c>
      <c r="L139" s="158" t="inlineStr">
        <is>
          <t>Applicata</t>
        </is>
      </c>
    </row>
    <row r="140">
      <c r="A140" s="158" t="inlineStr">
        <is>
          <t>2026Q2</t>
        </is>
      </c>
      <c r="B140" s="158" t="inlineStr">
        <is>
          <t>KRI</t>
        </is>
      </c>
      <c r="C140" s="158" t="inlineStr">
        <is>
          <t>NFR-09-K1</t>
        </is>
      </c>
      <c r="D140" s="175" t="inlineStr">
        <is>
          <t>Pagamenti bloccati dal filtro sanzioni ogni 10.000 verso paesi di transito</t>
        </is>
      </c>
      <c r="E140" s="158" t="inlineStr">
        <is>
          <t>Soglia_Allerta</t>
        </is>
      </c>
      <c r="F140" s="158" t="n">
        <v>5</v>
      </c>
      <c r="G140" s="158" t="inlineStr">
        <is>
          <t>Accettato</t>
        </is>
      </c>
      <c r="H140" s="158" t="n">
        <v>5</v>
      </c>
      <c r="I140" s="175" t="n"/>
      <c r="J140" s="158" t="inlineStr">
        <is>
          <t>Comitato Rischi</t>
        </is>
      </c>
      <c r="K140" s="173" t="n">
        <v>46218</v>
      </c>
      <c r="L140" s="158" t="inlineStr">
        <is>
          <t>Applicata</t>
        </is>
      </c>
    </row>
    <row r="141">
      <c r="A141" s="158" t="inlineStr">
        <is>
          <t>2026Q2</t>
        </is>
      </c>
      <c r="B141" s="158" t="inlineStr">
        <is>
          <t>KRI</t>
        </is>
      </c>
      <c r="C141" s="158" t="inlineStr">
        <is>
          <t>NFR-09-K2</t>
        </is>
      </c>
      <c r="D141" s="175" t="inlineStr">
        <is>
          <t>Clienti corporate ad alto rischio senza due diligence rafforzata aggiornata</t>
        </is>
      </c>
      <c r="E141" s="158" t="inlineStr">
        <is>
          <t>Valore_Corrente</t>
        </is>
      </c>
      <c r="F141" s="158" t="n">
        <v>11</v>
      </c>
      <c r="G141" s="158" t="inlineStr">
        <is>
          <t>Accettato</t>
        </is>
      </c>
      <c r="H141" s="158" t="n">
        <v>11</v>
      </c>
      <c r="I141" s="175" t="n"/>
      <c r="J141" s="158" t="inlineStr">
        <is>
          <t>Comitato Rischi</t>
        </is>
      </c>
      <c r="K141" s="173" t="n">
        <v>46218</v>
      </c>
      <c r="L141" s="158" t="inlineStr">
        <is>
          <t>Applicata</t>
        </is>
      </c>
    </row>
    <row r="142">
      <c r="A142" s="158" t="inlineStr">
        <is>
          <t>2026Q2</t>
        </is>
      </c>
      <c r="B142" s="158" t="inlineStr">
        <is>
          <t>KRI</t>
        </is>
      </c>
      <c r="C142" s="158" t="inlineStr">
        <is>
          <t>NFR-09-K2</t>
        </is>
      </c>
      <c r="D142" s="175" t="inlineStr">
        <is>
          <t>Clienti corporate ad alto rischio senza due diligence rafforzata aggiornata</t>
        </is>
      </c>
      <c r="E142" s="158" t="inlineStr">
        <is>
          <t>Soglia_Attenzione</t>
        </is>
      </c>
      <c r="F142" s="158" t="n">
        <v>5</v>
      </c>
      <c r="G142" s="158" t="inlineStr">
        <is>
          <t>Accettato</t>
        </is>
      </c>
      <c r="H142" s="158" t="n">
        <v>5</v>
      </c>
      <c r="I142" s="175" t="n"/>
      <c r="J142" s="158" t="inlineStr">
        <is>
          <t>Comitato Rischi</t>
        </is>
      </c>
      <c r="K142" s="173" t="n">
        <v>46218</v>
      </c>
      <c r="L142" s="158" t="inlineStr">
        <is>
          <t>Applicata</t>
        </is>
      </c>
    </row>
    <row r="143">
      <c r="A143" s="158" t="inlineStr">
        <is>
          <t>2026Q2</t>
        </is>
      </c>
      <c r="B143" s="158" t="inlineStr">
        <is>
          <t>KRI</t>
        </is>
      </c>
      <c r="C143" s="158" t="inlineStr">
        <is>
          <t>NFR-09-K2</t>
        </is>
      </c>
      <c r="D143" s="175" t="inlineStr">
        <is>
          <t>Clienti corporate ad alto rischio senza due diligence rafforzata aggiornata</t>
        </is>
      </c>
      <c r="E143" s="158" t="inlineStr">
        <is>
          <t>Soglia_Allerta</t>
        </is>
      </c>
      <c r="F143" s="158" t="n">
        <v>15</v>
      </c>
      <c r="G143" s="158" t="inlineStr">
        <is>
          <t>Accettato</t>
        </is>
      </c>
      <c r="H143" s="158" t="n">
        <v>15</v>
      </c>
      <c r="I143" s="175" t="n"/>
      <c r="J143" s="158" t="inlineStr">
        <is>
          <t>Comitato Rischi</t>
        </is>
      </c>
      <c r="K143" s="173" t="n">
        <v>46218</v>
      </c>
      <c r="L143" s="158" t="inlineStr">
        <is>
          <t>Applicata</t>
        </is>
      </c>
    </row>
    <row r="144">
      <c r="A144" s="158" t="inlineStr">
        <is>
          <t>2026Q2</t>
        </is>
      </c>
      <c r="B144" s="158" t="inlineStr">
        <is>
          <t>KRI</t>
        </is>
      </c>
      <c r="C144" s="158" t="inlineStr">
        <is>
          <t>NFR-10-K1</t>
        </is>
      </c>
      <c r="D144" s="175" t="inlineStr">
        <is>
          <t>Risposte del chatbot contestate ogni 1.000 conversazioni</t>
        </is>
      </c>
      <c r="E144" s="158" t="inlineStr">
        <is>
          <t>Valore_Corrente</t>
        </is>
      </c>
      <c r="F144" s="158" t="n">
        <v>1.4</v>
      </c>
      <c r="G144" s="158" t="inlineStr">
        <is>
          <t>Accettato</t>
        </is>
      </c>
      <c r="H144" s="158" t="n">
        <v>1.4</v>
      </c>
      <c r="I144" s="175" t="n"/>
      <c r="J144" s="158" t="inlineStr">
        <is>
          <t>Comitato Rischi</t>
        </is>
      </c>
      <c r="K144" s="173" t="n">
        <v>46218</v>
      </c>
      <c r="L144" s="158" t="inlineStr">
        <is>
          <t>Applicata</t>
        </is>
      </c>
    </row>
    <row r="145">
      <c r="A145" s="158" t="inlineStr">
        <is>
          <t>2026Q2</t>
        </is>
      </c>
      <c r="B145" s="158" t="inlineStr">
        <is>
          <t>KRI</t>
        </is>
      </c>
      <c r="C145" s="158" t="inlineStr">
        <is>
          <t>NFR-10-K1</t>
        </is>
      </c>
      <c r="D145" s="175" t="inlineStr">
        <is>
          <t>Risposte del chatbot contestate ogni 1.000 conversazioni</t>
        </is>
      </c>
      <c r="E145" s="158" t="inlineStr">
        <is>
          <t>Soglia_Attenzione</t>
        </is>
      </c>
      <c r="F145" s="158" t="n"/>
      <c r="G145" s="158" t="inlineStr">
        <is>
          <t>Accettato</t>
        </is>
      </c>
      <c r="H145" s="158" t="n"/>
      <c r="I145" s="175" t="n"/>
      <c r="J145" s="158" t="inlineStr">
        <is>
          <t>Comitato Rischi</t>
        </is>
      </c>
      <c r="K145" s="173" t="n">
        <v>46218</v>
      </c>
      <c r="L145" s="158" t="inlineStr">
        <is>
          <t>Applicata</t>
        </is>
      </c>
    </row>
    <row r="146">
      <c r="A146" s="158" t="inlineStr">
        <is>
          <t>2026Q2</t>
        </is>
      </c>
      <c r="B146" s="158" t="inlineStr">
        <is>
          <t>KRI</t>
        </is>
      </c>
      <c r="C146" s="158" t="inlineStr">
        <is>
          <t>NFR-10-K1</t>
        </is>
      </c>
      <c r="D146" s="175" t="inlineStr">
        <is>
          <t>Risposte del chatbot contestate ogni 1.000 conversazioni</t>
        </is>
      </c>
      <c r="E146" s="158" t="inlineStr">
        <is>
          <t>Soglia_Allerta</t>
        </is>
      </c>
      <c r="F146" s="158" t="n"/>
      <c r="G146" s="158" t="inlineStr">
        <is>
          <t>Accettato</t>
        </is>
      </c>
      <c r="H146" s="158" t="n"/>
      <c r="I146" s="175" t="n"/>
      <c r="J146" s="158" t="inlineStr">
        <is>
          <t>Comitato Rischi</t>
        </is>
      </c>
      <c r="K146" s="173" t="n">
        <v>46218</v>
      </c>
      <c r="L146" s="158" t="inlineStr">
        <is>
          <t>Applicata</t>
        </is>
      </c>
    </row>
    <row r="147">
      <c r="A147" s="158" t="inlineStr">
        <is>
          <t>2026Q2</t>
        </is>
      </c>
      <c r="B147" s="158" t="inlineStr">
        <is>
          <t>KRI</t>
        </is>
      </c>
      <c r="C147" s="158" t="inlineStr">
        <is>
          <t>NFR-10-K3</t>
        </is>
      </c>
      <c r="D147" s="175" t="inlineStr">
        <is>
          <t>Quota di risposte del chatbot non campionate dal controllo qualita'</t>
        </is>
      </c>
      <c r="E147" s="158" t="inlineStr">
        <is>
          <t>Valore_Corrente</t>
        </is>
      </c>
      <c r="F147" s="158" t="n">
        <v>60</v>
      </c>
      <c r="G147" s="158" t="inlineStr">
        <is>
          <t>Accettato</t>
        </is>
      </c>
      <c r="H147" s="158" t="n">
        <v>60</v>
      </c>
      <c r="I147" s="175" t="n"/>
      <c r="J147" s="158" t="inlineStr">
        <is>
          <t>Comitato Rischi</t>
        </is>
      </c>
      <c r="K147" s="173" t="n">
        <v>46218</v>
      </c>
      <c r="L147" s="158" t="inlineStr">
        <is>
          <t>Applicata</t>
        </is>
      </c>
    </row>
    <row r="148">
      <c r="A148" s="158" t="inlineStr">
        <is>
          <t>2026Q2</t>
        </is>
      </c>
      <c r="B148" s="158" t="inlineStr">
        <is>
          <t>KRI</t>
        </is>
      </c>
      <c r="C148" s="158" t="inlineStr">
        <is>
          <t>NFR-10-K3</t>
        </is>
      </c>
      <c r="D148" s="175" t="inlineStr">
        <is>
          <t>Quota di risposte del chatbot non campionate dal controllo qualita'</t>
        </is>
      </c>
      <c r="E148" s="158" t="inlineStr">
        <is>
          <t>Soglia_Attenzione</t>
        </is>
      </c>
      <c r="F148" s="158" t="n">
        <v>20</v>
      </c>
      <c r="G148" s="158" t="inlineStr">
        <is>
          <t>Accettato</t>
        </is>
      </c>
      <c r="H148" s="158" t="n">
        <v>20</v>
      </c>
      <c r="I148" s="175" t="n"/>
      <c r="J148" s="158" t="inlineStr">
        <is>
          <t>Comitato Rischi</t>
        </is>
      </c>
      <c r="K148" s="173" t="n">
        <v>46218</v>
      </c>
      <c r="L148" s="158" t="inlineStr">
        <is>
          <t>Applicata</t>
        </is>
      </c>
    </row>
    <row r="149">
      <c r="A149" s="158" t="inlineStr">
        <is>
          <t>2026Q2</t>
        </is>
      </c>
      <c r="B149" s="158" t="inlineStr">
        <is>
          <t>KRI</t>
        </is>
      </c>
      <c r="C149" s="158" t="inlineStr">
        <is>
          <t>NFR-10-K3</t>
        </is>
      </c>
      <c r="D149" s="175" t="inlineStr">
        <is>
          <t>Quota di risposte del chatbot non campionate dal controllo qualita'</t>
        </is>
      </c>
      <c r="E149" s="158" t="inlineStr">
        <is>
          <t>Soglia_Allerta</t>
        </is>
      </c>
      <c r="F149" s="158" t="n">
        <v>50</v>
      </c>
      <c r="G149" s="158" t="inlineStr">
        <is>
          <t>Accettato</t>
        </is>
      </c>
      <c r="H149" s="158" t="n">
        <v>50</v>
      </c>
      <c r="I149" s="175" t="n"/>
      <c r="J149" s="158" t="inlineStr">
        <is>
          <t>Comitato Rischi</t>
        </is>
      </c>
      <c r="K149" s="173" t="n">
        <v>46218</v>
      </c>
      <c r="L149" s="158" t="inlineStr">
        <is>
          <t>Applicata</t>
        </is>
      </c>
    </row>
    <row r="150">
      <c r="A150" s="158" t="inlineStr">
        <is>
          <t>2026Q2</t>
        </is>
      </c>
      <c r="B150" s="158" t="inlineStr">
        <is>
          <t>KRI</t>
        </is>
      </c>
      <c r="C150" s="158" t="inlineStr">
        <is>
          <t>NFR-11-K1</t>
        </is>
      </c>
      <c r="D150" s="175" t="inlineStr">
        <is>
          <t>Componenti del sistema di pagamento fuori supporto</t>
        </is>
      </c>
      <c r="E150" s="158" t="inlineStr">
        <is>
          <t>Valore_Corrente</t>
        </is>
      </c>
      <c r="F150" s="158" t="n">
        <v>7</v>
      </c>
      <c r="G150" s="158" t="inlineStr">
        <is>
          <t>Accettato</t>
        </is>
      </c>
      <c r="H150" s="158" t="n">
        <v>7</v>
      </c>
      <c r="I150" s="175" t="n"/>
      <c r="J150" s="158" t="inlineStr">
        <is>
          <t>Comitato Rischi</t>
        </is>
      </c>
      <c r="K150" s="173" t="n">
        <v>46218</v>
      </c>
      <c r="L150" s="158" t="inlineStr">
        <is>
          <t>Applicata</t>
        </is>
      </c>
    </row>
    <row r="151">
      <c r="A151" s="158" t="inlineStr">
        <is>
          <t>2026Q2</t>
        </is>
      </c>
      <c r="B151" s="158" t="inlineStr">
        <is>
          <t>KRI</t>
        </is>
      </c>
      <c r="C151" s="158" t="inlineStr">
        <is>
          <t>NFR-11-K1</t>
        </is>
      </c>
      <c r="D151" s="175" t="inlineStr">
        <is>
          <t>Componenti del sistema di pagamento fuori supporto</t>
        </is>
      </c>
      <c r="E151" s="158" t="inlineStr">
        <is>
          <t>Soglia_Attenzione</t>
        </is>
      </c>
      <c r="F151" s="158" t="n">
        <v>3</v>
      </c>
      <c r="G151" s="158" t="inlineStr">
        <is>
          <t>Accettato</t>
        </is>
      </c>
      <c r="H151" s="158" t="n">
        <v>3</v>
      </c>
      <c r="I151" s="175" t="n"/>
      <c r="J151" s="158" t="inlineStr">
        <is>
          <t>Comitato Rischi</t>
        </is>
      </c>
      <c r="K151" s="173" t="n">
        <v>46218</v>
      </c>
      <c r="L151" s="158" t="inlineStr">
        <is>
          <t>Applicata</t>
        </is>
      </c>
    </row>
    <row r="152">
      <c r="A152" s="158" t="inlineStr">
        <is>
          <t>2026Q2</t>
        </is>
      </c>
      <c r="B152" s="158" t="inlineStr">
        <is>
          <t>KRI</t>
        </is>
      </c>
      <c r="C152" s="158" t="inlineStr">
        <is>
          <t>NFR-11-K1</t>
        </is>
      </c>
      <c r="D152" s="175" t="inlineStr">
        <is>
          <t>Componenti del sistema di pagamento fuori supporto</t>
        </is>
      </c>
      <c r="E152" s="158" t="inlineStr">
        <is>
          <t>Soglia_Allerta</t>
        </is>
      </c>
      <c r="F152" s="158" t="n">
        <v>8</v>
      </c>
      <c r="G152" s="158" t="inlineStr">
        <is>
          <t>Accettato</t>
        </is>
      </c>
      <c r="H152" s="158" t="n">
        <v>8</v>
      </c>
      <c r="I152" s="175" t="n"/>
      <c r="J152" s="158" t="inlineStr">
        <is>
          <t>Comitato Rischi</t>
        </is>
      </c>
      <c r="K152" s="173" t="n">
        <v>46218</v>
      </c>
      <c r="L152" s="158" t="inlineStr">
        <is>
          <t>Applicata</t>
        </is>
      </c>
    </row>
    <row r="153">
      <c r="A153" s="158" t="inlineStr">
        <is>
          <t>2026Q2</t>
        </is>
      </c>
      <c r="B153" s="158" t="inlineStr">
        <is>
          <t>KRI</t>
        </is>
      </c>
      <c r="C153" s="158" t="inlineStr">
        <is>
          <t>NFR-11-K2</t>
        </is>
      </c>
      <c r="D153" s="175" t="inlineStr">
        <is>
          <t>Vulnerabilita' senza patch disponibile sui sistemi legacy</t>
        </is>
      </c>
      <c r="E153" s="158" t="inlineStr">
        <is>
          <t>Valore_Corrente</t>
        </is>
      </c>
      <c r="F153" s="158" t="n">
        <v>5</v>
      </c>
      <c r="G153" s="158" t="inlineStr">
        <is>
          <t>Accettato</t>
        </is>
      </c>
      <c r="H153" s="158" t="n">
        <v>5</v>
      </c>
      <c r="I153" s="175" t="n"/>
      <c r="J153" s="158" t="inlineStr">
        <is>
          <t>Comitato Rischi</t>
        </is>
      </c>
      <c r="K153" s="173" t="n">
        <v>46218</v>
      </c>
      <c r="L153" s="158" t="inlineStr">
        <is>
          <t>Applicata</t>
        </is>
      </c>
    </row>
    <row r="154">
      <c r="A154" s="158" t="inlineStr">
        <is>
          <t>2026Q2</t>
        </is>
      </c>
      <c r="B154" s="158" t="inlineStr">
        <is>
          <t>KRI</t>
        </is>
      </c>
      <c r="C154" s="158" t="inlineStr">
        <is>
          <t>NFR-11-K2</t>
        </is>
      </c>
      <c r="D154" s="175" t="inlineStr">
        <is>
          <t>Vulnerabilita' senza patch disponibile sui sistemi legacy</t>
        </is>
      </c>
      <c r="E154" s="158" t="inlineStr">
        <is>
          <t>Soglia_Attenzione</t>
        </is>
      </c>
      <c r="F154" s="158" t="n">
        <v>2</v>
      </c>
      <c r="G154" s="158" t="inlineStr">
        <is>
          <t>Accettato</t>
        </is>
      </c>
      <c r="H154" s="158" t="n">
        <v>2</v>
      </c>
      <c r="I154" s="175" t="n"/>
      <c r="J154" s="158" t="inlineStr">
        <is>
          <t>Comitato Rischi</t>
        </is>
      </c>
      <c r="K154" s="173" t="n">
        <v>46218</v>
      </c>
      <c r="L154" s="158" t="inlineStr">
        <is>
          <t>Applicata</t>
        </is>
      </c>
    </row>
    <row r="155">
      <c r="A155" s="158" t="inlineStr">
        <is>
          <t>2026Q2</t>
        </is>
      </c>
      <c r="B155" s="158" t="inlineStr">
        <is>
          <t>KRI</t>
        </is>
      </c>
      <c r="C155" s="158" t="inlineStr">
        <is>
          <t>NFR-11-K2</t>
        </is>
      </c>
      <c r="D155" s="175" t="inlineStr">
        <is>
          <t>Vulnerabilita' senza patch disponibile sui sistemi legacy</t>
        </is>
      </c>
      <c r="E155" s="158" t="inlineStr">
        <is>
          <t>Soglia_Allerta</t>
        </is>
      </c>
      <c r="F155" s="158" t="n">
        <v>6</v>
      </c>
      <c r="G155" s="158" t="inlineStr">
        <is>
          <t>Accettato</t>
        </is>
      </c>
      <c r="H155" s="158" t="n">
        <v>6</v>
      </c>
      <c r="I155" s="175" t="n"/>
      <c r="J155" s="158" t="inlineStr">
        <is>
          <t>Comitato Rischi</t>
        </is>
      </c>
      <c r="K155" s="173" t="n">
        <v>46218</v>
      </c>
      <c r="L155" s="158" t="inlineStr">
        <is>
          <t>Applicata</t>
        </is>
      </c>
    </row>
    <row r="156">
      <c r="A156" s="158" t="inlineStr">
        <is>
          <t>2026Q2</t>
        </is>
      </c>
      <c r="B156" s="158" t="inlineStr">
        <is>
          <t>KRI</t>
        </is>
      </c>
      <c r="C156" s="158" t="inlineStr">
        <is>
          <t>NFR-12-K1</t>
        </is>
      </c>
      <c r="D156" s="175" t="inlineStr">
        <is>
          <t>Differenze di riconciliazione sui bonifici istantanei aperte oltre 1 giorno</t>
        </is>
      </c>
      <c r="E156" s="158" t="inlineStr">
        <is>
          <t>Valore_Corrente</t>
        </is>
      </c>
      <c r="F156" s="158" t="n">
        <v>14</v>
      </c>
      <c r="G156" s="158" t="inlineStr">
        <is>
          <t>Accettato</t>
        </is>
      </c>
      <c r="H156" s="158" t="n">
        <v>14</v>
      </c>
      <c r="I156" s="175" t="n"/>
      <c r="J156" s="158" t="inlineStr">
        <is>
          <t>Comitato Rischi</t>
        </is>
      </c>
      <c r="K156" s="173" t="n">
        <v>46218</v>
      </c>
      <c r="L156" s="158" t="inlineStr">
        <is>
          <t>Applicata</t>
        </is>
      </c>
    </row>
    <row r="157">
      <c r="A157" s="158" t="inlineStr">
        <is>
          <t>2026Q2</t>
        </is>
      </c>
      <c r="B157" s="158" t="inlineStr">
        <is>
          <t>KRI</t>
        </is>
      </c>
      <c r="C157" s="158" t="inlineStr">
        <is>
          <t>NFR-12-K1</t>
        </is>
      </c>
      <c r="D157" s="175" t="inlineStr">
        <is>
          <t>Differenze di riconciliazione sui bonifici istantanei aperte oltre 1 giorno</t>
        </is>
      </c>
      <c r="E157" s="158" t="inlineStr">
        <is>
          <t>Soglia_Attenzione</t>
        </is>
      </c>
      <c r="F157" s="158" t="n">
        <v>10</v>
      </c>
      <c r="G157" s="158" t="inlineStr">
        <is>
          <t>Accettato</t>
        </is>
      </c>
      <c r="H157" s="158" t="n">
        <v>10</v>
      </c>
      <c r="I157" s="175" t="n"/>
      <c r="J157" s="158" t="inlineStr">
        <is>
          <t>Comitato Rischi</t>
        </is>
      </c>
      <c r="K157" s="173" t="n">
        <v>46218</v>
      </c>
      <c r="L157" s="158" t="inlineStr">
        <is>
          <t>Applicata</t>
        </is>
      </c>
    </row>
    <row r="158">
      <c r="A158" s="158" t="inlineStr">
        <is>
          <t>2026Q2</t>
        </is>
      </c>
      <c r="B158" s="158" t="inlineStr">
        <is>
          <t>KRI</t>
        </is>
      </c>
      <c r="C158" s="158" t="inlineStr">
        <is>
          <t>NFR-12-K1</t>
        </is>
      </c>
      <c r="D158" s="175" t="inlineStr">
        <is>
          <t>Differenze di riconciliazione sui bonifici istantanei aperte oltre 1 giorno</t>
        </is>
      </c>
      <c r="E158" s="158" t="inlineStr">
        <is>
          <t>Soglia_Allerta</t>
        </is>
      </c>
      <c r="F158" s="158" t="n">
        <v>30</v>
      </c>
      <c r="G158" s="158" t="inlineStr">
        <is>
          <t>Accettato</t>
        </is>
      </c>
      <c r="H158" s="158" t="n">
        <v>30</v>
      </c>
      <c r="I158" s="175" t="n"/>
      <c r="J158" s="158" t="inlineStr">
        <is>
          <t>Comitato Rischi</t>
        </is>
      </c>
      <c r="K158" s="173" t="n">
        <v>46218</v>
      </c>
      <c r="L158" s="158" t="inlineStr">
        <is>
          <t>Applicata</t>
        </is>
      </c>
    </row>
    <row r="159">
      <c r="A159" s="158" t="inlineStr">
        <is>
          <t>2026Q2</t>
        </is>
      </c>
      <c r="B159" s="158" t="inlineStr">
        <is>
          <t>KRI</t>
        </is>
      </c>
      <c r="C159" s="158" t="inlineStr">
        <is>
          <t>NFR-12-K3</t>
        </is>
      </c>
      <c r="D159" s="175" t="inlineStr">
        <is>
          <t>Tempo medio di risoluzione delle eccezioni sui pagamenti istantanei</t>
        </is>
      </c>
      <c r="E159" s="158" t="inlineStr">
        <is>
          <t>Valore_Corrente</t>
        </is>
      </c>
      <c r="F159" s="158" t="n">
        <v>5</v>
      </c>
      <c r="G159" s="158" t="inlineStr">
        <is>
          <t>Accettato</t>
        </is>
      </c>
      <c r="H159" s="158" t="n">
        <v>5</v>
      </c>
      <c r="I159" s="175" t="n"/>
      <c r="J159" s="158" t="inlineStr">
        <is>
          <t>Comitato Rischi</t>
        </is>
      </c>
      <c r="K159" s="173" t="n">
        <v>46218</v>
      </c>
      <c r="L159" s="158" t="inlineStr">
        <is>
          <t>Applicata</t>
        </is>
      </c>
    </row>
    <row r="160">
      <c r="A160" s="158" t="inlineStr">
        <is>
          <t>2026Q2</t>
        </is>
      </c>
      <c r="B160" s="158" t="inlineStr">
        <is>
          <t>KRI</t>
        </is>
      </c>
      <c r="C160" s="158" t="inlineStr">
        <is>
          <t>NFR-12-K3</t>
        </is>
      </c>
      <c r="D160" s="175" t="inlineStr">
        <is>
          <t>Tempo medio di risoluzione delle eccezioni sui pagamenti istantanei</t>
        </is>
      </c>
      <c r="E160" s="158" t="inlineStr">
        <is>
          <t>Soglia_Attenzione</t>
        </is>
      </c>
      <c r="F160" s="158" t="n">
        <v>4</v>
      </c>
      <c r="G160" s="158" t="inlineStr">
        <is>
          <t>Accettato</t>
        </is>
      </c>
      <c r="H160" s="158" t="n">
        <v>4</v>
      </c>
      <c r="I160" s="175" t="n"/>
      <c r="J160" s="158" t="inlineStr">
        <is>
          <t>Comitato Rischi</t>
        </is>
      </c>
      <c r="K160" s="173" t="n">
        <v>46218</v>
      </c>
      <c r="L160" s="158" t="inlineStr">
        <is>
          <t>Applicata</t>
        </is>
      </c>
    </row>
    <row r="161">
      <c r="A161" s="158" t="inlineStr">
        <is>
          <t>2026Q2</t>
        </is>
      </c>
      <c r="B161" s="158" t="inlineStr">
        <is>
          <t>KRI</t>
        </is>
      </c>
      <c r="C161" s="158" t="inlineStr">
        <is>
          <t>NFR-12-K3</t>
        </is>
      </c>
      <c r="D161" s="175" t="inlineStr">
        <is>
          <t>Tempo medio di risoluzione delle eccezioni sui pagamenti istantanei</t>
        </is>
      </c>
      <c r="E161" s="158" t="inlineStr">
        <is>
          <t>Soglia_Allerta</t>
        </is>
      </c>
      <c r="F161" s="158" t="n">
        <v>12</v>
      </c>
      <c r="G161" s="158" t="inlineStr">
        <is>
          <t>Accettato</t>
        </is>
      </c>
      <c r="H161" s="158" t="n">
        <v>12</v>
      </c>
      <c r="I161" s="175" t="n"/>
      <c r="J161" s="158" t="inlineStr">
        <is>
          <t>Comitato Rischi</t>
        </is>
      </c>
      <c r="K161" s="173" t="n">
        <v>46218</v>
      </c>
      <c r="L161" s="158" t="inlineStr">
        <is>
          <t>Applicata</t>
        </is>
      </c>
    </row>
    <row r="162">
      <c r="A162" s="158" t="inlineStr">
        <is>
          <t>2026Q2</t>
        </is>
      </c>
      <c r="B162" s="158" t="inlineStr">
        <is>
          <t>Azione</t>
        </is>
      </c>
      <c r="C162" s="158" t="inlineStr">
        <is>
          <t>2026Q2-NFR-01-A1</t>
        </is>
      </c>
      <c r="D162" s="175" t="inlineStr">
        <is>
          <t>Introdurre la verifica fuori banda per bonifici istantanei sopra soglia verso beneficiari nuovi.</t>
        </is>
      </c>
      <c r="E162" s="158" t="inlineStr">
        <is>
          <t>Owner</t>
        </is>
      </c>
      <c r="F162" s="158" t="inlineStr">
        <is>
          <t>Funzione Antifrode</t>
        </is>
      </c>
      <c r="G162" s="158" t="inlineStr">
        <is>
          <t>Accettato</t>
        </is>
      </c>
      <c r="H162" s="158" t="inlineStr">
        <is>
          <t>Funzione Antifrode</t>
        </is>
      </c>
      <c r="I162" s="175" t="n"/>
      <c r="J162" s="158" t="inlineStr">
        <is>
          <t>Comitato Rischi</t>
        </is>
      </c>
      <c r="K162" s="173" t="n">
        <v>46218</v>
      </c>
      <c r="L162" s="158" t="inlineStr">
        <is>
          <t>Applicata</t>
        </is>
      </c>
    </row>
    <row r="163">
      <c r="A163" s="158" t="inlineStr">
        <is>
          <t>2026Q2</t>
        </is>
      </c>
      <c r="B163" s="158" t="inlineStr">
        <is>
          <t>Azione</t>
        </is>
      </c>
      <c r="C163" s="158" t="inlineStr">
        <is>
          <t>2026Q2-NFR-01-A1</t>
        </is>
      </c>
      <c r="D163" s="175" t="inlineStr">
        <is>
          <t>Introdurre la verifica fuori banda per bonifici istantanei sopra soglia verso beneficiari nuovi.</t>
        </is>
      </c>
      <c r="E163" s="158" t="inlineStr">
        <is>
          <t>Orizzonte</t>
        </is>
      </c>
      <c r="F163" s="158" t="inlineStr">
        <is>
          <t>6 mesi</t>
        </is>
      </c>
      <c r="G163" s="158" t="inlineStr">
        <is>
          <t>Accettato</t>
        </is>
      </c>
      <c r="H163" s="158" t="inlineStr">
        <is>
          <t>6 mesi</t>
        </is>
      </c>
      <c r="I163" s="175" t="n"/>
      <c r="J163" s="158" t="inlineStr">
        <is>
          <t>Comitato Rischi</t>
        </is>
      </c>
      <c r="K163" s="173" t="n">
        <v>46218</v>
      </c>
      <c r="L163" s="158" t="inlineStr">
        <is>
          <t>Applicata</t>
        </is>
      </c>
    </row>
    <row r="164">
      <c r="A164" s="158" t="inlineStr">
        <is>
          <t>2026Q2</t>
        </is>
      </c>
      <c r="B164" s="158" t="inlineStr">
        <is>
          <t>Azione</t>
        </is>
      </c>
      <c r="C164" s="158" t="inlineStr">
        <is>
          <t>2026Q2-NFR-02-A1</t>
        </is>
      </c>
      <c r="D164" s="175" t="inlineStr">
        <is>
          <t>Eseguire il test completo di exit strategy sui due servizi critici non ancora coperti.</t>
        </is>
      </c>
      <c r="E164" s="158" t="inlineStr">
        <is>
          <t>Owner</t>
        </is>
      </c>
      <c r="F164" s="158" t="inlineStr">
        <is>
          <t>Funzione ICT &amp; Security Risk</t>
        </is>
      </c>
      <c r="G164" s="158" t="inlineStr">
        <is>
          <t>Accettato</t>
        </is>
      </c>
      <c r="H164" s="158" t="inlineStr">
        <is>
          <t>Funzione ICT &amp; Security Risk</t>
        </is>
      </c>
      <c r="I164" s="175" t="n"/>
      <c r="J164" s="158" t="inlineStr">
        <is>
          <t>Comitato Rischi</t>
        </is>
      </c>
      <c r="K164" s="173" t="n">
        <v>46218</v>
      </c>
      <c r="L164" s="158" t="inlineStr">
        <is>
          <t>Applicata</t>
        </is>
      </c>
    </row>
    <row r="165">
      <c r="A165" s="158" t="inlineStr">
        <is>
          <t>2026Q2</t>
        </is>
      </c>
      <c r="B165" s="158" t="inlineStr">
        <is>
          <t>Azione</t>
        </is>
      </c>
      <c r="C165" s="158" t="inlineStr">
        <is>
          <t>2026Q2-NFR-02-A1</t>
        </is>
      </c>
      <c r="D165" s="175" t="inlineStr">
        <is>
          <t>Eseguire il test completo di exit strategy sui due servizi critici non ancora coperti.</t>
        </is>
      </c>
      <c r="E165" s="158" t="inlineStr">
        <is>
          <t>Orizzonte</t>
        </is>
      </c>
      <c r="F165" s="158" t="inlineStr">
        <is>
          <t>12 mesi</t>
        </is>
      </c>
      <c r="G165" s="158" t="inlineStr">
        <is>
          <t>Accettato</t>
        </is>
      </c>
      <c r="H165" s="158" t="inlineStr">
        <is>
          <t>12 mesi</t>
        </is>
      </c>
      <c r="I165" s="175" t="n"/>
      <c r="J165" s="158" t="inlineStr">
        <is>
          <t>Comitato Rischi</t>
        </is>
      </c>
      <c r="K165" s="173" t="n">
        <v>46218</v>
      </c>
      <c r="L165" s="158" t="inlineStr">
        <is>
          <t>Applicata</t>
        </is>
      </c>
    </row>
    <row r="166">
      <c r="A166" s="158" t="inlineStr">
        <is>
          <t>2026Q2</t>
        </is>
      </c>
      <c r="B166" s="158" t="inlineStr">
        <is>
          <t>Azione</t>
        </is>
      </c>
      <c r="C166" s="158" t="inlineStr">
        <is>
          <t>2026Q2-NFR-03-A1</t>
        </is>
      </c>
      <c r="D166" s="175" t="inlineStr">
        <is>
          <t>Revisione indipendente dei claim ambientali di tutti i prodotti ESG in catalogo.</t>
        </is>
      </c>
      <c r="E166" s="158" t="inlineStr">
        <is>
          <t>Owner</t>
        </is>
      </c>
      <c r="F166" s="158" t="inlineStr">
        <is>
          <t>Funzione Compliance</t>
        </is>
      </c>
      <c r="G166" s="158" t="inlineStr">
        <is>
          <t>Accettato</t>
        </is>
      </c>
      <c r="H166" s="158" t="inlineStr">
        <is>
          <t>Funzione Compliance</t>
        </is>
      </c>
      <c r="I166" s="175" t="n"/>
      <c r="J166" s="158" t="inlineStr">
        <is>
          <t>Comitato Rischi</t>
        </is>
      </c>
      <c r="K166" s="173" t="n">
        <v>46218</v>
      </c>
      <c r="L166" s="158" t="inlineStr">
        <is>
          <t>Applicata</t>
        </is>
      </c>
    </row>
    <row r="167">
      <c r="A167" s="158" t="inlineStr">
        <is>
          <t>2026Q2</t>
        </is>
      </c>
      <c r="B167" s="158" t="inlineStr">
        <is>
          <t>Azione</t>
        </is>
      </c>
      <c r="C167" s="158" t="inlineStr">
        <is>
          <t>2026Q2-NFR-03-A1</t>
        </is>
      </c>
      <c r="D167" s="175" t="inlineStr">
        <is>
          <t>Revisione indipendente dei claim ambientali di tutti i prodotti ESG in catalogo.</t>
        </is>
      </c>
      <c r="E167" s="158" t="inlineStr">
        <is>
          <t>Orizzonte</t>
        </is>
      </c>
      <c r="F167" s="158" t="inlineStr">
        <is>
          <t>6 mesi</t>
        </is>
      </c>
      <c r="G167" s="158" t="inlineStr">
        <is>
          <t>Accettato</t>
        </is>
      </c>
      <c r="H167" s="158" t="inlineStr">
        <is>
          <t>6 mesi</t>
        </is>
      </c>
      <c r="I167" s="175" t="n"/>
      <c r="J167" s="158" t="inlineStr">
        <is>
          <t>Comitato Rischi</t>
        </is>
      </c>
      <c r="K167" s="173" t="n">
        <v>46218</v>
      </c>
      <c r="L167" s="158" t="inlineStr">
        <is>
          <t>Applicata</t>
        </is>
      </c>
    </row>
    <row r="168">
      <c r="A168" s="158" t="inlineStr">
        <is>
          <t>2026Q2</t>
        </is>
      </c>
      <c r="B168" s="158" t="inlineStr">
        <is>
          <t>Azione</t>
        </is>
      </c>
      <c r="C168" s="158" t="inlineStr">
        <is>
          <t>2026Q2-NFR-04-A1</t>
        </is>
      </c>
      <c r="D168" s="175" t="inlineStr">
        <is>
          <t>Redigere piani di continuita' specifici per le due sedi critiche in aree a rischio.</t>
        </is>
      </c>
      <c r="E168" s="158" t="inlineStr">
        <is>
          <t>Owner</t>
        </is>
      </c>
      <c r="F168" s="158" t="inlineStr">
        <is>
          <t>Funzione Business Continuity</t>
        </is>
      </c>
      <c r="G168" s="158" t="inlineStr">
        <is>
          <t>Accettato</t>
        </is>
      </c>
      <c r="H168" s="158" t="inlineStr">
        <is>
          <t>Funzione Business Continuity</t>
        </is>
      </c>
      <c r="I168" s="175" t="n"/>
      <c r="J168" s="158" t="inlineStr">
        <is>
          <t>Comitato Rischi</t>
        </is>
      </c>
      <c r="K168" s="173" t="n">
        <v>46218</v>
      </c>
      <c r="L168" s="158" t="inlineStr">
        <is>
          <t>Applicata</t>
        </is>
      </c>
    </row>
    <row r="169">
      <c r="A169" s="158" t="inlineStr">
        <is>
          <t>2026Q2</t>
        </is>
      </c>
      <c r="B169" s="158" t="inlineStr">
        <is>
          <t>Azione</t>
        </is>
      </c>
      <c r="C169" s="158" t="inlineStr">
        <is>
          <t>2026Q2-NFR-04-A1</t>
        </is>
      </c>
      <c r="D169" s="175" t="inlineStr">
        <is>
          <t>Redigere piani di continuita' specifici per le due sedi critiche in aree a rischio.</t>
        </is>
      </c>
      <c r="E169" s="158" t="inlineStr">
        <is>
          <t>Orizzonte</t>
        </is>
      </c>
      <c r="F169" s="158" t="inlineStr">
        <is>
          <t>12 mesi</t>
        </is>
      </c>
      <c r="G169" s="158" t="inlineStr">
        <is>
          <t>Accettato</t>
        </is>
      </c>
      <c r="H169" s="158" t="inlineStr">
        <is>
          <t>12 mesi</t>
        </is>
      </c>
      <c r="I169" s="175" t="n"/>
      <c r="J169" s="158" t="inlineStr">
        <is>
          <t>Comitato Rischi</t>
        </is>
      </c>
      <c r="K169" s="173" t="n">
        <v>46218</v>
      </c>
      <c r="L169" s="158" t="inlineStr">
        <is>
          <t>Applicata</t>
        </is>
      </c>
    </row>
    <row r="170">
      <c r="A170" s="158" t="inlineStr">
        <is>
          <t>2026Q2</t>
        </is>
      </c>
      <c r="B170" s="158" t="inlineStr">
        <is>
          <t>Azione</t>
        </is>
      </c>
      <c r="C170" s="158" t="inlineStr">
        <is>
          <t>2026Q2-NFR-05-A1</t>
        </is>
      </c>
      <c r="D170" s="175" t="inlineStr">
        <is>
          <t>Monitoraggio giornaliero degli incidenti post-migrazione con escalation entro 4 ore.</t>
        </is>
      </c>
      <c r="E170" s="158" t="inlineStr">
        <is>
          <t>Owner</t>
        </is>
      </c>
      <c r="F170" s="158" t="inlineStr">
        <is>
          <t>Funzione Operations</t>
        </is>
      </c>
      <c r="G170" s="158" t="inlineStr">
        <is>
          <t>Respinto</t>
        </is>
      </c>
      <c r="H170" s="158" t="n"/>
      <c r="I170" s="175" t="inlineStr">
        <is>
          <t>Gia' coperto dal presidio giornaliero del PMO: azione duplicata.</t>
        </is>
      </c>
      <c r="J170" s="158" t="inlineStr">
        <is>
          <t>Comitato Rischi</t>
        </is>
      </c>
      <c r="K170" s="173" t="n">
        <v>46218</v>
      </c>
      <c r="L170" s="158" t="inlineStr">
        <is>
          <t>Applicata</t>
        </is>
      </c>
    </row>
    <row r="171">
      <c r="A171" s="158" t="inlineStr">
        <is>
          <t>2026Q2</t>
        </is>
      </c>
      <c r="B171" s="158" t="inlineStr">
        <is>
          <t>Azione</t>
        </is>
      </c>
      <c r="C171" s="158" t="inlineStr">
        <is>
          <t>2026Q2-NFR-05-A1</t>
        </is>
      </c>
      <c r="D171" s="175" t="inlineStr">
        <is>
          <t>Monitoraggio giornaliero degli incidenti post-migrazione con escalation entro 4 ore.</t>
        </is>
      </c>
      <c r="E171" s="158" t="inlineStr">
        <is>
          <t>Orizzonte</t>
        </is>
      </c>
      <c r="F171" s="158" t="inlineStr">
        <is>
          <t>3 mesi</t>
        </is>
      </c>
      <c r="G171" s="158" t="inlineStr">
        <is>
          <t>Respinto</t>
        </is>
      </c>
      <c r="H171" s="158" t="n"/>
      <c r="I171" s="175" t="inlineStr">
        <is>
          <t>Gia' coperto dal presidio giornaliero del PMO: azione duplicata.</t>
        </is>
      </c>
      <c r="J171" s="158" t="inlineStr">
        <is>
          <t>Comitato Rischi</t>
        </is>
      </c>
      <c r="K171" s="173" t="n">
        <v>46218</v>
      </c>
      <c r="L171" s="158" t="inlineStr">
        <is>
          <t>Applicata</t>
        </is>
      </c>
    </row>
    <row r="172">
      <c r="A172" s="158" t="inlineStr">
        <is>
          <t>2026Q2</t>
        </is>
      </c>
      <c r="B172" s="158" t="inlineStr">
        <is>
          <t>Azione</t>
        </is>
      </c>
      <c r="C172" s="158" t="inlineStr">
        <is>
          <t>2026Q2-NFR-06-A1</t>
        </is>
      </c>
      <c r="D172" s="175" t="inlineStr">
        <is>
          <t>Estendere il DLP a tutti i servizi di AI generativa e bloccare quelli non autorizzati.</t>
        </is>
      </c>
      <c r="E172" s="158" t="inlineStr">
        <is>
          <t>Owner</t>
        </is>
      </c>
      <c r="F172" s="158" t="inlineStr">
        <is>
          <t>Funzione Sicurezza delle Informazioni</t>
        </is>
      </c>
      <c r="G172" s="158" t="inlineStr">
        <is>
          <t>Accettato</t>
        </is>
      </c>
      <c r="H172" s="158" t="inlineStr">
        <is>
          <t>Funzione Sicurezza delle Informazioni</t>
        </is>
      </c>
      <c r="I172" s="175" t="n"/>
      <c r="J172" s="158" t="inlineStr">
        <is>
          <t>Comitato Rischi</t>
        </is>
      </c>
      <c r="K172" s="173" t="n">
        <v>46218</v>
      </c>
      <c r="L172" s="158" t="inlineStr">
        <is>
          <t>Applicata</t>
        </is>
      </c>
    </row>
    <row r="173">
      <c r="A173" s="158" t="inlineStr">
        <is>
          <t>2026Q2</t>
        </is>
      </c>
      <c r="B173" s="158" t="inlineStr">
        <is>
          <t>Azione</t>
        </is>
      </c>
      <c r="C173" s="158" t="inlineStr">
        <is>
          <t>2026Q2-NFR-06-A1</t>
        </is>
      </c>
      <c r="D173" s="175" t="inlineStr">
        <is>
          <t>Estendere il DLP a tutti i servizi di AI generativa e bloccare quelli non autorizzati.</t>
        </is>
      </c>
      <c r="E173" s="158" t="inlineStr">
        <is>
          <t>Orizzonte</t>
        </is>
      </c>
      <c r="F173" s="158" t="inlineStr">
        <is>
          <t>3 mesi</t>
        </is>
      </c>
      <c r="G173" s="158" t="inlineStr">
        <is>
          <t>Accettato</t>
        </is>
      </c>
      <c r="H173" s="158" t="inlineStr">
        <is>
          <t>3 mesi</t>
        </is>
      </c>
      <c r="I173" s="175" t="n"/>
      <c r="J173" s="158" t="inlineStr">
        <is>
          <t>Comitato Rischi</t>
        </is>
      </c>
      <c r="K173" s="173" t="n">
        <v>46218</v>
      </c>
      <c r="L173" s="158" t="inlineStr">
        <is>
          <t>Applicata</t>
        </is>
      </c>
    </row>
    <row r="174">
      <c r="A174" s="158" t="inlineStr">
        <is>
          <t>2026Q2</t>
        </is>
      </c>
      <c r="B174" s="158" t="inlineStr">
        <is>
          <t>Azione</t>
        </is>
      </c>
      <c r="C174" s="158" t="inlineStr">
        <is>
          <t>2026Q2-NFR-07-A1</t>
        </is>
      </c>
      <c r="D174" s="175" t="inlineStr">
        <is>
          <t>Test congiunto di ripristino da ransomware con il fornitore del gateway di pagamento.</t>
        </is>
      </c>
      <c r="E174" s="158" t="inlineStr">
        <is>
          <t>Owner</t>
        </is>
      </c>
      <c r="F174" s="158" t="inlineStr">
        <is>
          <t>Funzione ICT &amp; Security Risk</t>
        </is>
      </c>
      <c r="G174" s="158" t="inlineStr">
        <is>
          <t>Accettato</t>
        </is>
      </c>
      <c r="H174" s="158" t="inlineStr">
        <is>
          <t>Funzione ICT &amp; Security Risk</t>
        </is>
      </c>
      <c r="I174" s="175" t="n"/>
      <c r="J174" s="158" t="inlineStr">
        <is>
          <t>Comitato Rischi</t>
        </is>
      </c>
      <c r="K174" s="173" t="n">
        <v>46218</v>
      </c>
      <c r="L174" s="158" t="inlineStr">
        <is>
          <t>Applicata</t>
        </is>
      </c>
    </row>
    <row r="175">
      <c r="A175" s="158" t="inlineStr">
        <is>
          <t>2026Q2</t>
        </is>
      </c>
      <c r="B175" s="158" t="inlineStr">
        <is>
          <t>Azione</t>
        </is>
      </c>
      <c r="C175" s="158" t="inlineStr">
        <is>
          <t>2026Q2-NFR-07-A1</t>
        </is>
      </c>
      <c r="D175" s="175" t="inlineStr">
        <is>
          <t>Test congiunto di ripristino da ransomware con il fornitore del gateway di pagamento.</t>
        </is>
      </c>
      <c r="E175" s="158" t="inlineStr">
        <is>
          <t>Orizzonte</t>
        </is>
      </c>
      <c r="F175" s="158" t="inlineStr">
        <is>
          <t>6 mesi</t>
        </is>
      </c>
      <c r="G175" s="158" t="inlineStr">
        <is>
          <t>Accettato</t>
        </is>
      </c>
      <c r="H175" s="158" t="inlineStr">
        <is>
          <t>6 mesi</t>
        </is>
      </c>
      <c r="I175" s="175" t="n"/>
      <c r="J175" s="158" t="inlineStr">
        <is>
          <t>Comitato Rischi</t>
        </is>
      </c>
      <c r="K175" s="173" t="n">
        <v>46218</v>
      </c>
      <c r="L175" s="158" t="inlineStr">
        <is>
          <t>Applicata</t>
        </is>
      </c>
    </row>
    <row r="176">
      <c r="A176" s="158" t="inlineStr">
        <is>
          <t>2026Q2</t>
        </is>
      </c>
      <c r="B176" s="158" t="inlineStr">
        <is>
          <t>Azione</t>
        </is>
      </c>
      <c r="C176" s="158" t="inlineStr">
        <is>
          <t>2026Q2-NFR-08-A1</t>
        </is>
      </c>
      <c r="D176" s="175" t="inlineStr">
        <is>
          <t>Revisione trimestrale automatica degli accessi ai dati clienti senza pratica associata.</t>
        </is>
      </c>
      <c r="E176" s="158" t="inlineStr">
        <is>
          <t>Owner</t>
        </is>
      </c>
      <c r="F176" s="158" t="inlineStr">
        <is>
          <t>Funzione Sicurezza delle Informazioni</t>
        </is>
      </c>
      <c r="G176" s="158" t="inlineStr">
        <is>
          <t>Accettato</t>
        </is>
      </c>
      <c r="H176" s="158" t="inlineStr">
        <is>
          <t>Funzione Sicurezza delle Informazioni</t>
        </is>
      </c>
      <c r="I176" s="175" t="n"/>
      <c r="J176" s="158" t="inlineStr">
        <is>
          <t>Comitato Rischi</t>
        </is>
      </c>
      <c r="K176" s="173" t="n">
        <v>46218</v>
      </c>
      <c r="L176" s="158" t="inlineStr">
        <is>
          <t>Applicata</t>
        </is>
      </c>
    </row>
    <row r="177">
      <c r="A177" s="158" t="inlineStr">
        <is>
          <t>2026Q2</t>
        </is>
      </c>
      <c r="B177" s="158" t="inlineStr">
        <is>
          <t>Azione</t>
        </is>
      </c>
      <c r="C177" s="158" t="inlineStr">
        <is>
          <t>2026Q2-NFR-08-A1</t>
        </is>
      </c>
      <c r="D177" s="175" t="inlineStr">
        <is>
          <t>Revisione trimestrale automatica degli accessi ai dati clienti senza pratica associata.</t>
        </is>
      </c>
      <c r="E177" s="158" t="inlineStr">
        <is>
          <t>Orizzonte</t>
        </is>
      </c>
      <c r="F177" s="158" t="inlineStr">
        <is>
          <t>3 mesi</t>
        </is>
      </c>
      <c r="G177" s="158" t="inlineStr">
        <is>
          <t>Accettato</t>
        </is>
      </c>
      <c r="H177" s="158" t="inlineStr">
        <is>
          <t>3 mesi</t>
        </is>
      </c>
      <c r="I177" s="175" t="n"/>
      <c r="J177" s="158" t="inlineStr">
        <is>
          <t>Comitato Rischi</t>
        </is>
      </c>
      <c r="K177" s="173" t="n">
        <v>46218</v>
      </c>
      <c r="L177" s="158" t="inlineStr">
        <is>
          <t>Applicata</t>
        </is>
      </c>
    </row>
    <row r="178">
      <c r="A178" s="158" t="inlineStr">
        <is>
          <t>2026Q2</t>
        </is>
      </c>
      <c r="B178" s="158" t="inlineStr">
        <is>
          <t>Azione</t>
        </is>
      </c>
      <c r="C178" s="158" t="inlineStr">
        <is>
          <t>2026Q2-NFR-09-A1</t>
        </is>
      </c>
      <c r="D178" s="175" t="inlineStr">
        <is>
          <t>Estendere lo screening sanzioni alle controparti indirette dei pagamenti verso paesi di transito.</t>
        </is>
      </c>
      <c r="E178" s="158" t="inlineStr">
        <is>
          <t>Owner</t>
        </is>
      </c>
      <c r="F178" s="158" t="inlineStr">
        <is>
          <t>Funzione Compliance</t>
        </is>
      </c>
      <c r="G178" s="158" t="inlineStr">
        <is>
          <t>Accettato</t>
        </is>
      </c>
      <c r="H178" s="158" t="inlineStr">
        <is>
          <t>Funzione Compliance</t>
        </is>
      </c>
      <c r="I178" s="175" t="n"/>
      <c r="J178" s="158" t="inlineStr">
        <is>
          <t>Comitato Rischi</t>
        </is>
      </c>
      <c r="K178" s="173" t="n">
        <v>46218</v>
      </c>
      <c r="L178" s="158" t="inlineStr">
        <is>
          <t>Applicata</t>
        </is>
      </c>
    </row>
    <row r="179">
      <c r="A179" s="158" t="inlineStr">
        <is>
          <t>2026Q2</t>
        </is>
      </c>
      <c r="B179" s="158" t="inlineStr">
        <is>
          <t>Azione</t>
        </is>
      </c>
      <c r="C179" s="158" t="inlineStr">
        <is>
          <t>2026Q2-NFR-09-A1</t>
        </is>
      </c>
      <c r="D179" s="175" t="inlineStr">
        <is>
          <t>Estendere lo screening sanzioni alle controparti indirette dei pagamenti verso paesi di transito.</t>
        </is>
      </c>
      <c r="E179" s="158" t="inlineStr">
        <is>
          <t>Orizzonte</t>
        </is>
      </c>
      <c r="F179" s="158" t="inlineStr">
        <is>
          <t>12 mesi</t>
        </is>
      </c>
      <c r="G179" s="158" t="inlineStr">
        <is>
          <t>Accettato</t>
        </is>
      </c>
      <c r="H179" s="158" t="inlineStr">
        <is>
          <t>12 mesi</t>
        </is>
      </c>
      <c r="I179" s="175" t="n"/>
      <c r="J179" s="158" t="inlineStr">
        <is>
          <t>Comitato Rischi</t>
        </is>
      </c>
      <c r="K179" s="173" t="n">
        <v>46218</v>
      </c>
      <c r="L179" s="158" t="inlineStr">
        <is>
          <t>Applicata</t>
        </is>
      </c>
    </row>
    <row r="180">
      <c r="A180" s="158" t="inlineStr">
        <is>
          <t>2026Q2</t>
        </is>
      </c>
      <c r="B180" s="158" t="inlineStr">
        <is>
          <t>Azione</t>
        </is>
      </c>
      <c r="C180" s="158" t="inlineStr">
        <is>
          <t>2026Q2-NFR-10-A1</t>
        </is>
      </c>
      <c r="D180" s="175" t="inlineStr">
        <is>
          <t>Campionamento settimanale delle risposte del chatbot con verifica umana.</t>
        </is>
      </c>
      <c r="E180" s="158" t="inlineStr">
        <is>
          <t>Owner</t>
        </is>
      </c>
      <c r="F180" s="158" t="inlineStr">
        <is>
          <t>Funzione Customer Experience</t>
        </is>
      </c>
      <c r="G180" s="158" t="inlineStr">
        <is>
          <t>Accettato</t>
        </is>
      </c>
      <c r="H180" s="158" t="inlineStr">
        <is>
          <t>Funzione Customer Experience</t>
        </is>
      </c>
      <c r="I180" s="175" t="n"/>
      <c r="J180" s="158" t="inlineStr">
        <is>
          <t>Comitato Rischi</t>
        </is>
      </c>
      <c r="K180" s="173" t="n">
        <v>46218</v>
      </c>
      <c r="L180" s="158" t="inlineStr">
        <is>
          <t>Applicata</t>
        </is>
      </c>
    </row>
    <row r="181">
      <c r="A181" s="158" t="inlineStr">
        <is>
          <t>2026Q2</t>
        </is>
      </c>
      <c r="B181" s="158" t="inlineStr">
        <is>
          <t>Azione</t>
        </is>
      </c>
      <c r="C181" s="158" t="inlineStr">
        <is>
          <t>2026Q2-NFR-10-A1</t>
        </is>
      </c>
      <c r="D181" s="175" t="inlineStr">
        <is>
          <t>Campionamento settimanale delle risposte del chatbot con verifica umana.</t>
        </is>
      </c>
      <c r="E181" s="158" t="inlineStr">
        <is>
          <t>Orizzonte</t>
        </is>
      </c>
      <c r="F181" s="158" t="inlineStr">
        <is>
          <t>3 mesi</t>
        </is>
      </c>
      <c r="G181" s="158" t="inlineStr">
        <is>
          <t>Accettato</t>
        </is>
      </c>
      <c r="H181" s="158" t="inlineStr">
        <is>
          <t>3 mesi</t>
        </is>
      </c>
      <c r="I181" s="175" t="n"/>
      <c r="J181" s="158" t="inlineStr">
        <is>
          <t>Comitato Rischi</t>
        </is>
      </c>
      <c r="K181" s="173" t="n">
        <v>46218</v>
      </c>
      <c r="L181" s="158" t="inlineStr">
        <is>
          <t>Applicata</t>
        </is>
      </c>
    </row>
    <row r="182">
      <c r="A182" s="158" t="inlineStr">
        <is>
          <t>2026Q2</t>
        </is>
      </c>
      <c r="B182" s="158" t="inlineStr">
        <is>
          <t>Azione</t>
        </is>
      </c>
      <c r="C182" s="158" t="inlineStr">
        <is>
          <t>2026Q2-NFR-11-A1</t>
        </is>
      </c>
      <c r="D182" s="175" t="inlineStr">
        <is>
          <t>Piano di sostituzione delle componenti fuori supporto del sistema di pagamento.</t>
        </is>
      </c>
      <c r="E182" s="158" t="inlineStr">
        <is>
          <t>Owner</t>
        </is>
      </c>
      <c r="F182" s="158" t="inlineStr">
        <is>
          <t>Funzione IT Operations</t>
        </is>
      </c>
      <c r="G182" s="158" t="inlineStr">
        <is>
          <t>Accettato</t>
        </is>
      </c>
      <c r="H182" s="158" t="inlineStr">
        <is>
          <t>Funzione IT Operations</t>
        </is>
      </c>
      <c r="I182" s="175" t="n"/>
      <c r="J182" s="158" t="inlineStr">
        <is>
          <t>Comitato Rischi</t>
        </is>
      </c>
      <c r="K182" s="173" t="n">
        <v>46218</v>
      </c>
      <c r="L182" s="158" t="inlineStr">
        <is>
          <t>Applicata</t>
        </is>
      </c>
    </row>
    <row r="183">
      <c r="A183" s="158" t="inlineStr">
        <is>
          <t>2026Q2</t>
        </is>
      </c>
      <c r="B183" s="158" t="inlineStr">
        <is>
          <t>Azione</t>
        </is>
      </c>
      <c r="C183" s="158" t="inlineStr">
        <is>
          <t>2026Q2-NFR-11-A1</t>
        </is>
      </c>
      <c r="D183" s="175" t="inlineStr">
        <is>
          <t>Piano di sostituzione delle componenti fuori supporto del sistema di pagamento.</t>
        </is>
      </c>
      <c r="E183" s="158" t="inlineStr">
        <is>
          <t>Orizzonte</t>
        </is>
      </c>
      <c r="F183" s="158" t="inlineStr">
        <is>
          <t>12 mesi</t>
        </is>
      </c>
      <c r="G183" s="158" t="inlineStr">
        <is>
          <t>Accettato</t>
        </is>
      </c>
      <c r="H183" s="158" t="inlineStr">
        <is>
          <t>12 mesi</t>
        </is>
      </c>
      <c r="I183" s="175" t="n"/>
      <c r="J183" s="158" t="inlineStr">
        <is>
          <t>Comitato Rischi</t>
        </is>
      </c>
      <c r="K183" s="173" t="n">
        <v>46218</v>
      </c>
      <c r="L183" s="158" t="inlineStr">
        <is>
          <t>Applicata</t>
        </is>
      </c>
    </row>
    <row r="184">
      <c r="A184" s="158" t="inlineStr">
        <is>
          <t>2026Q2</t>
        </is>
      </c>
      <c r="B184" s="158" t="inlineStr">
        <is>
          <t>Azione</t>
        </is>
      </c>
      <c r="C184" s="158" t="inlineStr">
        <is>
          <t>2026Q2-NFR-12-A1</t>
        </is>
      </c>
      <c r="D184" s="175" t="inlineStr">
        <is>
          <t>Controllo giornaliero automatico delle differenze di riconciliazione sui bonifici istantanei.</t>
        </is>
      </c>
      <c r="E184" s="158" t="inlineStr">
        <is>
          <t>Owner</t>
        </is>
      </c>
      <c r="F184" s="158" t="inlineStr">
        <is>
          <t>Funzione Operations</t>
        </is>
      </c>
      <c r="G184" s="158" t="inlineStr">
        <is>
          <t>Accettato</t>
        </is>
      </c>
      <c r="H184" s="158" t="inlineStr">
        <is>
          <t>Funzione Operations</t>
        </is>
      </c>
      <c r="I184" s="175" t="n"/>
      <c r="J184" s="158" t="inlineStr">
        <is>
          <t>Comitato Rischi</t>
        </is>
      </c>
      <c r="K184" s="173" t="n">
        <v>46218</v>
      </c>
      <c r="L184" s="158" t="inlineStr">
        <is>
          <t>Applicata</t>
        </is>
      </c>
    </row>
    <row r="185">
      <c r="A185" s="158" t="inlineStr">
        <is>
          <t>2026Q2</t>
        </is>
      </c>
      <c r="B185" s="158" t="inlineStr">
        <is>
          <t>Azione</t>
        </is>
      </c>
      <c r="C185" s="158" t="inlineStr">
        <is>
          <t>2026Q2-NFR-12-A1</t>
        </is>
      </c>
      <c r="D185" s="175" t="inlineStr">
        <is>
          <t>Controllo giornaliero automatico delle differenze di riconciliazione sui bonifici istantanei.</t>
        </is>
      </c>
      <c r="E185" s="158" t="inlineStr">
        <is>
          <t>Orizzonte</t>
        </is>
      </c>
      <c r="F185" s="158" t="inlineStr">
        <is>
          <t>3 mesi</t>
        </is>
      </c>
      <c r="G185" s="158" t="inlineStr">
        <is>
          <t>Accettato</t>
        </is>
      </c>
      <c r="H185" s="158" t="inlineStr">
        <is>
          <t>3 mesi</t>
        </is>
      </c>
      <c r="I185" s="175" t="n"/>
      <c r="J185" s="158" t="inlineStr">
        <is>
          <t>Comitato Rischi</t>
        </is>
      </c>
      <c r="K185" s="173" t="n">
        <v>46218</v>
      </c>
      <c r="L185" s="158" t="inlineStr">
        <is>
          <t>Applicata</t>
        </is>
      </c>
    </row>
    <row r="186">
      <c r="A186" s="158" t="inlineStr">
        <is>
          <t>2026-05-25</t>
        </is>
      </c>
      <c r="B186" s="158" t="inlineStr">
        <is>
          <t>Notizia</t>
        </is>
      </c>
      <c r="C186" s="158" t="inlineStr">
        <is>
          <t>N-20260520-01</t>
        </is>
      </c>
      <c r="D186" s="175" t="inlineStr">
        <is>
          <t>Guasto regionale del fornitore cloud per sei ore</t>
        </is>
      </c>
      <c r="E186" s="158" t="inlineStr">
        <is>
          <t>Rischio_ID</t>
        </is>
      </c>
      <c r="F186" s="158" t="inlineStr">
        <is>
          <t>NFR-02</t>
        </is>
      </c>
      <c r="G186" s="158" t="inlineStr">
        <is>
          <t>Accettato</t>
        </is>
      </c>
      <c r="H186" s="158" t="inlineStr">
        <is>
          <t>NFR-02</t>
        </is>
      </c>
      <c r="I186" s="175" t="n"/>
      <c r="J186" s="158" t="inlineStr">
        <is>
          <t>Comitato Rischi</t>
        </is>
      </c>
      <c r="K186" s="173" t="n">
        <v>46169</v>
      </c>
      <c r="L186" s="158" t="inlineStr">
        <is>
          <t>Applicata</t>
        </is>
      </c>
    </row>
    <row r="187">
      <c r="A187" s="158" t="inlineStr">
        <is>
          <t>2026-05-25</t>
        </is>
      </c>
      <c r="B187" s="158" t="inlineStr">
        <is>
          <t>Notizia</t>
        </is>
      </c>
      <c r="C187" s="158" t="inlineStr">
        <is>
          <t>N-20260520-01</t>
        </is>
      </c>
      <c r="D187" s="175" t="inlineStr">
        <is>
          <t>Guasto regionale del fornitore cloud per sei ore</t>
        </is>
      </c>
      <c r="E187" s="158" t="inlineStr">
        <is>
          <t>Segnale</t>
        </is>
      </c>
      <c r="F187" s="158" t="inlineStr">
        <is>
          <t>Peggiorativo</t>
        </is>
      </c>
      <c r="G187" s="158" t="inlineStr">
        <is>
          <t>Accettato</t>
        </is>
      </c>
      <c r="H187" s="158" t="inlineStr">
        <is>
          <t>Peggiorativo</t>
        </is>
      </c>
      <c r="I187" s="175" t="n"/>
      <c r="J187" s="158" t="inlineStr">
        <is>
          <t>Comitato Rischi</t>
        </is>
      </c>
      <c r="K187" s="173" t="n">
        <v>46169</v>
      </c>
      <c r="L187" s="158" t="inlineStr">
        <is>
          <t>Applicata</t>
        </is>
      </c>
    </row>
    <row r="188">
      <c r="A188" s="158" t="inlineStr">
        <is>
          <t>2026-06-15</t>
        </is>
      </c>
      <c r="B188" s="158" t="inlineStr">
        <is>
          <t>Notizia</t>
        </is>
      </c>
      <c r="C188" s="158" t="inlineStr">
        <is>
          <t>N-20260609-01</t>
        </is>
      </c>
      <c r="D188" s="175" t="inlineStr">
        <is>
          <t>Nuova ondata di frodi con voce clonata su bonifici istantanei</t>
        </is>
      </c>
      <c r="E188" s="158" t="inlineStr">
        <is>
          <t>Rischio_ID</t>
        </is>
      </c>
      <c r="F188" s="158" t="inlineStr">
        <is>
          <t>NFR-01</t>
        </is>
      </c>
      <c r="G188" s="158" t="inlineStr">
        <is>
          <t>Accettato</t>
        </is>
      </c>
      <c r="H188" s="158" t="inlineStr">
        <is>
          <t>NFR-01</t>
        </is>
      </c>
      <c r="I188" s="175" t="n"/>
      <c r="J188" s="158" t="inlineStr">
        <is>
          <t>Comitato Rischi</t>
        </is>
      </c>
      <c r="K188" s="173" t="n">
        <v>46190</v>
      </c>
      <c r="L188" s="158" t="inlineStr">
        <is>
          <t>Applicata</t>
        </is>
      </c>
    </row>
    <row r="189">
      <c r="A189" s="158" t="inlineStr">
        <is>
          <t>2026-06-15</t>
        </is>
      </c>
      <c r="B189" s="158" t="inlineStr">
        <is>
          <t>Notizia</t>
        </is>
      </c>
      <c r="C189" s="158" t="inlineStr">
        <is>
          <t>N-20260609-01</t>
        </is>
      </c>
      <c r="D189" s="175" t="inlineStr">
        <is>
          <t>Nuova ondata di frodi con voce clonata su bonifici istantanei</t>
        </is>
      </c>
      <c r="E189" s="158" t="inlineStr">
        <is>
          <t>Segnale</t>
        </is>
      </c>
      <c r="F189" s="158" t="inlineStr">
        <is>
          <t>Peggiorativo</t>
        </is>
      </c>
      <c r="G189" s="158" t="inlineStr">
        <is>
          <t>Accettato</t>
        </is>
      </c>
      <c r="H189" s="158" t="inlineStr">
        <is>
          <t>Peggiorativo</t>
        </is>
      </c>
      <c r="I189" s="175" t="n"/>
      <c r="J189" s="158" t="inlineStr">
        <is>
          <t>Comitato Rischi</t>
        </is>
      </c>
      <c r="K189" s="173" t="n">
        <v>46190</v>
      </c>
      <c r="L189" s="158" t="inlineStr">
        <is>
          <t>Applicata</t>
        </is>
      </c>
    </row>
    <row r="190">
      <c r="A190" s="158" t="inlineStr">
        <is>
          <t>2026-06-15</t>
        </is>
      </c>
      <c r="B190" s="158" t="inlineStr">
        <is>
          <t>Notizia</t>
        </is>
      </c>
      <c r="C190" s="158" t="inlineStr">
        <is>
          <t>N-20260610-01</t>
        </is>
      </c>
      <c r="D190" s="175" t="inlineStr">
        <is>
          <t>Stabilizzazione dei sistemi dopo la wave 1 in banche comparabili</t>
        </is>
      </c>
      <c r="E190" s="158" t="inlineStr">
        <is>
          <t>Rischio_ID</t>
        </is>
      </c>
      <c r="F190" s="158" t="inlineStr">
        <is>
          <t>NFR-05</t>
        </is>
      </c>
      <c r="G190" s="158" t="inlineStr">
        <is>
          <t>Accettato</t>
        </is>
      </c>
      <c r="H190" s="158" t="inlineStr">
        <is>
          <t>NFR-05</t>
        </is>
      </c>
      <c r="I190" s="175" t="n"/>
      <c r="J190" s="158" t="inlineStr">
        <is>
          <t>Comitato Rischi</t>
        </is>
      </c>
      <c r="K190" s="173" t="n">
        <v>46190</v>
      </c>
      <c r="L190" s="158" t="inlineStr">
        <is>
          <t>Applicata</t>
        </is>
      </c>
    </row>
    <row r="191">
      <c r="A191" s="158" t="inlineStr">
        <is>
          <t>2026-06-15</t>
        </is>
      </c>
      <c r="B191" s="158" t="inlineStr">
        <is>
          <t>Notizia</t>
        </is>
      </c>
      <c r="C191" s="158" t="inlineStr">
        <is>
          <t>N-20260610-01</t>
        </is>
      </c>
      <c r="D191" s="175" t="inlineStr">
        <is>
          <t>Stabilizzazione dei sistemi dopo la wave 1 in banche comparabili</t>
        </is>
      </c>
      <c r="E191" s="158" t="inlineStr">
        <is>
          <t>Segnale</t>
        </is>
      </c>
      <c r="F191" s="158" t="inlineStr">
        <is>
          <t>Migliorativo</t>
        </is>
      </c>
      <c r="G191" s="158" t="inlineStr">
        <is>
          <t>Accettato</t>
        </is>
      </c>
      <c r="H191" s="158" t="inlineStr">
        <is>
          <t>Migliorativo</t>
        </is>
      </c>
      <c r="I191" s="175" t="n"/>
      <c r="J191" s="158" t="inlineStr">
        <is>
          <t>Comitato Rischi</t>
        </is>
      </c>
      <c r="K191" s="173" t="n">
        <v>46190</v>
      </c>
      <c r="L191" s="158" t="inlineStr">
        <is>
          <t>Applicata</t>
        </is>
      </c>
    </row>
    <row r="192">
      <c r="A192" s="158" t="inlineStr">
        <is>
          <t>2026-06-15</t>
        </is>
      </c>
      <c r="B192" s="158" t="inlineStr">
        <is>
          <t>Notizia</t>
        </is>
      </c>
      <c r="C192" s="158" t="inlineStr">
        <is>
          <t>N-20260611-01</t>
        </is>
      </c>
      <c r="D192" s="175" t="inlineStr">
        <is>
          <t>Il fornitore cloud annuncia una nuova region in Italia</t>
        </is>
      </c>
      <c r="E192" s="158" t="inlineStr">
        <is>
          <t>Rischio_ID</t>
        </is>
      </c>
      <c r="F192" s="158" t="inlineStr">
        <is>
          <t>NFR-02</t>
        </is>
      </c>
      <c r="G192" s="158" t="inlineStr">
        <is>
          <t>Accettato</t>
        </is>
      </c>
      <c r="H192" s="158" t="inlineStr">
        <is>
          <t>NFR-02</t>
        </is>
      </c>
      <c r="I192" s="175" t="n"/>
      <c r="J192" s="158" t="inlineStr">
        <is>
          <t>Comitato Rischi</t>
        </is>
      </c>
      <c r="K192" s="173" t="n">
        <v>46190</v>
      </c>
      <c r="L192" s="158" t="inlineStr">
        <is>
          <t>Applicata</t>
        </is>
      </c>
    </row>
    <row r="193">
      <c r="A193" s="158" t="inlineStr">
        <is>
          <t>2026-06-15</t>
        </is>
      </c>
      <c r="B193" s="158" t="inlineStr">
        <is>
          <t>Notizia</t>
        </is>
      </c>
      <c r="C193" s="158" t="inlineStr">
        <is>
          <t>N-20260611-01</t>
        </is>
      </c>
      <c r="D193" s="175" t="inlineStr">
        <is>
          <t>Il fornitore cloud annuncia una nuova region in Italia</t>
        </is>
      </c>
      <c r="E193" s="158" t="inlineStr">
        <is>
          <t>Segnale</t>
        </is>
      </c>
      <c r="F193" s="158" t="inlineStr">
        <is>
          <t>Migliorativo</t>
        </is>
      </c>
      <c r="G193" s="158" t="inlineStr">
        <is>
          <t>Accettato</t>
        </is>
      </c>
      <c r="H193" s="158" t="inlineStr">
        <is>
          <t>Migliorativo</t>
        </is>
      </c>
      <c r="I193" s="175" t="n"/>
      <c r="J193" s="158" t="inlineStr">
        <is>
          <t>Comitato Rischi</t>
        </is>
      </c>
      <c r="K193" s="173" t="n">
        <v>46190</v>
      </c>
      <c r="L193" s="158" t="inlineStr">
        <is>
          <t>Applicata</t>
        </is>
      </c>
    </row>
    <row r="194">
      <c r="A194" s="158" t="inlineStr">
        <is>
          <t>2026-06-22</t>
        </is>
      </c>
      <c r="B194" s="158" t="inlineStr">
        <is>
          <t>Notizia</t>
        </is>
      </c>
      <c r="C194" s="158" t="inlineStr">
        <is>
          <t>N-20260616-01</t>
        </is>
      </c>
      <c r="D194" s="175" t="inlineStr">
        <is>
          <t>Frodi con deepfake video in una banca tedesca</t>
        </is>
      </c>
      <c r="E194" s="158" t="inlineStr">
        <is>
          <t>Rischio_ID</t>
        </is>
      </c>
      <c r="F194" s="158" t="inlineStr">
        <is>
          <t>NFR-01</t>
        </is>
      </c>
      <c r="G194" s="158" t="inlineStr">
        <is>
          <t>Accettato</t>
        </is>
      </c>
      <c r="H194" s="158" t="inlineStr">
        <is>
          <t>NFR-01</t>
        </is>
      </c>
      <c r="I194" s="175" t="n"/>
      <c r="J194" s="158" t="inlineStr">
        <is>
          <t>Comitato Rischi</t>
        </is>
      </c>
      <c r="K194" s="173" t="n">
        <v>46197</v>
      </c>
      <c r="L194" s="158" t="inlineStr">
        <is>
          <t>Applicata</t>
        </is>
      </c>
    </row>
    <row r="195">
      <c r="A195" s="158" t="inlineStr">
        <is>
          <t>2026-06-22</t>
        </is>
      </c>
      <c r="B195" s="158" t="inlineStr">
        <is>
          <t>Notizia</t>
        </is>
      </c>
      <c r="C195" s="158" t="inlineStr">
        <is>
          <t>N-20260616-01</t>
        </is>
      </c>
      <c r="D195" s="175" t="inlineStr">
        <is>
          <t>Frodi con deepfake video in una banca tedesca</t>
        </is>
      </c>
      <c r="E195" s="158" t="inlineStr">
        <is>
          <t>Segnale</t>
        </is>
      </c>
      <c r="F195" s="158" t="inlineStr">
        <is>
          <t>Peggiorativo</t>
        </is>
      </c>
      <c r="G195" s="158" t="inlineStr">
        <is>
          <t>Accettato</t>
        </is>
      </c>
      <c r="H195" s="158" t="inlineStr">
        <is>
          <t>Peggiorativo</t>
        </is>
      </c>
      <c r="I195" s="175" t="n"/>
      <c r="J195" s="158" t="inlineStr">
        <is>
          <t>Comitato Rischi</t>
        </is>
      </c>
      <c r="K195" s="173" t="n">
        <v>46197</v>
      </c>
      <c r="L195" s="158" t="inlineStr">
        <is>
          <t>Applicata</t>
        </is>
      </c>
    </row>
    <row r="196">
      <c r="A196" s="158" t="inlineStr">
        <is>
          <t>2026-06-22</t>
        </is>
      </c>
      <c r="B196" s="158" t="inlineStr">
        <is>
          <t>Notizia</t>
        </is>
      </c>
      <c r="C196" s="158" t="inlineStr">
        <is>
          <t>N-20260617-01</t>
        </is>
      </c>
      <c r="D196" s="175" t="inlineStr">
        <is>
          <t>Chiusi i rilievi di audit sulla migrazione presso un peer</t>
        </is>
      </c>
      <c r="E196" s="158" t="inlineStr">
        <is>
          <t>Rischio_ID</t>
        </is>
      </c>
      <c r="F196" s="158" t="inlineStr">
        <is>
          <t>NFR-05</t>
        </is>
      </c>
      <c r="G196" s="158" t="inlineStr">
        <is>
          <t>Accettato</t>
        </is>
      </c>
      <c r="H196" s="158" t="inlineStr">
        <is>
          <t>NFR-05</t>
        </is>
      </c>
      <c r="I196" s="175" t="n"/>
      <c r="J196" s="158" t="inlineStr">
        <is>
          <t>Comitato Rischi</t>
        </is>
      </c>
      <c r="K196" s="173" t="n">
        <v>46197</v>
      </c>
      <c r="L196" s="158" t="inlineStr">
        <is>
          <t>Applicata</t>
        </is>
      </c>
    </row>
    <row r="197">
      <c r="A197" s="158" t="inlineStr">
        <is>
          <t>2026-06-22</t>
        </is>
      </c>
      <c r="B197" s="158" t="inlineStr">
        <is>
          <t>Notizia</t>
        </is>
      </c>
      <c r="C197" s="158" t="inlineStr">
        <is>
          <t>N-20260617-01</t>
        </is>
      </c>
      <c r="D197" s="175" t="inlineStr">
        <is>
          <t>Chiusi i rilievi di audit sulla migrazione presso un peer</t>
        </is>
      </c>
      <c r="E197" s="158" t="inlineStr">
        <is>
          <t>Segnale</t>
        </is>
      </c>
      <c r="F197" s="158" t="inlineStr">
        <is>
          <t>Migliorativo</t>
        </is>
      </c>
      <c r="G197" s="158" t="inlineStr">
        <is>
          <t>Accettato</t>
        </is>
      </c>
      <c r="H197" s="158" t="inlineStr">
        <is>
          <t>Migliorativo</t>
        </is>
      </c>
      <c r="I197" s="175" t="n"/>
      <c r="J197" s="158" t="inlineStr">
        <is>
          <t>Comitato Rischi</t>
        </is>
      </c>
      <c r="K197" s="173" t="n">
        <v>46197</v>
      </c>
      <c r="L197" s="158" t="inlineStr">
        <is>
          <t>Applicata</t>
        </is>
      </c>
    </row>
    <row r="198">
      <c r="A198" s="158" t="inlineStr">
        <is>
          <t>2026-06-22</t>
        </is>
      </c>
      <c r="B198" s="158" t="inlineStr">
        <is>
          <t>Notizia</t>
        </is>
      </c>
      <c r="C198" s="158" t="inlineStr">
        <is>
          <t>N-20260618-01</t>
        </is>
      </c>
      <c r="D198" s="175" t="inlineStr">
        <is>
          <t>Allerta caldo estremo nel Nord Italia</t>
        </is>
      </c>
      <c r="E198" s="158" t="inlineStr">
        <is>
          <t>Rischio_ID</t>
        </is>
      </c>
      <c r="F198" s="158" t="inlineStr">
        <is>
          <t>NFR-04</t>
        </is>
      </c>
      <c r="G198" s="158" t="inlineStr">
        <is>
          <t>Accettato</t>
        </is>
      </c>
      <c r="H198" s="158" t="inlineStr">
        <is>
          <t>NFR-04</t>
        </is>
      </c>
      <c r="I198" s="175" t="n"/>
      <c r="J198" s="158" t="inlineStr">
        <is>
          <t>Comitato Rischi</t>
        </is>
      </c>
      <c r="K198" s="173" t="n">
        <v>46197</v>
      </c>
      <c r="L198" s="158" t="inlineStr">
        <is>
          <t>Applicata</t>
        </is>
      </c>
    </row>
    <row r="199">
      <c r="A199" s="158" t="inlineStr">
        <is>
          <t>2026-06-22</t>
        </is>
      </c>
      <c r="B199" s="158" t="inlineStr">
        <is>
          <t>Notizia</t>
        </is>
      </c>
      <c r="C199" s="158" t="inlineStr">
        <is>
          <t>N-20260618-01</t>
        </is>
      </c>
      <c r="D199" s="175" t="inlineStr">
        <is>
          <t>Allerta caldo estremo nel Nord Italia</t>
        </is>
      </c>
      <c r="E199" s="158" t="inlineStr">
        <is>
          <t>Segnale</t>
        </is>
      </c>
      <c r="F199" s="158" t="inlineStr">
        <is>
          <t>Neutro</t>
        </is>
      </c>
      <c r="G199" s="158" t="inlineStr">
        <is>
          <t>Accettato</t>
        </is>
      </c>
      <c r="H199" s="158" t="inlineStr">
        <is>
          <t>Neutro</t>
        </is>
      </c>
      <c r="I199" s="175" t="n"/>
      <c r="J199" s="158" t="inlineStr">
        <is>
          <t>Comitato Rischi</t>
        </is>
      </c>
      <c r="K199" s="173" t="n">
        <v>46197</v>
      </c>
      <c r="L199" s="158" t="inlineStr">
        <is>
          <t>Applicata</t>
        </is>
      </c>
    </row>
    <row r="200">
      <c r="A200" s="158" t="inlineStr">
        <is>
          <t>2026-06-29</t>
        </is>
      </c>
      <c r="B200" s="158" t="inlineStr">
        <is>
          <t>Notizia</t>
        </is>
      </c>
      <c r="C200" s="158" t="inlineStr">
        <is>
          <t>N-20260623-01</t>
        </is>
      </c>
      <c r="D200" s="175" t="inlineStr">
        <is>
          <t>Il fornitore cloud pubblica il report di resilienza</t>
        </is>
      </c>
      <c r="E200" s="158" t="inlineStr">
        <is>
          <t>Rischio_ID</t>
        </is>
      </c>
      <c r="F200" s="158" t="inlineStr">
        <is>
          <t>NFR-02</t>
        </is>
      </c>
      <c r="G200" s="158" t="inlineStr">
        <is>
          <t>Accettato</t>
        </is>
      </c>
      <c r="H200" s="158" t="inlineStr">
        <is>
          <t>NFR-02</t>
        </is>
      </c>
      <c r="I200" s="175" t="n"/>
      <c r="J200" s="158" t="inlineStr">
        <is>
          <t>Comitato Rischi</t>
        </is>
      </c>
      <c r="K200" s="173" t="n">
        <v>46204</v>
      </c>
      <c r="L200" s="158" t="inlineStr">
        <is>
          <t>Applicata</t>
        </is>
      </c>
    </row>
    <row r="201">
      <c r="A201" s="158" t="inlineStr">
        <is>
          <t>2026-06-29</t>
        </is>
      </c>
      <c r="B201" s="158" t="inlineStr">
        <is>
          <t>Notizia</t>
        </is>
      </c>
      <c r="C201" s="158" t="inlineStr">
        <is>
          <t>N-20260623-01</t>
        </is>
      </c>
      <c r="D201" s="175" t="inlineStr">
        <is>
          <t>Il fornitore cloud pubblica il report di resilienza</t>
        </is>
      </c>
      <c r="E201" s="158" t="inlineStr">
        <is>
          <t>Segnale</t>
        </is>
      </c>
      <c r="F201" s="158" t="inlineStr">
        <is>
          <t>Peggiorativo</t>
        </is>
      </c>
      <c r="G201" s="158" t="inlineStr">
        <is>
          <t>Accettato</t>
        </is>
      </c>
      <c r="H201" s="158" t="inlineStr">
        <is>
          <t>Peggiorativo</t>
        </is>
      </c>
      <c r="I201" s="175" t="n"/>
      <c r="J201" s="158" t="inlineStr">
        <is>
          <t>Comitato Rischi</t>
        </is>
      </c>
      <c r="K201" s="173" t="n">
        <v>46204</v>
      </c>
      <c r="L201" s="158" t="inlineStr">
        <is>
          <t>Applicata</t>
        </is>
      </c>
    </row>
    <row r="202">
      <c r="A202" s="158" t="inlineStr">
        <is>
          <t>2026-06-29</t>
        </is>
      </c>
      <c r="B202" s="158" t="inlineStr">
        <is>
          <t>Notizia</t>
        </is>
      </c>
      <c r="C202" s="158" t="inlineStr">
        <is>
          <t>N-20260624-01</t>
        </is>
      </c>
      <c r="D202" s="175" t="inlineStr">
        <is>
          <t>Linee guida europee sul rimborso delle frodi APP</t>
        </is>
      </c>
      <c r="E202" s="158" t="inlineStr">
        <is>
          <t>Rischio_ID</t>
        </is>
      </c>
      <c r="F202" s="158" t="inlineStr">
        <is>
          <t>NFR-01</t>
        </is>
      </c>
      <c r="G202" s="158" t="inlineStr">
        <is>
          <t>Accettato</t>
        </is>
      </c>
      <c r="H202" s="158" t="inlineStr">
        <is>
          <t>NFR-01</t>
        </is>
      </c>
      <c r="I202" s="175" t="n"/>
      <c r="J202" s="158" t="inlineStr">
        <is>
          <t>Comitato Rischi</t>
        </is>
      </c>
      <c r="K202" s="173" t="n">
        <v>46204</v>
      </c>
      <c r="L202" s="158" t="inlineStr">
        <is>
          <t>Applicata</t>
        </is>
      </c>
    </row>
    <row r="203">
      <c r="A203" s="158" t="inlineStr">
        <is>
          <t>2026-06-29</t>
        </is>
      </c>
      <c r="B203" s="158" t="inlineStr">
        <is>
          <t>Notizia</t>
        </is>
      </c>
      <c r="C203" s="158" t="inlineStr">
        <is>
          <t>N-20260624-01</t>
        </is>
      </c>
      <c r="D203" s="175" t="inlineStr">
        <is>
          <t>Linee guida europee sul rimborso delle frodi APP</t>
        </is>
      </c>
      <c r="E203" s="158" t="inlineStr">
        <is>
          <t>Segnale</t>
        </is>
      </c>
      <c r="F203" s="158" t="inlineStr">
        <is>
          <t>Peggiorativo</t>
        </is>
      </c>
      <c r="G203" s="158" t="inlineStr">
        <is>
          <t>Accettato</t>
        </is>
      </c>
      <c r="H203" s="158" t="inlineStr">
        <is>
          <t>Peggiorativo</t>
        </is>
      </c>
      <c r="I203" s="175" t="n"/>
      <c r="J203" s="158" t="inlineStr">
        <is>
          <t>Comitato Rischi</t>
        </is>
      </c>
      <c r="K203" s="173" t="n">
        <v>46204</v>
      </c>
      <c r="L203" s="158" t="inlineStr">
        <is>
          <t>Applicata</t>
        </is>
      </c>
    </row>
    <row r="204">
      <c r="A204" s="158" t="inlineStr">
        <is>
          <t>2026-06-29</t>
        </is>
      </c>
      <c r="B204" s="158" t="inlineStr">
        <is>
          <t>Notizia</t>
        </is>
      </c>
      <c r="C204" s="158" t="inlineStr">
        <is>
          <t>N-20260625-01</t>
        </is>
      </c>
      <c r="D204" s="175" t="inlineStr">
        <is>
          <t>Wave 1 chiusa senza incidenti gravi nel trimestre</t>
        </is>
      </c>
      <c r="E204" s="158" t="inlineStr">
        <is>
          <t>Rischio_ID</t>
        </is>
      </c>
      <c r="F204" s="158" t="inlineStr">
        <is>
          <t>NFR-05</t>
        </is>
      </c>
      <c r="G204" s="158" t="inlineStr">
        <is>
          <t>Accettato</t>
        </is>
      </c>
      <c r="H204" s="158" t="inlineStr">
        <is>
          <t>NFR-05</t>
        </is>
      </c>
      <c r="I204" s="175" t="n"/>
      <c r="J204" s="158" t="inlineStr">
        <is>
          <t>Comitato Rischi</t>
        </is>
      </c>
      <c r="K204" s="173" t="n">
        <v>46204</v>
      </c>
      <c r="L204" s="158" t="inlineStr">
        <is>
          <t>Applicata</t>
        </is>
      </c>
    </row>
    <row r="205">
      <c r="A205" s="158" t="inlineStr">
        <is>
          <t>2026-06-29</t>
        </is>
      </c>
      <c r="B205" s="158" t="inlineStr">
        <is>
          <t>Notizia</t>
        </is>
      </c>
      <c r="C205" s="158" t="inlineStr">
        <is>
          <t>N-20260625-01</t>
        </is>
      </c>
      <c r="D205" s="175" t="inlineStr">
        <is>
          <t>Wave 1 chiusa senza incidenti gravi nel trimestre</t>
        </is>
      </c>
      <c r="E205" s="158" t="inlineStr">
        <is>
          <t>Segnale</t>
        </is>
      </c>
      <c r="F205" s="158" t="inlineStr">
        <is>
          <t>Migliorativo</t>
        </is>
      </c>
      <c r="G205" s="158" t="inlineStr">
        <is>
          <t>Accettato</t>
        </is>
      </c>
      <c r="H205" s="158" t="inlineStr">
        <is>
          <t>Migliorativo</t>
        </is>
      </c>
      <c r="I205" s="175" t="n"/>
      <c r="J205" s="158" t="inlineStr">
        <is>
          <t>Comitato Rischi</t>
        </is>
      </c>
      <c r="K205" s="173" t="n">
        <v>46204</v>
      </c>
      <c r="L205" s="158" t="inlineStr">
        <is>
          <t>Applicata</t>
        </is>
      </c>
    </row>
  </sheetData>
  <mergeCells count="4">
    <mergeCell ref="A3:F3"/>
    <mergeCell ref="G3:L3"/>
    <mergeCell ref="A2:I2"/>
    <mergeCell ref="A1:L1"/>
  </mergeCells>
  <conditionalFormatting sqref="L6:L20000">
    <cfRule type="expression" priority="1" dxfId="19">
      <formula>L6="Da decidere"</formula>
    </cfRule>
  </conditionalFormatting>
  <conditionalFormatting sqref="G6:G20000">
    <cfRule type="expression" priority="2" dxfId="16">
      <formula>G6="Rettificato"</formula>
    </cfRule>
    <cfRule type="expression" priority="3" dxfId="15">
      <formula>G6="Respinto"</formula>
    </cfRule>
  </conditionalFormatting>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2026-10-08T11:48:19Z</dcterms:created>
  <dcterms:modified xmlns:dcterms="http://purl.org/dc/terms/" xmlns:xsi="http://www.w3.org/2001/XMLSchema-instance" xsi:type="dcterms:W3CDTF">2026-10-08T11:48:20Z</dcterms:modified>
</cp:coreProperties>
</file>